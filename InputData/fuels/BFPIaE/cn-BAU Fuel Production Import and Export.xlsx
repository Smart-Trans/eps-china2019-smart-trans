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G:\Workfile\EPS China 3.3.1\InputData\fuels\BFPIaE\"/>
    </mc:Choice>
  </mc:AlternateContent>
  <xr:revisionPtr revIDLastSave="0" documentId="13_ncr:1_{BBB6ED05-91D8-48B8-A6C2-141C88A81EE8}" xr6:coauthVersionLast="47" xr6:coauthVersionMax="47" xr10:uidLastSave="{00000000-0000-0000-0000-000000000000}"/>
  <bookViews>
    <workbookView xWindow="-120" yWindow="-120" windowWidth="29040" windowHeight="15840" tabRatio="838" activeTab="8" xr2:uid="{00000000-000D-0000-FFFF-FFFF00000000}"/>
  </bookViews>
  <sheets>
    <sheet name="人民币兑美元汇率" sheetId="4" r:id="rId1"/>
    <sheet name="能源品种参考表" sheetId="8" r:id="rId2"/>
    <sheet name="Energy Heat Value Conversion" sheetId="14" r:id="rId3"/>
    <sheet name="Fuel Code Switch" sheetId="15" r:id="rId4"/>
    <sheet name="Export" sheetId="6" r:id="rId5"/>
    <sheet name="Import" sheetId="9" r:id="rId6"/>
    <sheet name="BFPIaE-exports" sheetId="1" r:id="rId7"/>
    <sheet name="BFPIaE-imports" sheetId="13" r:id="rId8"/>
    <sheet name="BFPIaE-production" sheetId="16" r:id="rId9"/>
  </sheets>
  <definedNames>
    <definedName name="_xlnm._FilterDatabase" localSheetId="4" hidden="1">Export!$A$1:$J$1</definedName>
    <definedName name="_xlnm._FilterDatabase" localSheetId="5" hidden="1">Import!$A$1:$H$1</definedName>
    <definedName name="_xlnm._FilterDatabase" localSheetId="1" hidden="1">能源品种参考表!$A$1:$I$1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4" l="1"/>
  <c r="E37" i="8"/>
  <c r="F18" i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E42" i="8"/>
  <c r="H25" i="8"/>
  <c r="A81" i="6" l="1"/>
  <c r="A82" i="6"/>
  <c r="A83" i="6"/>
  <c r="A84" i="6"/>
  <c r="A170" i="6"/>
  <c r="A171" i="6"/>
  <c r="A172" i="6"/>
  <c r="A173" i="6"/>
  <c r="A174" i="6"/>
  <c r="A107" i="6"/>
  <c r="A108" i="6"/>
  <c r="A109" i="6"/>
  <c r="A110" i="6"/>
  <c r="A111" i="6"/>
  <c r="A112" i="6"/>
  <c r="I3" i="8"/>
  <c r="A37" i="6" s="1"/>
  <c r="I4" i="8"/>
  <c r="A184" i="6" s="1"/>
  <c r="I5" i="8"/>
  <c r="A27" i="6" s="1"/>
  <c r="I6" i="8"/>
  <c r="A31" i="6" s="1"/>
  <c r="I7" i="8"/>
  <c r="A23" i="6" s="1"/>
  <c r="I8" i="8"/>
  <c r="A16" i="6" s="1"/>
  <c r="I9" i="8"/>
  <c r="A12" i="6" s="1"/>
  <c r="I10" i="8"/>
  <c r="A8" i="6" s="1"/>
  <c r="I11" i="8"/>
  <c r="A21" i="6" s="1"/>
  <c r="I13" i="8"/>
  <c r="A85" i="6" s="1"/>
  <c r="I14" i="8"/>
  <c r="A59" i="6" s="1"/>
  <c r="I15" i="8"/>
  <c r="A70" i="6" s="1"/>
  <c r="I16" i="8"/>
  <c r="A66" i="6" s="1"/>
  <c r="I17" i="8"/>
  <c r="A140" i="6" s="1"/>
  <c r="I18" i="8"/>
  <c r="A131" i="6" s="1"/>
  <c r="I19" i="8"/>
  <c r="A135" i="6" s="1"/>
  <c r="I20" i="8"/>
  <c r="A104" i="6" s="1"/>
  <c r="I21" i="8"/>
  <c r="A99" i="6" s="1"/>
  <c r="I22" i="8"/>
  <c r="A89" i="6" s="1"/>
  <c r="I23" i="8"/>
  <c r="A54" i="6" s="1"/>
  <c r="I24" i="8"/>
  <c r="A123" i="6" s="1"/>
  <c r="I25" i="8"/>
  <c r="A39" i="6" s="1"/>
  <c r="I27" i="8"/>
  <c r="A127" i="6" s="1"/>
  <c r="I28" i="8"/>
  <c r="A120" i="6" s="1"/>
  <c r="I29" i="8"/>
  <c r="A149" i="6" s="1"/>
  <c r="I30" i="8"/>
  <c r="A155" i="6" s="1"/>
  <c r="I31" i="8"/>
  <c r="A144" i="6" s="1"/>
  <c r="I32" i="8"/>
  <c r="A151" i="6" s="1"/>
  <c r="I33" i="8"/>
  <c r="A40" i="6" s="1"/>
  <c r="I34" i="8"/>
  <c r="A159" i="6" s="1"/>
  <c r="I36" i="8"/>
  <c r="A50" i="6" s="1"/>
  <c r="I38" i="8"/>
  <c r="A163" i="6" s="1"/>
  <c r="I40" i="8"/>
  <c r="A72" i="6" s="1"/>
  <c r="I41" i="8"/>
  <c r="A61" i="6" s="1"/>
  <c r="I42" i="8"/>
  <c r="A44" i="6" s="1"/>
  <c r="I2" i="8"/>
  <c r="A181" i="6" s="1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6" i="8"/>
  <c r="H27" i="8"/>
  <c r="H28" i="8"/>
  <c r="H29" i="8"/>
  <c r="H30" i="8"/>
  <c r="H31" i="8"/>
  <c r="H32" i="8"/>
  <c r="H33" i="8"/>
  <c r="H34" i="8"/>
  <c r="H35" i="8"/>
  <c r="H36" i="8"/>
  <c r="H38" i="8"/>
  <c r="H39" i="8"/>
  <c r="H40" i="8"/>
  <c r="H41" i="8"/>
  <c r="H42" i="8"/>
  <c r="H2" i="8"/>
  <c r="G37" i="8"/>
  <c r="G38" i="8"/>
  <c r="G39" i="8"/>
  <c r="G40" i="8"/>
  <c r="G41" i="8"/>
  <c r="G4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2" i="8"/>
  <c r="A49" i="6" l="1"/>
  <c r="A162" i="6"/>
  <c r="A25" i="8"/>
  <c r="A48" i="6"/>
  <c r="A161" i="6"/>
  <c r="A46" i="6"/>
  <c r="A134" i="6"/>
  <c r="A75" i="6"/>
  <c r="A133" i="6"/>
  <c r="A74" i="6"/>
  <c r="A30" i="6"/>
  <c r="A71" i="6"/>
  <c r="A29" i="6"/>
  <c r="A102" i="6"/>
  <c r="A101" i="6"/>
  <c r="A42" i="6"/>
  <c r="A41" i="6"/>
  <c r="A19" i="6"/>
  <c r="A18" i="6"/>
  <c r="A76" i="6"/>
  <c r="A180" i="6"/>
  <c r="A143" i="6"/>
  <c r="A119" i="6"/>
  <c r="A103" i="6"/>
  <c r="A43" i="6"/>
  <c r="A150" i="6"/>
  <c r="A20" i="6"/>
  <c r="A73" i="6"/>
  <c r="A160" i="6"/>
  <c r="A132" i="6"/>
  <c r="A28" i="6"/>
  <c r="A100" i="6"/>
  <c r="A147" i="6"/>
  <c r="A17" i="6"/>
  <c r="A38" i="6"/>
  <c r="A158" i="6"/>
  <c r="A53" i="6"/>
  <c r="A138" i="6"/>
  <c r="A92" i="6"/>
  <c r="A15" i="6"/>
  <c r="A157" i="6"/>
  <c r="A52" i="6"/>
  <c r="A137" i="6"/>
  <c r="A91" i="6"/>
  <c r="A34" i="6"/>
  <c r="A14" i="6"/>
  <c r="A47" i="6"/>
  <c r="A156" i="6"/>
  <c r="A51" i="6"/>
  <c r="A136" i="6"/>
  <c r="A90" i="6"/>
  <c r="A33" i="6"/>
  <c r="A13" i="6"/>
  <c r="A168" i="6"/>
  <c r="A32" i="6"/>
  <c r="A45" i="6"/>
  <c r="A167" i="6"/>
  <c r="A69" i="6"/>
  <c r="A154" i="6"/>
  <c r="A130" i="6"/>
  <c r="A126" i="6"/>
  <c r="A88" i="6"/>
  <c r="A11" i="6"/>
  <c r="A166" i="6"/>
  <c r="A68" i="6"/>
  <c r="A153" i="6"/>
  <c r="A129" i="6"/>
  <c r="A125" i="6"/>
  <c r="A87" i="6"/>
  <c r="A60" i="6"/>
  <c r="A26" i="6"/>
  <c r="A10" i="6"/>
  <c r="A65" i="6"/>
  <c r="A165" i="6"/>
  <c r="A67" i="6"/>
  <c r="A152" i="6"/>
  <c r="A128" i="6"/>
  <c r="A124" i="6"/>
  <c r="A86" i="6"/>
  <c r="A25" i="6"/>
  <c r="A9" i="6"/>
  <c r="A148" i="6"/>
  <c r="A64" i="6"/>
  <c r="A164" i="6"/>
  <c r="A187" i="6"/>
  <c r="A24" i="6"/>
  <c r="A63" i="6"/>
  <c r="A183" i="6"/>
  <c r="A146" i="6"/>
  <c r="A122" i="6"/>
  <c r="A106" i="6"/>
  <c r="A56" i="6"/>
  <c r="A186" i="6"/>
  <c r="A142" i="6"/>
  <c r="A139" i="6"/>
  <c r="A62" i="6"/>
  <c r="A182" i="6"/>
  <c r="A145" i="6"/>
  <c r="A121" i="6"/>
  <c r="A105" i="6"/>
  <c r="A55" i="6"/>
  <c r="A185" i="6"/>
  <c r="A22" i="6"/>
  <c r="A141" i="6"/>
  <c r="I175" i="9" l="1"/>
  <c r="I49" i="9"/>
  <c r="I163" i="6"/>
  <c r="I47" i="6"/>
  <c r="I53" i="9"/>
  <c r="I170" i="9"/>
  <c r="I171" i="6"/>
  <c r="I172" i="9"/>
  <c r="I171" i="9"/>
  <c r="I165" i="6"/>
  <c r="I44" i="6"/>
  <c r="I186" i="9"/>
  <c r="I45" i="6"/>
  <c r="I183" i="9"/>
  <c r="I172" i="6"/>
  <c r="I185" i="9"/>
  <c r="I174" i="9"/>
  <c r="I49" i="6"/>
  <c r="I167" i="6"/>
  <c r="I168" i="6"/>
  <c r="I46" i="6"/>
  <c r="I184" i="9"/>
  <c r="I174" i="6"/>
  <c r="I52" i="9"/>
  <c r="I173" i="6"/>
  <c r="I164" i="6"/>
  <c r="I48" i="6"/>
  <c r="I50" i="9"/>
  <c r="I14" i="9"/>
  <c r="I190" i="9"/>
  <c r="I6" i="6"/>
  <c r="I118" i="6"/>
  <c r="J12" i="9"/>
  <c r="J124" i="9"/>
  <c r="J188" i="9"/>
  <c r="J4" i="6"/>
  <c r="J116" i="6"/>
  <c r="J5" i="6"/>
  <c r="J117" i="6"/>
  <c r="J11" i="9"/>
  <c r="I15" i="9"/>
  <c r="I191" i="9"/>
  <c r="I7" i="6"/>
  <c r="J13" i="9"/>
  <c r="J125" i="9"/>
  <c r="J189" i="9"/>
  <c r="J123" i="9"/>
  <c r="I176" i="9"/>
  <c r="I192" i="9"/>
  <c r="J14" i="9"/>
  <c r="J190" i="9"/>
  <c r="J6" i="6"/>
  <c r="J118" i="6"/>
  <c r="J181" i="9"/>
  <c r="I177" i="9"/>
  <c r="I193" i="9"/>
  <c r="I169" i="6"/>
  <c r="J15" i="9"/>
  <c r="J191" i="9"/>
  <c r="J7" i="6"/>
  <c r="J176" i="9"/>
  <c r="J169" i="6"/>
  <c r="I189" i="9"/>
  <c r="I178" i="9"/>
  <c r="I194" i="9"/>
  <c r="J192" i="9"/>
  <c r="J113" i="6"/>
  <c r="I3" i="9"/>
  <c r="I179" i="9"/>
  <c r="J177" i="9"/>
  <c r="J193" i="9"/>
  <c r="I95" i="6"/>
  <c r="J177" i="6"/>
  <c r="I117" i="6"/>
  <c r="J115" i="6"/>
  <c r="I4" i="9"/>
  <c r="I100" i="9"/>
  <c r="I180" i="9"/>
  <c r="I2" i="6"/>
  <c r="J178" i="9"/>
  <c r="J194" i="9"/>
  <c r="I103" i="9"/>
  <c r="J101" i="9"/>
  <c r="J93" i="6"/>
  <c r="I5" i="9"/>
  <c r="I101" i="9"/>
  <c r="I181" i="9"/>
  <c r="I93" i="6"/>
  <c r="J3" i="9"/>
  <c r="J179" i="9"/>
  <c r="J2" i="6"/>
  <c r="I7" i="9"/>
  <c r="I175" i="6"/>
  <c r="I6" i="9"/>
  <c r="I102" i="9"/>
  <c r="I182" i="9"/>
  <c r="I94" i="6"/>
  <c r="J4" i="9"/>
  <c r="J100" i="9"/>
  <c r="J180" i="9"/>
  <c r="J5" i="9"/>
  <c r="I8" i="9"/>
  <c r="I104" i="9"/>
  <c r="I120" i="9"/>
  <c r="I96" i="6"/>
  <c r="I176" i="6"/>
  <c r="J6" i="9"/>
  <c r="J102" i="9"/>
  <c r="J94" i="6"/>
  <c r="I9" i="9"/>
  <c r="I105" i="9"/>
  <c r="I121" i="9"/>
  <c r="I97" i="6"/>
  <c r="I113" i="6"/>
  <c r="I177" i="6"/>
  <c r="J7" i="9"/>
  <c r="J103" i="9"/>
  <c r="J95" i="6"/>
  <c r="J96" i="6"/>
  <c r="J176" i="6"/>
  <c r="I5" i="6"/>
  <c r="I10" i="9"/>
  <c r="I122" i="9"/>
  <c r="I2" i="9"/>
  <c r="I98" i="6"/>
  <c r="I114" i="6"/>
  <c r="I178" i="6"/>
  <c r="J8" i="9"/>
  <c r="J104" i="9"/>
  <c r="J120" i="9"/>
  <c r="J121" i="9"/>
  <c r="J97" i="6"/>
  <c r="J179" i="6"/>
  <c r="I11" i="9"/>
  <c r="I123" i="9"/>
  <c r="I3" i="6"/>
  <c r="I115" i="6"/>
  <c r="I179" i="6"/>
  <c r="J9" i="9"/>
  <c r="J105" i="9"/>
  <c r="I12" i="9"/>
  <c r="I124" i="9"/>
  <c r="I188" i="9"/>
  <c r="I4" i="6"/>
  <c r="I116" i="6"/>
  <c r="J10" i="9"/>
  <c r="J122" i="9"/>
  <c r="J2" i="9"/>
  <c r="J98" i="6"/>
  <c r="J114" i="6"/>
  <c r="J178" i="6"/>
  <c r="I13" i="9"/>
  <c r="I125" i="9"/>
  <c r="J3" i="6"/>
  <c r="I187" i="9"/>
  <c r="I51" i="9"/>
  <c r="I54" i="9"/>
  <c r="I170" i="6"/>
  <c r="I173" i="9"/>
  <c r="I166" i="6"/>
  <c r="C28" i="8"/>
  <c r="C37" i="8"/>
  <c r="C12" i="8"/>
  <c r="C3" i="8"/>
  <c r="C26" i="8"/>
  <c r="C22" i="8"/>
  <c r="C13" i="8"/>
  <c r="C38" i="8"/>
  <c r="C29" i="8"/>
  <c r="C7" i="8"/>
  <c r="C14" i="8"/>
  <c r="C23" i="8"/>
  <c r="C30" i="8"/>
  <c r="C39" i="8"/>
  <c r="C15" i="8"/>
  <c r="C8" i="8"/>
  <c r="C31" i="8"/>
  <c r="C6" i="8"/>
  <c r="C2" i="8"/>
  <c r="C24" i="8"/>
  <c r="C16" i="8"/>
  <c r="C19" i="8"/>
  <c r="C40" i="8"/>
  <c r="C32" i="8"/>
  <c r="C35" i="8"/>
  <c r="C9" i="8"/>
  <c r="C34" i="8"/>
  <c r="C4" i="8"/>
  <c r="C41" i="8"/>
  <c r="C17" i="8"/>
  <c r="C20" i="8"/>
  <c r="C10" i="8"/>
  <c r="C33" i="8"/>
  <c r="C36" i="8"/>
  <c r="C42" i="8"/>
  <c r="C18" i="8"/>
  <c r="C5" i="8"/>
  <c r="C11" i="8"/>
  <c r="C21" i="8"/>
  <c r="C27" i="8"/>
  <c r="C25" i="8"/>
  <c r="F37" i="8" l="1"/>
  <c r="J182" i="9" s="1"/>
  <c r="F39" i="8"/>
  <c r="F40" i="8"/>
  <c r="F41" i="8"/>
  <c r="F42" i="8"/>
  <c r="F38" i="8"/>
  <c r="E41" i="8"/>
  <c r="E40" i="8"/>
  <c r="E39" i="8"/>
  <c r="I115" i="9" l="1"/>
  <c r="I107" i="6"/>
  <c r="I118" i="9"/>
  <c r="I119" i="9"/>
  <c r="I116" i="9"/>
  <c r="I108" i="6"/>
  <c r="I109" i="6"/>
  <c r="I117" i="9"/>
  <c r="I114" i="9"/>
  <c r="I111" i="6"/>
  <c r="I110" i="6"/>
  <c r="I112" i="6"/>
  <c r="I83" i="9"/>
  <c r="I79" i="9"/>
  <c r="I73" i="6"/>
  <c r="I75" i="6"/>
  <c r="I71" i="6"/>
  <c r="I80" i="9"/>
  <c r="I81" i="9"/>
  <c r="I76" i="6"/>
  <c r="I82" i="9"/>
  <c r="I78" i="9"/>
  <c r="I72" i="6"/>
  <c r="I74" i="6"/>
  <c r="I70" i="9"/>
  <c r="I72" i="9"/>
  <c r="I64" i="6"/>
  <c r="I69" i="9"/>
  <c r="I61" i="6"/>
  <c r="I67" i="9"/>
  <c r="I62" i="6"/>
  <c r="I63" i="6"/>
  <c r="I71" i="9"/>
  <c r="I65" i="6"/>
  <c r="I68" i="9"/>
  <c r="J163" i="6"/>
  <c r="J173" i="9"/>
  <c r="J174" i="9"/>
  <c r="J165" i="6"/>
  <c r="J175" i="9"/>
  <c r="J172" i="9"/>
  <c r="J171" i="9"/>
  <c r="J168" i="6"/>
  <c r="J164" i="6"/>
  <c r="J170" i="9"/>
  <c r="J167" i="6"/>
  <c r="J166" i="6"/>
  <c r="J49" i="6"/>
  <c r="J46" i="6"/>
  <c r="J48" i="6"/>
  <c r="J45" i="6"/>
  <c r="J49" i="9"/>
  <c r="J50" i="9"/>
  <c r="J54" i="9"/>
  <c r="J53" i="9"/>
  <c r="J47" i="6"/>
  <c r="J52" i="9"/>
  <c r="J44" i="6"/>
  <c r="J51" i="9"/>
  <c r="J71" i="9"/>
  <c r="J68" i="9"/>
  <c r="J72" i="9"/>
  <c r="J70" i="9"/>
  <c r="J64" i="6"/>
  <c r="J69" i="9"/>
  <c r="J67" i="9"/>
  <c r="J65" i="6"/>
  <c r="J63" i="6"/>
  <c r="J61" i="6"/>
  <c r="J62" i="6"/>
  <c r="J74" i="6"/>
  <c r="J83" i="9"/>
  <c r="J79" i="9"/>
  <c r="J81" i="9"/>
  <c r="J78" i="9"/>
  <c r="J80" i="9"/>
  <c r="J75" i="6"/>
  <c r="J82" i="9"/>
  <c r="J72" i="6"/>
  <c r="J73" i="6"/>
  <c r="J71" i="6"/>
  <c r="J76" i="6"/>
  <c r="J115" i="9"/>
  <c r="J118" i="9"/>
  <c r="J111" i="6"/>
  <c r="J108" i="6"/>
  <c r="J114" i="9"/>
  <c r="J119" i="9"/>
  <c r="J112" i="6"/>
  <c r="J110" i="6"/>
  <c r="J107" i="6"/>
  <c r="J109" i="6"/>
  <c r="J116" i="9"/>
  <c r="J117" i="9"/>
  <c r="J187" i="9"/>
  <c r="J173" i="6"/>
  <c r="J183" i="9"/>
  <c r="J175" i="6"/>
  <c r="J184" i="9"/>
  <c r="J174" i="6"/>
  <c r="J186" i="9"/>
  <c r="J172" i="6"/>
  <c r="J185" i="9"/>
  <c r="J171" i="6"/>
  <c r="J170" i="6"/>
  <c r="E4" i="8"/>
  <c r="E5" i="8"/>
  <c r="E6" i="8"/>
  <c r="E7" i="8"/>
  <c r="E8" i="8"/>
  <c r="E9" i="8"/>
  <c r="E10" i="8"/>
  <c r="E11" i="8"/>
  <c r="E29" i="8"/>
  <c r="E30" i="8"/>
  <c r="E31" i="8"/>
  <c r="E32" i="8"/>
  <c r="E33" i="8"/>
  <c r="E2" i="8"/>
  <c r="E34" i="8"/>
  <c r="E17" i="8"/>
  <c r="E18" i="8"/>
  <c r="E19" i="8"/>
  <c r="E20" i="8"/>
  <c r="E21" i="8"/>
  <c r="E22" i="8"/>
  <c r="E12" i="8"/>
  <c r="E13" i="8"/>
  <c r="E35" i="8"/>
  <c r="E14" i="8"/>
  <c r="E36" i="8"/>
  <c r="E15" i="8"/>
  <c r="E16" i="8"/>
  <c r="E23" i="8"/>
  <c r="E24" i="8"/>
  <c r="E27" i="8"/>
  <c r="E28" i="8"/>
  <c r="E25" i="8"/>
  <c r="I39" i="6" s="1"/>
  <c r="E26" i="8"/>
  <c r="E3" i="8"/>
  <c r="F26" i="8"/>
  <c r="D32" i="14"/>
  <c r="D41" i="14"/>
  <c r="E41" i="14"/>
  <c r="D40" i="14"/>
  <c r="E40" i="14"/>
  <c r="D39" i="14"/>
  <c r="E39" i="14"/>
  <c r="F2" i="8"/>
  <c r="F22" i="8"/>
  <c r="F33" i="8"/>
  <c r="F27" i="8"/>
  <c r="H33" i="14"/>
  <c r="E33" i="14"/>
  <c r="D33" i="14"/>
  <c r="E32" i="14"/>
  <c r="E31" i="14"/>
  <c r="D31" i="14"/>
  <c r="E30" i="14"/>
  <c r="D30" i="14"/>
  <c r="H29" i="14"/>
  <c r="E29" i="14"/>
  <c r="F28" i="8" s="1"/>
  <c r="D29" i="14"/>
  <c r="H28" i="14"/>
  <c r="I28" i="14" s="1"/>
  <c r="E28" i="14"/>
  <c r="H27" i="14"/>
  <c r="E27" i="14"/>
  <c r="D27" i="14"/>
  <c r="H26" i="14"/>
  <c r="I26" i="14" s="1"/>
  <c r="E26" i="14"/>
  <c r="H25" i="14"/>
  <c r="I25" i="14" s="1"/>
  <c r="E25" i="14"/>
  <c r="F24" i="8" s="1"/>
  <c r="H24" i="14"/>
  <c r="E24" i="14"/>
  <c r="F29" i="8" s="1"/>
  <c r="D24" i="14"/>
  <c r="H23" i="14"/>
  <c r="E23" i="14"/>
  <c r="F34" i="8" s="1"/>
  <c r="D23" i="14"/>
  <c r="H22" i="14"/>
  <c r="E22" i="14"/>
  <c r="F14" i="8" s="1"/>
  <c r="D22" i="14"/>
  <c r="H21" i="14"/>
  <c r="E21" i="14"/>
  <c r="F19" i="8" s="1"/>
  <c r="D21" i="14"/>
  <c r="H20" i="14"/>
  <c r="E20" i="14"/>
  <c r="F21" i="8" s="1"/>
  <c r="D20" i="14"/>
  <c r="H19" i="14"/>
  <c r="E19" i="14"/>
  <c r="F23" i="8" s="1"/>
  <c r="D19" i="14"/>
  <c r="H18" i="14"/>
  <c r="I18" i="14" s="1"/>
  <c r="E18" i="14"/>
  <c r="F12" i="8" s="1"/>
  <c r="H17" i="14"/>
  <c r="I17" i="14" s="1"/>
  <c r="E17" i="14"/>
  <c r="F35" i="8" s="1"/>
  <c r="H16" i="14"/>
  <c r="I16" i="14" s="1"/>
  <c r="E16" i="14"/>
  <c r="F15" i="8" s="1"/>
  <c r="H15" i="14"/>
  <c r="I15" i="14" s="1"/>
  <c r="E15" i="14"/>
  <c r="F36" i="8" s="1"/>
  <c r="H14" i="14"/>
  <c r="I14" i="14" s="1"/>
  <c r="E14" i="14"/>
  <c r="H13" i="14"/>
  <c r="E13" i="14"/>
  <c r="D13" i="14"/>
  <c r="H12" i="14"/>
  <c r="I12" i="14" s="1"/>
  <c r="E12" i="14"/>
  <c r="F25" i="8" s="1"/>
  <c r="J39" i="6" s="1"/>
  <c r="H11" i="14"/>
  <c r="E11" i="14"/>
  <c r="D11" i="14"/>
  <c r="H10" i="14"/>
  <c r="I10" i="14" s="1"/>
  <c r="E10" i="14"/>
  <c r="D10" i="14"/>
  <c r="H9" i="14"/>
  <c r="I9" i="14" s="1"/>
  <c r="E9" i="14"/>
  <c r="H8" i="14"/>
  <c r="I8" i="14" s="1"/>
  <c r="E8" i="14"/>
  <c r="H7" i="14"/>
  <c r="E7" i="14"/>
  <c r="D7" i="14"/>
  <c r="H6" i="14"/>
  <c r="E6" i="14"/>
  <c r="F7" i="8" s="1"/>
  <c r="D6" i="14"/>
  <c r="E38" i="14"/>
  <c r="F3" i="8" s="1"/>
  <c r="D38" i="14"/>
  <c r="E37" i="14"/>
  <c r="F5" i="8" s="1"/>
  <c r="D37" i="14"/>
  <c r="E36" i="14"/>
  <c r="F8" i="8" s="1"/>
  <c r="D36" i="14"/>
  <c r="E35" i="14"/>
  <c r="F9" i="8" s="1"/>
  <c r="D35" i="14"/>
  <c r="H5" i="14"/>
  <c r="I5" i="14" s="1"/>
  <c r="E5" i="14"/>
  <c r="H4" i="14"/>
  <c r="I4" i="14" s="1"/>
  <c r="E4" i="14"/>
  <c r="H3" i="14"/>
  <c r="I3" i="14" s="1"/>
  <c r="E3" i="14"/>
  <c r="F11" i="8" s="1"/>
  <c r="I58" i="9" l="1"/>
  <c r="I57" i="9"/>
  <c r="I51" i="6"/>
  <c r="I56" i="9"/>
  <c r="I55" i="9"/>
  <c r="I52" i="6"/>
  <c r="I53" i="6"/>
  <c r="I50" i="6"/>
  <c r="I81" i="6"/>
  <c r="I83" i="6"/>
  <c r="I82" i="6"/>
  <c r="I89" i="9"/>
  <c r="I90" i="9"/>
  <c r="I88" i="9"/>
  <c r="I91" i="9"/>
  <c r="I84" i="6"/>
  <c r="I85" i="6"/>
  <c r="I86" i="6"/>
  <c r="I92" i="9"/>
  <c r="I95" i="9"/>
  <c r="I94" i="9"/>
  <c r="I87" i="6"/>
  <c r="I88" i="6"/>
  <c r="I93" i="9"/>
  <c r="I8" i="6"/>
  <c r="I19" i="9"/>
  <c r="I16" i="9"/>
  <c r="I9" i="6"/>
  <c r="I11" i="6"/>
  <c r="I18" i="9"/>
  <c r="I10" i="6"/>
  <c r="I17" i="9"/>
  <c r="I85" i="9"/>
  <c r="I80" i="6"/>
  <c r="I84" i="9"/>
  <c r="I86" i="9"/>
  <c r="I87" i="9"/>
  <c r="I78" i="6"/>
  <c r="I77" i="6"/>
  <c r="I79" i="6"/>
  <c r="I12" i="6"/>
  <c r="I15" i="6"/>
  <c r="I21" i="9"/>
  <c r="I23" i="9"/>
  <c r="I20" i="9"/>
  <c r="I14" i="6"/>
  <c r="I22" i="9"/>
  <c r="I13" i="6"/>
  <c r="I89" i="6"/>
  <c r="I91" i="6"/>
  <c r="I90" i="6"/>
  <c r="I98" i="9"/>
  <c r="I92" i="6"/>
  <c r="I99" i="9"/>
  <c r="I97" i="9"/>
  <c r="I96" i="9"/>
  <c r="I16" i="6"/>
  <c r="I25" i="9"/>
  <c r="I27" i="9"/>
  <c r="I26" i="9"/>
  <c r="I17" i="6"/>
  <c r="I18" i="6"/>
  <c r="I19" i="6"/>
  <c r="I24" i="9"/>
  <c r="I23" i="6"/>
  <c r="I33" i="9"/>
  <c r="I34" i="9"/>
  <c r="I26" i="6"/>
  <c r="I24" i="6"/>
  <c r="I32" i="9"/>
  <c r="I25" i="6"/>
  <c r="I99" i="6"/>
  <c r="I109" i="9"/>
  <c r="I101" i="6"/>
  <c r="I107" i="9"/>
  <c r="I106" i="9"/>
  <c r="I108" i="9"/>
  <c r="I102" i="6"/>
  <c r="I100" i="6"/>
  <c r="I104" i="6"/>
  <c r="I112" i="9"/>
  <c r="I103" i="6"/>
  <c r="I113" i="9"/>
  <c r="I111" i="9"/>
  <c r="I106" i="6"/>
  <c r="I110" i="9"/>
  <c r="I105" i="6"/>
  <c r="I35" i="6"/>
  <c r="I36" i="6"/>
  <c r="I37" i="6"/>
  <c r="I44" i="9"/>
  <c r="I43" i="9"/>
  <c r="I42" i="9"/>
  <c r="I41" i="9"/>
  <c r="I38" i="6"/>
  <c r="I31" i="6"/>
  <c r="I39" i="9"/>
  <c r="I32" i="6"/>
  <c r="I40" i="9"/>
  <c r="I34" i="6"/>
  <c r="I33" i="6"/>
  <c r="I135" i="6"/>
  <c r="I136" i="6"/>
  <c r="I144" i="9"/>
  <c r="I137" i="6"/>
  <c r="I143" i="9"/>
  <c r="I145" i="9"/>
  <c r="I142" i="9"/>
  <c r="I138" i="6"/>
  <c r="I27" i="6"/>
  <c r="I29" i="6"/>
  <c r="I37" i="9"/>
  <c r="I30" i="6"/>
  <c r="I28" i="6"/>
  <c r="I36" i="9"/>
  <c r="I38" i="9"/>
  <c r="I35" i="9"/>
  <c r="I131" i="6"/>
  <c r="I141" i="9"/>
  <c r="I139" i="9"/>
  <c r="I140" i="9"/>
  <c r="I133" i="6"/>
  <c r="I132" i="6"/>
  <c r="I134" i="6"/>
  <c r="I138" i="9"/>
  <c r="I184" i="6"/>
  <c r="I200" i="9"/>
  <c r="I199" i="9"/>
  <c r="I201" i="9"/>
  <c r="I186" i="6"/>
  <c r="I185" i="6"/>
  <c r="I187" i="6"/>
  <c r="I198" i="9"/>
  <c r="I121" i="6"/>
  <c r="I129" i="9"/>
  <c r="I127" i="9"/>
  <c r="I126" i="9"/>
  <c r="I122" i="6"/>
  <c r="I119" i="6"/>
  <c r="I128" i="9"/>
  <c r="I120" i="6"/>
  <c r="I140" i="6"/>
  <c r="I147" i="9"/>
  <c r="I142" i="6"/>
  <c r="I149" i="9"/>
  <c r="I146" i="9"/>
  <c r="I148" i="9"/>
  <c r="I139" i="6"/>
  <c r="I141" i="6"/>
  <c r="I129" i="6"/>
  <c r="I135" i="9"/>
  <c r="I130" i="6"/>
  <c r="I128" i="6"/>
  <c r="I127" i="6"/>
  <c r="I136" i="9"/>
  <c r="I134" i="9"/>
  <c r="I137" i="9"/>
  <c r="I160" i="6"/>
  <c r="I168" i="9"/>
  <c r="I167" i="9"/>
  <c r="I162" i="6"/>
  <c r="I166" i="9"/>
  <c r="I159" i="6"/>
  <c r="I169" i="9"/>
  <c r="I161" i="6"/>
  <c r="I123" i="6"/>
  <c r="I126" i="6"/>
  <c r="I133" i="9"/>
  <c r="I132" i="9"/>
  <c r="I124" i="6"/>
  <c r="I125" i="6"/>
  <c r="I130" i="9"/>
  <c r="I131" i="9"/>
  <c r="I181" i="6"/>
  <c r="I196" i="9"/>
  <c r="I197" i="9"/>
  <c r="I180" i="6"/>
  <c r="I195" i="9"/>
  <c r="I182" i="6"/>
  <c r="I183" i="6"/>
  <c r="I45" i="9"/>
  <c r="I47" i="9"/>
  <c r="I42" i="6"/>
  <c r="I43" i="6"/>
  <c r="I46" i="9"/>
  <c r="I48" i="9"/>
  <c r="I40" i="6"/>
  <c r="I41" i="6"/>
  <c r="I158" i="9"/>
  <c r="I153" i="6"/>
  <c r="I154" i="6"/>
  <c r="I159" i="9"/>
  <c r="I152" i="6"/>
  <c r="I151" i="6"/>
  <c r="I161" i="9"/>
  <c r="I160" i="9"/>
  <c r="I151" i="9"/>
  <c r="I146" i="6"/>
  <c r="I145" i="6"/>
  <c r="I150" i="9"/>
  <c r="I153" i="9"/>
  <c r="I152" i="9"/>
  <c r="I144" i="6"/>
  <c r="I143" i="6"/>
  <c r="I162" i="9"/>
  <c r="I164" i="9"/>
  <c r="I163" i="9"/>
  <c r="I165" i="9"/>
  <c r="I155" i="6"/>
  <c r="I156" i="6"/>
  <c r="I157" i="6"/>
  <c r="I158" i="6"/>
  <c r="I66" i="6"/>
  <c r="I76" i="9"/>
  <c r="I68" i="6"/>
  <c r="I67" i="6"/>
  <c r="I74" i="9"/>
  <c r="I69" i="6"/>
  <c r="I73" i="9"/>
  <c r="I75" i="9"/>
  <c r="I57" i="6"/>
  <c r="I58" i="6"/>
  <c r="I59" i="6"/>
  <c r="I63" i="9"/>
  <c r="I66" i="9"/>
  <c r="I64" i="9"/>
  <c r="I60" i="6"/>
  <c r="I65" i="9"/>
  <c r="I54" i="6"/>
  <c r="I62" i="9"/>
  <c r="I60" i="9"/>
  <c r="I56" i="6"/>
  <c r="I61" i="9"/>
  <c r="I59" i="9"/>
  <c r="I55" i="6"/>
  <c r="I70" i="6"/>
  <c r="I77" i="9"/>
  <c r="I157" i="9"/>
  <c r="I149" i="6"/>
  <c r="I148" i="6"/>
  <c r="I155" i="9"/>
  <c r="I147" i="6"/>
  <c r="I154" i="9"/>
  <c r="I150" i="6"/>
  <c r="I156" i="9"/>
  <c r="I21" i="6"/>
  <c r="I31" i="9"/>
  <c r="I29" i="9"/>
  <c r="I30" i="9"/>
  <c r="I22" i="6"/>
  <c r="I28" i="9"/>
  <c r="I20" i="6"/>
  <c r="J181" i="6"/>
  <c r="J196" i="9"/>
  <c r="J182" i="6"/>
  <c r="J180" i="6"/>
  <c r="J197" i="9"/>
  <c r="J195" i="9"/>
  <c r="J183" i="6"/>
  <c r="J12" i="6"/>
  <c r="J20" i="9"/>
  <c r="J23" i="9"/>
  <c r="J22" i="9"/>
  <c r="J15" i="6"/>
  <c r="J13" i="6"/>
  <c r="J14" i="6"/>
  <c r="J21" i="9"/>
  <c r="J70" i="6"/>
  <c r="J77" i="9"/>
  <c r="J58" i="6"/>
  <c r="J57" i="6"/>
  <c r="J59" i="6"/>
  <c r="J65" i="9"/>
  <c r="J64" i="9"/>
  <c r="J63" i="9"/>
  <c r="J60" i="6"/>
  <c r="J66" i="9"/>
  <c r="J82" i="6"/>
  <c r="J89" i="9"/>
  <c r="J88" i="9"/>
  <c r="J90" i="9"/>
  <c r="J83" i="6"/>
  <c r="J81" i="6"/>
  <c r="J84" i="6"/>
  <c r="J91" i="9"/>
  <c r="J16" i="6"/>
  <c r="J27" i="9"/>
  <c r="J17" i="6"/>
  <c r="J19" i="6"/>
  <c r="J24" i="9"/>
  <c r="J25" i="9"/>
  <c r="J26" i="9"/>
  <c r="J18" i="6"/>
  <c r="J27" i="6"/>
  <c r="J37" i="9"/>
  <c r="J35" i="9"/>
  <c r="J28" i="6"/>
  <c r="J30" i="6"/>
  <c r="J29" i="6"/>
  <c r="J36" i="9"/>
  <c r="J38" i="9"/>
  <c r="J54" i="6"/>
  <c r="J59" i="9"/>
  <c r="J62" i="9"/>
  <c r="J56" i="6"/>
  <c r="J61" i="9"/>
  <c r="J60" i="9"/>
  <c r="J55" i="6"/>
  <c r="J159" i="6"/>
  <c r="J160" i="6"/>
  <c r="J168" i="9"/>
  <c r="J161" i="6"/>
  <c r="J169" i="9"/>
  <c r="J167" i="9"/>
  <c r="J166" i="9"/>
  <c r="J162" i="6"/>
  <c r="J135" i="6"/>
  <c r="J144" i="9"/>
  <c r="J137" i="6"/>
  <c r="J136" i="6"/>
  <c r="J145" i="9"/>
  <c r="J143" i="9"/>
  <c r="J142" i="9"/>
  <c r="J138" i="6"/>
  <c r="J129" i="9"/>
  <c r="J120" i="6"/>
  <c r="J127" i="9"/>
  <c r="J121" i="6"/>
  <c r="J122" i="6"/>
  <c r="J128" i="9"/>
  <c r="J126" i="9"/>
  <c r="J119" i="6"/>
  <c r="J77" i="6"/>
  <c r="J79" i="6"/>
  <c r="J85" i="9"/>
  <c r="J78" i="6"/>
  <c r="J80" i="6"/>
  <c r="J86" i="9"/>
  <c r="J84" i="9"/>
  <c r="J87" i="9"/>
  <c r="J35" i="6"/>
  <c r="J36" i="6"/>
  <c r="J37" i="6"/>
  <c r="J41" i="9"/>
  <c r="J42" i="9"/>
  <c r="J43" i="9"/>
  <c r="J38" i="6"/>
  <c r="J44" i="9"/>
  <c r="J157" i="9"/>
  <c r="J148" i="6"/>
  <c r="J147" i="6"/>
  <c r="J149" i="6"/>
  <c r="J155" i="9"/>
  <c r="J156" i="9"/>
  <c r="J154" i="9"/>
  <c r="J150" i="6"/>
  <c r="J123" i="6"/>
  <c r="J125" i="6"/>
  <c r="J133" i="9"/>
  <c r="J126" i="6"/>
  <c r="J131" i="9"/>
  <c r="J124" i="6"/>
  <c r="J132" i="9"/>
  <c r="J130" i="9"/>
  <c r="J21" i="6"/>
  <c r="J22" i="6"/>
  <c r="J20" i="6"/>
  <c r="J28" i="9"/>
  <c r="J30" i="9"/>
  <c r="J31" i="9"/>
  <c r="J29" i="9"/>
  <c r="J99" i="6"/>
  <c r="J102" i="6"/>
  <c r="J101" i="6"/>
  <c r="J107" i="9"/>
  <c r="J106" i="9"/>
  <c r="J109" i="9"/>
  <c r="J108" i="9"/>
  <c r="J100" i="6"/>
  <c r="J23" i="6"/>
  <c r="J32" i="9"/>
  <c r="J26" i="6"/>
  <c r="J24" i="6"/>
  <c r="J33" i="9"/>
  <c r="J25" i="6"/>
  <c r="J34" i="9"/>
  <c r="J128" i="6"/>
  <c r="J136" i="9"/>
  <c r="J130" i="6"/>
  <c r="J129" i="6"/>
  <c r="J127" i="6"/>
  <c r="J135" i="9"/>
  <c r="J134" i="9"/>
  <c r="J137" i="9"/>
  <c r="J46" i="9"/>
  <c r="J45" i="9"/>
  <c r="J47" i="9"/>
  <c r="J40" i="6"/>
  <c r="J42" i="6"/>
  <c r="J43" i="6"/>
  <c r="J41" i="6"/>
  <c r="J48" i="9"/>
  <c r="J50" i="6"/>
  <c r="J55" i="9"/>
  <c r="J51" i="6"/>
  <c r="J58" i="9"/>
  <c r="J53" i="6"/>
  <c r="J52" i="6"/>
  <c r="J56" i="9"/>
  <c r="J57" i="9"/>
  <c r="J89" i="6"/>
  <c r="J90" i="6"/>
  <c r="J97" i="9"/>
  <c r="J91" i="6"/>
  <c r="J99" i="9"/>
  <c r="J98" i="9"/>
  <c r="J92" i="6"/>
  <c r="J96" i="9"/>
  <c r="I29" i="14"/>
  <c r="I24" i="14"/>
  <c r="F17" i="8"/>
  <c r="I33" i="14"/>
  <c r="I21" i="14"/>
  <c r="I7" i="14"/>
  <c r="I27" i="14"/>
  <c r="F18" i="8"/>
  <c r="F32" i="8"/>
  <c r="F31" i="8"/>
  <c r="I23" i="14"/>
  <c r="F16" i="8"/>
  <c r="I6" i="14"/>
  <c r="I19" i="14"/>
  <c r="F30" i="8"/>
  <c r="F6" i="8"/>
  <c r="I13" i="14"/>
  <c r="F10" i="8"/>
  <c r="F13" i="8"/>
  <c r="I22" i="14"/>
  <c r="I11" i="14"/>
  <c r="I20" i="14"/>
  <c r="F4" i="8"/>
  <c r="F20" i="8"/>
  <c r="E18" i="13" l="1"/>
  <c r="F18" i="13" s="1"/>
  <c r="G18" i="13" s="1"/>
  <c r="H18" i="13" s="1"/>
  <c r="I18" i="13" s="1"/>
  <c r="J18" i="13" s="1"/>
  <c r="K18" i="13" s="1"/>
  <c r="L18" i="13" s="1"/>
  <c r="M18" i="13" s="1"/>
  <c r="N18" i="13" s="1"/>
  <c r="O18" i="13" s="1"/>
  <c r="P18" i="13" s="1"/>
  <c r="Q18" i="13" s="1"/>
  <c r="R18" i="13" s="1"/>
  <c r="S18" i="13" s="1"/>
  <c r="T18" i="13" s="1"/>
  <c r="U18" i="13" s="1"/>
  <c r="V18" i="13" s="1"/>
  <c r="W18" i="13" s="1"/>
  <c r="X18" i="13" s="1"/>
  <c r="Y18" i="13" s="1"/>
  <c r="Z18" i="13" s="1"/>
  <c r="AA18" i="13" s="1"/>
  <c r="AB18" i="13" s="1"/>
  <c r="AC18" i="13" s="1"/>
  <c r="AD18" i="13" s="1"/>
  <c r="AE18" i="13" s="1"/>
  <c r="AF18" i="13" s="1"/>
  <c r="AG18" i="13" s="1"/>
  <c r="AH18" i="13" s="1"/>
  <c r="AI18" i="13" s="1"/>
  <c r="AJ18" i="13" s="1"/>
  <c r="AK18" i="13" s="1"/>
  <c r="AL18" i="13" s="1"/>
  <c r="AM18" i="13" s="1"/>
  <c r="AN18" i="13" s="1"/>
  <c r="AO18" i="13" s="1"/>
  <c r="AP18" i="13" s="1"/>
  <c r="AQ18" i="13" s="1"/>
  <c r="E5" i="13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AH5" i="13" s="1"/>
  <c r="AI5" i="13" s="1"/>
  <c r="AJ5" i="13" s="1"/>
  <c r="AK5" i="13" s="1"/>
  <c r="AL5" i="13" s="1"/>
  <c r="AM5" i="13" s="1"/>
  <c r="AN5" i="13" s="1"/>
  <c r="AO5" i="13" s="1"/>
  <c r="AP5" i="13" s="1"/>
  <c r="AQ5" i="13" s="1"/>
  <c r="D5" i="13"/>
  <c r="C5" i="13"/>
  <c r="J85" i="6"/>
  <c r="J92" i="9"/>
  <c r="J86" i="6"/>
  <c r="J95" i="9"/>
  <c r="J87" i="6"/>
  <c r="J94" i="9"/>
  <c r="J93" i="9"/>
  <c r="J88" i="6"/>
  <c r="J151" i="9"/>
  <c r="J144" i="6"/>
  <c r="J146" i="6"/>
  <c r="J152" i="9"/>
  <c r="J153" i="9"/>
  <c r="J145" i="6"/>
  <c r="J150" i="9"/>
  <c r="J143" i="6"/>
  <c r="J154" i="6"/>
  <c r="J159" i="9"/>
  <c r="J158" i="9"/>
  <c r="J152" i="6"/>
  <c r="J160" i="9"/>
  <c r="J151" i="6"/>
  <c r="J161" i="9"/>
  <c r="J153" i="6"/>
  <c r="J8" i="6"/>
  <c r="J9" i="6"/>
  <c r="J19" i="9"/>
  <c r="J11" i="6"/>
  <c r="J16" i="9"/>
  <c r="J18" i="9"/>
  <c r="J17" i="9"/>
  <c r="J10" i="6"/>
  <c r="J104" i="6"/>
  <c r="J112" i="9"/>
  <c r="J113" i="9"/>
  <c r="J103" i="6"/>
  <c r="J105" i="6"/>
  <c r="J110" i="9"/>
  <c r="J106" i="6"/>
  <c r="J111" i="9"/>
  <c r="J131" i="6"/>
  <c r="J134" i="6"/>
  <c r="J138" i="9"/>
  <c r="J140" i="9"/>
  <c r="J141" i="9"/>
  <c r="D4" i="13" s="1"/>
  <c r="J133" i="6"/>
  <c r="J132" i="6"/>
  <c r="J139" i="9"/>
  <c r="C20" i="13" s="1"/>
  <c r="J184" i="6"/>
  <c r="J186" i="6"/>
  <c r="J185" i="6"/>
  <c r="J200" i="9"/>
  <c r="J199" i="9"/>
  <c r="J201" i="9"/>
  <c r="J198" i="9"/>
  <c r="J187" i="6"/>
  <c r="J140" i="6"/>
  <c r="J149" i="9"/>
  <c r="J148" i="9"/>
  <c r="J147" i="9"/>
  <c r="J142" i="6"/>
  <c r="J139" i="6"/>
  <c r="J146" i="9"/>
  <c r="J141" i="6"/>
  <c r="J155" i="6"/>
  <c r="J156" i="6"/>
  <c r="J164" i="9"/>
  <c r="J165" i="9"/>
  <c r="J162" i="9"/>
  <c r="J157" i="6"/>
  <c r="J158" i="6"/>
  <c r="J163" i="9"/>
  <c r="J31" i="6"/>
  <c r="J34" i="6"/>
  <c r="J40" i="9"/>
  <c r="J32" i="6"/>
  <c r="J33" i="6"/>
  <c r="J39" i="9"/>
  <c r="J66" i="6"/>
  <c r="J76" i="9"/>
  <c r="J68" i="6"/>
  <c r="J69" i="6"/>
  <c r="J73" i="9"/>
  <c r="J75" i="9"/>
  <c r="J74" i="9"/>
  <c r="J67" i="6"/>
  <c r="B21" i="1"/>
  <c r="E9" i="13"/>
  <c r="F9" i="13" s="1"/>
  <c r="G9" i="13" s="1"/>
  <c r="H9" i="13" s="1"/>
  <c r="I9" i="13" s="1"/>
  <c r="J9" i="13" s="1"/>
  <c r="K9" i="13" s="1"/>
  <c r="L9" i="13" s="1"/>
  <c r="M9" i="13" s="1"/>
  <c r="N9" i="13" s="1"/>
  <c r="O9" i="13" s="1"/>
  <c r="P9" i="13" s="1"/>
  <c r="Q9" i="13" s="1"/>
  <c r="R9" i="13" s="1"/>
  <c r="S9" i="13" s="1"/>
  <c r="T9" i="13" s="1"/>
  <c r="U9" i="13" s="1"/>
  <c r="V9" i="13" s="1"/>
  <c r="W9" i="13" s="1"/>
  <c r="X9" i="13" s="1"/>
  <c r="Y9" i="13" s="1"/>
  <c r="Z9" i="13" s="1"/>
  <c r="AA9" i="13" s="1"/>
  <c r="AB9" i="13" s="1"/>
  <c r="AC9" i="13" s="1"/>
  <c r="AD9" i="13" s="1"/>
  <c r="AE9" i="13" s="1"/>
  <c r="AF9" i="13" s="1"/>
  <c r="AG9" i="13" s="1"/>
  <c r="AH9" i="13" s="1"/>
  <c r="AI9" i="13" s="1"/>
  <c r="AJ9" i="13" s="1"/>
  <c r="AK9" i="13" s="1"/>
  <c r="AL9" i="13" s="1"/>
  <c r="AM9" i="13" s="1"/>
  <c r="AN9" i="13" s="1"/>
  <c r="AO9" i="13" s="1"/>
  <c r="AP9" i="13" s="1"/>
  <c r="AQ9" i="13" s="1"/>
  <c r="C15" i="13"/>
  <c r="D21" i="13"/>
  <c r="B15" i="13"/>
  <c r="E4" i="13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AC4" i="13" s="1"/>
  <c r="AD4" i="13" s="1"/>
  <c r="AE4" i="13" s="1"/>
  <c r="AF4" i="13" s="1"/>
  <c r="AG4" i="13" s="1"/>
  <c r="AH4" i="13" s="1"/>
  <c r="AI4" i="13" s="1"/>
  <c r="AJ4" i="13" s="1"/>
  <c r="AK4" i="13" s="1"/>
  <c r="AL4" i="13" s="1"/>
  <c r="AM4" i="13" s="1"/>
  <c r="AN4" i="13" s="1"/>
  <c r="AO4" i="13" s="1"/>
  <c r="AP4" i="13" s="1"/>
  <c r="AQ4" i="13" s="1"/>
  <c r="C10" i="13"/>
  <c r="D15" i="13"/>
  <c r="E21" i="13"/>
  <c r="F21" i="13" s="1"/>
  <c r="G21" i="13" s="1"/>
  <c r="H21" i="13" s="1"/>
  <c r="I21" i="13" s="1"/>
  <c r="J21" i="13" s="1"/>
  <c r="K21" i="13" s="1"/>
  <c r="L21" i="13" s="1"/>
  <c r="M21" i="13" s="1"/>
  <c r="N21" i="13" s="1"/>
  <c r="O21" i="13" s="1"/>
  <c r="P21" i="13" s="1"/>
  <c r="Q21" i="13" s="1"/>
  <c r="R21" i="13" s="1"/>
  <c r="S21" i="13" s="1"/>
  <c r="T21" i="13" s="1"/>
  <c r="U21" i="13" s="1"/>
  <c r="V21" i="13" s="1"/>
  <c r="W21" i="13" s="1"/>
  <c r="X21" i="13" s="1"/>
  <c r="Y21" i="13" s="1"/>
  <c r="Z21" i="13" s="1"/>
  <c r="AA21" i="13" s="1"/>
  <c r="AB21" i="13" s="1"/>
  <c r="AC21" i="13" s="1"/>
  <c r="AD21" i="13" s="1"/>
  <c r="AE21" i="13" s="1"/>
  <c r="AF21" i="13" s="1"/>
  <c r="AG21" i="13" s="1"/>
  <c r="AH21" i="13" s="1"/>
  <c r="AI21" i="13" s="1"/>
  <c r="AJ21" i="13" s="1"/>
  <c r="AK21" i="13" s="1"/>
  <c r="AL21" i="13" s="1"/>
  <c r="AM21" i="13" s="1"/>
  <c r="AN21" i="13" s="1"/>
  <c r="AO21" i="13" s="1"/>
  <c r="AP21" i="13" s="1"/>
  <c r="AQ21" i="13" s="1"/>
  <c r="B16" i="13"/>
  <c r="D10" i="13"/>
  <c r="E15" i="13"/>
  <c r="F15" i="13" s="1"/>
  <c r="G15" i="13" s="1"/>
  <c r="H15" i="13" s="1"/>
  <c r="I15" i="13" s="1"/>
  <c r="J15" i="13" s="1"/>
  <c r="K15" i="13" s="1"/>
  <c r="L15" i="13" s="1"/>
  <c r="M15" i="13" s="1"/>
  <c r="N15" i="13" s="1"/>
  <c r="O15" i="13" s="1"/>
  <c r="P15" i="13" s="1"/>
  <c r="Q15" i="13" s="1"/>
  <c r="R15" i="13" s="1"/>
  <c r="S15" i="13" s="1"/>
  <c r="T15" i="13" s="1"/>
  <c r="U15" i="13" s="1"/>
  <c r="V15" i="13" s="1"/>
  <c r="W15" i="13" s="1"/>
  <c r="X15" i="13" s="1"/>
  <c r="Y15" i="13" s="1"/>
  <c r="Z15" i="13" s="1"/>
  <c r="AA15" i="13" s="1"/>
  <c r="AB15" i="13" s="1"/>
  <c r="AC15" i="13" s="1"/>
  <c r="AD15" i="13" s="1"/>
  <c r="AE15" i="13" s="1"/>
  <c r="AF15" i="13" s="1"/>
  <c r="AG15" i="13" s="1"/>
  <c r="AH15" i="13" s="1"/>
  <c r="AI15" i="13" s="1"/>
  <c r="AJ15" i="13" s="1"/>
  <c r="AK15" i="13" s="1"/>
  <c r="AL15" i="13" s="1"/>
  <c r="AM15" i="13" s="1"/>
  <c r="AN15" i="13" s="1"/>
  <c r="AO15" i="13" s="1"/>
  <c r="AP15" i="13" s="1"/>
  <c r="AQ15" i="13" s="1"/>
  <c r="C22" i="13"/>
  <c r="B17" i="13"/>
  <c r="E10" i="13"/>
  <c r="F10" i="13" s="1"/>
  <c r="G10" i="13" s="1"/>
  <c r="H10" i="13" s="1"/>
  <c r="I10" i="13" s="1"/>
  <c r="J10" i="13" s="1"/>
  <c r="K10" i="13" s="1"/>
  <c r="L10" i="13" s="1"/>
  <c r="M10" i="13" s="1"/>
  <c r="N10" i="13" s="1"/>
  <c r="O10" i="13" s="1"/>
  <c r="P10" i="13" s="1"/>
  <c r="Q10" i="13" s="1"/>
  <c r="R10" i="13" s="1"/>
  <c r="S10" i="13" s="1"/>
  <c r="T10" i="13" s="1"/>
  <c r="U10" i="13" s="1"/>
  <c r="V10" i="13" s="1"/>
  <c r="W10" i="13" s="1"/>
  <c r="X10" i="13" s="1"/>
  <c r="Y10" i="13" s="1"/>
  <c r="Z10" i="13" s="1"/>
  <c r="AA10" i="13" s="1"/>
  <c r="AB10" i="13" s="1"/>
  <c r="AC10" i="13" s="1"/>
  <c r="AD10" i="13" s="1"/>
  <c r="AE10" i="13" s="1"/>
  <c r="AF10" i="13" s="1"/>
  <c r="AG10" i="13" s="1"/>
  <c r="AH10" i="13" s="1"/>
  <c r="AI10" i="13" s="1"/>
  <c r="AJ10" i="13" s="1"/>
  <c r="AK10" i="13" s="1"/>
  <c r="AL10" i="13" s="1"/>
  <c r="AM10" i="13" s="1"/>
  <c r="AN10" i="13" s="1"/>
  <c r="AO10" i="13" s="1"/>
  <c r="AP10" i="13" s="1"/>
  <c r="AQ10" i="13" s="1"/>
  <c r="C16" i="13"/>
  <c r="D22" i="13"/>
  <c r="B19" i="13"/>
  <c r="D16" i="13"/>
  <c r="E22" i="13"/>
  <c r="F22" i="13" s="1"/>
  <c r="G22" i="13" s="1"/>
  <c r="H22" i="13" s="1"/>
  <c r="I22" i="13" s="1"/>
  <c r="J22" i="13" s="1"/>
  <c r="K22" i="13" s="1"/>
  <c r="L22" i="13" s="1"/>
  <c r="M22" i="13" s="1"/>
  <c r="N22" i="13" s="1"/>
  <c r="O22" i="13" s="1"/>
  <c r="P22" i="13" s="1"/>
  <c r="Q22" i="13" s="1"/>
  <c r="R22" i="13" s="1"/>
  <c r="S22" i="13" s="1"/>
  <c r="T22" i="13" s="1"/>
  <c r="U22" i="13" s="1"/>
  <c r="V22" i="13" s="1"/>
  <c r="W22" i="13" s="1"/>
  <c r="X22" i="13" s="1"/>
  <c r="Y22" i="13" s="1"/>
  <c r="Z22" i="13" s="1"/>
  <c r="AA22" i="13" s="1"/>
  <c r="AB22" i="13" s="1"/>
  <c r="AC22" i="13" s="1"/>
  <c r="AD22" i="13" s="1"/>
  <c r="AE22" i="13" s="1"/>
  <c r="AF22" i="13" s="1"/>
  <c r="AG22" i="13" s="1"/>
  <c r="AH22" i="13" s="1"/>
  <c r="AI22" i="13" s="1"/>
  <c r="AJ22" i="13" s="1"/>
  <c r="AK22" i="13" s="1"/>
  <c r="AL22" i="13" s="1"/>
  <c r="AM22" i="13" s="1"/>
  <c r="AN22" i="13" s="1"/>
  <c r="AO22" i="13" s="1"/>
  <c r="AP22" i="13" s="1"/>
  <c r="AQ22" i="13" s="1"/>
  <c r="C6" i="13"/>
  <c r="E16" i="13"/>
  <c r="F16" i="13" s="1"/>
  <c r="G16" i="13" s="1"/>
  <c r="H16" i="13" s="1"/>
  <c r="I16" i="13" s="1"/>
  <c r="J16" i="13" s="1"/>
  <c r="K16" i="13" s="1"/>
  <c r="L16" i="13" s="1"/>
  <c r="M16" i="13" s="1"/>
  <c r="N16" i="13" s="1"/>
  <c r="O16" i="13" s="1"/>
  <c r="P16" i="13" s="1"/>
  <c r="Q16" i="13" s="1"/>
  <c r="R16" i="13" s="1"/>
  <c r="S16" i="13" s="1"/>
  <c r="T16" i="13" s="1"/>
  <c r="U16" i="13" s="1"/>
  <c r="V16" i="13" s="1"/>
  <c r="W16" i="13" s="1"/>
  <c r="X16" i="13" s="1"/>
  <c r="Y16" i="13" s="1"/>
  <c r="Z16" i="13" s="1"/>
  <c r="AA16" i="13" s="1"/>
  <c r="AB16" i="13" s="1"/>
  <c r="AC16" i="13" s="1"/>
  <c r="AD16" i="13" s="1"/>
  <c r="AE16" i="13" s="1"/>
  <c r="AF16" i="13" s="1"/>
  <c r="AG16" i="13" s="1"/>
  <c r="AH16" i="13" s="1"/>
  <c r="AI16" i="13" s="1"/>
  <c r="AJ16" i="13" s="1"/>
  <c r="AK16" i="13" s="1"/>
  <c r="AL16" i="13" s="1"/>
  <c r="AM16" i="13" s="1"/>
  <c r="AN16" i="13" s="1"/>
  <c r="AO16" i="13" s="1"/>
  <c r="AP16" i="13" s="1"/>
  <c r="AQ16" i="13" s="1"/>
  <c r="B4" i="13"/>
  <c r="B21" i="13"/>
  <c r="D6" i="13"/>
  <c r="C17" i="13"/>
  <c r="B5" i="13"/>
  <c r="B22" i="13"/>
  <c r="E6" i="13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AG6" i="13" s="1"/>
  <c r="AH6" i="13" s="1"/>
  <c r="AI6" i="13" s="1"/>
  <c r="AJ6" i="13" s="1"/>
  <c r="AK6" i="13" s="1"/>
  <c r="AL6" i="13" s="1"/>
  <c r="AM6" i="13" s="1"/>
  <c r="AN6" i="13" s="1"/>
  <c r="AO6" i="13" s="1"/>
  <c r="AP6" i="13" s="1"/>
  <c r="AQ6" i="13" s="1"/>
  <c r="C12" i="13"/>
  <c r="D17" i="13"/>
  <c r="B6" i="13"/>
  <c r="C21" i="13"/>
  <c r="C7" i="13"/>
  <c r="D12" i="13"/>
  <c r="E17" i="13"/>
  <c r="F17" i="13" s="1"/>
  <c r="G17" i="13" s="1"/>
  <c r="H17" i="13" s="1"/>
  <c r="I17" i="13" s="1"/>
  <c r="J17" i="13" s="1"/>
  <c r="K17" i="13" s="1"/>
  <c r="L17" i="13" s="1"/>
  <c r="M17" i="13" s="1"/>
  <c r="N17" i="13" s="1"/>
  <c r="O17" i="13" s="1"/>
  <c r="P17" i="13" s="1"/>
  <c r="Q17" i="13" s="1"/>
  <c r="R17" i="13" s="1"/>
  <c r="S17" i="13" s="1"/>
  <c r="T17" i="13" s="1"/>
  <c r="U17" i="13" s="1"/>
  <c r="V17" i="13" s="1"/>
  <c r="W17" i="13" s="1"/>
  <c r="X17" i="13" s="1"/>
  <c r="Y17" i="13" s="1"/>
  <c r="Z17" i="13" s="1"/>
  <c r="AA17" i="13" s="1"/>
  <c r="AB17" i="13" s="1"/>
  <c r="AC17" i="13" s="1"/>
  <c r="AD17" i="13" s="1"/>
  <c r="AE17" i="13" s="1"/>
  <c r="AF17" i="13" s="1"/>
  <c r="AG17" i="13" s="1"/>
  <c r="AH17" i="13" s="1"/>
  <c r="AI17" i="13" s="1"/>
  <c r="AJ17" i="13" s="1"/>
  <c r="AK17" i="13" s="1"/>
  <c r="AL17" i="13" s="1"/>
  <c r="AM17" i="13" s="1"/>
  <c r="AN17" i="13" s="1"/>
  <c r="AO17" i="13" s="1"/>
  <c r="AP17" i="13" s="1"/>
  <c r="AQ17" i="13" s="1"/>
  <c r="B7" i="13"/>
  <c r="B14" i="13"/>
  <c r="D7" i="13"/>
  <c r="E12" i="13"/>
  <c r="F12" i="13" s="1"/>
  <c r="G12" i="13" s="1"/>
  <c r="H12" i="13" s="1"/>
  <c r="I12" i="13" s="1"/>
  <c r="J12" i="13" s="1"/>
  <c r="K12" i="13" s="1"/>
  <c r="L12" i="13" s="1"/>
  <c r="M12" i="13" s="1"/>
  <c r="N12" i="13" s="1"/>
  <c r="O12" i="13" s="1"/>
  <c r="P12" i="13" s="1"/>
  <c r="Q12" i="13" s="1"/>
  <c r="R12" i="13" s="1"/>
  <c r="S12" i="13" s="1"/>
  <c r="T12" i="13" s="1"/>
  <c r="U12" i="13" s="1"/>
  <c r="V12" i="13" s="1"/>
  <c r="W12" i="13" s="1"/>
  <c r="X12" i="13" s="1"/>
  <c r="Y12" i="13" s="1"/>
  <c r="Z12" i="13" s="1"/>
  <c r="AA12" i="13" s="1"/>
  <c r="AB12" i="13" s="1"/>
  <c r="AC12" i="13" s="1"/>
  <c r="AD12" i="13" s="1"/>
  <c r="AE12" i="13" s="1"/>
  <c r="AF12" i="13" s="1"/>
  <c r="AG12" i="13" s="1"/>
  <c r="AH12" i="13" s="1"/>
  <c r="AI12" i="13" s="1"/>
  <c r="AJ12" i="13" s="1"/>
  <c r="AK12" i="13" s="1"/>
  <c r="AL12" i="13" s="1"/>
  <c r="AM12" i="13" s="1"/>
  <c r="AN12" i="13" s="1"/>
  <c r="AO12" i="13" s="1"/>
  <c r="AP12" i="13" s="1"/>
  <c r="AQ12" i="13" s="1"/>
  <c r="C19" i="13"/>
  <c r="B8" i="13"/>
  <c r="E7" i="13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AC7" i="13" s="1"/>
  <c r="AD7" i="13" s="1"/>
  <c r="AE7" i="13" s="1"/>
  <c r="AF7" i="13" s="1"/>
  <c r="AG7" i="13" s="1"/>
  <c r="AH7" i="13" s="1"/>
  <c r="AI7" i="13" s="1"/>
  <c r="AJ7" i="13" s="1"/>
  <c r="AK7" i="13" s="1"/>
  <c r="AL7" i="13" s="1"/>
  <c r="AM7" i="13" s="1"/>
  <c r="AN7" i="13" s="1"/>
  <c r="AO7" i="13" s="1"/>
  <c r="AP7" i="13" s="1"/>
  <c r="AQ7" i="13" s="1"/>
  <c r="C13" i="13"/>
  <c r="B9" i="13"/>
  <c r="C8" i="13"/>
  <c r="D13" i="13"/>
  <c r="B10" i="13"/>
  <c r="C4" i="13"/>
  <c r="D8" i="13"/>
  <c r="E13" i="13"/>
  <c r="F13" i="13" s="1"/>
  <c r="G13" i="13" s="1"/>
  <c r="H13" i="13" s="1"/>
  <c r="I13" i="13" s="1"/>
  <c r="J13" i="13" s="1"/>
  <c r="K13" i="13" s="1"/>
  <c r="L13" i="13" s="1"/>
  <c r="M13" i="13" s="1"/>
  <c r="N13" i="13" s="1"/>
  <c r="O13" i="13" s="1"/>
  <c r="P13" i="13" s="1"/>
  <c r="Q13" i="13" s="1"/>
  <c r="R13" i="13" s="1"/>
  <c r="S13" i="13" s="1"/>
  <c r="T13" i="13" s="1"/>
  <c r="U13" i="13" s="1"/>
  <c r="V13" i="13" s="1"/>
  <c r="W13" i="13" s="1"/>
  <c r="X13" i="13" s="1"/>
  <c r="Y13" i="13" s="1"/>
  <c r="Z13" i="13" s="1"/>
  <c r="AA13" i="13" s="1"/>
  <c r="AB13" i="13" s="1"/>
  <c r="AC13" i="13" s="1"/>
  <c r="AD13" i="13" s="1"/>
  <c r="AE13" i="13" s="1"/>
  <c r="AF13" i="13" s="1"/>
  <c r="AG13" i="13" s="1"/>
  <c r="AH13" i="13" s="1"/>
  <c r="AI13" i="13" s="1"/>
  <c r="AJ13" i="13" s="1"/>
  <c r="AK13" i="13" s="1"/>
  <c r="AL13" i="13" s="1"/>
  <c r="AM13" i="13" s="1"/>
  <c r="AN13" i="13" s="1"/>
  <c r="AO13" i="13" s="1"/>
  <c r="AP13" i="13" s="1"/>
  <c r="AQ13" i="13" s="1"/>
  <c r="D9" i="13"/>
  <c r="E8" i="13"/>
  <c r="F8" i="13" s="1"/>
  <c r="G8" i="13" s="1"/>
  <c r="H8" i="13" s="1"/>
  <c r="I8" i="13" s="1"/>
  <c r="J8" i="13" s="1"/>
  <c r="K8" i="13" s="1"/>
  <c r="L8" i="13" s="1"/>
  <c r="M8" i="13" s="1"/>
  <c r="N8" i="13" s="1"/>
  <c r="O8" i="13" s="1"/>
  <c r="P8" i="13" s="1"/>
  <c r="Q8" i="13" s="1"/>
  <c r="R8" i="13" s="1"/>
  <c r="S8" i="13" s="1"/>
  <c r="T8" i="13" s="1"/>
  <c r="U8" i="13" s="1"/>
  <c r="V8" i="13" s="1"/>
  <c r="W8" i="13" s="1"/>
  <c r="X8" i="13" s="1"/>
  <c r="Y8" i="13" s="1"/>
  <c r="Z8" i="13" s="1"/>
  <c r="AA8" i="13" s="1"/>
  <c r="AB8" i="13" s="1"/>
  <c r="AC8" i="13" s="1"/>
  <c r="AD8" i="13" s="1"/>
  <c r="AE8" i="13" s="1"/>
  <c r="AF8" i="13" s="1"/>
  <c r="AG8" i="13" s="1"/>
  <c r="AH8" i="13" s="1"/>
  <c r="AI8" i="13" s="1"/>
  <c r="AJ8" i="13" s="1"/>
  <c r="AK8" i="13" s="1"/>
  <c r="AL8" i="13" s="1"/>
  <c r="AM8" i="13" s="1"/>
  <c r="AN8" i="13" s="1"/>
  <c r="AO8" i="13" s="1"/>
  <c r="AP8" i="13" s="1"/>
  <c r="AQ8" i="13" s="1"/>
  <c r="C14" i="13"/>
  <c r="B12" i="13"/>
  <c r="C9" i="13"/>
  <c r="B13" i="13"/>
  <c r="D8" i="1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C14" i="1"/>
  <c r="B12" i="1"/>
  <c r="C9" i="1"/>
  <c r="B13" i="1"/>
  <c r="C4" i="1"/>
  <c r="D9" i="1"/>
  <c r="C21" i="1"/>
  <c r="B14" i="1"/>
  <c r="D4" i="1"/>
  <c r="E9" i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C15" i="1"/>
  <c r="D21" i="1"/>
  <c r="B15" i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C10" i="1"/>
  <c r="D15" i="1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B16" i="1"/>
  <c r="C5" i="1"/>
  <c r="D10" i="1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C22" i="1"/>
  <c r="B17" i="1"/>
  <c r="D5" i="1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C16" i="1"/>
  <c r="D22" i="1"/>
  <c r="B19" i="1"/>
  <c r="E5" i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D16" i="1"/>
  <c r="E22" i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B6" i="1"/>
  <c r="C6" i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B4" i="1"/>
  <c r="D17" i="1"/>
  <c r="D6" i="1"/>
  <c r="C17" i="1"/>
  <c r="B5" i="1"/>
  <c r="B22" i="1"/>
  <c r="C12" i="1"/>
  <c r="E6" i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C7" i="1"/>
  <c r="D12" i="1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B7" i="1"/>
  <c r="D7" i="1"/>
  <c r="E12" i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C19" i="1"/>
  <c r="B8" i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C13" i="1"/>
  <c r="B9" i="1"/>
  <c r="C8" i="1"/>
  <c r="D13" i="1"/>
  <c r="B10" i="1"/>
  <c r="B20" i="13"/>
  <c r="E3" i="13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AC3" i="13" s="1"/>
  <c r="AD3" i="13" s="1"/>
  <c r="AE3" i="13" s="1"/>
  <c r="AF3" i="13" s="1"/>
  <c r="AG3" i="13" s="1"/>
  <c r="AH3" i="13" s="1"/>
  <c r="AI3" i="13" s="1"/>
  <c r="AJ3" i="13" s="1"/>
  <c r="AK3" i="13" s="1"/>
  <c r="AL3" i="13" s="1"/>
  <c r="AM3" i="13" s="1"/>
  <c r="AN3" i="13" s="1"/>
  <c r="AO3" i="13" s="1"/>
  <c r="AP3" i="13" s="1"/>
  <c r="AQ3" i="13" s="1"/>
  <c r="C3" i="13"/>
  <c r="E14" i="13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AG14" i="13" s="1"/>
  <c r="AH14" i="13" s="1"/>
  <c r="AI14" i="13" s="1"/>
  <c r="AJ14" i="13" s="1"/>
  <c r="AK14" i="13" s="1"/>
  <c r="AL14" i="13" s="1"/>
  <c r="AM14" i="13" s="1"/>
  <c r="AN14" i="13" s="1"/>
  <c r="AO14" i="13" s="1"/>
  <c r="AP14" i="13" s="1"/>
  <c r="AQ14" i="13" s="1"/>
  <c r="D14" i="13"/>
  <c r="D14" i="1"/>
  <c r="E14" i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E19" i="13"/>
  <c r="F19" i="13" s="1"/>
  <c r="G19" i="13" s="1"/>
  <c r="H19" i="13" s="1"/>
  <c r="I19" i="13" s="1"/>
  <c r="J19" i="13" s="1"/>
  <c r="K19" i="13" s="1"/>
  <c r="L19" i="13" s="1"/>
  <c r="M19" i="13" s="1"/>
  <c r="N19" i="13" s="1"/>
  <c r="O19" i="13" s="1"/>
  <c r="P19" i="13" s="1"/>
  <c r="Q19" i="13" s="1"/>
  <c r="R19" i="13" s="1"/>
  <c r="S19" i="13" s="1"/>
  <c r="T19" i="13" s="1"/>
  <c r="U19" i="13" s="1"/>
  <c r="V19" i="13" s="1"/>
  <c r="W19" i="13" s="1"/>
  <c r="X19" i="13" s="1"/>
  <c r="Y19" i="13" s="1"/>
  <c r="Z19" i="13" s="1"/>
  <c r="AA19" i="13" s="1"/>
  <c r="AB19" i="13" s="1"/>
  <c r="AC19" i="13" s="1"/>
  <c r="AD19" i="13" s="1"/>
  <c r="AE19" i="13" s="1"/>
  <c r="AF19" i="13" s="1"/>
  <c r="AG19" i="13" s="1"/>
  <c r="AH19" i="13" s="1"/>
  <c r="AI19" i="13" s="1"/>
  <c r="AJ19" i="13" s="1"/>
  <c r="AK19" i="13" s="1"/>
  <c r="AL19" i="13" s="1"/>
  <c r="AM19" i="13" s="1"/>
  <c r="AN19" i="13" s="1"/>
  <c r="AO19" i="13" s="1"/>
  <c r="AP19" i="13" s="1"/>
  <c r="AQ19" i="13" s="1"/>
  <c r="D19" i="13"/>
  <c r="D19" i="1"/>
  <c r="E19" i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E11" i="13"/>
  <c r="F11" i="13" s="1"/>
  <c r="G11" i="13" s="1"/>
  <c r="H11" i="13" s="1"/>
  <c r="I11" i="13" s="1"/>
  <c r="J11" i="13" s="1"/>
  <c r="K11" i="13" s="1"/>
  <c r="L11" i="13" s="1"/>
  <c r="M11" i="13" s="1"/>
  <c r="N11" i="13" s="1"/>
  <c r="O11" i="13" s="1"/>
  <c r="P11" i="13" s="1"/>
  <c r="Q11" i="13" s="1"/>
  <c r="R11" i="13" s="1"/>
  <c r="S11" i="13" s="1"/>
  <c r="T11" i="13" s="1"/>
  <c r="U11" i="13" s="1"/>
  <c r="V11" i="13" s="1"/>
  <c r="W11" i="13" s="1"/>
  <c r="X11" i="13" s="1"/>
  <c r="Y11" i="13" s="1"/>
  <c r="Z11" i="13" s="1"/>
  <c r="AA11" i="13" s="1"/>
  <c r="AB11" i="13" s="1"/>
  <c r="AC11" i="13" s="1"/>
  <c r="AD11" i="13" s="1"/>
  <c r="AE11" i="13" s="1"/>
  <c r="AF11" i="13" s="1"/>
  <c r="AG11" i="13" s="1"/>
  <c r="AH11" i="13" s="1"/>
  <c r="AI11" i="13" s="1"/>
  <c r="AJ11" i="13" s="1"/>
  <c r="AK11" i="13" s="1"/>
  <c r="AL11" i="13" s="1"/>
  <c r="AM11" i="13" s="1"/>
  <c r="AN11" i="13" s="1"/>
  <c r="AO11" i="13" s="1"/>
  <c r="AP11" i="13" s="1"/>
  <c r="AQ11" i="13" s="1"/>
  <c r="E20" i="13"/>
  <c r="F20" i="13" s="1"/>
  <c r="G20" i="13" s="1"/>
  <c r="H20" i="13" s="1"/>
  <c r="I20" i="13" s="1"/>
  <c r="J20" i="13" s="1"/>
  <c r="K20" i="13" s="1"/>
  <c r="L20" i="13" s="1"/>
  <c r="M20" i="13" s="1"/>
  <c r="N20" i="13" s="1"/>
  <c r="O20" i="13" s="1"/>
  <c r="P20" i="13" s="1"/>
  <c r="Q20" i="13" s="1"/>
  <c r="R20" i="13" s="1"/>
  <c r="S20" i="13" s="1"/>
  <c r="T20" i="13" s="1"/>
  <c r="U20" i="13" s="1"/>
  <c r="V20" i="13" s="1"/>
  <c r="W20" i="13" s="1"/>
  <c r="X20" i="13" s="1"/>
  <c r="Y20" i="13" s="1"/>
  <c r="Z20" i="13" s="1"/>
  <c r="AA20" i="13" s="1"/>
  <c r="AB20" i="13" s="1"/>
  <c r="AC20" i="13" s="1"/>
  <c r="AD20" i="13" s="1"/>
  <c r="AE20" i="13" s="1"/>
  <c r="AF20" i="13" s="1"/>
  <c r="AG20" i="13" s="1"/>
  <c r="AH20" i="13" s="1"/>
  <c r="AI20" i="13" s="1"/>
  <c r="AJ20" i="13" s="1"/>
  <c r="AK20" i="13" s="1"/>
  <c r="AL20" i="13" s="1"/>
  <c r="AM20" i="13" s="1"/>
  <c r="AN20" i="13" s="1"/>
  <c r="AO20" i="13" s="1"/>
  <c r="AP20" i="13" s="1"/>
  <c r="AQ20" i="13" s="1"/>
  <c r="D11" i="13" l="1"/>
  <c r="D20" i="1"/>
  <c r="B20" i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B11" i="13"/>
  <c r="C20" i="1"/>
  <c r="D3" i="1"/>
  <c r="B11" i="1"/>
  <c r="E20" i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C3" i="1"/>
  <c r="B3" i="1"/>
  <c r="B3" i="13"/>
  <c r="D3" i="13"/>
  <c r="D20" i="13"/>
  <c r="D11" i="1"/>
  <c r="E3" i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C11" i="13"/>
  <c r="C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470F4-ACD5-4A45-BB56-155007BD7238}" keepAlive="1" name="查询 - 数据导出" description="与工作簿中“数据导出”查询的连接。" type="5" refreshedVersion="0" background="1" saveData="1">
    <dbPr connection="Provider=Microsoft.Mashup.OleDb.1;Data Source=$Workbook$;Location=数据导出;Extended Properties=&quot;&quot;" command="SELECT * FROM [数据导出]"/>
  </connection>
</connections>
</file>

<file path=xl/sharedStrings.xml><?xml version="1.0" encoding="utf-8"?>
<sst xmlns="http://schemas.openxmlformats.org/spreadsheetml/2006/main" count="1652" uniqueCount="257">
  <si>
    <t>人民币年份</t>
  </si>
  <si>
    <t>当年人民币相对2012美元</t>
  </si>
  <si>
    <t>2012美元相对当年人民币价格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</si>
  <si>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</si>
  <si>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</si>
  <si>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</si>
  <si>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</si>
  <si>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</si>
  <si>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</si>
  <si>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</si>
  <si>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</si>
  <si>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</si>
  <si>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</si>
  <si>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</si>
  <si>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</si>
  <si>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</si>
  <si>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</si>
  <si>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</si>
  <si>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</si>
  <si>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</si>
  <si>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</si>
  <si>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</si>
  <si>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</si>
  <si>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</si>
  <si>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Heat Value</t>
  </si>
  <si>
    <t>Goods</t>
  </si>
  <si>
    <t>热值参考能源品种</t>
  </si>
  <si>
    <t>EPS能源品种</t>
  </si>
  <si>
    <t>褐煤，不论是否粉化，但未制成型</t>
  </si>
  <si>
    <t>炼焦煤</t>
  </si>
  <si>
    <t>煤砖、煤球及用煤制成的类似固体燃料</t>
  </si>
  <si>
    <t>泥煤（包括肥料用泥煤），不论是否制成型</t>
  </si>
  <si>
    <t>泥煤制品</t>
  </si>
  <si>
    <t>其他煤</t>
  </si>
  <si>
    <t>其他烟煤</t>
  </si>
  <si>
    <t>无烟煤</t>
  </si>
  <si>
    <t>制成型的褐煤</t>
  </si>
  <si>
    <t>其他未煅烧石油焦</t>
  </si>
  <si>
    <t>其他已煅烧石油焦</t>
  </si>
  <si>
    <t>未煅烧石油焦，含硫量＜3%</t>
  </si>
  <si>
    <t>已煅烧石油焦，含硫量＜0.8%</t>
  </si>
  <si>
    <t>生物柴油及其混合物，不含或含有按重量计低于70％的石油或从沥青矿物提取的油类</t>
  </si>
  <si>
    <t>石油沥青</t>
  </si>
  <si>
    <t>其他石蜡、矿物蜡及合成方法制得的类似产品</t>
  </si>
  <si>
    <t>石蜡，按重量计含油量＜0.75％</t>
  </si>
  <si>
    <t>微晶石蜡</t>
  </si>
  <si>
    <t>液体石蜡和重质液体石蜡，不含有生物柴油</t>
  </si>
  <si>
    <t>润滑油基础油，不含有生物柴油</t>
  </si>
  <si>
    <t>润滑油，不含有生物柴油</t>
  </si>
  <si>
    <t>石脑油，不含有生物柴油</t>
  </si>
  <si>
    <t>5~7号燃料油，不含有生物柴油</t>
  </si>
  <si>
    <t>其他燃料油，不含生物柴油</t>
  </si>
  <si>
    <t>柴油,不含生物柴油</t>
  </si>
  <si>
    <t>橡胶溶剂油、油漆溶剂油、抽提溶剂油，不含有生物柴油</t>
  </si>
  <si>
    <t>车用汽油和航空汽油，不含有生物柴油</t>
  </si>
  <si>
    <t>航空煤油，不含有生物柴油</t>
  </si>
  <si>
    <t>其他蒸馏高温煤焦油所得油类等产品及类似品</t>
  </si>
  <si>
    <t>煤气、水煤气、炉煤气及类似气体</t>
  </si>
  <si>
    <t>未列名液化石油气及其他烃类气</t>
  </si>
  <si>
    <t>天然气</t>
  </si>
  <si>
    <t>液化天然气</t>
  </si>
  <si>
    <t>商品名称</t>
  </si>
  <si>
    <t>第一数量</t>
  </si>
  <si>
    <t>第一计量单位</t>
  </si>
  <si>
    <t>第二数量</t>
  </si>
  <si>
    <t>第二计量单位</t>
  </si>
  <si>
    <t>人民币</t>
  </si>
  <si>
    <t>千克</t>
  </si>
  <si>
    <t>?</t>
  </si>
  <si>
    <t>万吨</t>
  </si>
  <si>
    <t>升</t>
  </si>
  <si>
    <t>煤油</t>
  </si>
  <si>
    <t>heavy fuel oil</t>
  </si>
  <si>
    <t>petroleum gasoline</t>
  </si>
  <si>
    <t>petroleum diesel</t>
  </si>
  <si>
    <t>LPG propane or butane</t>
  </si>
  <si>
    <t>jet fuel or kerosene</t>
  </si>
  <si>
    <t>biofuel diesel</t>
  </si>
  <si>
    <t>Fuel (BTU)</t>
  </si>
  <si>
    <t>nuclear</t>
  </si>
  <si>
    <t>hydro (is not a fuel)</t>
  </si>
  <si>
    <t>wind (is not a fuel)</t>
  </si>
  <si>
    <t>solar (is not a fuel)</t>
  </si>
  <si>
    <t>biomass</t>
  </si>
  <si>
    <t>biofuel gasoline</t>
  </si>
  <si>
    <t>heat (energy carrier)</t>
  </si>
  <si>
    <t>geothermal (is not a fuel)</t>
  </si>
  <si>
    <t>lignite</t>
  </si>
  <si>
    <t>crude oil</t>
  </si>
  <si>
    <t>municipal solid waste</t>
  </si>
  <si>
    <t>hydrogen</t>
  </si>
  <si>
    <t>褐煤</t>
  </si>
  <si>
    <t>褐煤</t>
    <phoneticPr fontId="4" type="noConversion"/>
  </si>
  <si>
    <t>石蜡</t>
  </si>
  <si>
    <t>润滑油</t>
  </si>
  <si>
    <t>石脑油</t>
  </si>
  <si>
    <t>柴油</t>
  </si>
  <si>
    <t>型煤</t>
  </si>
  <si>
    <t>型煤</t>
    <phoneticPr fontId="4" type="noConversion"/>
  </si>
  <si>
    <t>烟煤</t>
  </si>
  <si>
    <t>原煤</t>
  </si>
  <si>
    <t>原煤</t>
    <phoneticPr fontId="4" type="noConversion"/>
  </si>
  <si>
    <t>石油焦</t>
  </si>
  <si>
    <t>石油焦</t>
    <phoneticPr fontId="4" type="noConversion"/>
  </si>
  <si>
    <t>石油沥青</t>
    <phoneticPr fontId="4" type="noConversion"/>
  </si>
  <si>
    <t>石蜡</t>
    <phoneticPr fontId="4" type="noConversion"/>
  </si>
  <si>
    <t>润滑油</t>
    <phoneticPr fontId="4" type="noConversion"/>
  </si>
  <si>
    <t>石脑油</t>
    <phoneticPr fontId="4" type="noConversion"/>
  </si>
  <si>
    <t>燃料油</t>
  </si>
  <si>
    <t>燃料油</t>
    <phoneticPr fontId="4" type="noConversion"/>
  </si>
  <si>
    <t>柴油</t>
    <phoneticPr fontId="4" type="noConversion"/>
  </si>
  <si>
    <t>溶剂油</t>
  </si>
  <si>
    <t>溶剂油</t>
    <phoneticPr fontId="4" type="noConversion"/>
  </si>
  <si>
    <t>汽油</t>
  </si>
  <si>
    <t>汽油</t>
    <phoneticPr fontId="4" type="noConversion"/>
  </si>
  <si>
    <t>煤油</t>
    <phoneticPr fontId="4" type="noConversion"/>
  </si>
  <si>
    <t>煤焦油</t>
  </si>
  <si>
    <t>煤焦油</t>
    <phoneticPr fontId="4" type="noConversion"/>
  </si>
  <si>
    <t>液化天然气</t>
    <phoneticPr fontId="4" type="noConversion"/>
  </si>
  <si>
    <t>液化石油气</t>
  </si>
  <si>
    <t>液化石油气</t>
    <phoneticPr fontId="4" type="noConversion"/>
  </si>
  <si>
    <t>hard coal</t>
    <phoneticPr fontId="4" type="noConversion"/>
  </si>
  <si>
    <t>natural gas</t>
    <phoneticPr fontId="4" type="noConversion"/>
  </si>
  <si>
    <t>城市生活垃圾</t>
    <phoneticPr fontId="4" type="noConversion"/>
  </si>
  <si>
    <t>商品编码</t>
    <phoneticPr fontId="4" type="noConversion"/>
  </si>
  <si>
    <t>年份</t>
    <phoneticPr fontId="4" type="noConversion"/>
  </si>
  <si>
    <t>ID</t>
    <phoneticPr fontId="4" type="noConversion"/>
  </si>
  <si>
    <t>柴油，不含生物柴油</t>
  </si>
  <si>
    <t>灯用煤油，不含生物柴油</t>
  </si>
  <si>
    <t>泥煤</t>
    <phoneticPr fontId="4" type="noConversion"/>
  </si>
  <si>
    <t>无烟煤</t>
    <phoneticPr fontId="4" type="noConversion"/>
  </si>
  <si>
    <t>烟煤</t>
    <phoneticPr fontId="4" type="noConversion"/>
  </si>
  <si>
    <t>能源名称</t>
  </si>
  <si>
    <t>实物量单位</t>
  </si>
  <si>
    <t>平均低位发热量</t>
  </si>
  <si>
    <t>折标准煤系数</t>
  </si>
  <si>
    <t>折EPS BTU 系数</t>
    <phoneticPr fontId="8" type="noConversion"/>
  </si>
  <si>
    <t>单位热值含碳量</t>
  </si>
  <si>
    <t>燃料碳氧化率</t>
  </si>
  <si>
    <t>排放因子1</t>
  </si>
  <si>
    <t>排放因子2</t>
  </si>
  <si>
    <t>数据来源</t>
    <phoneticPr fontId="8" type="noConversion"/>
  </si>
  <si>
    <t>TJ/单位</t>
  </si>
  <si>
    <t>万吨标煤/单位</t>
  </si>
  <si>
    <t>BTU/单位</t>
    <phoneticPr fontId="8" type="noConversion"/>
  </si>
  <si>
    <t>万吨碳/TJ</t>
  </si>
  <si>
    <t>%</t>
  </si>
  <si>
    <t>万tCO2/单位</t>
  </si>
  <si>
    <t>万tCO2/万吨标煤</t>
  </si>
  <si>
    <t>能源统计年鉴2020</t>
    <phoneticPr fontId="8" type="noConversion"/>
  </si>
  <si>
    <t>洗精煤</t>
  </si>
  <si>
    <t>其他洗煤</t>
  </si>
  <si>
    <t>泥煤</t>
    <phoneticPr fontId="8" type="noConversion"/>
  </si>
  <si>
    <t>万吨</t>
    <phoneticPr fontId="8" type="noConversion"/>
  </si>
  <si>
    <t>2020中国区域电网二氧化碳基准线排放因子</t>
  </si>
  <si>
    <t>煤矸石</t>
  </si>
  <si>
    <t>综合能耗计算通则GBT2589-2020</t>
    <phoneticPr fontId="8" type="noConversion"/>
  </si>
  <si>
    <t>焦炭</t>
  </si>
  <si>
    <t>焦炉煤气</t>
  </si>
  <si>
    <t>亿立方米</t>
  </si>
  <si>
    <t>高炉煤气</t>
  </si>
  <si>
    <t>转炉煤气</t>
  </si>
  <si>
    <t>其他煤气</t>
  </si>
  <si>
    <t>其他焦化产品</t>
  </si>
  <si>
    <t>原油</t>
  </si>
  <si>
    <t>2021中国区域电网二氧化碳基准线排放因子</t>
  </si>
  <si>
    <t>2022中国区域电网二氧化碳基准线排放因子</t>
  </si>
  <si>
    <t>2023中国区域电网二氧化碳基准线排放因子</t>
  </si>
  <si>
    <t>2024中国区域电网二氧化碳基准线排放因子</t>
  </si>
  <si>
    <t>2025中国区域电网二氧化碳基准线排放因子</t>
  </si>
  <si>
    <t>炼厂干气</t>
  </si>
  <si>
    <t>其他石油制品</t>
  </si>
  <si>
    <t>热力</t>
  </si>
  <si>
    <t>万百万千焦</t>
    <phoneticPr fontId="8" type="noConversion"/>
  </si>
  <si>
    <t>排放清单缺省值</t>
    <phoneticPr fontId="8" type="noConversion"/>
  </si>
  <si>
    <t>电力</t>
  </si>
  <si>
    <t>亿千瓦时</t>
    <phoneticPr fontId="8" type="noConversion"/>
  </si>
  <si>
    <t>氢能源</t>
  </si>
  <si>
    <t>其他能源</t>
  </si>
  <si>
    <t>万吨标煤</t>
    <phoneticPr fontId="8" type="noConversion"/>
  </si>
  <si>
    <t>其他煤气</t>
    <phoneticPr fontId="4" type="noConversion"/>
  </si>
  <si>
    <t>Chinese Model Fuel</t>
  </si>
  <si>
    <t>EPS Fuel</t>
  </si>
  <si>
    <t>Crude Oil</t>
  </si>
  <si>
    <t>Electricity</t>
  </si>
  <si>
    <t>electricity</t>
  </si>
  <si>
    <t>Raw Coal</t>
  </si>
  <si>
    <t>Cleaned Coal</t>
  </si>
  <si>
    <t>Briquettes</t>
  </si>
  <si>
    <t>煤制品</t>
  </si>
  <si>
    <t>Heat</t>
  </si>
  <si>
    <t>heat</t>
  </si>
  <si>
    <t>Fuel Oil</t>
  </si>
  <si>
    <t>White Spirit</t>
  </si>
  <si>
    <t>Other Petroleum Products</t>
  </si>
  <si>
    <t>Kerosene</t>
  </si>
  <si>
    <t>Gangue</t>
  </si>
  <si>
    <t>Other Washed Coal</t>
  </si>
  <si>
    <t>Other Coking Products</t>
  </si>
  <si>
    <t>Diesel Oil</t>
  </si>
  <si>
    <t>Bitumen Asphalt</t>
  </si>
  <si>
    <t>Petroleum Coke</t>
  </si>
  <si>
    <t>Gasoline</t>
  </si>
  <si>
    <t>Coke Oven Gas</t>
  </si>
  <si>
    <t>Blast Furnance Gas</t>
  </si>
  <si>
    <t>Converter Gas</t>
  </si>
  <si>
    <t>Other Gas</t>
  </si>
  <si>
    <t>Naphtha</t>
  </si>
  <si>
    <t>Lubricant</t>
  </si>
  <si>
    <t>Paraffin Waxes</t>
  </si>
  <si>
    <t>Liquefied Petroleum Gas</t>
  </si>
  <si>
    <t>Refinery Gas</t>
  </si>
  <si>
    <t>Natural Gas</t>
  </si>
  <si>
    <t>natural gas</t>
  </si>
  <si>
    <t>Liquefied Natural Gas</t>
  </si>
  <si>
    <t>生物质汽油</t>
  </si>
  <si>
    <t>生物质柴油</t>
  </si>
  <si>
    <t>生物质</t>
  </si>
  <si>
    <t>城市生活垃圾</t>
  </si>
  <si>
    <t>Coke</t>
  </si>
  <si>
    <t>other energy</t>
    <phoneticPr fontId="8" type="noConversion"/>
  </si>
  <si>
    <t>Other Energy</t>
  </si>
  <si>
    <t>生物质柴油</t>
    <phoneticPr fontId="4" type="noConversion"/>
  </si>
  <si>
    <t>BTU Value</t>
    <phoneticPr fontId="4" type="noConversion"/>
  </si>
  <si>
    <t>U235浓缩铀、钚及其化合物、合金、分散体等</t>
  </si>
  <si>
    <t>天然铀及其化合物、合金、分散体等</t>
  </si>
  <si>
    <t>氢</t>
  </si>
  <si>
    <t>石油原油及从沥青矿物提取的原油</t>
  </si>
  <si>
    <t>EPS Fuel</t>
    <phoneticPr fontId="4" type="noConversion"/>
  </si>
  <si>
    <t>hard coal</t>
    <phoneticPr fontId="8" type="noConversion"/>
  </si>
  <si>
    <t>商品编码</t>
  </si>
  <si>
    <t>U235贫化铀、钍及其化合物、合金、分散体等</t>
  </si>
  <si>
    <t>克</t>
  </si>
  <si>
    <t>百万贝可</t>
  </si>
  <si>
    <t>核反应堆已耗尽（已辐照）的燃料元件</t>
  </si>
  <si>
    <t>铀235贫化铀、钍及其化合物、合金、分散体等</t>
  </si>
  <si>
    <t>铀235浓缩铀、钚及其化合物、合金、分散体等</t>
  </si>
  <si>
    <t>立方米</t>
  </si>
  <si>
    <t>其他重油；以石油及从沥青矿物提取的油类为基础成分的未列名制品，不含有生物柴油</t>
  </si>
  <si>
    <t>润滑脂，不含有生物柴油</t>
  </si>
  <si>
    <t>其他煤油馏分，不含有生物柴油</t>
  </si>
  <si>
    <t>未列名轻油及其制品，不含有生物柴油</t>
  </si>
  <si>
    <t>未列名植物油渣饼及其他固体残渣</t>
  </si>
  <si>
    <t>未列名提炼植物或微生物油脂所得的油渣饼及其他固体残渣</t>
  </si>
  <si>
    <t>钍矿砂及其精矿</t>
  </si>
  <si>
    <t>铀矿砂及其精矿</t>
  </si>
  <si>
    <t>克</t>
    <phoneticPr fontId="4" type="noConversion"/>
  </si>
  <si>
    <t>热值单位</t>
    <phoneticPr fontId="4" type="noConversion"/>
  </si>
  <si>
    <t>贸易单位</t>
    <phoneticPr fontId="4" type="noConversion"/>
  </si>
  <si>
    <t>转换比例</t>
    <phoneticPr fontId="4" type="noConversion"/>
  </si>
  <si>
    <t>城市垃圾</t>
  </si>
  <si>
    <t>石油及从沥青矿物提取的油类（但原油除外）以及上述油为基本成分(按重量计≥于70%)的其他品目未列名制品，含有生物柴油，但废油除外</t>
  </si>
  <si>
    <t>核燃料</t>
    <phoneticPr fontId="4" type="noConversion"/>
  </si>
  <si>
    <t>nuclear</t>
    <phoneticPr fontId="8" type="noConversion"/>
  </si>
  <si>
    <t>electricity</t>
    <phoneticPr fontId="4" type="noConversion"/>
  </si>
  <si>
    <t>hard coal</t>
  </si>
  <si>
    <t>electricity (not used in this variable)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</si>
</sst>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_ "/>
    <numFmt numFmtId="177" formatCode="0.0000"/>
    <numFmt numFmtId="178" formatCode="0.00000"/>
    <numFmt numFmtId="179" formatCode="0.000"/>
    <numFmt numFmtId="180" formatCode="0.00_ "/>
  </numFmts>
  <fonts count="1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1"/>
      <color theme="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2"/>
      <color rgb="FF666666"/>
      <name val="Tahoma"/>
      <family val="2"/>
    </font>
    <font>
      <sz val="12"/>
      <color rgb="FF19191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8D7C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EC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1">
      <alignment vertical="center"/>
    </xf>
    <xf numFmtId="3" fontId="1" fillId="0" borderId="0" xfId="1" applyNumberFormat="1">
      <alignment vertical="center"/>
    </xf>
    <xf numFmtId="11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7" fillId="5" borderId="0" xfId="3" applyFont="1" applyFill="1" applyAlignment="1">
      <alignment horizontal="center" vertical="center"/>
    </xf>
    <xf numFmtId="0" fontId="6" fillId="0" borderId="0" xfId="3">
      <alignment vertical="center"/>
    </xf>
    <xf numFmtId="0" fontId="1" fillId="6" borderId="0" xfId="3" applyFont="1" applyFill="1" applyAlignment="1"/>
    <xf numFmtId="2" fontId="1" fillId="0" borderId="0" xfId="3" applyNumberFormat="1" applyFont="1" applyAlignment="1"/>
    <xf numFmtId="177" fontId="1" fillId="0" borderId="0" xfId="3" applyNumberFormat="1" applyFont="1" applyAlignment="1"/>
    <xf numFmtId="11" fontId="1" fillId="0" borderId="0" xfId="3" applyNumberFormat="1" applyFont="1" applyAlignment="1"/>
    <xf numFmtId="178" fontId="1" fillId="0" borderId="0" xfId="3" applyNumberFormat="1" applyFont="1" applyAlignment="1"/>
    <xf numFmtId="9" fontId="1" fillId="0" borderId="0" xfId="3" applyNumberFormat="1" applyFont="1" applyAlignment="1"/>
    <xf numFmtId="179" fontId="1" fillId="0" borderId="0" xfId="3" applyNumberFormat="1" applyFont="1" applyAlignment="1"/>
    <xf numFmtId="0" fontId="7" fillId="0" borderId="0" xfId="2" applyFont="1"/>
    <xf numFmtId="2" fontId="2" fillId="0" borderId="0" xfId="3" applyNumberFormat="1" applyFont="1" applyAlignment="1"/>
    <xf numFmtId="177" fontId="2" fillId="0" borderId="0" xfId="3" applyNumberFormat="1" applyFont="1" applyAlignment="1"/>
    <xf numFmtId="178" fontId="2" fillId="0" borderId="0" xfId="3" applyNumberFormat="1" applyFont="1" applyAlignment="1"/>
    <xf numFmtId="0" fontId="1" fillId="4" borderId="0" xfId="3" applyFont="1" applyFill="1" applyAlignment="1"/>
    <xf numFmtId="0" fontId="1" fillId="0" borderId="0" xfId="3" applyFont="1" applyAlignment="1"/>
    <xf numFmtId="0" fontId="1" fillId="2" borderId="0" xfId="3" applyFont="1" applyFill="1" applyAlignment="1"/>
    <xf numFmtId="0" fontId="3" fillId="7" borderId="0" xfId="3" applyFont="1" applyFill="1" applyAlignment="1"/>
    <xf numFmtId="0" fontId="3" fillId="3" borderId="0" xfId="3" applyFont="1" applyFill="1" applyAlignment="1"/>
    <xf numFmtId="179" fontId="2" fillId="0" borderId="0" xfId="3" applyNumberFormat="1" applyFont="1" applyAlignment="1"/>
    <xf numFmtId="0" fontId="3" fillId="8" borderId="0" xfId="3" applyFont="1" applyFill="1" applyAlignment="1"/>
    <xf numFmtId="180" fontId="7" fillId="0" borderId="0" xfId="2" applyNumberFormat="1" applyFont="1"/>
    <xf numFmtId="0" fontId="3" fillId="9" borderId="0" xfId="3" applyFont="1" applyFill="1" applyAlignment="1"/>
    <xf numFmtId="0" fontId="9" fillId="11" borderId="3" xfId="3" applyFont="1" applyFill="1" applyBorder="1" applyAlignment="1">
      <alignment horizontal="center" vertical="center" wrapText="1" readingOrder="1"/>
    </xf>
    <xf numFmtId="0" fontId="10" fillId="12" borderId="4" xfId="3" applyFont="1" applyFill="1" applyBorder="1" applyAlignment="1">
      <alignment horizontal="left" vertical="center" wrapText="1" readingOrder="1"/>
    </xf>
    <xf numFmtId="0" fontId="11" fillId="12" borderId="4" xfId="3" applyFont="1" applyFill="1" applyBorder="1" applyAlignment="1">
      <alignment horizontal="left" vertical="center" wrapText="1" readingOrder="1"/>
    </xf>
    <xf numFmtId="0" fontId="12" fillId="13" borderId="4" xfId="3" applyFont="1" applyFill="1" applyBorder="1" applyAlignment="1">
      <alignment horizontal="left" wrapText="1" readingOrder="1"/>
    </xf>
    <xf numFmtId="0" fontId="10" fillId="14" borderId="5" xfId="3" applyFont="1" applyFill="1" applyBorder="1" applyAlignment="1">
      <alignment horizontal="left" vertical="center" wrapText="1" readingOrder="1"/>
    </xf>
    <xf numFmtId="0" fontId="11" fillId="14" borderId="5" xfId="3" applyFont="1" applyFill="1" applyBorder="1" applyAlignment="1">
      <alignment horizontal="left" vertical="center" wrapText="1" readingOrder="1"/>
    </xf>
    <xf numFmtId="0" fontId="12" fillId="13" borderId="5" xfId="3" applyFont="1" applyFill="1" applyBorder="1" applyAlignment="1">
      <alignment horizontal="left" wrapText="1" readingOrder="1"/>
    </xf>
    <xf numFmtId="0" fontId="10" fillId="12" borderId="5" xfId="3" applyFont="1" applyFill="1" applyBorder="1" applyAlignment="1">
      <alignment horizontal="left" vertical="center" wrapText="1" readingOrder="1"/>
    </xf>
    <xf numFmtId="0" fontId="11" fillId="12" borderId="5" xfId="3" applyFont="1" applyFill="1" applyBorder="1" applyAlignment="1">
      <alignment horizontal="left" vertical="center" wrapText="1" readingOrder="1"/>
    </xf>
    <xf numFmtId="0" fontId="10" fillId="12" borderId="5" xfId="3" applyFont="1" applyFill="1" applyBorder="1" applyAlignment="1">
      <alignment horizontal="left" wrapText="1" readingOrder="1"/>
    </xf>
    <xf numFmtId="0" fontId="10" fillId="14" borderId="5" xfId="3" applyFont="1" applyFill="1" applyBorder="1" applyAlignment="1">
      <alignment horizontal="left" wrapText="1" readingOrder="1"/>
    </xf>
    <xf numFmtId="0" fontId="12" fillId="13" borderId="5" xfId="3" applyFont="1" applyFill="1" applyBorder="1" applyAlignment="1">
      <alignment horizontal="left" vertical="center" wrapText="1" readingOrder="1"/>
    </xf>
    <xf numFmtId="0" fontId="1" fillId="15" borderId="0" xfId="3" applyFont="1" applyFill="1" applyAlignment="1"/>
    <xf numFmtId="2" fontId="1" fillId="15" borderId="0" xfId="3" applyNumberFormat="1" applyFont="1" applyFill="1" applyAlignment="1"/>
    <xf numFmtId="2" fontId="2" fillId="15" borderId="0" xfId="3" applyNumberFormat="1" applyFont="1" applyFill="1" applyAlignment="1"/>
    <xf numFmtId="177" fontId="2" fillId="15" borderId="0" xfId="3" applyNumberFormat="1" applyFont="1" applyFill="1" applyAlignment="1"/>
    <xf numFmtId="11" fontId="1" fillId="15" borderId="0" xfId="3" applyNumberFormat="1" applyFont="1" applyFill="1" applyAlignment="1"/>
    <xf numFmtId="178" fontId="1" fillId="15" borderId="0" xfId="3" applyNumberFormat="1" applyFont="1" applyFill="1" applyAlignment="1"/>
    <xf numFmtId="9" fontId="1" fillId="15" borderId="0" xfId="3" applyNumberFormat="1" applyFont="1" applyFill="1" applyAlignment="1"/>
    <xf numFmtId="179" fontId="1" fillId="15" borderId="0" xfId="3" applyNumberFormat="1" applyFont="1" applyFill="1" applyAlignment="1"/>
    <xf numFmtId="177" fontId="1" fillId="15" borderId="0" xfId="3" applyNumberFormat="1" applyFont="1" applyFill="1" applyAlignment="1"/>
    <xf numFmtId="0" fontId="7" fillId="15" borderId="0" xfId="2" applyFont="1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16" borderId="6" xfId="0" applyFont="1" applyFill="1" applyBorder="1">
      <alignment vertical="center"/>
    </xf>
    <xf numFmtId="0" fontId="13" fillId="0" borderId="0" xfId="0" applyFont="1">
      <alignment vertical="center"/>
    </xf>
    <xf numFmtId="0" fontId="0" fillId="0" borderId="0" xfId="0" applyAlignment="1">
      <alignment horizontal="left" vertical="center"/>
    </xf>
    <xf numFmtId="0" fontId="14" fillId="0" borderId="0" xfId="0" applyFont="1">
      <alignment vertical="center"/>
    </xf>
    <xf numFmtId="0" fontId="9" fillId="10" borderId="1" xfId="3" applyFont="1" applyFill="1" applyBorder="1" applyAlignment="1">
      <alignment horizontal="center" vertical="center" wrapText="1" readingOrder="1"/>
    </xf>
    <xf numFmtId="0" fontId="9" fillId="10" borderId="2" xfId="3" applyFont="1" applyFill="1" applyBorder="1" applyAlignment="1">
      <alignment horizontal="center" vertical="center" wrapText="1" readingOrder="1"/>
    </xf>
    <xf numFmtId="11" fontId="6" fillId="0" borderId="0" xfId="3" applyNumberFormat="1">
      <alignment vertical="center"/>
    </xf>
  </cellXfs>
  <cellStyles count="4">
    <cellStyle name="Normal 2" xfId="2" xr:uid="{4BC750B7-A767-4DBF-8BBC-6263EA5E6AB0}"/>
    <cellStyle name="常规" xfId="0" builtinId="0"/>
    <cellStyle name="常规 2" xfId="1" xr:uid="{00000000-0005-0000-0000-000031000000}"/>
    <cellStyle name="常规 3" xfId="3" xr:uid="{2FD4895A-15BA-4AAC-A644-E02E45C237AD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>
      <selection activeCell="F21" sqref="F21"/>
    </sheetView>
  </sheetViews>
  <sheetFormatPr defaultColWidth="9" defaultRowHeight="13.5" x14ac:dyDescent="0.15"/>
  <cols>
    <col min="1" max="1" width="9" style="55"/>
  </cols>
  <sheetData>
    <row r="1" spans="1:3" x14ac:dyDescent="0.15">
      <c r="A1" s="55" t="s">
        <v>0</v>
      </c>
      <c r="B1" s="6" t="s">
        <v>1</v>
      </c>
      <c r="C1" s="6" t="s">
        <v>2</v>
      </c>
    </row>
    <row r="2" spans="1:3" x14ac:dyDescent="0.15">
      <c r="A2" s="55" t="s">
        <v>3</v>
      </c>
      <c r="B2" s="6">
        <v>0.26402731839314603</v>
      </c>
      <c r="C2" s="6">
        <v>3.7874868634273802</v>
      </c>
    </row>
    <row r="3" spans="1:3" x14ac:dyDescent="0.15">
      <c r="A3" s="55" t="s">
        <v>4</v>
      </c>
      <c r="B3" s="6">
        <v>0.25873096752649299</v>
      </c>
      <c r="C3" s="6">
        <v>3.8650185927109901</v>
      </c>
    </row>
    <row r="4" spans="1:3" x14ac:dyDescent="0.15">
      <c r="A4" s="55" t="s">
        <v>5</v>
      </c>
      <c r="B4" s="6">
        <v>0.25718247422042501</v>
      </c>
      <c r="C4" s="6">
        <v>3.8882898340223799</v>
      </c>
    </row>
    <row r="5" spans="1:3" x14ac:dyDescent="0.15">
      <c r="A5" s="55" t="s">
        <v>6</v>
      </c>
      <c r="B5" s="6">
        <v>0.25065741621071402</v>
      </c>
      <c r="C5" s="6">
        <v>3.9895089286301202</v>
      </c>
    </row>
    <row r="6" spans="1:3" x14ac:dyDescent="0.15">
      <c r="A6" s="55" t="s">
        <v>7</v>
      </c>
      <c r="B6" s="6">
        <v>0.234364418959083</v>
      </c>
      <c r="C6" s="6">
        <v>4.2668592973346602</v>
      </c>
    </row>
    <row r="7" spans="1:3" x14ac:dyDescent="0.15">
      <c r="A7" s="55" t="s">
        <v>8</v>
      </c>
      <c r="B7" s="6">
        <v>0.22555916594478401</v>
      </c>
      <c r="C7" s="6">
        <v>4.4334265726305899</v>
      </c>
    </row>
    <row r="8" spans="1:3" x14ac:dyDescent="0.15">
      <c r="A8" s="55" t="s">
        <v>9</v>
      </c>
      <c r="B8" s="6">
        <v>0.217037097117422</v>
      </c>
      <c r="C8" s="6">
        <v>4.6075072569689599</v>
      </c>
    </row>
    <row r="9" spans="1:3" x14ac:dyDescent="0.15">
      <c r="A9" s="55" t="s">
        <v>10</v>
      </c>
      <c r="B9" s="6">
        <v>0.20142712631579199</v>
      </c>
      <c r="C9" s="6">
        <v>4.9645746245330802</v>
      </c>
    </row>
    <row r="10" spans="1:3" x14ac:dyDescent="0.15">
      <c r="A10" s="55" t="s">
        <v>11</v>
      </c>
      <c r="B10" s="6">
        <v>0.186860689001348</v>
      </c>
      <c r="C10" s="6">
        <v>5.3515803957716503</v>
      </c>
    </row>
    <row r="11" spans="1:3" x14ac:dyDescent="0.15">
      <c r="A11" s="55" t="s">
        <v>12</v>
      </c>
      <c r="B11" s="6">
        <v>0.187253046603439</v>
      </c>
      <c r="C11" s="6">
        <v>5.3403670495027002</v>
      </c>
    </row>
    <row r="12" spans="1:3" x14ac:dyDescent="0.15">
      <c r="A12" s="55" t="s">
        <v>13</v>
      </c>
      <c r="B12" s="6">
        <v>0.17519707002278201</v>
      </c>
      <c r="C12" s="6">
        <v>5.7078580130932801</v>
      </c>
    </row>
    <row r="13" spans="1:3" x14ac:dyDescent="0.15">
      <c r="A13" s="55" t="s">
        <v>14</v>
      </c>
      <c r="B13" s="6">
        <v>0.16210590836123601</v>
      </c>
      <c r="C13" s="6">
        <v>6.1688066160525299</v>
      </c>
    </row>
    <row r="14" spans="1:3" x14ac:dyDescent="0.15">
      <c r="A14" s="55" t="s">
        <v>15</v>
      </c>
      <c r="B14" s="6">
        <v>0.158412957650193</v>
      </c>
      <c r="C14" s="6">
        <v>6.3126149201014101</v>
      </c>
    </row>
    <row r="15" spans="1:3" x14ac:dyDescent="0.15">
      <c r="A15" s="55" t="s">
        <v>16</v>
      </c>
      <c r="B15" s="6">
        <v>0.15505846920337699</v>
      </c>
      <c r="C15" s="6">
        <v>6.4491801391924399</v>
      </c>
    </row>
    <row r="16" spans="1:3" x14ac:dyDescent="0.15">
      <c r="A16" s="55" t="s">
        <v>17</v>
      </c>
      <c r="B16" s="6">
        <v>0.15347603355213099</v>
      </c>
      <c r="C16" s="6">
        <v>6.5156752937606299</v>
      </c>
    </row>
    <row r="17" spans="1:3" x14ac:dyDescent="0.15">
      <c r="A17" s="55" t="s">
        <v>18</v>
      </c>
      <c r="B17" s="6">
        <v>0.153480552163204</v>
      </c>
      <c r="C17" s="6">
        <v>6.5154834661830598</v>
      </c>
    </row>
    <row r="18" spans="1:3" x14ac:dyDescent="0.15">
      <c r="A18" s="55" t="s">
        <v>19</v>
      </c>
      <c r="B18" s="6">
        <v>0.15135052654071199</v>
      </c>
      <c r="C18" s="6">
        <v>6.6071788639004803</v>
      </c>
    </row>
    <row r="19" spans="1:3" x14ac:dyDescent="0.15">
      <c r="A19" s="55" t="s">
        <v>20</v>
      </c>
      <c r="B19" s="6">
        <v>0.14520448257929899</v>
      </c>
      <c r="C19" s="6">
        <v>6.8868397327464104</v>
      </c>
    </row>
    <row r="20" spans="1:3" x14ac:dyDescent="0.15">
      <c r="A20" s="55" t="s">
        <v>21</v>
      </c>
      <c r="B20" s="6">
        <v>0.14029452814745599</v>
      </c>
      <c r="C20" s="6">
        <v>7.12786174346697</v>
      </c>
    </row>
    <row r="21" spans="1:3" x14ac:dyDescent="0.15">
      <c r="A21" s="55" t="s">
        <v>22</v>
      </c>
      <c r="B21" s="6">
        <v>0.138511262027254</v>
      </c>
      <c r="C21" s="6">
        <v>7.2196295475471004</v>
      </c>
    </row>
    <row r="22" spans="1:3" x14ac:dyDescent="0.15">
      <c r="A22" s="55" t="s">
        <v>23</v>
      </c>
      <c r="B22" s="6">
        <v>0.13765067798823399</v>
      </c>
      <c r="C22" s="6">
        <v>7.26476625189943</v>
      </c>
    </row>
    <row r="23" spans="1:3" x14ac:dyDescent="0.15">
      <c r="A23" s="55">
        <v>2021</v>
      </c>
      <c r="B23">
        <v>0.13468755184758699</v>
      </c>
    </row>
    <row r="24" spans="1:3" x14ac:dyDescent="0.15">
      <c r="A24" s="55">
        <v>2022</v>
      </c>
      <c r="B24">
        <v>0.13178821120116199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topLeftCell="A7" workbookViewId="0">
      <selection activeCell="H38" sqref="H38"/>
    </sheetView>
  </sheetViews>
  <sheetFormatPr defaultColWidth="9" defaultRowHeight="13.5" x14ac:dyDescent="0.15"/>
  <cols>
    <col min="1" max="1" width="9.5" bestFit="1" customWidth="1"/>
    <col min="2" max="2" width="45.875" customWidth="1"/>
    <col min="3" max="3" width="15.875" customWidth="1"/>
    <col min="4" max="4" width="17.25" customWidth="1"/>
    <col min="5" max="5" width="14.25" customWidth="1"/>
    <col min="6" max="8" width="13.625" customWidth="1"/>
    <col min="9" max="9" width="9.5" bestFit="1" customWidth="1"/>
    <col min="12" max="12" width="79.625" bestFit="1" customWidth="1"/>
  </cols>
  <sheetData>
    <row r="1" spans="1:13" x14ac:dyDescent="0.15">
      <c r="A1" s="5" t="s">
        <v>126</v>
      </c>
      <c r="B1" s="5" t="s">
        <v>25</v>
      </c>
      <c r="C1" s="5" t="s">
        <v>248</v>
      </c>
      <c r="D1" s="5" t="s">
        <v>26</v>
      </c>
      <c r="E1" s="5" t="s">
        <v>27</v>
      </c>
      <c r="F1" s="5" t="s">
        <v>24</v>
      </c>
      <c r="G1" s="5" t="s">
        <v>247</v>
      </c>
      <c r="H1" s="5" t="s">
        <v>249</v>
      </c>
      <c r="I1" s="5" t="s">
        <v>126</v>
      </c>
      <c r="L1" t="s">
        <v>61</v>
      </c>
      <c r="M1" t="s">
        <v>230</v>
      </c>
    </row>
    <row r="2" spans="1:13" x14ac:dyDescent="0.15">
      <c r="A2">
        <v>38260000</v>
      </c>
      <c r="B2" t="s">
        <v>41</v>
      </c>
      <c r="C2" t="str">
        <f>IFERROR(VLOOKUP(A2,Import!A:E,5,FALSE),VLOOKUP(A2,Export!A:E,5,FALSE))</f>
        <v>千克</v>
      </c>
      <c r="D2" s="5" t="s">
        <v>222</v>
      </c>
      <c r="E2" s="5" t="str">
        <f>VLOOKUP(D2,'Fuel Code Switch'!B$2:C$45,2,FALSE)</f>
        <v>biofuel diesel</v>
      </c>
      <c r="F2" s="3">
        <f>VLOOKUP($D2,'Energy Heat Value Conversion'!$A:$E,5,FALSE)</f>
        <v>368961123289.63098</v>
      </c>
      <c r="G2" s="3" t="str">
        <f>VLOOKUP(D2,'Energy Heat Value Conversion'!A:B,2,FALSE)</f>
        <v>万吨</v>
      </c>
      <c r="H2" s="3">
        <f>10^-7</f>
        <v>9.9999999999999995E-8</v>
      </c>
      <c r="I2">
        <f>VLOOKUP(B2,L:M,2,FALSE)</f>
        <v>38260000</v>
      </c>
      <c r="L2" t="s">
        <v>35</v>
      </c>
      <c r="M2">
        <v>27011100</v>
      </c>
    </row>
    <row r="3" spans="1:13" x14ac:dyDescent="0.15">
      <c r="A3">
        <v>27030000</v>
      </c>
      <c r="B3" t="s">
        <v>31</v>
      </c>
      <c r="C3" t="str">
        <f>IFERROR(VLOOKUP(A3,Import!A:E,5,FALSE),VLOOKUP(A3,Export!A:E,5,FALSE))</f>
        <v>千克</v>
      </c>
      <c r="D3" s="5" t="s">
        <v>129</v>
      </c>
      <c r="E3" s="5" t="str">
        <f>VLOOKUP(D3,'Fuel Code Switch'!B$2:C$45,2,FALSE)</f>
        <v>hard coal</v>
      </c>
      <c r="F3" s="3">
        <f>VLOOKUP($D3,'Energy Heat Value Conversion'!$A:$E,5,FALSE)</f>
        <v>103027721233.90436</v>
      </c>
      <c r="G3" s="3" t="str">
        <f>VLOOKUP(D3,'Energy Heat Value Conversion'!A:B,2,FALSE)</f>
        <v>万吨</v>
      </c>
      <c r="H3" s="3">
        <f t="shared" ref="H3:H42" si="0">10^-7</f>
        <v>9.9999999999999995E-8</v>
      </c>
      <c r="I3">
        <f t="shared" ref="I3:I42" si="1">VLOOKUP(B3,L:M,2,FALSE)</f>
        <v>27030000</v>
      </c>
      <c r="L3" t="s">
        <v>29</v>
      </c>
      <c r="M3">
        <v>27011210</v>
      </c>
    </row>
    <row r="4" spans="1:13" x14ac:dyDescent="0.15">
      <c r="A4">
        <v>68152000</v>
      </c>
      <c r="B4" t="s">
        <v>32</v>
      </c>
      <c r="C4" t="str">
        <f>IFERROR(VLOOKUP(A4,Import!A:E,5,FALSE),VLOOKUP(A4,Export!A:E,5,FALSE))</f>
        <v>千克</v>
      </c>
      <c r="D4" s="5" t="s">
        <v>129</v>
      </c>
      <c r="E4" s="5" t="str">
        <f>VLOOKUP(D4,'Fuel Code Switch'!B$2:C$45,2,FALSE)</f>
        <v>hard coal</v>
      </c>
      <c r="F4" s="3">
        <f>VLOOKUP($D4,'Energy Heat Value Conversion'!$A:$E,5,FALSE)</f>
        <v>103027721233.90436</v>
      </c>
      <c r="G4" s="3" t="str">
        <f>VLOOKUP(D4,'Energy Heat Value Conversion'!A:B,2,FALSE)</f>
        <v>万吨</v>
      </c>
      <c r="H4" s="3">
        <f t="shared" si="0"/>
        <v>9.9999999999999995E-8</v>
      </c>
      <c r="I4">
        <f t="shared" si="1"/>
        <v>68152000</v>
      </c>
      <c r="L4" t="s">
        <v>34</v>
      </c>
      <c r="M4">
        <v>27011290</v>
      </c>
    </row>
    <row r="5" spans="1:13" x14ac:dyDescent="0.15">
      <c r="A5">
        <v>27021000</v>
      </c>
      <c r="B5" t="s">
        <v>28</v>
      </c>
      <c r="C5" t="str">
        <f>IFERROR(VLOOKUP(A5,Import!A:E,5,FALSE),VLOOKUP(A5,Export!A:E,5,FALSE))</f>
        <v>千克</v>
      </c>
      <c r="D5" s="5" t="s">
        <v>92</v>
      </c>
      <c r="E5" s="5" t="str">
        <f>VLOOKUP(D5,'Fuel Code Switch'!B$2:C$45,2,FALSE)</f>
        <v>hard coal</v>
      </c>
      <c r="F5" s="3">
        <f>VLOOKUP($D5,'Energy Heat Value Conversion'!$A:$E,5,FALSE)</f>
        <v>133452650871.51547</v>
      </c>
      <c r="G5" s="3" t="str">
        <f>VLOOKUP(D5,'Energy Heat Value Conversion'!A:B,2,FALSE)</f>
        <v>万吨</v>
      </c>
      <c r="H5" s="3">
        <f t="shared" si="0"/>
        <v>9.9999999999999995E-8</v>
      </c>
      <c r="I5">
        <f t="shared" si="1"/>
        <v>27021000</v>
      </c>
      <c r="L5" t="s">
        <v>33</v>
      </c>
      <c r="M5">
        <v>27011900</v>
      </c>
    </row>
    <row r="6" spans="1:13" x14ac:dyDescent="0.15">
      <c r="A6">
        <v>27022000</v>
      </c>
      <c r="B6" t="s">
        <v>36</v>
      </c>
      <c r="C6" t="str">
        <f>IFERROR(VLOOKUP(A6,Import!A:E,5,FALSE),VLOOKUP(A6,Export!A:E,5,FALSE))</f>
        <v>千克</v>
      </c>
      <c r="D6" s="5" t="s">
        <v>92</v>
      </c>
      <c r="E6" s="5" t="str">
        <f>VLOOKUP(D6,'Fuel Code Switch'!B$2:C$45,2,FALSE)</f>
        <v>hard coal</v>
      </c>
      <c r="F6" s="3">
        <f>VLOOKUP($D6,'Energy Heat Value Conversion'!$A:$E,5,FALSE)</f>
        <v>133452650871.51547</v>
      </c>
      <c r="G6" s="3" t="str">
        <f>VLOOKUP(D6,'Energy Heat Value Conversion'!A:B,2,FALSE)</f>
        <v>万吨</v>
      </c>
      <c r="H6" s="3">
        <f t="shared" si="0"/>
        <v>9.9999999999999995E-8</v>
      </c>
      <c r="I6">
        <f t="shared" si="1"/>
        <v>27022000</v>
      </c>
      <c r="L6" t="s">
        <v>30</v>
      </c>
      <c r="M6">
        <v>27012000</v>
      </c>
    </row>
    <row r="7" spans="1:13" x14ac:dyDescent="0.15">
      <c r="A7">
        <v>27012000</v>
      </c>
      <c r="B7" t="s">
        <v>30</v>
      </c>
      <c r="C7" t="str">
        <f>IFERROR(VLOOKUP(A7,Import!A:E,5,FALSE),VLOOKUP(A7,Export!A:E,5,FALSE))</f>
        <v>千克</v>
      </c>
      <c r="D7" s="5" t="s">
        <v>98</v>
      </c>
      <c r="E7" s="5" t="str">
        <f>VLOOKUP(D7,'Fuel Code Switch'!B$2:C$45,2,FALSE)</f>
        <v>hard coal</v>
      </c>
      <c r="F7" s="3">
        <f>VLOOKUP($D7,'Energy Heat Value Conversion'!$A:$E,5,FALSE)</f>
        <v>146655743390.26697</v>
      </c>
      <c r="G7" s="3" t="str">
        <f>VLOOKUP(D7,'Energy Heat Value Conversion'!A:B,2,FALSE)</f>
        <v>万吨</v>
      </c>
      <c r="H7" s="3">
        <f t="shared" si="0"/>
        <v>9.9999999999999995E-8</v>
      </c>
      <c r="I7">
        <f t="shared" si="1"/>
        <v>27012000</v>
      </c>
      <c r="L7" t="s">
        <v>28</v>
      </c>
      <c r="M7">
        <v>27021000</v>
      </c>
    </row>
    <row r="8" spans="1:13" x14ac:dyDescent="0.15">
      <c r="A8">
        <v>27011290</v>
      </c>
      <c r="B8" t="s">
        <v>34</v>
      </c>
      <c r="C8" t="str">
        <f>IFERROR(VLOOKUP(A8,Import!A:E,5,FALSE),VLOOKUP(A8,Export!A:E,5,FALSE))</f>
        <v>千克</v>
      </c>
      <c r="D8" s="5" t="s">
        <v>131</v>
      </c>
      <c r="E8" s="5" t="str">
        <f>VLOOKUP(D8,'Fuel Code Switch'!B$2:C$45,2,FALSE)</f>
        <v>hard coal</v>
      </c>
      <c r="F8" s="3">
        <f>VLOOKUP($D8,'Energy Heat Value Conversion'!$A:$E,5,FALSE)</f>
        <v>185487810905.93451</v>
      </c>
      <c r="G8" s="3" t="str">
        <f>VLOOKUP(D8,'Energy Heat Value Conversion'!A:B,2,FALSE)</f>
        <v>万吨</v>
      </c>
      <c r="H8" s="3">
        <f t="shared" si="0"/>
        <v>9.9999999999999995E-8</v>
      </c>
      <c r="I8">
        <f t="shared" si="1"/>
        <v>27011290</v>
      </c>
      <c r="L8" t="s">
        <v>36</v>
      </c>
      <c r="M8">
        <v>27022000</v>
      </c>
    </row>
    <row r="9" spans="1:13" x14ac:dyDescent="0.15">
      <c r="A9">
        <v>27011210</v>
      </c>
      <c r="B9" t="s">
        <v>29</v>
      </c>
      <c r="C9" t="str">
        <f>IFERROR(VLOOKUP(A9,Import!A:E,5,FALSE),VLOOKUP(A9,Export!A:E,5,FALSE))</f>
        <v>千克</v>
      </c>
      <c r="D9" s="5" t="s">
        <v>130</v>
      </c>
      <c r="E9" s="5" t="str">
        <f>VLOOKUP(D9,'Fuel Code Switch'!B$2:C$45,2,FALSE)</f>
        <v>hard coal</v>
      </c>
      <c r="F9" s="3">
        <f>VLOOKUP($D9,'Energy Heat Value Conversion'!$A:$E,5,FALSE)</f>
        <v>192444788586.31039</v>
      </c>
      <c r="G9" s="3" t="str">
        <f>VLOOKUP(D9,'Energy Heat Value Conversion'!A:B,2,FALSE)</f>
        <v>万吨</v>
      </c>
      <c r="H9" s="3">
        <f t="shared" si="0"/>
        <v>9.9999999999999995E-8</v>
      </c>
      <c r="I9">
        <f t="shared" si="1"/>
        <v>27011210</v>
      </c>
      <c r="L9" t="s">
        <v>31</v>
      </c>
      <c r="M9">
        <v>27030000</v>
      </c>
    </row>
    <row r="10" spans="1:13" x14ac:dyDescent="0.15">
      <c r="A10">
        <v>27011100</v>
      </c>
      <c r="B10" t="s">
        <v>35</v>
      </c>
      <c r="C10" t="str">
        <f>IFERROR(VLOOKUP(A10,Import!A:E,5,FALSE),VLOOKUP(A10,Export!A:E,5,FALSE))</f>
        <v>千克</v>
      </c>
      <c r="D10" s="5" t="s">
        <v>130</v>
      </c>
      <c r="E10" s="5" t="str">
        <f>VLOOKUP(D10,'Fuel Code Switch'!B$2:C$45,2,FALSE)</f>
        <v>hard coal</v>
      </c>
      <c r="F10" s="3">
        <f>VLOOKUP($D10,'Energy Heat Value Conversion'!$A:$E,5,FALSE)</f>
        <v>192444788586.31039</v>
      </c>
      <c r="G10" s="3" t="str">
        <f>VLOOKUP(D10,'Energy Heat Value Conversion'!A:B,2,FALSE)</f>
        <v>万吨</v>
      </c>
      <c r="H10" s="3">
        <f t="shared" si="0"/>
        <v>9.9999999999999995E-8</v>
      </c>
      <c r="I10">
        <f t="shared" si="1"/>
        <v>27011100</v>
      </c>
      <c r="L10" t="s">
        <v>57</v>
      </c>
      <c r="M10">
        <v>27050000</v>
      </c>
    </row>
    <row r="11" spans="1:13" x14ac:dyDescent="0.15">
      <c r="A11">
        <v>27011900</v>
      </c>
      <c r="B11" t="s">
        <v>33</v>
      </c>
      <c r="C11" t="str">
        <f>IFERROR(VLOOKUP(A11,Import!A:E,5,FALSE),VLOOKUP(A11,Export!A:E,5,FALSE))</f>
        <v>千克</v>
      </c>
      <c r="D11" s="5" t="s">
        <v>101</v>
      </c>
      <c r="E11" s="5" t="str">
        <f>VLOOKUP(D11,'Fuel Code Switch'!B$2:C$45,2,FALSE)</f>
        <v>hard coal</v>
      </c>
      <c r="F11" s="3">
        <f>VLOOKUP($D11,'Energy Heat Value Conversion'!$A:$E,5,FALSE)</f>
        <v>198169604007.21915</v>
      </c>
      <c r="G11" s="3" t="str">
        <f>VLOOKUP(D11,'Energy Heat Value Conversion'!A:B,2,FALSE)</f>
        <v>万吨</v>
      </c>
      <c r="H11" s="3">
        <f t="shared" si="0"/>
        <v>9.9999999999999995E-8</v>
      </c>
      <c r="I11">
        <f t="shared" si="1"/>
        <v>27011900</v>
      </c>
      <c r="L11" t="s">
        <v>56</v>
      </c>
      <c r="M11">
        <v>27079990</v>
      </c>
    </row>
    <row r="12" spans="1:13" x14ac:dyDescent="0.15">
      <c r="A12">
        <v>27101922</v>
      </c>
      <c r="B12" t="s">
        <v>50</v>
      </c>
      <c r="C12" t="str">
        <f>IFERROR(VLOOKUP(A12,Import!A:E,5,FALSE),VLOOKUP(A12,Export!A:E,5,FALSE))</f>
        <v>千克</v>
      </c>
      <c r="D12" s="5" t="s">
        <v>109</v>
      </c>
      <c r="E12" s="5" t="str">
        <f>VLOOKUP(D12,'Fuel Code Switch'!B$2:C$45,2,FALSE)</f>
        <v>heavy fuel oil</v>
      </c>
      <c r="F12" s="3">
        <f>VLOOKUP($D12,'Energy Heat Value Conversion'!$A:$E,5,FALSE)</f>
        <v>396339208014.43829</v>
      </c>
      <c r="G12" s="3" t="str">
        <f>VLOOKUP(D12,'Energy Heat Value Conversion'!A:B,2,FALSE)</f>
        <v>万吨</v>
      </c>
      <c r="H12" s="3">
        <f t="shared" si="0"/>
        <v>9.9999999999999995E-8</v>
      </c>
      <c r="I12">
        <v>27101922</v>
      </c>
      <c r="L12" t="s">
        <v>227</v>
      </c>
      <c r="M12">
        <v>27090000</v>
      </c>
    </row>
    <row r="13" spans="1:13" x14ac:dyDescent="0.15">
      <c r="A13">
        <v>27101929</v>
      </c>
      <c r="B13" t="s">
        <v>51</v>
      </c>
      <c r="C13" t="str">
        <f>IFERROR(VLOOKUP(A13,Import!A:E,5,FALSE),VLOOKUP(A13,Export!A:E,5,FALSE))</f>
        <v>千克</v>
      </c>
      <c r="D13" s="5" t="s">
        <v>109</v>
      </c>
      <c r="E13" s="5" t="str">
        <f>VLOOKUP(D13,'Fuel Code Switch'!B$2:C$45,2,FALSE)</f>
        <v>heavy fuel oil</v>
      </c>
      <c r="F13" s="3">
        <f>VLOOKUP($D13,'Energy Heat Value Conversion'!$A:$E,5,FALSE)</f>
        <v>396339208014.43829</v>
      </c>
      <c r="G13" s="3" t="str">
        <f>VLOOKUP(D13,'Energy Heat Value Conversion'!A:B,2,FALSE)</f>
        <v>万吨</v>
      </c>
      <c r="H13" s="3">
        <f t="shared" si="0"/>
        <v>9.9999999999999995E-8</v>
      </c>
      <c r="I13">
        <f t="shared" si="1"/>
        <v>27101929</v>
      </c>
      <c r="L13" t="s">
        <v>54</v>
      </c>
      <c r="M13">
        <v>27101210</v>
      </c>
    </row>
    <row r="14" spans="1:13" x14ac:dyDescent="0.15">
      <c r="A14">
        <v>27101230</v>
      </c>
      <c r="B14" t="s">
        <v>53</v>
      </c>
      <c r="C14" t="str">
        <f>IFERROR(VLOOKUP(A14,Import!A:E,5,FALSE),VLOOKUP(A14,Export!A:E,5,FALSE))</f>
        <v>千克</v>
      </c>
      <c r="D14" s="5" t="s">
        <v>112</v>
      </c>
      <c r="E14" s="5" t="str">
        <f>VLOOKUP(D14,'Fuel Code Switch'!B$2:C$45,2,FALSE)</f>
        <v>heavy fuel oil</v>
      </c>
      <c r="F14" s="3">
        <f>VLOOKUP($D14,'Energy Heat Value Conversion'!$A:$E,5,FALSE)</f>
        <v>407040063329.34888</v>
      </c>
      <c r="G14" s="3" t="str">
        <f>VLOOKUP(D14,'Energy Heat Value Conversion'!A:B,2,FALSE)</f>
        <v>万吨</v>
      </c>
      <c r="H14" s="3">
        <f t="shared" si="0"/>
        <v>9.9999999999999995E-8</v>
      </c>
      <c r="I14">
        <f t="shared" si="1"/>
        <v>27101230</v>
      </c>
      <c r="L14" t="s">
        <v>49</v>
      </c>
      <c r="M14">
        <v>27101220</v>
      </c>
    </row>
    <row r="15" spans="1:13" x14ac:dyDescent="0.15">
      <c r="A15">
        <v>27101912</v>
      </c>
      <c r="B15" t="s">
        <v>128</v>
      </c>
      <c r="C15" t="str">
        <f>IFERROR(VLOOKUP(A15,Import!A:E,5,FALSE),VLOOKUP(A15,Export!A:E,5,FALSE))</f>
        <v>千克</v>
      </c>
      <c r="D15" s="5" t="s">
        <v>115</v>
      </c>
      <c r="E15" s="5" t="str">
        <f>VLOOKUP(D15,'Fuel Code Switch'!B$2:C$45,2,FALSE)</f>
        <v>jet fuel or kerosene</v>
      </c>
      <c r="F15" s="3">
        <f>VLOOKUP($D15,'Energy Heat Value Conversion'!$A:$E,5,FALSE)</f>
        <v>408224834732.68268</v>
      </c>
      <c r="G15" s="3" t="str">
        <f>VLOOKUP(D15,'Energy Heat Value Conversion'!A:B,2,FALSE)</f>
        <v>万吨</v>
      </c>
      <c r="H15" s="3">
        <f t="shared" si="0"/>
        <v>9.9999999999999995E-8</v>
      </c>
      <c r="I15">
        <f t="shared" si="1"/>
        <v>27101912</v>
      </c>
      <c r="L15" t="s">
        <v>53</v>
      </c>
      <c r="M15">
        <v>27101230</v>
      </c>
    </row>
    <row r="16" spans="1:13" x14ac:dyDescent="0.15">
      <c r="A16">
        <v>27101911</v>
      </c>
      <c r="B16" t="s">
        <v>55</v>
      </c>
      <c r="C16" t="str">
        <f>IFERROR(VLOOKUP(A16,Import!A:E,5,FALSE),VLOOKUP(A16,Export!A:E,5,FALSE))</f>
        <v>千克</v>
      </c>
      <c r="D16" s="5" t="s">
        <v>115</v>
      </c>
      <c r="E16" s="5" t="str">
        <f>VLOOKUP(D16,'Fuel Code Switch'!B$2:C$45,2,FALSE)</f>
        <v>jet fuel or kerosene</v>
      </c>
      <c r="F16" s="3">
        <f>VLOOKUP($D16,'Energy Heat Value Conversion'!$A:$E,5,FALSE)</f>
        <v>408224834732.68268</v>
      </c>
      <c r="G16" s="3" t="str">
        <f>VLOOKUP(D16,'Energy Heat Value Conversion'!A:B,2,FALSE)</f>
        <v>万吨</v>
      </c>
      <c r="H16" s="3">
        <f t="shared" si="0"/>
        <v>9.9999999999999995E-8</v>
      </c>
      <c r="I16">
        <f t="shared" si="1"/>
        <v>27101911</v>
      </c>
      <c r="L16" t="s">
        <v>241</v>
      </c>
      <c r="M16">
        <v>27101299</v>
      </c>
    </row>
    <row r="17" spans="1:13" x14ac:dyDescent="0.15">
      <c r="A17">
        <v>27129090</v>
      </c>
      <c r="B17" t="s">
        <v>43</v>
      </c>
      <c r="C17" t="str">
        <f>IFERROR(VLOOKUP(A17,Import!A:E,5,FALSE),VLOOKUP(A17,Export!A:E,5,FALSE))</f>
        <v>千克</v>
      </c>
      <c r="D17" s="5" t="s">
        <v>105</v>
      </c>
      <c r="E17" s="5" t="str">
        <f>VLOOKUP(D17,'Fuel Code Switch'!B$2:C$45,2,FALSE)</f>
        <v>LPG propane or butane</v>
      </c>
      <c r="F17" s="3">
        <f>VLOOKUP($D17,'Energy Heat Value Conversion'!$A:$E,5,FALSE)</f>
        <v>378415986224.80505</v>
      </c>
      <c r="G17" s="3" t="str">
        <f>VLOOKUP(D17,'Energy Heat Value Conversion'!A:B,2,FALSE)</f>
        <v>万吨</v>
      </c>
      <c r="H17" s="3">
        <f t="shared" si="0"/>
        <v>9.9999999999999995E-8</v>
      </c>
      <c r="I17">
        <f t="shared" si="1"/>
        <v>27129090</v>
      </c>
      <c r="L17" t="s">
        <v>55</v>
      </c>
      <c r="M17">
        <v>27101911</v>
      </c>
    </row>
    <row r="18" spans="1:13" x14ac:dyDescent="0.15">
      <c r="A18">
        <v>27122000</v>
      </c>
      <c r="B18" t="s">
        <v>44</v>
      </c>
      <c r="C18" t="str">
        <f>IFERROR(VLOOKUP(A18,Import!A:E,5,FALSE),VLOOKUP(A18,Export!A:E,5,FALSE))</f>
        <v>千克</v>
      </c>
      <c r="D18" s="5" t="s">
        <v>105</v>
      </c>
      <c r="E18" s="5" t="str">
        <f>VLOOKUP(D18,'Fuel Code Switch'!B$2:C$45,2,FALSE)</f>
        <v>LPG propane or butane</v>
      </c>
      <c r="F18" s="3">
        <f>VLOOKUP($D18,'Energy Heat Value Conversion'!$A:$E,5,FALSE)</f>
        <v>378415986224.80505</v>
      </c>
      <c r="G18" s="3" t="str">
        <f>VLOOKUP(D18,'Energy Heat Value Conversion'!A:B,2,FALSE)</f>
        <v>万吨</v>
      </c>
      <c r="H18" s="3">
        <f t="shared" si="0"/>
        <v>9.9999999999999995E-8</v>
      </c>
      <c r="I18">
        <f t="shared" si="1"/>
        <v>27122000</v>
      </c>
      <c r="L18" t="s">
        <v>240</v>
      </c>
      <c r="M18">
        <v>27101919</v>
      </c>
    </row>
    <row r="19" spans="1:13" x14ac:dyDescent="0.15">
      <c r="A19">
        <v>27129010</v>
      </c>
      <c r="B19" t="s">
        <v>45</v>
      </c>
      <c r="C19" t="str">
        <f>IFERROR(VLOOKUP(A19,Import!A:E,5,FALSE),VLOOKUP(A19,Export!A:E,5,FALSE))</f>
        <v>千克</v>
      </c>
      <c r="D19" s="5" t="s">
        <v>105</v>
      </c>
      <c r="E19" s="5" t="str">
        <f>VLOOKUP(D19,'Fuel Code Switch'!B$2:C$45,2,FALSE)</f>
        <v>LPG propane or butane</v>
      </c>
      <c r="F19" s="3">
        <f>VLOOKUP($D19,'Energy Heat Value Conversion'!$A:$E,5,FALSE)</f>
        <v>378415986224.80505</v>
      </c>
      <c r="G19" s="3" t="str">
        <f>VLOOKUP(D19,'Energy Heat Value Conversion'!A:B,2,FALSE)</f>
        <v>万吨</v>
      </c>
      <c r="H19" s="3">
        <f t="shared" si="0"/>
        <v>9.9999999999999995E-8</v>
      </c>
      <c r="I19">
        <f t="shared" si="1"/>
        <v>27129010</v>
      </c>
      <c r="L19" t="s">
        <v>50</v>
      </c>
      <c r="M19">
        <v>27101922</v>
      </c>
    </row>
    <row r="20" spans="1:13" x14ac:dyDescent="0.15">
      <c r="A20">
        <v>27101994</v>
      </c>
      <c r="B20" t="s">
        <v>46</v>
      </c>
      <c r="C20" t="str">
        <f>IFERROR(VLOOKUP(A20,Import!A:E,5,FALSE),VLOOKUP(A20,Export!A:E,5,FALSE))</f>
        <v>千克</v>
      </c>
      <c r="D20" s="5" t="s">
        <v>105</v>
      </c>
      <c r="E20" s="5" t="str">
        <f>VLOOKUP(D20,'Fuel Code Switch'!B$2:C$45,2,FALSE)</f>
        <v>LPG propane or butane</v>
      </c>
      <c r="F20" s="3">
        <f>VLOOKUP($D20,'Energy Heat Value Conversion'!$A:$E,5,FALSE)</f>
        <v>378415986224.80505</v>
      </c>
      <c r="G20" s="3" t="str">
        <f>VLOOKUP(D20,'Energy Heat Value Conversion'!A:B,2,FALSE)</f>
        <v>万吨</v>
      </c>
      <c r="H20" s="3">
        <f t="shared" si="0"/>
        <v>9.9999999999999995E-8</v>
      </c>
      <c r="I20">
        <f t="shared" si="1"/>
        <v>27101994</v>
      </c>
      <c r="L20" t="s">
        <v>52</v>
      </c>
      <c r="M20">
        <v>27101923</v>
      </c>
    </row>
    <row r="21" spans="1:13" x14ac:dyDescent="0.15">
      <c r="A21">
        <v>27101993</v>
      </c>
      <c r="B21" t="s">
        <v>47</v>
      </c>
      <c r="C21" t="str">
        <f>IFERROR(VLOOKUP(A21,Import!A:E,5,FALSE),VLOOKUP(A21,Export!A:E,5,FALSE))</f>
        <v>千克</v>
      </c>
      <c r="D21" s="5" t="s">
        <v>106</v>
      </c>
      <c r="E21" s="5" t="str">
        <f>VLOOKUP(D21,'Fuel Code Switch'!B$2:C$45,2,FALSE)</f>
        <v>LPG propane or butane</v>
      </c>
      <c r="F21" s="3">
        <f>VLOOKUP($D21,'Energy Heat Value Conversion'!$A:$E,5,FALSE)</f>
        <v>392377332441.69019</v>
      </c>
      <c r="G21" s="3" t="str">
        <f>VLOOKUP(D21,'Energy Heat Value Conversion'!A:B,2,FALSE)</f>
        <v>万吨</v>
      </c>
      <c r="H21" s="3">
        <f t="shared" si="0"/>
        <v>9.9999999999999995E-8</v>
      </c>
      <c r="I21">
        <f t="shared" si="1"/>
        <v>27101993</v>
      </c>
      <c r="L21" t="s">
        <v>51</v>
      </c>
      <c r="M21">
        <v>27101929</v>
      </c>
    </row>
    <row r="22" spans="1:13" x14ac:dyDescent="0.15">
      <c r="A22">
        <v>27101991</v>
      </c>
      <c r="B22" t="s">
        <v>48</v>
      </c>
      <c r="C22" t="str">
        <f>IFERROR(VLOOKUP(A22,Import!A:E,5,FALSE),VLOOKUP(A22,Export!A:E,5,FALSE))</f>
        <v>千克</v>
      </c>
      <c r="D22" s="5" t="s">
        <v>106</v>
      </c>
      <c r="E22" s="5" t="str">
        <f>VLOOKUP(D22,'Fuel Code Switch'!B$2:C$45,2,FALSE)</f>
        <v>LPG propane or butane</v>
      </c>
      <c r="F22" s="3">
        <f>VLOOKUP($D22,'Energy Heat Value Conversion'!$A:$E,5,FALSE)</f>
        <v>392377332441.69019</v>
      </c>
      <c r="G22" s="3" t="str">
        <f>VLOOKUP(D22,'Energy Heat Value Conversion'!A:B,2,FALSE)</f>
        <v>万吨</v>
      </c>
      <c r="H22" s="3">
        <f t="shared" si="0"/>
        <v>9.9999999999999995E-8</v>
      </c>
      <c r="I22">
        <f t="shared" si="1"/>
        <v>27101991</v>
      </c>
      <c r="L22" t="s">
        <v>48</v>
      </c>
      <c r="M22">
        <v>27101991</v>
      </c>
    </row>
    <row r="23" spans="1:13" x14ac:dyDescent="0.15">
      <c r="A23">
        <v>27101220</v>
      </c>
      <c r="B23" t="s">
        <v>49</v>
      </c>
      <c r="C23" t="str">
        <f>IFERROR(VLOOKUP(A23,Import!A:E,5,FALSE),VLOOKUP(A23,Export!A:E,5,FALSE))</f>
        <v>千克</v>
      </c>
      <c r="D23" s="5" t="s">
        <v>107</v>
      </c>
      <c r="E23" s="5" t="str">
        <f>VLOOKUP(D23,'Fuel Code Switch'!B$2:C$45,2,FALSE)</f>
        <v>LPG propane or butane</v>
      </c>
      <c r="F23" s="3">
        <f>VLOOKUP($D23,'Energy Heat Value Conversion'!$A:$E,5,FALSE)</f>
        <v>416158064049.40558</v>
      </c>
      <c r="G23" s="3" t="str">
        <f>VLOOKUP(D23,'Energy Heat Value Conversion'!A:B,2,FALSE)</f>
        <v>万吨</v>
      </c>
      <c r="H23" s="3">
        <f t="shared" si="0"/>
        <v>9.9999999999999995E-8</v>
      </c>
      <c r="I23">
        <f t="shared" si="1"/>
        <v>27101220</v>
      </c>
      <c r="L23" t="s">
        <v>47</v>
      </c>
      <c r="M23">
        <v>27101993</v>
      </c>
    </row>
    <row r="24" spans="1:13" x14ac:dyDescent="0.15">
      <c r="A24">
        <v>27111990</v>
      </c>
      <c r="B24" t="s">
        <v>58</v>
      </c>
      <c r="C24" t="str">
        <f>IFERROR(VLOOKUP(A24,Import!A:E,5,FALSE),VLOOKUP(A24,Export!A:E,5,FALSE))</f>
        <v>千克</v>
      </c>
      <c r="D24" s="5" t="s">
        <v>120</v>
      </c>
      <c r="E24" s="5" t="str">
        <f>VLOOKUP(D24,'Fuel Code Switch'!B$2:C$45,2,FALSE)</f>
        <v>LPG propane or butane</v>
      </c>
      <c r="F24" s="3">
        <f>VLOOKUP($D24,'Energy Heat Value Conversion'!$A:$E,5,FALSE)</f>
        <v>475605153983.08063</v>
      </c>
      <c r="G24" s="3" t="str">
        <f>VLOOKUP(D24,'Energy Heat Value Conversion'!A:B,2,FALSE)</f>
        <v>万吨</v>
      </c>
      <c r="H24" s="3">
        <f t="shared" si="0"/>
        <v>9.9999999999999995E-8</v>
      </c>
      <c r="I24">
        <f t="shared" si="1"/>
        <v>27111990</v>
      </c>
      <c r="L24" t="s">
        <v>46</v>
      </c>
      <c r="M24">
        <v>27101994</v>
      </c>
    </row>
    <row r="25" spans="1:13" x14ac:dyDescent="0.15">
      <c r="A25">
        <f>VLOOKUP(B25,能源品种参考表!B:I,8,FALSE)</f>
        <v>27050000</v>
      </c>
      <c r="B25" t="s">
        <v>57</v>
      </c>
      <c r="C25" t="str">
        <f>IFERROR(VLOOKUP(A25,Import!A:E,5,FALSE),VLOOKUP(A25,Export!A:E,5,FALSE))</f>
        <v>千克</v>
      </c>
      <c r="D25" s="5" t="s">
        <v>180</v>
      </c>
      <c r="E25" s="5" t="str">
        <f>VLOOKUP(D25,'Fuel Code Switch'!B$2:C$45,2,FALSE)</f>
        <v>LPG propane or butane</v>
      </c>
      <c r="F25" s="3">
        <f>VLOOKUP($D25,'Energy Heat Value Conversion'!$A:$E,5,FALSE)</f>
        <v>495424010018.04791</v>
      </c>
      <c r="G25" s="3" t="str">
        <f>VLOOKUP(D25,'Energy Heat Value Conversion'!A:B,2,FALSE)</f>
        <v>亿立方米</v>
      </c>
      <c r="H25" s="3">
        <f>1/(0.8795*10^8)</f>
        <v>1.1370096645821489E-8</v>
      </c>
      <c r="I25">
        <f t="shared" si="1"/>
        <v>27050000</v>
      </c>
      <c r="L25" t="s">
        <v>238</v>
      </c>
      <c r="M25">
        <v>27101999</v>
      </c>
    </row>
    <row r="26" spans="1:13" x14ac:dyDescent="0.15">
      <c r="A26">
        <v>38251000</v>
      </c>
      <c r="B26" s="5" t="s">
        <v>123</v>
      </c>
      <c r="C26" t="e">
        <f>IFERROR(VLOOKUP(A26,Import!A:E,5,FALSE),VLOOKUP(A26,Export!A:E,5,FALSE))</f>
        <v>#N/A</v>
      </c>
      <c r="D26" s="5" t="s">
        <v>123</v>
      </c>
      <c r="E26" s="5" t="str">
        <f>VLOOKUP(D26,'Fuel Code Switch'!B$2:C$45,2,FALSE)</f>
        <v>municipal solid waste</v>
      </c>
      <c r="F26" s="3">
        <f>VLOOKUP($D26,'Energy Heat Value Conversion'!$A:$E,5,FALSE)</f>
        <v>47390856133.35067</v>
      </c>
      <c r="G26" s="3" t="str">
        <f>VLOOKUP(D26,'Energy Heat Value Conversion'!A:B,2,FALSE)</f>
        <v>万吨</v>
      </c>
      <c r="H26" s="3">
        <f t="shared" si="0"/>
        <v>9.9999999999999995E-8</v>
      </c>
      <c r="I26">
        <v>38251000</v>
      </c>
      <c r="L26" t="s">
        <v>60</v>
      </c>
      <c r="M26">
        <v>27111100</v>
      </c>
    </row>
    <row r="27" spans="1:13" x14ac:dyDescent="0.15">
      <c r="A27">
        <v>27112100</v>
      </c>
      <c r="B27" t="s">
        <v>59</v>
      </c>
      <c r="C27" t="str">
        <f>IFERROR(VLOOKUP(A27,Import!A:E,5,FALSE),VLOOKUP(A27,Export!A:E,5,FALSE))</f>
        <v>千克</v>
      </c>
      <c r="D27" s="5" t="s">
        <v>118</v>
      </c>
      <c r="E27" s="5" t="str">
        <f>VLOOKUP(D27,'Fuel Code Switch'!B$2:C$45,2,FALSE)</f>
        <v>natural gas</v>
      </c>
      <c r="F27" s="3">
        <f>VLOOKUP($D27,'Energy Heat Value Conversion'!$A:$E,5,FALSE)</f>
        <v>487500258872.5517</v>
      </c>
      <c r="G27" s="3" t="str">
        <f>VLOOKUP(D27,'Energy Heat Value Conversion'!A:B,2,FALSE)</f>
        <v>万吨</v>
      </c>
      <c r="H27" s="3">
        <f t="shared" si="0"/>
        <v>9.9999999999999995E-8</v>
      </c>
      <c r="I27">
        <f t="shared" si="1"/>
        <v>27112100</v>
      </c>
      <c r="L27" t="s">
        <v>58</v>
      </c>
      <c r="M27">
        <v>27111990</v>
      </c>
    </row>
    <row r="28" spans="1:13" x14ac:dyDescent="0.15">
      <c r="A28">
        <v>27111100</v>
      </c>
      <c r="B28" t="s">
        <v>60</v>
      </c>
      <c r="C28" t="str">
        <f>IFERROR(VLOOKUP(A28,Import!A:E,5,FALSE),VLOOKUP(A28,Export!A:E,5,FALSE))</f>
        <v>千克</v>
      </c>
      <c r="D28" s="5" t="s">
        <v>118</v>
      </c>
      <c r="E28" s="5" t="str">
        <f>VLOOKUP(D28,'Fuel Code Switch'!B$2:C$45,2,FALSE)</f>
        <v>natural gas</v>
      </c>
      <c r="F28" s="3">
        <f>VLOOKUP($D28,'Energy Heat Value Conversion'!$A:$E,5,FALSE)</f>
        <v>487500258872.5517</v>
      </c>
      <c r="G28" s="3" t="str">
        <f>VLOOKUP(D28,'Energy Heat Value Conversion'!A:B,2,FALSE)</f>
        <v>万吨</v>
      </c>
      <c r="H28" s="3">
        <f t="shared" si="0"/>
        <v>9.9999999999999995E-8</v>
      </c>
      <c r="I28">
        <f t="shared" si="1"/>
        <v>27111100</v>
      </c>
      <c r="L28" t="s">
        <v>59</v>
      </c>
      <c r="M28">
        <v>27112100</v>
      </c>
    </row>
    <row r="29" spans="1:13" x14ac:dyDescent="0.15">
      <c r="A29">
        <v>27131190</v>
      </c>
      <c r="B29" t="s">
        <v>37</v>
      </c>
      <c r="C29" t="str">
        <f>IFERROR(VLOOKUP(A29,Import!A:E,5,FALSE),VLOOKUP(A29,Export!A:E,5,FALSE))</f>
        <v>千克</v>
      </c>
      <c r="D29" s="5" t="s">
        <v>103</v>
      </c>
      <c r="E29" s="5" t="str">
        <f>VLOOKUP(D29,'Fuel Code Switch'!B$2:C$45,2,FALSE)</f>
        <v>petroleum diesel</v>
      </c>
      <c r="F29" s="3">
        <f>VLOOKUP($D29,'Energy Heat Value Conversion'!$A:$E,5,FALSE)</f>
        <v>302799136178.43073</v>
      </c>
      <c r="G29" s="3" t="str">
        <f>VLOOKUP(D29,'Energy Heat Value Conversion'!A:B,2,FALSE)</f>
        <v>万吨</v>
      </c>
      <c r="H29" s="3">
        <f t="shared" si="0"/>
        <v>9.9999999999999995E-8</v>
      </c>
      <c r="I29">
        <f t="shared" si="1"/>
        <v>27131190</v>
      </c>
      <c r="L29" t="s">
        <v>44</v>
      </c>
      <c r="M29">
        <v>27122000</v>
      </c>
    </row>
    <row r="30" spans="1:13" x14ac:dyDescent="0.15">
      <c r="A30">
        <v>27131290</v>
      </c>
      <c r="B30" t="s">
        <v>38</v>
      </c>
      <c r="C30" t="str">
        <f>IFERROR(VLOOKUP(A30,Import!A:E,5,FALSE),VLOOKUP(A30,Export!A:E,5,FALSE))</f>
        <v>千克</v>
      </c>
      <c r="D30" s="5" t="s">
        <v>103</v>
      </c>
      <c r="E30" s="5" t="str">
        <f>VLOOKUP(D30,'Fuel Code Switch'!B$2:C$45,2,FALSE)</f>
        <v>petroleum diesel</v>
      </c>
      <c r="F30" s="3">
        <f>VLOOKUP($D30,'Energy Heat Value Conversion'!$A:$E,5,FALSE)</f>
        <v>302799136178.43073</v>
      </c>
      <c r="G30" s="3" t="str">
        <f>VLOOKUP(D30,'Energy Heat Value Conversion'!A:B,2,FALSE)</f>
        <v>万吨</v>
      </c>
      <c r="H30" s="3">
        <f t="shared" si="0"/>
        <v>9.9999999999999995E-8</v>
      </c>
      <c r="I30">
        <f t="shared" si="1"/>
        <v>27131290</v>
      </c>
      <c r="L30" t="s">
        <v>45</v>
      </c>
      <c r="M30">
        <v>27129010</v>
      </c>
    </row>
    <row r="31" spans="1:13" x14ac:dyDescent="0.15">
      <c r="A31">
        <v>27131110</v>
      </c>
      <c r="B31" t="s">
        <v>39</v>
      </c>
      <c r="C31" t="str">
        <f>IFERROR(VLOOKUP(A31,Import!A:E,5,FALSE),VLOOKUP(A31,Export!A:E,5,FALSE))</f>
        <v>千克</v>
      </c>
      <c r="D31" s="5" t="s">
        <v>103</v>
      </c>
      <c r="E31" s="5" t="str">
        <f>VLOOKUP(D31,'Fuel Code Switch'!B$2:C$45,2,FALSE)</f>
        <v>petroleum diesel</v>
      </c>
      <c r="F31" s="3">
        <f>VLOOKUP($D31,'Energy Heat Value Conversion'!$A:$E,5,FALSE)</f>
        <v>302799136178.43073</v>
      </c>
      <c r="G31" s="3" t="str">
        <f>VLOOKUP(D31,'Energy Heat Value Conversion'!A:B,2,FALSE)</f>
        <v>万吨</v>
      </c>
      <c r="H31" s="3">
        <f t="shared" si="0"/>
        <v>9.9999999999999995E-8</v>
      </c>
      <c r="I31">
        <f t="shared" si="1"/>
        <v>27131110</v>
      </c>
      <c r="L31" t="s">
        <v>43</v>
      </c>
      <c r="M31">
        <v>27129090</v>
      </c>
    </row>
    <row r="32" spans="1:13" x14ac:dyDescent="0.15">
      <c r="A32">
        <v>27131210</v>
      </c>
      <c r="B32" t="s">
        <v>40</v>
      </c>
      <c r="C32" t="str">
        <f>IFERROR(VLOOKUP(A32,Import!A:E,5,FALSE),VLOOKUP(A32,Export!A:E,5,FALSE))</f>
        <v>千克</v>
      </c>
      <c r="D32" s="5" t="s">
        <v>103</v>
      </c>
      <c r="E32" s="5" t="str">
        <f>VLOOKUP(D32,'Fuel Code Switch'!B$2:C$45,2,FALSE)</f>
        <v>petroleum diesel</v>
      </c>
      <c r="F32" s="3">
        <f>VLOOKUP($D32,'Energy Heat Value Conversion'!$A:$E,5,FALSE)</f>
        <v>302799136178.43073</v>
      </c>
      <c r="G32" s="3" t="str">
        <f>VLOOKUP(D32,'Energy Heat Value Conversion'!A:B,2,FALSE)</f>
        <v>万吨</v>
      </c>
      <c r="H32" s="3">
        <f t="shared" si="0"/>
        <v>9.9999999999999995E-8</v>
      </c>
      <c r="I32">
        <f t="shared" si="1"/>
        <v>27131210</v>
      </c>
      <c r="L32" t="s">
        <v>39</v>
      </c>
      <c r="M32">
        <v>27131110</v>
      </c>
    </row>
    <row r="33" spans="1:13" x14ac:dyDescent="0.15">
      <c r="A33">
        <v>27079990</v>
      </c>
      <c r="B33" t="s">
        <v>56</v>
      </c>
      <c r="C33" t="str">
        <f>IFERROR(VLOOKUP(A33,Import!A:E,5,FALSE),VLOOKUP(A33,Export!A:E,5,FALSE))</f>
        <v>千克</v>
      </c>
      <c r="D33" s="5" t="s">
        <v>117</v>
      </c>
      <c r="E33" s="5" t="str">
        <f>VLOOKUP(D33,'Fuel Code Switch'!B$2:C$45,2,FALSE)</f>
        <v>petroleum diesel</v>
      </c>
      <c r="F33" s="3">
        <f>VLOOKUP($D33,'Energy Heat Value Conversion'!$A:$E,5,FALSE)</f>
        <v>317073262045.79596</v>
      </c>
      <c r="G33" s="3" t="str">
        <f>VLOOKUP(D33,'Energy Heat Value Conversion'!A:B,2,FALSE)</f>
        <v>万吨</v>
      </c>
      <c r="H33" s="3">
        <f t="shared" si="0"/>
        <v>9.9999999999999995E-8</v>
      </c>
      <c r="I33">
        <f t="shared" si="1"/>
        <v>27079990</v>
      </c>
      <c r="L33" t="s">
        <v>37</v>
      </c>
      <c r="M33">
        <v>27131190</v>
      </c>
    </row>
    <row r="34" spans="1:13" x14ac:dyDescent="0.15">
      <c r="A34">
        <v>27132000</v>
      </c>
      <c r="B34" t="s">
        <v>42</v>
      </c>
      <c r="C34" t="str">
        <f>IFERROR(VLOOKUP(A34,Import!A:E,5,FALSE),VLOOKUP(A34,Export!A:E,5,FALSE))</f>
        <v>千克</v>
      </c>
      <c r="D34" s="5" t="s">
        <v>104</v>
      </c>
      <c r="E34" s="5" t="str">
        <f>VLOOKUP(D34,'Fuel Code Switch'!B$2:C$45,2,FALSE)</f>
        <v>petroleum diesel</v>
      </c>
      <c r="F34" s="3">
        <f>VLOOKUP($D34,'Energy Heat Value Conversion'!$A:$E,5,FALSE)</f>
        <v>368994684025.495</v>
      </c>
      <c r="G34" s="3" t="str">
        <f>VLOOKUP(D34,'Energy Heat Value Conversion'!A:B,2,FALSE)</f>
        <v>万吨</v>
      </c>
      <c r="H34" s="3">
        <f t="shared" si="0"/>
        <v>9.9999999999999995E-8</v>
      </c>
      <c r="I34">
        <f t="shared" si="1"/>
        <v>27132000</v>
      </c>
      <c r="L34" t="s">
        <v>40</v>
      </c>
      <c r="M34">
        <v>27131210</v>
      </c>
    </row>
    <row r="35" spans="1:13" x14ac:dyDescent="0.15">
      <c r="A35">
        <v>27101923</v>
      </c>
      <c r="B35" t="s">
        <v>127</v>
      </c>
      <c r="C35" t="str">
        <f>IFERROR(VLOOKUP(A35,Import!A:E,5,FALSE),VLOOKUP(A35,Export!A:E,5,FALSE))</f>
        <v>千克</v>
      </c>
      <c r="D35" s="5" t="s">
        <v>110</v>
      </c>
      <c r="E35" s="5" t="str">
        <f>VLOOKUP(D35,'Fuel Code Switch'!B$2:C$45,2,FALSE)</f>
        <v>petroleum diesel</v>
      </c>
      <c r="F35" s="3">
        <f>VLOOKUP($D35,'Energy Heat Value Conversion'!$A:$E,5,FALSE)</f>
        <v>404262959159.93451</v>
      </c>
      <c r="G35" s="3" t="str">
        <f>VLOOKUP(D35,'Energy Heat Value Conversion'!A:B,2,FALSE)</f>
        <v>万吨</v>
      </c>
      <c r="H35" s="3">
        <f t="shared" si="0"/>
        <v>9.9999999999999995E-8</v>
      </c>
      <c r="I35">
        <v>27101923</v>
      </c>
      <c r="L35" t="s">
        <v>38</v>
      </c>
      <c r="M35">
        <v>27131290</v>
      </c>
    </row>
    <row r="36" spans="1:13" x14ac:dyDescent="0.15">
      <c r="A36">
        <v>27101210</v>
      </c>
      <c r="B36" t="s">
        <v>54</v>
      </c>
      <c r="C36" t="str">
        <f>IFERROR(VLOOKUP(A36,Import!A:E,5,FALSE),VLOOKUP(A36,Export!A:E,5,FALSE))</f>
        <v>千克</v>
      </c>
      <c r="D36" s="5" t="s">
        <v>114</v>
      </c>
      <c r="E36" s="5" t="str">
        <f>VLOOKUP(D36,'Fuel Code Switch'!B$2:C$45,2,FALSE)</f>
        <v>petroleum gasoline</v>
      </c>
      <c r="F36" s="3">
        <f>VLOOKUP($D36,'Energy Heat Value Conversion'!$A:$E,5,FALSE)</f>
        <v>408224834732.68268</v>
      </c>
      <c r="G36" s="3" t="str">
        <f>VLOOKUP(D36,'Energy Heat Value Conversion'!A:B,2,FALSE)</f>
        <v>万吨</v>
      </c>
      <c r="H36" s="3">
        <f t="shared" si="0"/>
        <v>9.9999999999999995E-8</v>
      </c>
      <c r="I36">
        <f t="shared" si="1"/>
        <v>27101210</v>
      </c>
      <c r="L36" t="s">
        <v>42</v>
      </c>
      <c r="M36">
        <v>27132000</v>
      </c>
    </row>
    <row r="37" spans="1:13" x14ac:dyDescent="0.15">
      <c r="A37">
        <v>28442000</v>
      </c>
      <c r="B37" t="s">
        <v>224</v>
      </c>
      <c r="C37" t="str">
        <f>IFERROR(VLOOKUP(A37,Import!A:E,5,FALSE),VLOOKUP(A37,Export!A:E,5,FALSE))</f>
        <v>克</v>
      </c>
      <c r="D37" s="5" t="s">
        <v>252</v>
      </c>
      <c r="E37" s="5" t="str">
        <f>VLOOKUP(D37,'Fuel Code Switch'!B$2:C$45,2,FALSE)</f>
        <v>nuclear</v>
      </c>
      <c r="F37" s="3">
        <f>VLOOKUP($D37,'Energy Heat Value Conversion'!$A:$E,5,FALSE)</f>
        <v>3939624.9174360191</v>
      </c>
      <c r="G37" s="3" t="str">
        <f>VLOOKUP(D37,'Energy Heat Value Conversion'!A:B,2,FALSE)</f>
        <v>克</v>
      </c>
      <c r="H37" s="3">
        <v>1</v>
      </c>
      <c r="I37">
        <v>28442000</v>
      </c>
      <c r="L37" t="s">
        <v>226</v>
      </c>
      <c r="M37">
        <v>28041000</v>
      </c>
    </row>
    <row r="38" spans="1:13" x14ac:dyDescent="0.15">
      <c r="A38">
        <v>28041000</v>
      </c>
      <c r="B38" t="s">
        <v>226</v>
      </c>
      <c r="C38" t="str">
        <f>IFERROR(VLOOKUP(A38,Import!A:E,5,FALSE),VLOOKUP(A38,Export!A:E,5,FALSE))</f>
        <v>千克</v>
      </c>
      <c r="D38" s="26" t="s">
        <v>177</v>
      </c>
      <c r="E38" s="1" t="s">
        <v>90</v>
      </c>
      <c r="F38" s="3">
        <f>VLOOKUP($D38,'Energy Heat Value Conversion'!$A:$E,5,FALSE)</f>
        <v>9184652167.9397354</v>
      </c>
      <c r="G38" s="3" t="str">
        <f>VLOOKUP(D38,'Energy Heat Value Conversion'!A:B,2,FALSE)</f>
        <v>万吨</v>
      </c>
      <c r="H38" s="3">
        <f t="shared" si="0"/>
        <v>9.9999999999999995E-8</v>
      </c>
      <c r="I38">
        <f t="shared" si="1"/>
        <v>28041000</v>
      </c>
      <c r="L38" t="s">
        <v>236</v>
      </c>
      <c r="M38">
        <v>28442000</v>
      </c>
    </row>
    <row r="39" spans="1:13" x14ac:dyDescent="0.15">
      <c r="A39">
        <v>27101999</v>
      </c>
      <c r="B39" t="s">
        <v>238</v>
      </c>
      <c r="C39" t="str">
        <f>IFERROR(VLOOKUP(A39,Import!A:E,5,FALSE),VLOOKUP(A39,Export!A:E,5,FALSE))</f>
        <v>千克</v>
      </c>
      <c r="D39" s="20" t="s">
        <v>42</v>
      </c>
      <c r="E39" s="5" t="str">
        <f>VLOOKUP(D39,'Fuel Code Switch'!B$2:C$45,2,FALSE)</f>
        <v>petroleum diesel</v>
      </c>
      <c r="F39" s="3">
        <f>VLOOKUP($D39,'Energy Heat Value Conversion'!$A:$E,5,FALSE)</f>
        <v>368994684025.495</v>
      </c>
      <c r="G39" s="3" t="str">
        <f>VLOOKUP(D39,'Energy Heat Value Conversion'!A:B,2,FALSE)</f>
        <v>万吨</v>
      </c>
      <c r="H39" s="3">
        <f t="shared" si="0"/>
        <v>9.9999999999999995E-8</v>
      </c>
      <c r="I39">
        <v>27101999</v>
      </c>
      <c r="L39" t="s">
        <v>250</v>
      </c>
      <c r="M39">
        <v>38251000</v>
      </c>
    </row>
    <row r="40" spans="1:13" x14ac:dyDescent="0.15">
      <c r="A40">
        <v>27101919</v>
      </c>
      <c r="B40" t="s">
        <v>240</v>
      </c>
      <c r="C40" t="str">
        <f>IFERROR(VLOOKUP(A40,Import!A:E,5,FALSE),VLOOKUP(A40,Export!A:E,5,FALSE))</f>
        <v>千克</v>
      </c>
      <c r="D40" s="20" t="s">
        <v>71</v>
      </c>
      <c r="E40" s="5" t="str">
        <f>VLOOKUP(D40,'Fuel Code Switch'!B$2:C$45,2,FALSE)</f>
        <v>jet fuel or kerosene</v>
      </c>
      <c r="F40" s="3">
        <f>VLOOKUP($D40,'Energy Heat Value Conversion'!$A:$E,5,FALSE)</f>
        <v>408224834732.68268</v>
      </c>
      <c r="G40" s="3" t="str">
        <f>VLOOKUP(D40,'Energy Heat Value Conversion'!A:B,2,FALSE)</f>
        <v>万吨</v>
      </c>
      <c r="H40" s="3">
        <f t="shared" si="0"/>
        <v>9.9999999999999995E-8</v>
      </c>
      <c r="I40">
        <f t="shared" si="1"/>
        <v>27101919</v>
      </c>
      <c r="L40" t="s">
        <v>41</v>
      </c>
      <c r="M40">
        <v>38260000</v>
      </c>
    </row>
    <row r="41" spans="1:13" x14ac:dyDescent="0.15">
      <c r="A41">
        <v>27101299</v>
      </c>
      <c r="B41" t="s">
        <v>241</v>
      </c>
      <c r="C41" t="str">
        <f>IFERROR(VLOOKUP(A41,Import!A:E,5,FALSE),VLOOKUP(A41,Export!A:E,5,FALSE))</f>
        <v>千克</v>
      </c>
      <c r="D41" s="20" t="s">
        <v>96</v>
      </c>
      <c r="E41" s="5" t="str">
        <f>VLOOKUP(D41,'Fuel Code Switch'!B$2:C$45,2,FALSE)</f>
        <v>petroleum diesel</v>
      </c>
      <c r="F41" s="3">
        <f>VLOOKUP($D41,'Energy Heat Value Conversion'!$A:$E,5,FALSE)</f>
        <v>404262959159.93451</v>
      </c>
      <c r="G41" s="3" t="str">
        <f>VLOOKUP(D41,'Energy Heat Value Conversion'!A:B,2,FALSE)</f>
        <v>万吨</v>
      </c>
      <c r="H41" s="3">
        <f t="shared" si="0"/>
        <v>9.9999999999999995E-8</v>
      </c>
      <c r="I41">
        <f t="shared" si="1"/>
        <v>27101299</v>
      </c>
      <c r="L41" t="s">
        <v>32</v>
      </c>
      <c r="M41">
        <v>68152000</v>
      </c>
    </row>
    <row r="42" spans="1:13" ht="15" x14ac:dyDescent="0.15">
      <c r="A42">
        <v>27090000</v>
      </c>
      <c r="B42" t="s">
        <v>227</v>
      </c>
      <c r="C42" t="str">
        <f>IFERROR(VLOOKUP(A42,Import!A:E,5,FALSE),VLOOKUP(A42,Export!A:E,5,FALSE))</f>
        <v>千克</v>
      </c>
      <c r="D42" s="20" t="s">
        <v>164</v>
      </c>
      <c r="E42" s="5" t="str">
        <f>VLOOKUP(D42,'Fuel Code Switch'!B$2:C$45,2,FALSE)</f>
        <v>crude oil</v>
      </c>
      <c r="F42" s="3">
        <f>VLOOKUP($D42,'Energy Heat Value Conversion'!$A:$E,5,FALSE)</f>
        <v>396339208014.43829</v>
      </c>
      <c r="G42" s="3" t="str">
        <f>VLOOKUP(D42,'Energy Heat Value Conversion'!A:B,2,FALSE)</f>
        <v>万吨</v>
      </c>
      <c r="H42" s="3">
        <f t="shared" si="0"/>
        <v>9.9999999999999995E-8</v>
      </c>
      <c r="I42">
        <f t="shared" si="1"/>
        <v>27090000</v>
      </c>
      <c r="L42" t="s">
        <v>128</v>
      </c>
      <c r="M42" s="54">
        <v>27101912</v>
      </c>
    </row>
    <row r="43" spans="1:13" x14ac:dyDescent="0.15">
      <c r="L43" t="s">
        <v>231</v>
      </c>
      <c r="M43" s="53">
        <v>28443000</v>
      </c>
    </row>
  </sheetData>
  <autoFilter ref="A1:I1" xr:uid="{00000000-0001-0000-0100-000000000000}"/>
  <phoneticPr fontId="4" type="noConversion"/>
  <conditionalFormatting sqref="A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5:H1048576 F1:H1 G37:G42 F2:G3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4:B1048576 B1:B11 B13:B24 B26:B36">
    <cfRule type="duplicateValues" dxfId="4" priority="21"/>
  </conditionalFormatting>
  <conditionalFormatting sqref="A44:A1048576 A1:A24 A26:A36">
    <cfRule type="duplicateValues" dxfId="3" priority="25"/>
  </conditionalFormatting>
  <conditionalFormatting sqref="I44:I1048576 I1:I11 I13:I25 I27:I34 I36 I38 I40:I42">
    <cfRule type="duplicateValues" dxfId="2" priority="28"/>
  </conditionalFormatting>
  <conditionalFormatting sqref="F37:F4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9">
    <cfRule type="duplicateValues" dxfId="1" priority="2"/>
  </conditionalFormatting>
  <conditionalFormatting sqref="L42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FD799-E737-44B9-BCE7-1E50E0776EC0}">
  <dimension ref="A1:J44"/>
  <sheetViews>
    <sheetView topLeftCell="A31" workbookViewId="0">
      <selection activeCell="E54" sqref="E54"/>
    </sheetView>
  </sheetViews>
  <sheetFormatPr defaultRowHeight="13.5" x14ac:dyDescent="0.15"/>
  <cols>
    <col min="1" max="1" width="13" style="8" bestFit="1" customWidth="1"/>
    <col min="2" max="2" width="11" style="8" bestFit="1" customWidth="1"/>
    <col min="3" max="3" width="15.125" style="8" bestFit="1" customWidth="1"/>
    <col min="4" max="4" width="13.875" style="8" bestFit="1" customWidth="1"/>
    <col min="5" max="5" width="14.75" style="8" customWidth="1"/>
    <col min="6" max="6" width="15.125" style="8" bestFit="1" customWidth="1"/>
    <col min="7" max="7" width="13" style="8" bestFit="1" customWidth="1"/>
    <col min="8" max="8" width="12.25" style="8" bestFit="1" customWidth="1"/>
    <col min="9" max="9" width="16.375" style="8" bestFit="1" customWidth="1"/>
    <col min="10" max="10" width="40.375" style="8" bestFit="1" customWidth="1"/>
    <col min="11" max="16384" width="9" style="8"/>
  </cols>
  <sheetData>
    <row r="1" spans="1:10" x14ac:dyDescent="0.15">
      <c r="A1" s="7" t="s">
        <v>132</v>
      </c>
      <c r="B1" s="7" t="s">
        <v>133</v>
      </c>
      <c r="C1" s="7" t="s">
        <v>134</v>
      </c>
      <c r="D1" s="7" t="s">
        <v>135</v>
      </c>
      <c r="E1" s="7" t="s">
        <v>136</v>
      </c>
      <c r="F1" s="7" t="s">
        <v>137</v>
      </c>
      <c r="G1" s="7" t="s">
        <v>138</v>
      </c>
      <c r="H1" s="7" t="s">
        <v>139</v>
      </c>
      <c r="I1" s="7" t="s">
        <v>140</v>
      </c>
      <c r="J1" s="7" t="s">
        <v>141</v>
      </c>
    </row>
    <row r="2" spans="1:10" x14ac:dyDescent="0.15">
      <c r="A2" s="7"/>
      <c r="B2" s="7"/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/>
    </row>
    <row r="3" spans="1:10" x14ac:dyDescent="0.15">
      <c r="A3" s="9" t="s">
        <v>100</v>
      </c>
      <c r="B3" s="10" t="s">
        <v>69</v>
      </c>
      <c r="C3" s="10">
        <v>209.08</v>
      </c>
      <c r="D3" s="11">
        <v>0.71430000000000005</v>
      </c>
      <c r="E3" s="12">
        <f>C3*10^12/1055.05585</f>
        <v>198169604007.21915</v>
      </c>
      <c r="F3" s="13">
        <v>2.7489999999999997E-3</v>
      </c>
      <c r="G3" s="14">
        <v>0.94</v>
      </c>
      <c r="H3" s="15">
        <f t="shared" ref="H3:H29" si="0">C3*F3*G3*44/12</f>
        <v>1.9810093042666665</v>
      </c>
      <c r="I3" s="11">
        <f>H3/D3</f>
        <v>2.7733575588221564</v>
      </c>
      <c r="J3" s="16" t="s">
        <v>149</v>
      </c>
    </row>
    <row r="4" spans="1:10" x14ac:dyDescent="0.15">
      <c r="A4" s="9" t="s">
        <v>150</v>
      </c>
      <c r="B4" s="10" t="s">
        <v>69</v>
      </c>
      <c r="C4" s="10">
        <v>263.44</v>
      </c>
      <c r="D4" s="11">
        <v>0.9</v>
      </c>
      <c r="E4" s="12">
        <f t="shared" ref="E4:E33" si="1">C4*10^12/1055.05585</f>
        <v>249692942795.39801</v>
      </c>
      <c r="F4" s="13">
        <v>2.5399999999999997E-3</v>
      </c>
      <c r="G4" s="14">
        <v>0.93</v>
      </c>
      <c r="H4" s="15">
        <f t="shared" si="0"/>
        <v>2.2817592159999998</v>
      </c>
      <c r="I4" s="11">
        <f t="shared" ref="I4:I29" si="2">H4/D4</f>
        <v>2.5352880177777775</v>
      </c>
      <c r="J4" s="16" t="s">
        <v>149</v>
      </c>
    </row>
    <row r="5" spans="1:10" x14ac:dyDescent="0.15">
      <c r="A5" s="9" t="s">
        <v>151</v>
      </c>
      <c r="B5" s="10" t="s">
        <v>69</v>
      </c>
      <c r="C5" s="17">
        <v>83.63</v>
      </c>
      <c r="D5" s="18">
        <v>0.28570000000000001</v>
      </c>
      <c r="E5" s="12">
        <f t="shared" si="1"/>
        <v>79265945968.642319</v>
      </c>
      <c r="F5" s="19">
        <v>2.5400000000000002E-3</v>
      </c>
      <c r="G5" s="14">
        <v>0.9</v>
      </c>
      <c r="H5" s="15">
        <f t="shared" si="0"/>
        <v>0.70098665999999998</v>
      </c>
      <c r="I5" s="11">
        <f t="shared" si="2"/>
        <v>2.4535759887994399</v>
      </c>
      <c r="J5" s="16" t="s">
        <v>149</v>
      </c>
    </row>
    <row r="6" spans="1:10" x14ac:dyDescent="0.15">
      <c r="A6" s="9" t="s">
        <v>97</v>
      </c>
      <c r="B6" s="10" t="s">
        <v>153</v>
      </c>
      <c r="C6" s="10">
        <v>154.72999999999999</v>
      </c>
      <c r="D6" s="11">
        <f>C6/292.7</f>
        <v>0.5286299965835326</v>
      </c>
      <c r="E6" s="12">
        <f t="shared" si="1"/>
        <v>146655743390.26697</v>
      </c>
      <c r="F6" s="13">
        <v>2.66E-3</v>
      </c>
      <c r="G6" s="14">
        <v>0.9</v>
      </c>
      <c r="H6" s="15">
        <f t="shared" si="0"/>
        <v>1.3582199399999999</v>
      </c>
      <c r="I6" s="11">
        <f t="shared" si="2"/>
        <v>2.5693205999999997</v>
      </c>
      <c r="J6" s="16" t="s">
        <v>154</v>
      </c>
    </row>
    <row r="7" spans="1:10" x14ac:dyDescent="0.15">
      <c r="A7" s="9" t="s">
        <v>155</v>
      </c>
      <c r="B7" s="10" t="s">
        <v>153</v>
      </c>
      <c r="C7" s="10">
        <v>83.74</v>
      </c>
      <c r="D7" s="11">
        <f>C7/292.7</f>
        <v>0.28609497779296206</v>
      </c>
      <c r="E7" s="12">
        <f t="shared" si="1"/>
        <v>79370205852.135696</v>
      </c>
      <c r="F7" s="13">
        <v>2.7299999999999998E-3</v>
      </c>
      <c r="G7" s="14">
        <v>0.98</v>
      </c>
      <c r="H7" s="15">
        <f t="shared" si="0"/>
        <v>0.82147265199999986</v>
      </c>
      <c r="I7" s="11">
        <f t="shared" si="2"/>
        <v>2.8713284599999995</v>
      </c>
      <c r="J7" s="16" t="s">
        <v>156</v>
      </c>
    </row>
    <row r="8" spans="1:10" x14ac:dyDescent="0.15">
      <c r="A8" s="9" t="s">
        <v>157</v>
      </c>
      <c r="B8" s="10" t="s">
        <v>69</v>
      </c>
      <c r="C8" s="10">
        <v>284.35000000000002</v>
      </c>
      <c r="D8" s="11">
        <v>0.97140000000000004</v>
      </c>
      <c r="E8" s="12">
        <f t="shared" si="1"/>
        <v>269511798830.36523</v>
      </c>
      <c r="F8" s="13">
        <v>2.9399999999999999E-3</v>
      </c>
      <c r="G8" s="14">
        <v>0.93</v>
      </c>
      <c r="H8" s="15">
        <f t="shared" si="0"/>
        <v>2.8507224900000008</v>
      </c>
      <c r="I8" s="11">
        <f t="shared" si="2"/>
        <v>2.9346535824583082</v>
      </c>
      <c r="J8" s="16" t="s">
        <v>149</v>
      </c>
    </row>
    <row r="9" spans="1:10" x14ac:dyDescent="0.15">
      <c r="A9" s="9" t="s">
        <v>158</v>
      </c>
      <c r="B9" s="10" t="s">
        <v>159</v>
      </c>
      <c r="C9" s="10">
        <v>1735.35</v>
      </c>
      <c r="D9" s="11">
        <v>5.9284999999999997</v>
      </c>
      <c r="E9" s="12">
        <f t="shared" si="1"/>
        <v>1644794443820.2017</v>
      </c>
      <c r="F9" s="13">
        <v>1.3599999999999999E-3</v>
      </c>
      <c r="G9" s="14">
        <v>0.99</v>
      </c>
      <c r="H9" s="15">
        <f t="shared" si="0"/>
        <v>8.5670758799999991</v>
      </c>
      <c r="I9" s="11">
        <f t="shared" si="2"/>
        <v>1.4450663540524584</v>
      </c>
      <c r="J9" s="16" t="s">
        <v>149</v>
      </c>
    </row>
    <row r="10" spans="1:10" x14ac:dyDescent="0.15">
      <c r="A10" s="9" t="s">
        <v>160</v>
      </c>
      <c r="B10" s="10" t="s">
        <v>159</v>
      </c>
      <c r="C10" s="10">
        <v>376.3</v>
      </c>
      <c r="D10" s="11">
        <f>C10/292.7</f>
        <v>1.2856166723607791</v>
      </c>
      <c r="E10" s="12">
        <f t="shared" si="1"/>
        <v>356663583259.59711</v>
      </c>
      <c r="F10" s="13">
        <v>7.0800000000000004E-3</v>
      </c>
      <c r="G10" s="14">
        <v>0.99</v>
      </c>
      <c r="H10" s="15">
        <f t="shared" si="0"/>
        <v>9.671060520000001</v>
      </c>
      <c r="I10" s="11">
        <f t="shared" si="2"/>
        <v>7.5225070799999996</v>
      </c>
      <c r="J10" s="16" t="s">
        <v>154</v>
      </c>
    </row>
    <row r="11" spans="1:10" x14ac:dyDescent="0.15">
      <c r="A11" s="9" t="s">
        <v>161</v>
      </c>
      <c r="B11" s="10" t="s">
        <v>159</v>
      </c>
      <c r="C11" s="10">
        <v>794.5</v>
      </c>
      <c r="D11" s="11">
        <f>C11/292.7</f>
        <v>2.7143833276392213</v>
      </c>
      <c r="E11" s="12">
        <f t="shared" si="1"/>
        <v>753040703958.94214</v>
      </c>
      <c r="F11" s="13">
        <v>4.6899999999999997E-3</v>
      </c>
      <c r="G11" s="14">
        <v>0.99</v>
      </c>
      <c r="H11" s="15">
        <f t="shared" si="0"/>
        <v>13.526124149999999</v>
      </c>
      <c r="I11" s="11">
        <f t="shared" si="2"/>
        <v>4.9831296899999993</v>
      </c>
      <c r="J11" s="16" t="s">
        <v>154</v>
      </c>
    </row>
    <row r="12" spans="1:10" x14ac:dyDescent="0.15">
      <c r="A12" s="41" t="s">
        <v>162</v>
      </c>
      <c r="B12" s="42" t="s">
        <v>159</v>
      </c>
      <c r="C12" s="43">
        <v>522.70000000000005</v>
      </c>
      <c r="D12" s="44">
        <v>1.786</v>
      </c>
      <c r="E12" s="45">
        <f t="shared" si="1"/>
        <v>495424010018.04791</v>
      </c>
      <c r="F12" s="46">
        <v>1.2199999999999999E-3</v>
      </c>
      <c r="G12" s="47">
        <v>0.99</v>
      </c>
      <c r="H12" s="48">
        <f t="shared" si="0"/>
        <v>2.31482922</v>
      </c>
      <c r="I12" s="49">
        <f t="shared" si="2"/>
        <v>1.2960969876819708</v>
      </c>
      <c r="J12" s="50" t="s">
        <v>149</v>
      </c>
    </row>
    <row r="13" spans="1:10" x14ac:dyDescent="0.15">
      <c r="A13" s="9" t="s">
        <v>163</v>
      </c>
      <c r="B13" s="10" t="s">
        <v>69</v>
      </c>
      <c r="C13" s="10">
        <v>334.53</v>
      </c>
      <c r="D13" s="11">
        <f>C13/292.7</f>
        <v>1.1429108302015716</v>
      </c>
      <c r="E13" s="12">
        <f t="shared" si="1"/>
        <v>317073262045.79596</v>
      </c>
      <c r="F13" s="13">
        <v>2.5799999999999998E-3</v>
      </c>
      <c r="G13" s="14">
        <v>0.93</v>
      </c>
      <c r="H13" s="15">
        <f t="shared" si="0"/>
        <v>2.9431280339999994</v>
      </c>
      <c r="I13" s="11">
        <f t="shared" si="2"/>
        <v>2.5751160599999996</v>
      </c>
      <c r="J13" s="16" t="s">
        <v>154</v>
      </c>
    </row>
    <row r="14" spans="1:10" x14ac:dyDescent="0.15">
      <c r="A14" s="20" t="s">
        <v>164</v>
      </c>
      <c r="B14" s="10" t="s">
        <v>69</v>
      </c>
      <c r="C14" s="10">
        <v>418.16</v>
      </c>
      <c r="D14" s="11">
        <v>1.4286000000000001</v>
      </c>
      <c r="E14" s="12">
        <f t="shared" si="1"/>
        <v>396339208014.43829</v>
      </c>
      <c r="F14" s="13">
        <v>2.0100000000000001E-3</v>
      </c>
      <c r="G14" s="14">
        <v>0.98</v>
      </c>
      <c r="H14" s="15">
        <f t="shared" si="0"/>
        <v>3.0202024160000001</v>
      </c>
      <c r="I14" s="11">
        <f t="shared" si="2"/>
        <v>2.1140994092118155</v>
      </c>
      <c r="J14" s="16" t="s">
        <v>149</v>
      </c>
    </row>
    <row r="15" spans="1:10" x14ac:dyDescent="0.15">
      <c r="A15" s="20" t="s">
        <v>113</v>
      </c>
      <c r="B15" s="10" t="s">
        <v>69</v>
      </c>
      <c r="C15" s="10">
        <v>430.7</v>
      </c>
      <c r="D15" s="11">
        <v>1.4714</v>
      </c>
      <c r="E15" s="12">
        <f t="shared" si="1"/>
        <v>408224834732.68268</v>
      </c>
      <c r="F15" s="13">
        <v>1.89E-3</v>
      </c>
      <c r="G15" s="14">
        <v>0.98</v>
      </c>
      <c r="H15" s="15">
        <f t="shared" si="0"/>
        <v>2.9250559799999998</v>
      </c>
      <c r="I15" s="11">
        <f t="shared" si="2"/>
        <v>1.987940723120837</v>
      </c>
      <c r="J15" s="16" t="s">
        <v>149</v>
      </c>
    </row>
    <row r="16" spans="1:10" x14ac:dyDescent="0.15">
      <c r="A16" s="20" t="s">
        <v>71</v>
      </c>
      <c r="B16" s="10" t="s">
        <v>69</v>
      </c>
      <c r="C16" s="10">
        <v>430.7</v>
      </c>
      <c r="D16" s="11">
        <v>1.4714</v>
      </c>
      <c r="E16" s="12">
        <f t="shared" si="1"/>
        <v>408224834732.68268</v>
      </c>
      <c r="F16" s="13">
        <v>1.89E-3</v>
      </c>
      <c r="G16" s="14">
        <v>0.98</v>
      </c>
      <c r="H16" s="15">
        <f t="shared" si="0"/>
        <v>2.9250559799999998</v>
      </c>
      <c r="I16" s="11">
        <f t="shared" si="2"/>
        <v>1.987940723120837</v>
      </c>
      <c r="J16" s="16" t="s">
        <v>149</v>
      </c>
    </row>
    <row r="17" spans="1:10" x14ac:dyDescent="0.15">
      <c r="A17" s="20" t="s">
        <v>96</v>
      </c>
      <c r="B17" s="10" t="s">
        <v>69</v>
      </c>
      <c r="C17" s="10">
        <v>426.52</v>
      </c>
      <c r="D17" s="11">
        <v>1.4571000000000001</v>
      </c>
      <c r="E17" s="12">
        <f t="shared" si="1"/>
        <v>404262959159.93451</v>
      </c>
      <c r="F17" s="13">
        <v>2.0200000000000001E-3</v>
      </c>
      <c r="G17" s="14">
        <v>0.98</v>
      </c>
      <c r="H17" s="15">
        <f t="shared" si="0"/>
        <v>3.095909637333333</v>
      </c>
      <c r="I17" s="11">
        <f t="shared" si="2"/>
        <v>2.1247063601217024</v>
      </c>
      <c r="J17" s="16" t="s">
        <v>149</v>
      </c>
    </row>
    <row r="18" spans="1:10" x14ac:dyDescent="0.15">
      <c r="A18" s="20" t="s">
        <v>108</v>
      </c>
      <c r="B18" s="10" t="s">
        <v>69</v>
      </c>
      <c r="C18" s="10">
        <v>418.16</v>
      </c>
      <c r="D18" s="11">
        <v>1.4286000000000001</v>
      </c>
      <c r="E18" s="12">
        <f t="shared" si="1"/>
        <v>396339208014.43829</v>
      </c>
      <c r="F18" s="13">
        <v>2.1099999999999999E-3</v>
      </c>
      <c r="G18" s="14">
        <v>0.98</v>
      </c>
      <c r="H18" s="15">
        <f t="shared" si="0"/>
        <v>3.1704612426666667</v>
      </c>
      <c r="I18" s="11">
        <f t="shared" si="2"/>
        <v>2.2192784842969808</v>
      </c>
      <c r="J18" s="16" t="s">
        <v>149</v>
      </c>
    </row>
    <row r="19" spans="1:10" x14ac:dyDescent="0.15">
      <c r="A19" s="20" t="s">
        <v>95</v>
      </c>
      <c r="B19" s="10" t="s">
        <v>69</v>
      </c>
      <c r="C19" s="10">
        <v>439.07</v>
      </c>
      <c r="D19" s="11">
        <f t="shared" ref="D19:D24" si="3">C19/292.7</f>
        <v>1.5000683293474548</v>
      </c>
      <c r="E19" s="12">
        <f t="shared" si="1"/>
        <v>416158064049.40558</v>
      </c>
      <c r="F19" s="13">
        <v>2E-3</v>
      </c>
      <c r="G19" s="14">
        <v>0.98</v>
      </c>
      <c r="H19" s="15">
        <f t="shared" si="0"/>
        <v>3.1554497333333331</v>
      </c>
      <c r="I19" s="11">
        <f t="shared" si="2"/>
        <v>2.1035373333333331</v>
      </c>
      <c r="J19" s="16" t="s">
        <v>154</v>
      </c>
    </row>
    <row r="20" spans="1:10" x14ac:dyDescent="0.15">
      <c r="A20" s="20" t="s">
        <v>94</v>
      </c>
      <c r="B20" s="10" t="s">
        <v>69</v>
      </c>
      <c r="C20" s="10">
        <v>413.98</v>
      </c>
      <c r="D20" s="11">
        <f t="shared" si="3"/>
        <v>1.4143491629654938</v>
      </c>
      <c r="E20" s="12">
        <f t="shared" si="1"/>
        <v>392377332441.69019</v>
      </c>
      <c r="F20" s="13">
        <v>2E-3</v>
      </c>
      <c r="G20" s="14">
        <v>0.98</v>
      </c>
      <c r="H20" s="15">
        <f t="shared" si="0"/>
        <v>2.9751362666666665</v>
      </c>
      <c r="I20" s="11">
        <f t="shared" si="2"/>
        <v>2.1035373333333331</v>
      </c>
      <c r="J20" s="16" t="s">
        <v>165</v>
      </c>
    </row>
    <row r="21" spans="1:10" x14ac:dyDescent="0.15">
      <c r="A21" s="20" t="s">
        <v>93</v>
      </c>
      <c r="B21" s="10" t="s">
        <v>69</v>
      </c>
      <c r="C21" s="10">
        <v>399.25</v>
      </c>
      <c r="D21" s="11">
        <f t="shared" si="3"/>
        <v>1.3640245985650838</v>
      </c>
      <c r="E21" s="12">
        <f t="shared" si="1"/>
        <v>378415986224.80505</v>
      </c>
      <c r="F21" s="13">
        <v>2E-3</v>
      </c>
      <c r="G21" s="14">
        <v>0.98</v>
      </c>
      <c r="H21" s="15">
        <f t="shared" si="0"/>
        <v>2.8692766666666665</v>
      </c>
      <c r="I21" s="11">
        <f t="shared" si="2"/>
        <v>2.1035373333333331</v>
      </c>
      <c r="J21" s="16" t="s">
        <v>166</v>
      </c>
    </row>
    <row r="22" spans="1:10" x14ac:dyDescent="0.15">
      <c r="A22" s="20" t="s">
        <v>111</v>
      </c>
      <c r="B22" s="10" t="s">
        <v>69</v>
      </c>
      <c r="C22" s="10">
        <v>429.45</v>
      </c>
      <c r="D22" s="11">
        <f t="shared" si="3"/>
        <v>1.4672019132217287</v>
      </c>
      <c r="E22" s="12">
        <f t="shared" si="1"/>
        <v>407040063329.34888</v>
      </c>
      <c r="F22" s="13">
        <v>2E-3</v>
      </c>
      <c r="G22" s="14">
        <v>0.98</v>
      </c>
      <c r="H22" s="15">
        <f t="shared" si="0"/>
        <v>3.0863139999999998</v>
      </c>
      <c r="I22" s="11">
        <f t="shared" si="2"/>
        <v>2.1035373333333331</v>
      </c>
      <c r="J22" s="16" t="s">
        <v>167</v>
      </c>
    </row>
    <row r="23" spans="1:10" x14ac:dyDescent="0.15">
      <c r="A23" s="20" t="s">
        <v>42</v>
      </c>
      <c r="B23" s="10" t="s">
        <v>69</v>
      </c>
      <c r="C23" s="10">
        <v>389.31</v>
      </c>
      <c r="D23" s="11">
        <f t="shared" si="3"/>
        <v>1.3300649128800821</v>
      </c>
      <c r="E23" s="12">
        <f t="shared" si="1"/>
        <v>368994684025.495</v>
      </c>
      <c r="F23" s="21">
        <v>2.2000000000000001E-3</v>
      </c>
      <c r="G23" s="14">
        <v>0.98</v>
      </c>
      <c r="H23" s="15">
        <f t="shared" si="0"/>
        <v>3.0776253199999997</v>
      </c>
      <c r="I23" s="11">
        <f t="shared" si="2"/>
        <v>2.3138910666666663</v>
      </c>
      <c r="J23" s="16" t="s">
        <v>168</v>
      </c>
    </row>
    <row r="24" spans="1:10" x14ac:dyDescent="0.15">
      <c r="A24" s="20" t="s">
        <v>102</v>
      </c>
      <c r="B24" s="10" t="s">
        <v>69</v>
      </c>
      <c r="C24" s="10">
        <v>319.47000000000003</v>
      </c>
      <c r="D24" s="11">
        <f t="shared" si="3"/>
        <v>1.0914588315681586</v>
      </c>
      <c r="E24" s="12">
        <f t="shared" si="1"/>
        <v>302799136178.43073</v>
      </c>
      <c r="F24" s="21">
        <v>2.7499999999999998E-3</v>
      </c>
      <c r="G24" s="14">
        <v>0.98</v>
      </c>
      <c r="H24" s="15">
        <f t="shared" si="0"/>
        <v>3.1568960499999998</v>
      </c>
      <c r="I24" s="11">
        <f t="shared" si="2"/>
        <v>2.892363833333333</v>
      </c>
      <c r="J24" s="16" t="s">
        <v>169</v>
      </c>
    </row>
    <row r="25" spans="1:10" x14ac:dyDescent="0.15">
      <c r="A25" s="20" t="s">
        <v>119</v>
      </c>
      <c r="B25" s="10" t="s">
        <v>69</v>
      </c>
      <c r="C25" s="10">
        <v>501.79</v>
      </c>
      <c r="D25" s="11">
        <v>1.7142999999999999</v>
      </c>
      <c r="E25" s="12">
        <f t="shared" si="1"/>
        <v>475605153983.08063</v>
      </c>
      <c r="F25" s="13">
        <v>1.72E-3</v>
      </c>
      <c r="G25" s="14">
        <v>0.99</v>
      </c>
      <c r="H25" s="15">
        <f t="shared" si="0"/>
        <v>3.1329760439999998</v>
      </c>
      <c r="I25" s="11">
        <f t="shared" si="2"/>
        <v>1.827554129382255</v>
      </c>
      <c r="J25" s="16" t="s">
        <v>149</v>
      </c>
    </row>
    <row r="26" spans="1:10" x14ac:dyDescent="0.15">
      <c r="A26" s="20" t="s">
        <v>170</v>
      </c>
      <c r="B26" s="10" t="s">
        <v>69</v>
      </c>
      <c r="C26" s="10">
        <v>459.98</v>
      </c>
      <c r="D26" s="11">
        <v>1.5713999999999999</v>
      </c>
      <c r="E26" s="12">
        <f t="shared" si="1"/>
        <v>435976920084.3728</v>
      </c>
      <c r="F26" s="13">
        <v>1.82E-3</v>
      </c>
      <c r="G26" s="14">
        <v>0.99</v>
      </c>
      <c r="H26" s="15">
        <f t="shared" si="0"/>
        <v>3.0389038680000002</v>
      </c>
      <c r="I26" s="11">
        <f t="shared" si="2"/>
        <v>1.9338830775105005</v>
      </c>
      <c r="J26" s="16" t="s">
        <v>149</v>
      </c>
    </row>
    <row r="27" spans="1:10" x14ac:dyDescent="0.15">
      <c r="A27" s="20" t="s">
        <v>171</v>
      </c>
      <c r="B27" s="10" t="s">
        <v>69</v>
      </c>
      <c r="C27" s="10">
        <v>409.8</v>
      </c>
      <c r="D27" s="11">
        <f>C27/292.7</f>
        <v>1.4000683293474547</v>
      </c>
      <c r="E27" s="12">
        <f t="shared" si="1"/>
        <v>388415456868.94208</v>
      </c>
      <c r="F27" s="13">
        <v>2E-3</v>
      </c>
      <c r="G27" s="14">
        <v>0.99</v>
      </c>
      <c r="H27" s="15">
        <f t="shared" si="0"/>
        <v>2.9751480000000003</v>
      </c>
      <c r="I27" s="11">
        <f t="shared" si="2"/>
        <v>2.1250020000000003</v>
      </c>
      <c r="J27" s="16" t="s">
        <v>169</v>
      </c>
    </row>
    <row r="28" spans="1:10" x14ac:dyDescent="0.15">
      <c r="A28" s="22" t="s">
        <v>59</v>
      </c>
      <c r="B28" s="10" t="s">
        <v>159</v>
      </c>
      <c r="C28" s="10">
        <v>3558.45</v>
      </c>
      <c r="D28" s="11">
        <v>12.15</v>
      </c>
      <c r="E28" s="12">
        <f t="shared" si="1"/>
        <v>3372759840154.4336</v>
      </c>
      <c r="F28" s="13">
        <v>1.5300000000000001E-3</v>
      </c>
      <c r="G28" s="14">
        <v>0.99</v>
      </c>
      <c r="H28" s="15">
        <f t="shared" si="0"/>
        <v>19.763275455000002</v>
      </c>
      <c r="I28" s="11">
        <f t="shared" si="2"/>
        <v>1.6266070333333336</v>
      </c>
      <c r="J28" s="16" t="s">
        <v>149</v>
      </c>
    </row>
    <row r="29" spans="1:10" x14ac:dyDescent="0.15">
      <c r="A29" s="22" t="s">
        <v>60</v>
      </c>
      <c r="B29" s="10" t="s">
        <v>69</v>
      </c>
      <c r="C29" s="10">
        <v>514.34</v>
      </c>
      <c r="D29" s="11">
        <f t="shared" ref="D29" si="4">C29/292.7</f>
        <v>1.757225828493338</v>
      </c>
      <c r="E29" s="12">
        <f t="shared" si="1"/>
        <v>487500258872.5517</v>
      </c>
      <c r="F29" s="13">
        <v>1.5299999999999999E-3</v>
      </c>
      <c r="G29" s="14">
        <v>1</v>
      </c>
      <c r="H29" s="15">
        <f t="shared" si="0"/>
        <v>2.8854473999999999</v>
      </c>
      <c r="I29" s="11">
        <f t="shared" si="2"/>
        <v>1.6420469999999998</v>
      </c>
      <c r="J29" s="16" t="s">
        <v>169</v>
      </c>
    </row>
    <row r="30" spans="1:10" x14ac:dyDescent="0.15">
      <c r="A30" s="23" t="s">
        <v>172</v>
      </c>
      <c r="B30" s="16" t="s">
        <v>173</v>
      </c>
      <c r="C30" s="10">
        <v>10</v>
      </c>
      <c r="D30" s="11">
        <f>C30/292.7</f>
        <v>3.4164673727365903E-2</v>
      </c>
      <c r="E30" s="12">
        <f t="shared" si="1"/>
        <v>9478171226.6701336</v>
      </c>
      <c r="F30" s="19"/>
      <c r="G30" s="14">
        <v>1</v>
      </c>
      <c r="H30" s="15"/>
      <c r="I30" s="11"/>
      <c r="J30" s="16" t="s">
        <v>174</v>
      </c>
    </row>
    <row r="31" spans="1:10" x14ac:dyDescent="0.15">
      <c r="A31" s="24" t="s">
        <v>175</v>
      </c>
      <c r="B31" s="16" t="s">
        <v>176</v>
      </c>
      <c r="C31" s="16">
        <v>360</v>
      </c>
      <c r="D31" s="11">
        <f>C31/292.7</f>
        <v>1.2299282541851726</v>
      </c>
      <c r="E31" s="12">
        <f t="shared" si="1"/>
        <v>341214164160.12482</v>
      </c>
      <c r="F31" s="16"/>
      <c r="G31" s="14">
        <v>1</v>
      </c>
      <c r="H31" s="25"/>
      <c r="I31" s="18"/>
      <c r="J31" s="16"/>
    </row>
    <row r="32" spans="1:10" x14ac:dyDescent="0.15">
      <c r="A32" s="26" t="s">
        <v>177</v>
      </c>
      <c r="B32" s="16" t="s">
        <v>153</v>
      </c>
      <c r="C32" s="27">
        <v>9.6903209999999991</v>
      </c>
      <c r="D32" s="11">
        <f>C32/292.7</f>
        <v>3.3106665527844206E-2</v>
      </c>
      <c r="E32" s="12">
        <f t="shared" si="1"/>
        <v>9184652167.9397354</v>
      </c>
      <c r="F32" s="16"/>
      <c r="G32" s="16"/>
      <c r="H32" s="16"/>
      <c r="I32" s="16"/>
      <c r="J32" s="16"/>
    </row>
    <row r="33" spans="1:10" x14ac:dyDescent="0.15">
      <c r="A33" s="28" t="s">
        <v>178</v>
      </c>
      <c r="B33" s="21" t="s">
        <v>179</v>
      </c>
      <c r="C33" s="10">
        <v>292.70999999999998</v>
      </c>
      <c r="D33" s="11">
        <f t="shared" ref="D33" si="5">C33/292.7</f>
        <v>1.0000341646737274</v>
      </c>
      <c r="E33" s="12">
        <f t="shared" si="1"/>
        <v>277435549975.86145</v>
      </c>
      <c r="F33" s="13">
        <v>0</v>
      </c>
      <c r="G33" s="14">
        <v>1</v>
      </c>
      <c r="H33" s="15">
        <f t="shared" ref="H33" si="6">C33*F33*G33*44/12</f>
        <v>0</v>
      </c>
      <c r="I33" s="11">
        <f t="shared" ref="I33" si="7">H33/D33</f>
        <v>0</v>
      </c>
      <c r="J33" s="16" t="s">
        <v>169</v>
      </c>
    </row>
    <row r="35" spans="1:10" x14ac:dyDescent="0.15">
      <c r="A35" s="9" t="s">
        <v>35</v>
      </c>
      <c r="B35" s="10" t="s">
        <v>69</v>
      </c>
      <c r="C35" s="10">
        <v>203.04</v>
      </c>
      <c r="D35" s="11">
        <f>C35/292.7</f>
        <v>0.69367953536043736</v>
      </c>
      <c r="E35" s="12">
        <f>C35*10^12/1055.05585</f>
        <v>192444788586.31039</v>
      </c>
    </row>
    <row r="36" spans="1:10" x14ac:dyDescent="0.15">
      <c r="A36" s="9" t="s">
        <v>99</v>
      </c>
      <c r="B36" s="10" t="s">
        <v>69</v>
      </c>
      <c r="C36" s="10">
        <v>195.7</v>
      </c>
      <c r="D36" s="11">
        <f t="shared" ref="D36:D38" si="8">C36/292.7</f>
        <v>0.66860266484455078</v>
      </c>
      <c r="E36" s="12">
        <f>C36*10^12/1055.05585</f>
        <v>185487810905.93451</v>
      </c>
    </row>
    <row r="37" spans="1:10" x14ac:dyDescent="0.15">
      <c r="A37" s="9" t="s">
        <v>91</v>
      </c>
      <c r="B37" s="10" t="s">
        <v>69</v>
      </c>
      <c r="C37" s="10">
        <v>140.80000000000001</v>
      </c>
      <c r="D37" s="11">
        <f t="shared" si="8"/>
        <v>0.48103860608131199</v>
      </c>
      <c r="E37" s="12">
        <f>C37*10^12/1055.05585</f>
        <v>133452650871.51547</v>
      </c>
    </row>
    <row r="38" spans="1:10" x14ac:dyDescent="0.15">
      <c r="A38" s="9" t="s">
        <v>152</v>
      </c>
      <c r="B38" s="10" t="s">
        <v>69</v>
      </c>
      <c r="C38" s="10">
        <v>108.7</v>
      </c>
      <c r="D38" s="11">
        <f t="shared" si="8"/>
        <v>0.37137000341646742</v>
      </c>
      <c r="E38" s="12">
        <f>C38*10^12/1055.05585</f>
        <v>103027721233.90436</v>
      </c>
    </row>
    <row r="39" spans="1:10" x14ac:dyDescent="0.15">
      <c r="A39" s="9" t="s">
        <v>116</v>
      </c>
      <c r="B39" s="10" t="s">
        <v>69</v>
      </c>
      <c r="C39" s="10">
        <v>334.53</v>
      </c>
      <c r="D39" s="11">
        <f>C39/292.7</f>
        <v>1.1429108302015716</v>
      </c>
      <c r="E39" s="12">
        <f t="shared" ref="E39" si="9">C39*10^12/1055.05585</f>
        <v>317073262045.79596</v>
      </c>
    </row>
    <row r="40" spans="1:10" x14ac:dyDescent="0.15">
      <c r="A40" s="20" t="s">
        <v>222</v>
      </c>
      <c r="B40" s="10" t="s">
        <v>69</v>
      </c>
      <c r="C40" s="10">
        <v>389.27459154929636</v>
      </c>
      <c r="D40" s="11">
        <f>C40/292.7</f>
        <v>1.3299439410635339</v>
      </c>
      <c r="E40" s="12">
        <f t="shared" ref="E40:E41" si="10">C40*10^12/1055.05585</f>
        <v>368961123289.63098</v>
      </c>
    </row>
    <row r="41" spans="1:10" x14ac:dyDescent="0.15">
      <c r="A41" s="28" t="s">
        <v>123</v>
      </c>
      <c r="B41" s="10" t="s">
        <v>69</v>
      </c>
      <c r="C41" s="8">
        <v>50</v>
      </c>
      <c r="D41" s="11">
        <f>C41/292.7</f>
        <v>0.17082336863682954</v>
      </c>
      <c r="E41" s="12">
        <f t="shared" si="10"/>
        <v>47390856133.35067</v>
      </c>
    </row>
    <row r="43" spans="1:10" ht="15" x14ac:dyDescent="0.15">
      <c r="A43" s="8" t="s">
        <v>252</v>
      </c>
      <c r="B43" s="8" t="s">
        <v>246</v>
      </c>
      <c r="E43" s="56">
        <f>83126085757.9*0.05/1055</f>
        <v>3939624.9174360191</v>
      </c>
    </row>
    <row r="44" spans="1:10" ht="15" x14ac:dyDescent="0.15">
      <c r="E44" s="56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F7EC-3FF7-46E9-ADDB-931DD89E803A}">
  <dimension ref="A1:C45"/>
  <sheetViews>
    <sheetView topLeftCell="A16" workbookViewId="0">
      <selection activeCell="I38" sqref="I38"/>
    </sheetView>
  </sheetViews>
  <sheetFormatPr defaultRowHeight="13.5" x14ac:dyDescent="0.15"/>
  <cols>
    <col min="1" max="1" width="23" style="8" bestFit="1" customWidth="1"/>
    <col min="2" max="2" width="13" style="8" bestFit="1" customWidth="1"/>
    <col min="3" max="3" width="20.25" style="8" bestFit="1" customWidth="1"/>
    <col min="4" max="16384" width="9" style="8"/>
  </cols>
  <sheetData>
    <row r="1" spans="1:3" ht="15.75" thickBot="1" x14ac:dyDescent="0.2">
      <c r="A1" s="57" t="s">
        <v>181</v>
      </c>
      <c r="B1" s="58"/>
      <c r="C1" s="29" t="s">
        <v>182</v>
      </c>
    </row>
    <row r="2" spans="1:3" ht="16.5" thickTop="1" thickBot="1" x14ac:dyDescent="0.3">
      <c r="A2" s="30" t="s">
        <v>183</v>
      </c>
      <c r="B2" s="31" t="s">
        <v>164</v>
      </c>
      <c r="C2" s="32" t="s">
        <v>88</v>
      </c>
    </row>
    <row r="3" spans="1:3" ht="15.75" thickBot="1" x14ac:dyDescent="0.3">
      <c r="A3" s="33" t="s">
        <v>184</v>
      </c>
      <c r="B3" s="34" t="s">
        <v>175</v>
      </c>
      <c r="C3" s="35" t="s">
        <v>185</v>
      </c>
    </row>
    <row r="4" spans="1:3" ht="15.75" thickBot="1" x14ac:dyDescent="0.3">
      <c r="A4" s="36" t="s">
        <v>186</v>
      </c>
      <c r="B4" s="37" t="s">
        <v>100</v>
      </c>
      <c r="C4" s="35" t="s">
        <v>229</v>
      </c>
    </row>
    <row r="5" spans="1:3" ht="15.75" thickBot="1" x14ac:dyDescent="0.3">
      <c r="A5" s="33" t="s">
        <v>187</v>
      </c>
      <c r="B5" s="34" t="s">
        <v>150</v>
      </c>
      <c r="C5" s="35" t="s">
        <v>229</v>
      </c>
    </row>
    <row r="6" spans="1:3" ht="15.75" thickBot="1" x14ac:dyDescent="0.3">
      <c r="A6" s="36" t="s">
        <v>188</v>
      </c>
      <c r="B6" s="37" t="s">
        <v>189</v>
      </c>
      <c r="C6" s="35" t="s">
        <v>229</v>
      </c>
    </row>
    <row r="7" spans="1:3" ht="15.75" thickBot="1" x14ac:dyDescent="0.3">
      <c r="A7" s="33" t="s">
        <v>190</v>
      </c>
      <c r="B7" s="34" t="s">
        <v>172</v>
      </c>
      <c r="C7" s="35" t="s">
        <v>191</v>
      </c>
    </row>
    <row r="8" spans="1:3" ht="15.75" thickBot="1" x14ac:dyDescent="0.3">
      <c r="A8" s="36" t="s">
        <v>192</v>
      </c>
      <c r="B8" s="37" t="s">
        <v>108</v>
      </c>
      <c r="C8" s="35" t="s">
        <v>72</v>
      </c>
    </row>
    <row r="9" spans="1:3" ht="15.75" thickBot="1" x14ac:dyDescent="0.3">
      <c r="A9" s="33" t="s">
        <v>193</v>
      </c>
      <c r="B9" s="34" t="s">
        <v>111</v>
      </c>
      <c r="C9" s="35" t="s">
        <v>72</v>
      </c>
    </row>
    <row r="10" spans="1:3" ht="15.75" thickBot="1" x14ac:dyDescent="0.3">
      <c r="A10" s="36" t="s">
        <v>194</v>
      </c>
      <c r="B10" s="37" t="s">
        <v>171</v>
      </c>
      <c r="C10" s="35" t="s">
        <v>72</v>
      </c>
    </row>
    <row r="11" spans="1:3" ht="15.75" thickBot="1" x14ac:dyDescent="0.3">
      <c r="A11" s="33" t="s">
        <v>195</v>
      </c>
      <c r="B11" s="34" t="s">
        <v>71</v>
      </c>
      <c r="C11" s="35" t="s">
        <v>76</v>
      </c>
    </row>
    <row r="12" spans="1:3" ht="15.75" thickBot="1" x14ac:dyDescent="0.3">
      <c r="A12" s="36" t="s">
        <v>196</v>
      </c>
      <c r="B12" s="37" t="s">
        <v>155</v>
      </c>
      <c r="C12" s="35" t="s">
        <v>87</v>
      </c>
    </row>
    <row r="13" spans="1:3" ht="15.75" thickBot="1" x14ac:dyDescent="0.3">
      <c r="A13" s="33" t="s">
        <v>197</v>
      </c>
      <c r="B13" s="34" t="s">
        <v>151</v>
      </c>
      <c r="C13" s="35" t="s">
        <v>87</v>
      </c>
    </row>
    <row r="14" spans="1:3" ht="15.75" thickBot="1" x14ac:dyDescent="0.3">
      <c r="A14" s="36" t="s">
        <v>198</v>
      </c>
      <c r="B14" s="37" t="s">
        <v>163</v>
      </c>
      <c r="C14" s="35" t="s">
        <v>74</v>
      </c>
    </row>
    <row r="15" spans="1:3" ht="15.75" thickBot="1" x14ac:dyDescent="0.3">
      <c r="A15" s="33" t="s">
        <v>199</v>
      </c>
      <c r="B15" s="34" t="s">
        <v>96</v>
      </c>
      <c r="C15" s="35" t="s">
        <v>74</v>
      </c>
    </row>
    <row r="16" spans="1:3" ht="15.75" thickBot="1" x14ac:dyDescent="0.3">
      <c r="A16" s="36" t="s">
        <v>200</v>
      </c>
      <c r="B16" s="37" t="s">
        <v>42</v>
      </c>
      <c r="C16" s="35" t="s">
        <v>74</v>
      </c>
    </row>
    <row r="17" spans="1:3" ht="15.75" thickBot="1" x14ac:dyDescent="0.3">
      <c r="A17" s="33" t="s">
        <v>201</v>
      </c>
      <c r="B17" s="34" t="s">
        <v>102</v>
      </c>
      <c r="C17" s="35" t="s">
        <v>74</v>
      </c>
    </row>
    <row r="18" spans="1:3" ht="15.75" thickBot="1" x14ac:dyDescent="0.3">
      <c r="A18" s="36" t="s">
        <v>202</v>
      </c>
      <c r="B18" s="37" t="s">
        <v>113</v>
      </c>
      <c r="C18" s="35" t="s">
        <v>73</v>
      </c>
    </row>
    <row r="19" spans="1:3" ht="15.75" thickBot="1" x14ac:dyDescent="0.3">
      <c r="A19" s="33" t="s">
        <v>203</v>
      </c>
      <c r="B19" s="34" t="s">
        <v>158</v>
      </c>
      <c r="C19" s="35" t="s">
        <v>75</v>
      </c>
    </row>
    <row r="20" spans="1:3" ht="16.5" thickTop="1" thickBot="1" x14ac:dyDescent="0.3">
      <c r="A20" s="30" t="s">
        <v>204</v>
      </c>
      <c r="B20" s="31" t="s">
        <v>160</v>
      </c>
      <c r="C20" s="32" t="s">
        <v>75</v>
      </c>
    </row>
    <row r="21" spans="1:3" ht="15.75" thickBot="1" x14ac:dyDescent="0.3">
      <c r="A21" s="33" t="s">
        <v>205</v>
      </c>
      <c r="B21" s="34" t="s">
        <v>161</v>
      </c>
      <c r="C21" s="35" t="s">
        <v>75</v>
      </c>
    </row>
    <row r="22" spans="1:3" ht="15.75" thickBot="1" x14ac:dyDescent="0.3">
      <c r="A22" s="36" t="s">
        <v>206</v>
      </c>
      <c r="B22" s="37" t="s">
        <v>162</v>
      </c>
      <c r="C22" s="35" t="s">
        <v>75</v>
      </c>
    </row>
    <row r="23" spans="1:3" ht="15.75" thickBot="1" x14ac:dyDescent="0.3">
      <c r="A23" s="33" t="s">
        <v>207</v>
      </c>
      <c r="B23" s="34" t="s">
        <v>95</v>
      </c>
      <c r="C23" s="35" t="s">
        <v>75</v>
      </c>
    </row>
    <row r="24" spans="1:3" ht="15.75" thickBot="1" x14ac:dyDescent="0.3">
      <c r="A24" s="36" t="s">
        <v>208</v>
      </c>
      <c r="B24" s="37" t="s">
        <v>94</v>
      </c>
      <c r="C24" s="35" t="s">
        <v>75</v>
      </c>
    </row>
    <row r="25" spans="1:3" ht="15.75" thickBot="1" x14ac:dyDescent="0.3">
      <c r="A25" s="33" t="s">
        <v>209</v>
      </c>
      <c r="B25" s="34" t="s">
        <v>93</v>
      </c>
      <c r="C25" s="35" t="s">
        <v>75</v>
      </c>
    </row>
    <row r="26" spans="1:3" ht="15.75" thickBot="1" x14ac:dyDescent="0.3">
      <c r="A26" s="36" t="s">
        <v>210</v>
      </c>
      <c r="B26" s="37" t="s">
        <v>119</v>
      </c>
      <c r="C26" s="35" t="s">
        <v>75</v>
      </c>
    </row>
    <row r="27" spans="1:3" ht="15.75" thickBot="1" x14ac:dyDescent="0.3">
      <c r="A27" s="33" t="s">
        <v>211</v>
      </c>
      <c r="B27" s="34" t="s">
        <v>170</v>
      </c>
      <c r="C27" s="35" t="s">
        <v>75</v>
      </c>
    </row>
    <row r="28" spans="1:3" ht="15.75" thickBot="1" x14ac:dyDescent="0.3">
      <c r="A28" s="36" t="s">
        <v>212</v>
      </c>
      <c r="B28" s="37" t="s">
        <v>59</v>
      </c>
      <c r="C28" s="35" t="s">
        <v>213</v>
      </c>
    </row>
    <row r="29" spans="1:3" ht="15.75" thickBot="1" x14ac:dyDescent="0.3">
      <c r="A29" s="33" t="s">
        <v>214</v>
      </c>
      <c r="B29" s="34" t="s">
        <v>60</v>
      </c>
      <c r="C29" s="35" t="s">
        <v>213</v>
      </c>
    </row>
    <row r="30" spans="1:3" ht="15.75" thickBot="1" x14ac:dyDescent="0.3">
      <c r="A30" s="38" t="s">
        <v>84</v>
      </c>
      <c r="B30" s="37" t="s">
        <v>215</v>
      </c>
      <c r="C30" s="35" t="s">
        <v>84</v>
      </c>
    </row>
    <row r="31" spans="1:3" ht="15.75" thickBot="1" x14ac:dyDescent="0.3">
      <c r="A31" s="39" t="s">
        <v>77</v>
      </c>
      <c r="B31" s="34" t="s">
        <v>216</v>
      </c>
      <c r="C31" s="35" t="s">
        <v>77</v>
      </c>
    </row>
    <row r="32" spans="1:3" ht="15.75" thickBot="1" x14ac:dyDescent="0.3">
      <c r="A32" s="38" t="s">
        <v>83</v>
      </c>
      <c r="B32" s="37" t="s">
        <v>217</v>
      </c>
      <c r="C32" s="35" t="s">
        <v>83</v>
      </c>
    </row>
    <row r="33" spans="1:3" ht="15.75" thickBot="1" x14ac:dyDescent="0.3">
      <c r="A33" s="39" t="s">
        <v>89</v>
      </c>
      <c r="B33" s="34" t="s">
        <v>218</v>
      </c>
      <c r="C33" s="35" t="s">
        <v>89</v>
      </c>
    </row>
    <row r="34" spans="1:3" ht="15.75" thickBot="1" x14ac:dyDescent="0.3">
      <c r="A34" s="36" t="s">
        <v>219</v>
      </c>
      <c r="B34" s="37" t="s">
        <v>157</v>
      </c>
      <c r="C34" s="35" t="s">
        <v>220</v>
      </c>
    </row>
    <row r="35" spans="1:3" ht="15.75" thickBot="1" x14ac:dyDescent="0.2">
      <c r="A35" s="33" t="s">
        <v>221</v>
      </c>
      <c r="B35" s="34" t="s">
        <v>178</v>
      </c>
      <c r="C35" s="40" t="s">
        <v>220</v>
      </c>
    </row>
    <row r="36" spans="1:3" ht="15.75" thickBot="1" x14ac:dyDescent="0.3">
      <c r="B36" s="8" t="s">
        <v>252</v>
      </c>
      <c r="C36" s="35" t="s">
        <v>253</v>
      </c>
    </row>
    <row r="37" spans="1:3" ht="15.75" thickBot="1" x14ac:dyDescent="0.3">
      <c r="B37" s="5" t="s">
        <v>129</v>
      </c>
      <c r="C37" s="35" t="s">
        <v>229</v>
      </c>
    </row>
    <row r="38" spans="1:3" ht="15.75" thickBot="1" x14ac:dyDescent="0.3">
      <c r="B38" s="5" t="s">
        <v>129</v>
      </c>
      <c r="C38" s="35" t="s">
        <v>229</v>
      </c>
    </row>
    <row r="39" spans="1:3" ht="15.75" thickBot="1" x14ac:dyDescent="0.3">
      <c r="B39" s="5" t="s">
        <v>92</v>
      </c>
      <c r="C39" s="35" t="s">
        <v>229</v>
      </c>
    </row>
    <row r="40" spans="1:3" ht="15.75" thickBot="1" x14ac:dyDescent="0.3">
      <c r="B40" s="5" t="s">
        <v>92</v>
      </c>
      <c r="C40" s="35" t="s">
        <v>229</v>
      </c>
    </row>
    <row r="41" spans="1:3" ht="15.75" thickBot="1" x14ac:dyDescent="0.3">
      <c r="B41" s="5" t="s">
        <v>98</v>
      </c>
      <c r="C41" s="35" t="s">
        <v>229</v>
      </c>
    </row>
    <row r="42" spans="1:3" ht="15.75" thickBot="1" x14ac:dyDescent="0.3">
      <c r="B42" s="5" t="s">
        <v>131</v>
      </c>
      <c r="C42" s="35" t="s">
        <v>229</v>
      </c>
    </row>
    <row r="43" spans="1:3" ht="15.75" thickBot="1" x14ac:dyDescent="0.3">
      <c r="B43" s="5" t="s">
        <v>130</v>
      </c>
      <c r="C43" s="35" t="s">
        <v>229</v>
      </c>
    </row>
    <row r="44" spans="1:3" ht="15.75" thickBot="1" x14ac:dyDescent="0.3">
      <c r="B44" s="5" t="s">
        <v>130</v>
      </c>
      <c r="C44" s="35" t="s">
        <v>229</v>
      </c>
    </row>
    <row r="45" spans="1:3" ht="15.75" thickBot="1" x14ac:dyDescent="0.3">
      <c r="B45" s="8" t="s">
        <v>117</v>
      </c>
      <c r="C45" s="35" t="s">
        <v>74</v>
      </c>
    </row>
  </sheetData>
  <mergeCells count="1">
    <mergeCell ref="A1:B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7"/>
  <sheetViews>
    <sheetView topLeftCell="A154" workbookViewId="0">
      <selection activeCell="F189" sqref="F189"/>
    </sheetView>
  </sheetViews>
  <sheetFormatPr defaultColWidth="9" defaultRowHeight="13.5" x14ac:dyDescent="0.15"/>
  <cols>
    <col min="1" max="1" width="11" customWidth="1"/>
    <col min="2" max="2" width="76.75" customWidth="1"/>
    <col min="3" max="3" width="5.5" bestFit="1" customWidth="1"/>
    <col min="8" max="9" width="16.125" customWidth="1"/>
    <col min="10" max="10" width="12.75" bestFit="1" customWidth="1"/>
  </cols>
  <sheetData>
    <row r="1" spans="1:10" x14ac:dyDescent="0.15">
      <c r="A1" s="5" t="s">
        <v>124</v>
      </c>
      <c r="B1" t="s">
        <v>61</v>
      </c>
      <c r="C1" s="5" t="s">
        <v>125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s="5" t="s">
        <v>228</v>
      </c>
      <c r="J1" s="5" t="s">
        <v>223</v>
      </c>
    </row>
    <row r="2" spans="1:10" x14ac:dyDescent="0.15">
      <c r="A2">
        <v>23069000</v>
      </c>
      <c r="B2" t="s">
        <v>242</v>
      </c>
      <c r="C2">
        <v>2017</v>
      </c>
      <c r="D2">
        <v>7632130</v>
      </c>
      <c r="E2" t="s">
        <v>67</v>
      </c>
      <c r="F2">
        <v>0</v>
      </c>
      <c r="G2" t="s">
        <v>68</v>
      </c>
      <c r="H2">
        <v>13262364</v>
      </c>
      <c r="I2" s="4" t="e">
        <f>VLOOKUP($A2,能源品种参考表!$A:$E,5,FALSE)</f>
        <v>#N/A</v>
      </c>
      <c r="J2" t="e">
        <f>D2*VLOOKUP($A2,能源品种参考表!$A:$I,6,FALSE)*VLOOKUP($A2,能源品种参考表!$A:$I,8,FALSE)</f>
        <v>#N/A</v>
      </c>
    </row>
    <row r="3" spans="1:10" x14ac:dyDescent="0.15">
      <c r="A3">
        <v>23069000</v>
      </c>
      <c r="B3" t="s">
        <v>242</v>
      </c>
      <c r="C3">
        <v>2018</v>
      </c>
      <c r="D3">
        <v>110643048</v>
      </c>
      <c r="E3" t="s">
        <v>67</v>
      </c>
      <c r="F3">
        <v>0</v>
      </c>
      <c r="G3" t="s">
        <v>68</v>
      </c>
      <c r="H3">
        <v>274913590</v>
      </c>
      <c r="I3" s="4" t="e">
        <f>VLOOKUP($A3,能源品种参考表!$A:$E,5,FALSE)</f>
        <v>#N/A</v>
      </c>
      <c r="J3" t="e">
        <f>D3*VLOOKUP($A3,能源品种参考表!$A:$I,6,FALSE)*VLOOKUP($A3,能源品种参考表!$A:$I,8,FALSE)</f>
        <v>#N/A</v>
      </c>
    </row>
    <row r="4" spans="1:10" x14ac:dyDescent="0.15">
      <c r="A4">
        <v>23069000</v>
      </c>
      <c r="B4" t="s">
        <v>242</v>
      </c>
      <c r="C4">
        <v>2019</v>
      </c>
      <c r="D4">
        <v>103566150</v>
      </c>
      <c r="E4" t="s">
        <v>67</v>
      </c>
      <c r="F4">
        <v>0</v>
      </c>
      <c r="G4" t="s">
        <v>68</v>
      </c>
      <c r="H4">
        <v>162861788</v>
      </c>
      <c r="I4" s="4" t="e">
        <f>VLOOKUP($A4,能源品种参考表!$A:$E,5,FALSE)</f>
        <v>#N/A</v>
      </c>
      <c r="J4" t="e">
        <f>D4*VLOOKUP($A4,能源品种参考表!$A:$I,6,FALSE)*VLOOKUP($A4,能源品种参考表!$A:$I,8,FALSE)</f>
        <v>#N/A</v>
      </c>
    </row>
    <row r="5" spans="1:10" x14ac:dyDescent="0.15">
      <c r="A5">
        <v>23069000</v>
      </c>
      <c r="B5" t="s">
        <v>242</v>
      </c>
      <c r="C5">
        <v>2020</v>
      </c>
      <c r="D5">
        <v>97911981</v>
      </c>
      <c r="E5" t="s">
        <v>67</v>
      </c>
      <c r="F5">
        <v>0</v>
      </c>
      <c r="G5" t="s">
        <v>68</v>
      </c>
      <c r="H5">
        <v>188579738</v>
      </c>
      <c r="I5" s="4" t="e">
        <f>VLOOKUP($A5,能源品种参考表!$A:$E,5,FALSE)</f>
        <v>#N/A</v>
      </c>
      <c r="J5" t="e">
        <f>D5*VLOOKUP($A5,能源品种参考表!$A:$I,6,FALSE)*VLOOKUP($A5,能源品种参考表!$A:$I,8,FALSE)</f>
        <v>#N/A</v>
      </c>
    </row>
    <row r="6" spans="1:10" x14ac:dyDescent="0.15">
      <c r="A6">
        <v>23069000</v>
      </c>
      <c r="B6" t="s">
        <v>242</v>
      </c>
      <c r="C6">
        <v>2021</v>
      </c>
      <c r="D6">
        <v>110491533</v>
      </c>
      <c r="E6" t="s">
        <v>67</v>
      </c>
      <c r="F6">
        <v>0</v>
      </c>
      <c r="G6" t="s">
        <v>68</v>
      </c>
      <c r="H6">
        <v>212536197</v>
      </c>
      <c r="I6" s="4" t="e">
        <f>VLOOKUP($A6,能源品种参考表!$A:$E,5,FALSE)</f>
        <v>#N/A</v>
      </c>
      <c r="J6" t="e">
        <f>D6*VLOOKUP($A6,能源品种参考表!$A:$I,6,FALSE)*VLOOKUP($A6,能源品种参考表!$A:$I,8,FALSE)</f>
        <v>#N/A</v>
      </c>
    </row>
    <row r="7" spans="1:10" x14ac:dyDescent="0.15">
      <c r="A7">
        <v>23069000</v>
      </c>
      <c r="B7" t="s">
        <v>243</v>
      </c>
      <c r="C7">
        <v>2022</v>
      </c>
      <c r="D7">
        <v>117881920</v>
      </c>
      <c r="E7" t="s">
        <v>67</v>
      </c>
      <c r="F7">
        <v>0</v>
      </c>
      <c r="G7" t="s">
        <v>68</v>
      </c>
      <c r="H7">
        <v>198019214</v>
      </c>
      <c r="I7" s="4" t="e">
        <f>VLOOKUP($A7,能源品种参考表!$A:$E,5,FALSE)</f>
        <v>#N/A</v>
      </c>
      <c r="J7" t="e">
        <f>D7*VLOOKUP($A7,能源品种参考表!$A:$I,6,FALSE)*VLOOKUP($A7,能源品种参考表!$A:$I,8,FALSE)</f>
        <v>#N/A</v>
      </c>
    </row>
    <row r="8" spans="1:10" x14ac:dyDescent="0.15">
      <c r="A8">
        <f>VLOOKUP(B8,能源品种参考表!B:I,8,FALSE)</f>
        <v>27011100</v>
      </c>
      <c r="B8" t="s">
        <v>35</v>
      </c>
      <c r="C8">
        <v>2019</v>
      </c>
      <c r="D8">
        <v>2003373431</v>
      </c>
      <c r="E8" t="s">
        <v>67</v>
      </c>
      <c r="F8">
        <v>0</v>
      </c>
      <c r="G8" t="s">
        <v>68</v>
      </c>
      <c r="H8" s="4">
        <v>2517459471</v>
      </c>
      <c r="I8" s="4" t="str">
        <f>VLOOKUP($A8,能源品种参考表!$A:$E,5,FALSE)</f>
        <v>hard coal</v>
      </c>
      <c r="J8">
        <f>D8*VLOOKUP($A8,能源品种参考表!$A:$I,6,FALSE)*VLOOKUP($A8,能源品种参考表!$A:$I,8,FALSE)</f>
        <v>38553877638822.633</v>
      </c>
    </row>
    <row r="9" spans="1:10" x14ac:dyDescent="0.15">
      <c r="A9">
        <f>VLOOKUP(B9,能源品种参考表!B:I,8,FALSE)</f>
        <v>27011100</v>
      </c>
      <c r="B9" t="s">
        <v>35</v>
      </c>
      <c r="C9">
        <v>2020</v>
      </c>
      <c r="D9">
        <v>1336323420</v>
      </c>
      <c r="E9" t="s">
        <v>67</v>
      </c>
      <c r="F9">
        <v>0</v>
      </c>
      <c r="G9" t="s">
        <v>68</v>
      </c>
      <c r="H9" s="4">
        <v>1455920565</v>
      </c>
      <c r="I9" s="4" t="str">
        <f>VLOOKUP($A9,能源品种参考表!$A:$E,5,FALSE)</f>
        <v>hard coal</v>
      </c>
      <c r="J9">
        <f>D9*VLOOKUP($A9,能源品种参考表!$A:$I,6,FALSE)*VLOOKUP($A9,能源品种参考表!$A:$I,8,FALSE)</f>
        <v>25716847804483.527</v>
      </c>
    </row>
    <row r="10" spans="1:10" x14ac:dyDescent="0.15">
      <c r="A10">
        <f>VLOOKUP(B10,能源品种参考表!B:I,8,FALSE)</f>
        <v>27011100</v>
      </c>
      <c r="B10" t="s">
        <v>35</v>
      </c>
      <c r="C10">
        <v>2021</v>
      </c>
      <c r="D10">
        <v>1496653525</v>
      </c>
      <c r="E10" t="s">
        <v>67</v>
      </c>
      <c r="F10">
        <v>0</v>
      </c>
      <c r="G10" t="s">
        <v>68</v>
      </c>
      <c r="H10">
        <v>2295580095</v>
      </c>
      <c r="I10" s="4" t="str">
        <f>VLOOKUP($A10,能源品种参考表!$A:$E,5,FALSE)</f>
        <v>hard coal</v>
      </c>
      <c r="J10">
        <f>D10*VLOOKUP($A10,能源品种参考表!$A:$I,6,FALSE)*VLOOKUP($A10,能源品种参考表!$A:$I,8,FALSE)</f>
        <v>28802317120558.121</v>
      </c>
    </row>
    <row r="11" spans="1:10" x14ac:dyDescent="0.15">
      <c r="A11">
        <f>VLOOKUP(B11,能源品种参考表!B:I,8,FALSE)</f>
        <v>27011100</v>
      </c>
      <c r="B11" t="s">
        <v>35</v>
      </c>
      <c r="C11">
        <v>2022</v>
      </c>
      <c r="D11">
        <v>2110600395</v>
      </c>
      <c r="E11" t="s">
        <v>67</v>
      </c>
      <c r="F11">
        <v>0</v>
      </c>
      <c r="G11" t="s">
        <v>68</v>
      </c>
      <c r="H11">
        <v>15816222100</v>
      </c>
      <c r="I11" s="4" t="str">
        <f>VLOOKUP($A11,能源品种参考表!$A:$E,5,FALSE)</f>
        <v>hard coal</v>
      </c>
      <c r="J11">
        <f>D11*VLOOKUP($A11,能源品种参考表!$A:$I,6,FALSE)*VLOOKUP($A11,能源品种参考表!$A:$I,8,FALSE)</f>
        <v>40617404680595.82</v>
      </c>
    </row>
    <row r="12" spans="1:10" x14ac:dyDescent="0.15">
      <c r="A12">
        <f>VLOOKUP(B12,能源品种参考表!B:I,8,FALSE)</f>
        <v>27011210</v>
      </c>
      <c r="B12" t="s">
        <v>29</v>
      </c>
      <c r="C12">
        <v>2019</v>
      </c>
      <c r="D12">
        <v>1396550136</v>
      </c>
      <c r="E12" t="s">
        <v>67</v>
      </c>
      <c r="F12">
        <v>0</v>
      </c>
      <c r="G12" t="s">
        <v>68</v>
      </c>
      <c r="H12" s="4">
        <v>1906973417</v>
      </c>
      <c r="I12" s="4" t="str">
        <f>VLOOKUP($A12,能源品种参考表!$A:$E,5,FALSE)</f>
        <v>hard coal</v>
      </c>
      <c r="J12">
        <f>D12*VLOOKUP($A12,能源品种参考表!$A:$I,6,FALSE)*VLOOKUP($A12,能源品种参考表!$A:$I,8,FALSE)</f>
        <v>26875879567270.305</v>
      </c>
    </row>
    <row r="13" spans="1:10" x14ac:dyDescent="0.15">
      <c r="A13">
        <f>VLOOKUP(B13,能源品种参考表!B:I,8,FALSE)</f>
        <v>27011210</v>
      </c>
      <c r="B13" t="s">
        <v>29</v>
      </c>
      <c r="C13">
        <v>2020</v>
      </c>
      <c r="D13">
        <v>874468500</v>
      </c>
      <c r="E13" t="s">
        <v>67</v>
      </c>
      <c r="F13">
        <v>0</v>
      </c>
      <c r="G13" t="s">
        <v>68</v>
      </c>
      <c r="H13" s="4">
        <v>863715321</v>
      </c>
      <c r="I13" s="4" t="str">
        <f>VLOOKUP($A13,能源品种参考表!$A:$E,5,FALSE)</f>
        <v>hard coal</v>
      </c>
      <c r="J13">
        <f>D13*VLOOKUP($A13,能源品种参考表!$A:$I,6,FALSE)*VLOOKUP($A13,能源品种参考表!$A:$I,8,FALSE)</f>
        <v>16828690560788.797</v>
      </c>
    </row>
    <row r="14" spans="1:10" x14ac:dyDescent="0.15">
      <c r="A14">
        <f>VLOOKUP(B14,能源品种参考表!B:I,8,FALSE)</f>
        <v>27011210</v>
      </c>
      <c r="B14" t="s">
        <v>29</v>
      </c>
      <c r="C14">
        <v>2021</v>
      </c>
      <c r="D14">
        <v>91532000</v>
      </c>
      <c r="E14" t="s">
        <v>67</v>
      </c>
      <c r="F14">
        <v>0</v>
      </c>
      <c r="G14" t="s">
        <v>68</v>
      </c>
      <c r="H14">
        <v>71811252</v>
      </c>
      <c r="I14" s="4" t="str">
        <f>VLOOKUP($A14,能源品种参考表!$A:$E,5,FALSE)</f>
        <v>hard coal</v>
      </c>
      <c r="J14">
        <f>D14*VLOOKUP($A14,能源品种参考表!$A:$I,6,FALSE)*VLOOKUP($A14,能源品种参考表!$A:$I,8,FALSE)</f>
        <v>1761485638888.2163</v>
      </c>
    </row>
    <row r="15" spans="1:10" x14ac:dyDescent="0.15">
      <c r="A15">
        <f>VLOOKUP(B15,能源品种参考表!B:I,8,FALSE)</f>
        <v>27011210</v>
      </c>
      <c r="B15" t="s">
        <v>29</v>
      </c>
      <c r="C15">
        <v>2022</v>
      </c>
      <c r="D15">
        <v>254956570</v>
      </c>
      <c r="E15" t="s">
        <v>67</v>
      </c>
      <c r="F15">
        <v>0</v>
      </c>
      <c r="G15" t="s">
        <v>68</v>
      </c>
      <c r="H15">
        <v>100824520003</v>
      </c>
      <c r="I15" s="4" t="str">
        <f>VLOOKUP($A15,能源品种参考表!$A:$E,5,FALSE)</f>
        <v>hard coal</v>
      </c>
      <c r="J15">
        <f>D15*VLOOKUP($A15,能源品种参考表!$A:$I,6,FALSE)*VLOOKUP($A15,能源品种参考表!$A:$I,8,FALSE)</f>
        <v>4906506321234.084</v>
      </c>
    </row>
    <row r="16" spans="1:10" x14ac:dyDescent="0.15">
      <c r="A16">
        <f>VLOOKUP(B16,能源品种参考表!B:I,8,FALSE)</f>
        <v>27011290</v>
      </c>
      <c r="B16" t="s">
        <v>34</v>
      </c>
      <c r="C16">
        <v>2019</v>
      </c>
      <c r="D16">
        <v>2510411233</v>
      </c>
      <c r="E16" t="s">
        <v>67</v>
      </c>
      <c r="F16">
        <v>0</v>
      </c>
      <c r="G16" t="s">
        <v>68</v>
      </c>
      <c r="H16" s="4">
        <v>1826131776</v>
      </c>
      <c r="I16" s="4" t="str">
        <f>VLOOKUP($A16,能源品种参考表!$A:$E,5,FALSE)</f>
        <v>hard coal</v>
      </c>
      <c r="J16">
        <f>D16*VLOOKUP($A16,能源品种参考表!$A:$I,6,FALSE)*VLOOKUP($A16,能源品种参考表!$A:$I,8,FALSE)</f>
        <v>46565068408283.789</v>
      </c>
    </row>
    <row r="17" spans="1:10" x14ac:dyDescent="0.15">
      <c r="A17">
        <f>VLOOKUP(B17,能源品种参考表!B:I,8,FALSE)</f>
        <v>27011290</v>
      </c>
      <c r="B17" t="s">
        <v>34</v>
      </c>
      <c r="C17">
        <v>2020</v>
      </c>
      <c r="D17">
        <v>901973046</v>
      </c>
      <c r="E17" t="s">
        <v>67</v>
      </c>
      <c r="F17">
        <v>0</v>
      </c>
      <c r="G17" t="s">
        <v>68</v>
      </c>
      <c r="H17" s="4">
        <v>592298027</v>
      </c>
      <c r="I17" s="4" t="str">
        <f>VLOOKUP($A17,能源品种参考表!$A:$E,5,FALSE)</f>
        <v>hard coal</v>
      </c>
      <c r="J17">
        <f>D17*VLOOKUP($A17,能源品种参考表!$A:$I,6,FALSE)*VLOOKUP($A17,能源品种参考表!$A:$I,8,FALSE)</f>
        <v>16730500579869.775</v>
      </c>
    </row>
    <row r="18" spans="1:10" x14ac:dyDescent="0.15">
      <c r="A18">
        <f>VLOOKUP(B18,能源品种参考表!B:I,8,FALSE)</f>
        <v>27011290</v>
      </c>
      <c r="B18" t="s">
        <v>34</v>
      </c>
      <c r="C18">
        <v>2021</v>
      </c>
      <c r="D18">
        <v>984265489</v>
      </c>
      <c r="E18" t="s">
        <v>67</v>
      </c>
      <c r="F18">
        <v>0</v>
      </c>
      <c r="G18" t="s">
        <v>68</v>
      </c>
      <c r="H18">
        <v>806705899</v>
      </c>
      <c r="I18" s="4" t="str">
        <f>VLOOKUP($A18,能源品种参考表!$A:$E,5,FALSE)</f>
        <v>hard coal</v>
      </c>
      <c r="J18">
        <f>D18*VLOOKUP($A18,能源品种参考表!$A:$I,6,FALSE)*VLOOKUP($A18,能源品种参考表!$A:$I,8,FALSE)</f>
        <v>18256925090486.918</v>
      </c>
    </row>
    <row r="19" spans="1:10" x14ac:dyDescent="0.15">
      <c r="A19">
        <f>VLOOKUP(B19,能源品种参考表!B:I,8,FALSE)</f>
        <v>27011290</v>
      </c>
      <c r="B19" t="s">
        <v>34</v>
      </c>
      <c r="C19">
        <v>2022</v>
      </c>
      <c r="D19">
        <v>1602914818</v>
      </c>
      <c r="E19" t="s">
        <v>67</v>
      </c>
      <c r="F19">
        <v>0</v>
      </c>
      <c r="G19" t="s">
        <v>68</v>
      </c>
      <c r="H19">
        <v>54285052466</v>
      </c>
      <c r="I19" s="4" t="str">
        <f>VLOOKUP($A19,能源品种参考表!$A:$E,5,FALSE)</f>
        <v>hard coal</v>
      </c>
      <c r="J19">
        <f>D19*VLOOKUP($A19,能源品种参考表!$A:$I,6,FALSE)*VLOOKUP($A19,能源品种参考表!$A:$I,8,FALSE)</f>
        <v>29732116065950.438</v>
      </c>
    </row>
    <row r="20" spans="1:10" x14ac:dyDescent="0.15">
      <c r="A20">
        <f>VLOOKUP(B20,能源品种参考表!B:I,8,FALSE)</f>
        <v>27011900</v>
      </c>
      <c r="B20" t="s">
        <v>33</v>
      </c>
      <c r="C20">
        <v>2019</v>
      </c>
      <c r="D20">
        <v>68589273</v>
      </c>
      <c r="E20" t="s">
        <v>67</v>
      </c>
      <c r="F20">
        <v>0</v>
      </c>
      <c r="G20" t="s">
        <v>68</v>
      </c>
      <c r="H20" s="4">
        <v>53667822</v>
      </c>
      <c r="I20" s="4" t="str">
        <f>VLOOKUP($A20,能源品种参考表!$A:$E,5,FALSE)</f>
        <v>hard coal</v>
      </c>
      <c r="J20">
        <f>D20*VLOOKUP($A20,能源品种参考表!$A:$I,6,FALSE)*VLOOKUP($A20,能源品种参考表!$A:$I,8,FALSE)</f>
        <v>1359230906955.3047</v>
      </c>
    </row>
    <row r="21" spans="1:10" x14ac:dyDescent="0.15">
      <c r="A21">
        <f>VLOOKUP(B21,能源品种参考表!B:I,8,FALSE)</f>
        <v>27011900</v>
      </c>
      <c r="B21" t="s">
        <v>33</v>
      </c>
      <c r="C21">
        <v>2020</v>
      </c>
      <c r="D21">
        <v>45046057</v>
      </c>
      <c r="E21" t="s">
        <v>67</v>
      </c>
      <c r="F21">
        <v>0</v>
      </c>
      <c r="G21" t="s">
        <v>68</v>
      </c>
      <c r="H21" s="4">
        <v>35262386</v>
      </c>
      <c r="I21" s="4" t="str">
        <f>VLOOKUP($A21,能源品种参考表!$A:$E,5,FALSE)</f>
        <v>hard coal</v>
      </c>
      <c r="J21">
        <f>D21*VLOOKUP($A21,能源品种参考表!$A:$I,6,FALSE)*VLOOKUP($A21,能源品种参考表!$A:$I,8,FALSE)</f>
        <v>892675927777.66223</v>
      </c>
    </row>
    <row r="22" spans="1:10" x14ac:dyDescent="0.15">
      <c r="A22">
        <f>VLOOKUP(B22,能源品种参考表!B:I,8,FALSE)</f>
        <v>27011900</v>
      </c>
      <c r="B22" t="s">
        <v>33</v>
      </c>
      <c r="C22">
        <v>2021</v>
      </c>
      <c r="D22">
        <v>1000</v>
      </c>
      <c r="E22" t="s">
        <v>67</v>
      </c>
      <c r="F22">
        <v>0</v>
      </c>
      <c r="G22" t="s">
        <v>68</v>
      </c>
      <c r="H22">
        <v>1634</v>
      </c>
      <c r="I22" s="4" t="str">
        <f>VLOOKUP($A22,能源品种参考表!$A:$E,5,FALSE)</f>
        <v>hard coal</v>
      </c>
      <c r="J22">
        <f>D22*VLOOKUP($A22,能源品种参考表!$A:$I,6,FALSE)*VLOOKUP($A22,能源品种参考表!$A:$I,8,FALSE)</f>
        <v>19816960.400721915</v>
      </c>
    </row>
    <row r="23" spans="1:10" x14ac:dyDescent="0.15">
      <c r="A23">
        <f>VLOOKUP(B23,能源品种参考表!B:I,8,FALSE)</f>
        <v>27012000</v>
      </c>
      <c r="B23" t="s">
        <v>30</v>
      </c>
      <c r="C23">
        <v>2019</v>
      </c>
      <c r="D23">
        <v>34960849</v>
      </c>
      <c r="E23" t="s">
        <v>67</v>
      </c>
      <c r="F23">
        <v>0</v>
      </c>
      <c r="G23" t="s">
        <v>68</v>
      </c>
      <c r="H23" s="4">
        <v>105065348</v>
      </c>
      <c r="I23" s="4" t="str">
        <f>VLOOKUP($A23,能源品种参考表!$A:$E,5,FALSE)</f>
        <v>hard coal</v>
      </c>
      <c r="J23">
        <f>D23*VLOOKUP($A23,能源品种参考表!$A:$I,6,FALSE)*VLOOKUP($A23,能源品种参考表!$A:$I,8,FALSE)</f>
        <v>512720929964.98718</v>
      </c>
    </row>
    <row r="24" spans="1:10" x14ac:dyDescent="0.15">
      <c r="A24">
        <f>VLOOKUP(B24,能源品种参考表!B:I,8,FALSE)</f>
        <v>27012000</v>
      </c>
      <c r="B24" t="s">
        <v>30</v>
      </c>
      <c r="C24">
        <v>2020</v>
      </c>
      <c r="D24">
        <v>26826317</v>
      </c>
      <c r="E24" t="s">
        <v>67</v>
      </c>
      <c r="F24">
        <v>0</v>
      </c>
      <c r="G24" t="s">
        <v>68</v>
      </c>
      <c r="H24" s="4">
        <v>81347923</v>
      </c>
      <c r="I24" s="4" t="str">
        <f>VLOOKUP($A24,能源品种参考表!$A:$E,5,FALSE)</f>
        <v>hard coal</v>
      </c>
      <c r="J24">
        <f>D24*VLOOKUP($A24,能源品种参考表!$A:$I,6,FALSE)*VLOOKUP($A24,能源品种参考表!$A:$I,8,FALSE)</f>
        <v>393423346205.79559</v>
      </c>
    </row>
    <row r="25" spans="1:10" x14ac:dyDescent="0.15">
      <c r="A25">
        <f>VLOOKUP(B25,能源品种参考表!B:I,8,FALSE)</f>
        <v>27012000</v>
      </c>
      <c r="B25" t="s">
        <v>30</v>
      </c>
      <c r="C25">
        <v>2021</v>
      </c>
      <c r="D25">
        <v>26042749</v>
      </c>
      <c r="E25" t="s">
        <v>67</v>
      </c>
      <c r="F25">
        <v>0</v>
      </c>
      <c r="G25" t="s">
        <v>68</v>
      </c>
      <c r="H25">
        <v>91280379</v>
      </c>
      <c r="I25" s="4" t="str">
        <f>VLOOKUP($A25,能源品种参考表!$A:$E,5,FALSE)</f>
        <v>hard coal</v>
      </c>
      <c r="J25">
        <f>D25*VLOOKUP($A25,能源品种参考表!$A:$I,6,FALSE)*VLOOKUP($A25,能源品种参考表!$A:$I,8,FALSE)</f>
        <v>381931871452.11316</v>
      </c>
    </row>
    <row r="26" spans="1:10" x14ac:dyDescent="0.15">
      <c r="A26">
        <f>VLOOKUP(B26,能源品种参考表!B:I,8,FALSE)</f>
        <v>27012000</v>
      </c>
      <c r="B26" t="s">
        <v>30</v>
      </c>
      <c r="C26">
        <v>2022</v>
      </c>
      <c r="D26">
        <v>27198717</v>
      </c>
      <c r="E26" t="s">
        <v>67</v>
      </c>
      <c r="F26">
        <v>0</v>
      </c>
      <c r="G26" t="s">
        <v>68</v>
      </c>
      <c r="H26">
        <v>31947086491</v>
      </c>
      <c r="I26" s="4" t="str">
        <f>VLOOKUP($A26,能源品种参考表!$A:$E,5,FALSE)</f>
        <v>hard coal</v>
      </c>
      <c r="J26">
        <f>D26*VLOOKUP($A26,能源品种参考表!$A:$I,6,FALSE)*VLOOKUP($A26,能源品种参考表!$A:$I,8,FALSE)</f>
        <v>398884806089.64917</v>
      </c>
    </row>
    <row r="27" spans="1:10" x14ac:dyDescent="0.15">
      <c r="A27">
        <f>VLOOKUP(B27,能源品种参考表!B:I,8,FALSE)</f>
        <v>27021000</v>
      </c>
      <c r="B27" t="s">
        <v>28</v>
      </c>
      <c r="C27">
        <v>2019</v>
      </c>
      <c r="D27">
        <v>11105262</v>
      </c>
      <c r="E27" t="s">
        <v>67</v>
      </c>
      <c r="F27">
        <v>0</v>
      </c>
      <c r="G27" t="s">
        <v>68</v>
      </c>
      <c r="H27" s="4">
        <v>5247128</v>
      </c>
      <c r="I27" s="4" t="str">
        <f>VLOOKUP($A27,能源品种参考表!$A:$E,5,FALSE)</f>
        <v>hard coal</v>
      </c>
      <c r="J27">
        <f>D27*VLOOKUP($A27,能源品种参考表!$A:$I,6,FALSE)*VLOOKUP($A27,能源品种参考表!$A:$I,8,FALSE)</f>
        <v>148202665252.27075</v>
      </c>
    </row>
    <row r="28" spans="1:10" x14ac:dyDescent="0.15">
      <c r="A28">
        <f>VLOOKUP(B28,能源品种参考表!B:I,8,FALSE)</f>
        <v>27021000</v>
      </c>
      <c r="B28" t="s">
        <v>28</v>
      </c>
      <c r="C28">
        <v>2020</v>
      </c>
      <c r="D28">
        <v>5863270</v>
      </c>
      <c r="E28" t="s">
        <v>67</v>
      </c>
      <c r="F28">
        <v>0</v>
      </c>
      <c r="G28" t="s">
        <v>68</v>
      </c>
      <c r="H28" s="4">
        <v>3093707</v>
      </c>
      <c r="I28" s="4" t="str">
        <f>VLOOKUP($A28,能源品种参考表!$A:$E,5,FALSE)</f>
        <v>hard coal</v>
      </c>
      <c r="J28">
        <f>D28*VLOOKUP($A28,能源品种参考表!$A:$I,6,FALSE)*VLOOKUP($A28,能源品种参考表!$A:$I,8,FALSE)</f>
        <v>78246892427.543045</v>
      </c>
    </row>
    <row r="29" spans="1:10" x14ac:dyDescent="0.15">
      <c r="A29">
        <f>VLOOKUP(B29,能源品种参考表!B:I,8,FALSE)</f>
        <v>27021000</v>
      </c>
      <c r="B29" t="s">
        <v>28</v>
      </c>
      <c r="C29">
        <v>2021</v>
      </c>
      <c r="D29">
        <v>4622520</v>
      </c>
      <c r="E29" t="s">
        <v>67</v>
      </c>
      <c r="F29">
        <v>0</v>
      </c>
      <c r="G29" t="s">
        <v>68</v>
      </c>
      <c r="H29">
        <v>3172379</v>
      </c>
      <c r="I29" s="4" t="str">
        <f>VLOOKUP($A29,能源品种参考表!$A:$E,5,FALSE)</f>
        <v>hard coal</v>
      </c>
      <c r="J29">
        <f>D29*VLOOKUP($A29,能源品种参考表!$A:$I,6,FALSE)*VLOOKUP($A29,能源品种参考表!$A:$I,8,FALSE)</f>
        <v>61688754770.659775</v>
      </c>
    </row>
    <row r="30" spans="1:10" x14ac:dyDescent="0.15">
      <c r="A30">
        <f>VLOOKUP(B30,能源品种参考表!B:I,8,FALSE)</f>
        <v>27021000</v>
      </c>
      <c r="B30" t="s">
        <v>28</v>
      </c>
      <c r="C30">
        <v>2022</v>
      </c>
      <c r="D30">
        <v>5258260</v>
      </c>
      <c r="E30" t="s">
        <v>67</v>
      </c>
      <c r="F30">
        <v>0</v>
      </c>
      <c r="G30" t="s">
        <v>68</v>
      </c>
      <c r="H30">
        <v>82590341077</v>
      </c>
      <c r="I30" s="4" t="str">
        <f>VLOOKUP($A30,能源品种参考表!$A:$E,5,FALSE)</f>
        <v>hard coal</v>
      </c>
      <c r="J30">
        <f>D30*VLOOKUP($A30,能源品种参考表!$A:$I,6,FALSE)*VLOOKUP($A30,能源品种参考表!$A:$I,8,FALSE)</f>
        <v>70172873597.165482</v>
      </c>
    </row>
    <row r="31" spans="1:10" x14ac:dyDescent="0.15">
      <c r="A31">
        <f>VLOOKUP(B31,能源品种参考表!B:I,8,FALSE)</f>
        <v>27022000</v>
      </c>
      <c r="B31" t="s">
        <v>36</v>
      </c>
      <c r="C31">
        <v>2019</v>
      </c>
      <c r="D31">
        <v>67075</v>
      </c>
      <c r="E31" t="s">
        <v>67</v>
      </c>
      <c r="F31">
        <v>0</v>
      </c>
      <c r="G31" t="s">
        <v>68</v>
      </c>
      <c r="H31" s="4">
        <v>451235</v>
      </c>
      <c r="I31" s="4" t="str">
        <f>VLOOKUP($A31,能源品种参考表!$A:$E,5,FALSE)</f>
        <v>hard coal</v>
      </c>
      <c r="J31">
        <f>D31*VLOOKUP($A31,能源品种参考表!$A:$I,6,FALSE)*VLOOKUP($A31,能源品种参考表!$A:$I,8,FALSE)</f>
        <v>895133655.72069001</v>
      </c>
    </row>
    <row r="32" spans="1:10" x14ac:dyDescent="0.15">
      <c r="A32">
        <f>VLOOKUP(B32,能源品种参考表!B:I,8,FALSE)</f>
        <v>27022000</v>
      </c>
      <c r="B32" t="s">
        <v>36</v>
      </c>
      <c r="C32">
        <v>2020</v>
      </c>
      <c r="D32">
        <v>225390</v>
      </c>
      <c r="E32" t="s">
        <v>67</v>
      </c>
      <c r="F32">
        <v>0</v>
      </c>
      <c r="G32" t="s">
        <v>68</v>
      </c>
      <c r="H32" s="4">
        <v>269326</v>
      </c>
      <c r="I32" s="4" t="str">
        <f>VLOOKUP($A32,能源品种参考表!$A:$E,5,FALSE)</f>
        <v>hard coal</v>
      </c>
      <c r="J32">
        <f>D32*VLOOKUP($A32,能源品种参考表!$A:$I,6,FALSE)*VLOOKUP($A32,能源品种参考表!$A:$I,8,FALSE)</f>
        <v>3007889297.9930873</v>
      </c>
    </row>
    <row r="33" spans="1:10" x14ac:dyDescent="0.15">
      <c r="A33">
        <f>VLOOKUP(B33,能源品种参考表!B:I,8,FALSE)</f>
        <v>27022000</v>
      </c>
      <c r="B33" t="s">
        <v>36</v>
      </c>
      <c r="C33">
        <v>2021</v>
      </c>
      <c r="D33">
        <v>60000</v>
      </c>
      <c r="E33" t="s">
        <v>67</v>
      </c>
      <c r="F33">
        <v>0</v>
      </c>
      <c r="G33" t="s">
        <v>68</v>
      </c>
      <c r="H33">
        <v>268320</v>
      </c>
      <c r="I33" s="4" t="str">
        <f>VLOOKUP($A33,能源品种参考表!$A:$E,5,FALSE)</f>
        <v>hard coal</v>
      </c>
      <c r="J33">
        <f>D33*VLOOKUP($A33,能源品种参考表!$A:$I,6,FALSE)*VLOOKUP($A33,能源品种参考表!$A:$I,8,FALSE)</f>
        <v>800715905.22909272</v>
      </c>
    </row>
    <row r="34" spans="1:10" x14ac:dyDescent="0.15">
      <c r="A34">
        <f>VLOOKUP(B34,能源品种参考表!B:I,8,FALSE)</f>
        <v>27022000</v>
      </c>
      <c r="B34" t="s">
        <v>36</v>
      </c>
      <c r="C34">
        <v>2022</v>
      </c>
      <c r="D34">
        <v>348320</v>
      </c>
      <c r="E34" t="s">
        <v>67</v>
      </c>
      <c r="F34">
        <v>0</v>
      </c>
      <c r="G34" t="s">
        <v>68</v>
      </c>
      <c r="H34">
        <v>213</v>
      </c>
      <c r="I34" s="4" t="str">
        <f>VLOOKUP($A34,能源品种参考表!$A:$E,5,FALSE)</f>
        <v>hard coal</v>
      </c>
      <c r="J34">
        <f>D34*VLOOKUP($A34,能源品种参考表!$A:$I,6,FALSE)*VLOOKUP($A34,能源品种参考表!$A:$I,8,FALSE)</f>
        <v>4648422735.1566267</v>
      </c>
    </row>
    <row r="35" spans="1:10" x14ac:dyDescent="0.15">
      <c r="A35">
        <v>27030000</v>
      </c>
      <c r="B35" t="s">
        <v>31</v>
      </c>
      <c r="C35">
        <v>2019</v>
      </c>
      <c r="D35">
        <v>3650580</v>
      </c>
      <c r="E35" t="s">
        <v>67</v>
      </c>
      <c r="F35">
        <v>0</v>
      </c>
      <c r="G35" t="s">
        <v>68</v>
      </c>
      <c r="H35" s="4">
        <v>3344447</v>
      </c>
      <c r="I35" s="4" t="str">
        <f>VLOOKUP($A35,能源品种参考表!$A:$E,5,FALSE)</f>
        <v>hard coal</v>
      </c>
      <c r="J35">
        <f>D35*VLOOKUP($A35,能源品种参考表!$A:$I,6,FALSE)*VLOOKUP($A35,能源品种参考表!$A:$I,8,FALSE)</f>
        <v>37611093858.206657</v>
      </c>
    </row>
    <row r="36" spans="1:10" x14ac:dyDescent="0.15">
      <c r="A36">
        <v>27030000</v>
      </c>
      <c r="B36" t="s">
        <v>31</v>
      </c>
      <c r="C36">
        <v>2020</v>
      </c>
      <c r="D36">
        <v>4095769</v>
      </c>
      <c r="E36" t="s">
        <v>67</v>
      </c>
      <c r="F36">
        <v>0</v>
      </c>
      <c r="G36" t="s">
        <v>68</v>
      </c>
      <c r="H36" s="4">
        <v>2720854</v>
      </c>
      <c r="I36" s="4" t="str">
        <f>VLOOKUP($A36,能源品种参考表!$A:$E,5,FALSE)</f>
        <v>hard coal</v>
      </c>
      <c r="J36">
        <f>D36*VLOOKUP($A36,能源品种参考表!$A:$I,6,FALSE)*VLOOKUP($A36,能源品种参考表!$A:$I,8,FALSE)</f>
        <v>42197774677.046715</v>
      </c>
    </row>
    <row r="37" spans="1:10" x14ac:dyDescent="0.15">
      <c r="A37">
        <f>VLOOKUP(B37,能源品种参考表!B:I,8,FALSE)</f>
        <v>27030000</v>
      </c>
      <c r="B37" t="s">
        <v>31</v>
      </c>
      <c r="C37">
        <v>2021</v>
      </c>
      <c r="D37">
        <v>8511800</v>
      </c>
      <c r="E37" t="s">
        <v>67</v>
      </c>
      <c r="F37">
        <v>0</v>
      </c>
      <c r="G37" t="s">
        <v>68</v>
      </c>
      <c r="H37">
        <v>5417881</v>
      </c>
      <c r="I37" s="4" t="str">
        <f>VLOOKUP($A37,能源品种参考表!$A:$E,5,FALSE)</f>
        <v>hard coal</v>
      </c>
      <c r="J37">
        <f>D37*VLOOKUP($A37,能源品种参考表!$A:$I,6,FALSE)*VLOOKUP($A37,能源品种参考表!$A:$I,8,FALSE)</f>
        <v>87695135759.87471</v>
      </c>
    </row>
    <row r="38" spans="1:10" x14ac:dyDescent="0.15">
      <c r="A38">
        <f>VLOOKUP(B38,能源品种参考表!B:I,8,FALSE)</f>
        <v>27030000</v>
      </c>
      <c r="B38" t="s">
        <v>31</v>
      </c>
      <c r="C38">
        <v>2022</v>
      </c>
      <c r="D38">
        <v>5716000</v>
      </c>
      <c r="E38" t="s">
        <v>67</v>
      </c>
      <c r="F38">
        <v>0</v>
      </c>
      <c r="G38" t="s">
        <v>68</v>
      </c>
      <c r="H38">
        <v>871278861</v>
      </c>
      <c r="I38" s="4" t="str">
        <f>VLOOKUP($A38,能源品种参考表!$A:$E,5,FALSE)</f>
        <v>hard coal</v>
      </c>
      <c r="J38">
        <f>D38*VLOOKUP($A38,能源品种参考表!$A:$I,6,FALSE)*VLOOKUP($A38,能源品种参考表!$A:$I,8,FALSE)</f>
        <v>58890645457.299721</v>
      </c>
    </row>
    <row r="39" spans="1:10" x14ac:dyDescent="0.15">
      <c r="A39">
        <f>VLOOKUP(B39,能源品种参考表!B:I,8,FALSE)</f>
        <v>27050000</v>
      </c>
      <c r="B39" t="s">
        <v>57</v>
      </c>
      <c r="C39">
        <v>2022</v>
      </c>
      <c r="D39">
        <v>6000</v>
      </c>
      <c r="E39" t="s">
        <v>67</v>
      </c>
      <c r="F39">
        <v>0</v>
      </c>
      <c r="G39" t="s">
        <v>68</v>
      </c>
      <c r="H39">
        <v>99953</v>
      </c>
      <c r="I39" s="4" t="str">
        <f>VLOOKUP($A39,能源品种参考表!$A:$E,5,FALSE)</f>
        <v>LPG propane or butane</v>
      </c>
      <c r="J39">
        <f>D39*VLOOKUP($A39,能源品种参考表!$A:$I,6,FALSE)*VLOOKUP($A39,能源品种参考表!$A:$I,8,FALSE)</f>
        <v>33798113.247393832</v>
      </c>
    </row>
    <row r="40" spans="1:10" x14ac:dyDescent="0.15">
      <c r="A40">
        <f>VLOOKUP(B40,能源品种参考表!B:I,8,FALSE)</f>
        <v>27079990</v>
      </c>
      <c r="B40" t="s">
        <v>56</v>
      </c>
      <c r="C40">
        <v>2019</v>
      </c>
      <c r="D40">
        <v>30704220</v>
      </c>
      <c r="E40" t="s">
        <v>67</v>
      </c>
      <c r="F40">
        <v>0</v>
      </c>
      <c r="G40" t="s">
        <v>68</v>
      </c>
      <c r="H40" s="4">
        <v>123342469</v>
      </c>
      <c r="I40" s="4" t="str">
        <f>VLOOKUP($A40,能源品种参考表!$A:$E,5,FALSE)</f>
        <v>petroleum diesel</v>
      </c>
      <c r="J40">
        <f>D40*VLOOKUP($A40,能源品种参考表!$A:$I,6,FALSE)*VLOOKUP($A40,能源品种参考表!$A:$I,8,FALSE)</f>
        <v>973548719397.17688</v>
      </c>
    </row>
    <row r="41" spans="1:10" x14ac:dyDescent="0.15">
      <c r="A41">
        <f>VLOOKUP(B41,能源品种参考表!B:I,8,FALSE)</f>
        <v>27079990</v>
      </c>
      <c r="B41" t="s">
        <v>56</v>
      </c>
      <c r="C41">
        <v>2020</v>
      </c>
      <c r="D41">
        <v>6284233</v>
      </c>
      <c r="E41" t="s">
        <v>67</v>
      </c>
      <c r="F41">
        <v>0</v>
      </c>
      <c r="G41" t="s">
        <v>68</v>
      </c>
      <c r="H41" s="4">
        <v>68327775</v>
      </c>
      <c r="I41" s="4" t="str">
        <f>VLOOKUP($A41,能源品种参考表!$A:$E,5,FALSE)</f>
        <v>petroleum diesel</v>
      </c>
      <c r="J41">
        <f>D41*VLOOKUP($A41,能源品种参考表!$A:$I,6,FALSE)*VLOOKUP($A41,能源品种参考表!$A:$I,8,FALSE)</f>
        <v>199256225676.58386</v>
      </c>
    </row>
    <row r="42" spans="1:10" x14ac:dyDescent="0.15">
      <c r="A42">
        <f>VLOOKUP(B42,能源品种参考表!B:I,8,FALSE)</f>
        <v>27079990</v>
      </c>
      <c r="B42" t="s">
        <v>56</v>
      </c>
      <c r="C42">
        <v>2021</v>
      </c>
      <c r="D42">
        <v>17221792</v>
      </c>
      <c r="E42" t="s">
        <v>67</v>
      </c>
      <c r="F42">
        <v>790533</v>
      </c>
      <c r="G42" t="s">
        <v>68</v>
      </c>
      <c r="H42">
        <v>53047230</v>
      </c>
      <c r="I42" s="4" t="str">
        <f>VLOOKUP($A42,能源品种参考表!$A:$E,5,FALSE)</f>
        <v>petroleum diesel</v>
      </c>
      <c r="J42">
        <f>D42*VLOOKUP($A42,能源品种参考表!$A:$I,6,FALSE)*VLOOKUP($A42,能源品种参考表!$A:$I,8,FALSE)</f>
        <v>546056976771.41919</v>
      </c>
    </row>
    <row r="43" spans="1:10" x14ac:dyDescent="0.15">
      <c r="A43">
        <f>VLOOKUP(B43,能源品种参考表!B:I,8,FALSE)</f>
        <v>27079990</v>
      </c>
      <c r="B43" t="s">
        <v>56</v>
      </c>
      <c r="C43">
        <v>2022</v>
      </c>
      <c r="D43">
        <v>39713189</v>
      </c>
      <c r="E43" t="s">
        <v>67</v>
      </c>
      <c r="F43">
        <v>54918518</v>
      </c>
      <c r="G43" t="s">
        <v>70</v>
      </c>
      <c r="H43">
        <v>267758863</v>
      </c>
      <c r="I43" s="4" t="str">
        <f>VLOOKUP($A43,能源品种参考表!$A:$E,5,FALSE)</f>
        <v>petroleum diesel</v>
      </c>
      <c r="J43">
        <f>D43*VLOOKUP($A43,能源品种参考表!$A:$I,6,FALSE)*VLOOKUP($A43,能源品种参考表!$A:$I,8,FALSE)</f>
        <v>1259199038247.1221</v>
      </c>
    </row>
    <row r="44" spans="1:10" x14ac:dyDescent="0.15">
      <c r="A44">
        <f>VLOOKUP(B44,能源品种参考表!B:I,8,FALSE)</f>
        <v>27090000</v>
      </c>
      <c r="B44" t="s">
        <v>227</v>
      </c>
      <c r="C44">
        <v>2017</v>
      </c>
      <c r="D44">
        <v>484455385</v>
      </c>
      <c r="E44" t="s">
        <v>67</v>
      </c>
      <c r="F44">
        <v>0</v>
      </c>
      <c r="G44" t="s">
        <v>68</v>
      </c>
      <c r="H44">
        <v>1232246423</v>
      </c>
      <c r="I44" s="4" t="str">
        <f>VLOOKUP($A44,能源品种参考表!$A:$E,5,FALSE)</f>
        <v>crude oil</v>
      </c>
      <c r="J44">
        <f>D44*VLOOKUP($A44,能源品种参考表!$A:$I,6,FALSE)*VLOOKUP($A44,能源品种参考表!$A:$I,8,FALSE)</f>
        <v>19200866360922.98</v>
      </c>
    </row>
    <row r="45" spans="1:10" x14ac:dyDescent="0.15">
      <c r="A45">
        <f>VLOOKUP(B45,能源品种参考表!B:I,8,FALSE)</f>
        <v>27090000</v>
      </c>
      <c r="B45" t="s">
        <v>227</v>
      </c>
      <c r="C45">
        <v>2018</v>
      </c>
      <c r="D45">
        <v>2626588016</v>
      </c>
      <c r="E45" t="s">
        <v>67</v>
      </c>
      <c r="F45">
        <v>0</v>
      </c>
      <c r="G45" t="s">
        <v>68</v>
      </c>
      <c r="H45">
        <v>8414328639</v>
      </c>
      <c r="I45" s="4" t="str">
        <f>VLOOKUP($A45,能源品种参考表!$A:$E,5,FALSE)</f>
        <v>crude oil</v>
      </c>
      <c r="J45">
        <f>D45*VLOOKUP($A45,能源品种参考表!$A:$I,6,FALSE)*VLOOKUP($A45,能源品种参考表!$A:$I,8,FALSE)</f>
        <v>104101981404165.47</v>
      </c>
    </row>
    <row r="46" spans="1:10" x14ac:dyDescent="0.15">
      <c r="A46">
        <f>VLOOKUP(B46,能源品种参考表!B:I,8,FALSE)</f>
        <v>27090000</v>
      </c>
      <c r="B46" t="s">
        <v>227</v>
      </c>
      <c r="C46">
        <v>2019</v>
      </c>
      <c r="D46">
        <v>810025936</v>
      </c>
      <c r="E46" t="s">
        <v>67</v>
      </c>
      <c r="F46">
        <v>0</v>
      </c>
      <c r="G46" t="s">
        <v>68</v>
      </c>
      <c r="H46">
        <v>2458859792</v>
      </c>
      <c r="I46" s="4" t="str">
        <f>VLOOKUP($A46,能源品种参考表!$A:$E,5,FALSE)</f>
        <v>crude oil</v>
      </c>
      <c r="J46">
        <f>D46*VLOOKUP($A46,能源品种参考表!$A:$I,6,FALSE)*VLOOKUP($A46,能源品种参考表!$A:$I,8,FALSE)</f>
        <v>32104503794539.41</v>
      </c>
    </row>
    <row r="47" spans="1:10" x14ac:dyDescent="0.15">
      <c r="A47">
        <f>VLOOKUP(B47,能源品种参考表!B:I,8,FALSE)</f>
        <v>27090000</v>
      </c>
      <c r="B47" t="s">
        <v>227</v>
      </c>
      <c r="C47">
        <v>2020</v>
      </c>
      <c r="D47">
        <v>1638107013</v>
      </c>
      <c r="E47" t="s">
        <v>67</v>
      </c>
      <c r="F47">
        <v>0</v>
      </c>
      <c r="G47" t="s">
        <v>68</v>
      </c>
      <c r="H47">
        <v>3341476728</v>
      </c>
      <c r="I47" s="4" t="str">
        <f>VLOOKUP($A47,能源品种参考表!$A:$E,5,FALSE)</f>
        <v>crude oil</v>
      </c>
      <c r="J47">
        <f>D47*VLOOKUP($A47,能源品种参考表!$A:$I,6,FALSE)*VLOOKUP($A47,能源品种参考表!$A:$I,8,FALSE)</f>
        <v>64924603617531.719</v>
      </c>
    </row>
    <row r="48" spans="1:10" x14ac:dyDescent="0.15">
      <c r="A48">
        <f>VLOOKUP(B48,能源品种参考表!B:I,8,FALSE)</f>
        <v>27090000</v>
      </c>
      <c r="B48" t="s">
        <v>227</v>
      </c>
      <c r="C48">
        <v>2021</v>
      </c>
      <c r="D48">
        <v>2610761502</v>
      </c>
      <c r="E48" t="s">
        <v>67</v>
      </c>
      <c r="F48">
        <v>0</v>
      </c>
      <c r="G48" t="s">
        <v>68</v>
      </c>
      <c r="H48">
        <v>6664195594</v>
      </c>
      <c r="I48" s="4" t="str">
        <f>VLOOKUP($A48,能源品种参考表!$A:$E,5,FALSE)</f>
        <v>crude oil</v>
      </c>
      <c r="J48">
        <f>D48*VLOOKUP($A48,能源品种参考表!$A:$I,6,FALSE)*VLOOKUP($A48,能源品种参考表!$A:$I,8,FALSE)</f>
        <v>103474714601726.53</v>
      </c>
    </row>
    <row r="49" spans="1:10" x14ac:dyDescent="0.15">
      <c r="A49">
        <f>VLOOKUP(B49,能源品种参考表!B:I,8,FALSE)</f>
        <v>27090000</v>
      </c>
      <c r="B49" t="s">
        <v>227</v>
      </c>
      <c r="C49">
        <v>2022</v>
      </c>
      <c r="D49">
        <v>2052009956</v>
      </c>
      <c r="E49" t="s">
        <v>67</v>
      </c>
      <c r="F49">
        <v>0</v>
      </c>
      <c r="G49" t="s">
        <v>68</v>
      </c>
      <c r="H49">
        <v>9548227709</v>
      </c>
      <c r="I49" s="4" t="str">
        <f>VLOOKUP($A49,能源品种参考表!$A:$E,5,FALSE)</f>
        <v>crude oil</v>
      </c>
      <c r="J49">
        <f>D49*VLOOKUP($A49,能源品种参考表!$A:$I,6,FALSE)*VLOOKUP($A49,能源品种参考表!$A:$I,8,FALSE)</f>
        <v>81329200079878.234</v>
      </c>
    </row>
    <row r="50" spans="1:10" x14ac:dyDescent="0.15">
      <c r="A50">
        <f>VLOOKUP(B50,能源品种参考表!B:I,8,FALSE)</f>
        <v>27101210</v>
      </c>
      <c r="B50" t="s">
        <v>54</v>
      </c>
      <c r="C50">
        <v>2019</v>
      </c>
      <c r="D50">
        <v>16370621811</v>
      </c>
      <c r="E50" t="s">
        <v>67</v>
      </c>
      <c r="F50">
        <v>22722423519</v>
      </c>
      <c r="G50" t="s">
        <v>70</v>
      </c>
      <c r="H50" s="4">
        <v>65110186796</v>
      </c>
      <c r="I50" s="4" t="str">
        <f>VLOOKUP($A50,能源品种参考表!$A:$E,5,FALSE)</f>
        <v>petroleum gasoline</v>
      </c>
      <c r="J50">
        <f>D50*VLOOKUP($A50,能源品种参考表!$A:$I,6,FALSE)*VLOOKUP($A50,能源品种参考表!$A:$I,8,FALSE)</f>
        <v>668289438326672.5</v>
      </c>
    </row>
    <row r="51" spans="1:10" x14ac:dyDescent="0.15">
      <c r="A51">
        <f>VLOOKUP(B51,能源品种参考表!B:I,8,FALSE)</f>
        <v>27101210</v>
      </c>
      <c r="B51" t="s">
        <v>54</v>
      </c>
      <c r="C51">
        <v>2020</v>
      </c>
      <c r="D51">
        <v>15999962721</v>
      </c>
      <c r="E51" t="s">
        <v>67</v>
      </c>
      <c r="F51">
        <v>22208761452</v>
      </c>
      <c r="G51" t="s">
        <v>70</v>
      </c>
      <c r="H51" s="4">
        <v>45391753470</v>
      </c>
      <c r="I51" s="4" t="str">
        <f>VLOOKUP($A51,能源品种参考表!$A:$E,5,FALSE)</f>
        <v>petroleum gasoline</v>
      </c>
      <c r="J51">
        <f>D51*VLOOKUP($A51,能源品种参考表!$A:$I,6,FALSE)*VLOOKUP($A51,能源品种参考表!$A:$I,8,FALSE)</f>
        <v>653158213750930.88</v>
      </c>
    </row>
    <row r="52" spans="1:10" x14ac:dyDescent="0.15">
      <c r="A52">
        <f>VLOOKUP(B52,能源品种参考表!B:I,8,FALSE)</f>
        <v>27101210</v>
      </c>
      <c r="B52" t="s">
        <v>54</v>
      </c>
      <c r="C52">
        <v>2021</v>
      </c>
      <c r="D52">
        <v>14542204825</v>
      </c>
      <c r="E52" t="s">
        <v>67</v>
      </c>
      <c r="F52">
        <v>20184580304</v>
      </c>
      <c r="G52" t="s">
        <v>70</v>
      </c>
      <c r="H52">
        <v>56316815058</v>
      </c>
      <c r="I52" s="4" t="str">
        <f>VLOOKUP($A52,能源品种参考表!$A:$E,5,FALSE)</f>
        <v>petroleum gasoline</v>
      </c>
      <c r="J52">
        <f>D52*VLOOKUP($A52,能源品种参考表!$A:$I,6,FALSE)*VLOOKUP($A52,能源品种参考表!$A:$I,8,FALSE)</f>
        <v>593648916133444.5</v>
      </c>
    </row>
    <row r="53" spans="1:10" x14ac:dyDescent="0.15">
      <c r="A53">
        <f>VLOOKUP(B53,能源品种参考表!B:I,8,FALSE)</f>
        <v>27101210</v>
      </c>
      <c r="B53" t="s">
        <v>54</v>
      </c>
      <c r="C53">
        <v>2022</v>
      </c>
      <c r="D53">
        <v>12562676152</v>
      </c>
      <c r="E53" t="s">
        <v>67</v>
      </c>
      <c r="F53">
        <v>17436468051</v>
      </c>
      <c r="G53" t="s">
        <v>70</v>
      </c>
      <c r="H53">
        <v>77817324741</v>
      </c>
      <c r="I53" s="4" t="str">
        <f>VLOOKUP($A53,能源品种参考表!$A:$E,5,FALSE)</f>
        <v>petroleum gasoline</v>
      </c>
      <c r="J53">
        <f>D53*VLOOKUP($A53,能源品种参考表!$A:$I,6,FALSE)*VLOOKUP($A53,能源品种参考表!$A:$I,8,FALSE)</f>
        <v>512839639595041.38</v>
      </c>
    </row>
    <row r="54" spans="1:10" x14ac:dyDescent="0.15">
      <c r="A54">
        <f>VLOOKUP(B54,能源品种参考表!B:I,8,FALSE)</f>
        <v>27101220</v>
      </c>
      <c r="B54" t="s">
        <v>49</v>
      </c>
      <c r="C54">
        <v>2019</v>
      </c>
      <c r="D54">
        <v>1812</v>
      </c>
      <c r="E54" t="s">
        <v>67</v>
      </c>
      <c r="F54">
        <v>2508</v>
      </c>
      <c r="G54" t="s">
        <v>70</v>
      </c>
      <c r="H54" s="4">
        <v>60043</v>
      </c>
      <c r="I54" s="4" t="str">
        <f>VLOOKUP($A54,能源品种参考表!$A:$E,5,FALSE)</f>
        <v>LPG propane or butane</v>
      </c>
      <c r="J54">
        <f>D54*VLOOKUP($A54,能源品种参考表!$A:$I,6,FALSE)*VLOOKUP($A54,能源品种参考表!$A:$I,8,FALSE)</f>
        <v>75407841.205752283</v>
      </c>
    </row>
    <row r="55" spans="1:10" x14ac:dyDescent="0.15">
      <c r="A55">
        <f>VLOOKUP(B55,能源品种参考表!B:I,8,FALSE)</f>
        <v>27101220</v>
      </c>
      <c r="B55" t="s">
        <v>49</v>
      </c>
      <c r="C55">
        <v>2020</v>
      </c>
      <c r="D55">
        <v>59</v>
      </c>
      <c r="E55" t="s">
        <v>67</v>
      </c>
      <c r="F55">
        <v>81</v>
      </c>
      <c r="G55" t="s">
        <v>70</v>
      </c>
      <c r="H55" s="4">
        <v>1989</v>
      </c>
      <c r="I55" s="4" t="str">
        <f>VLOOKUP($A55,能源品种参考表!$A:$E,5,FALSE)</f>
        <v>LPG propane or butane</v>
      </c>
      <c r="J55">
        <f>D55*VLOOKUP($A55,能源品种参考表!$A:$I,6,FALSE)*VLOOKUP($A55,能源品种参考表!$A:$I,8,FALSE)</f>
        <v>2455332.5778914928</v>
      </c>
    </row>
    <row r="56" spans="1:10" x14ac:dyDescent="0.15">
      <c r="A56">
        <f>VLOOKUP(B56,能源品种参考表!B:I,8,FALSE)</f>
        <v>27101220</v>
      </c>
      <c r="B56" t="s">
        <v>49</v>
      </c>
      <c r="C56">
        <v>2022</v>
      </c>
      <c r="D56">
        <v>43372169</v>
      </c>
      <c r="E56" t="s">
        <v>67</v>
      </c>
      <c r="F56">
        <v>60070454</v>
      </c>
      <c r="G56" t="s">
        <v>70</v>
      </c>
      <c r="H56">
        <v>171110499</v>
      </c>
      <c r="I56" s="4" t="str">
        <f>VLOOKUP($A56,能源品种参考表!$A:$E,5,FALSE)</f>
        <v>LPG propane or butane</v>
      </c>
      <c r="J56">
        <f>D56*VLOOKUP($A56,能源品种参考表!$A:$I,6,FALSE)*VLOOKUP($A56,能源品种参考表!$A:$I,8,FALSE)</f>
        <v>1804967788466.364</v>
      </c>
    </row>
    <row r="57" spans="1:10" x14ac:dyDescent="0.15">
      <c r="A57">
        <v>27101230</v>
      </c>
      <c r="B57" t="s">
        <v>53</v>
      </c>
      <c r="C57">
        <v>2019</v>
      </c>
      <c r="D57">
        <v>2599312</v>
      </c>
      <c r="E57" t="s">
        <v>67</v>
      </c>
      <c r="F57">
        <v>3330690</v>
      </c>
      <c r="G57" t="s">
        <v>70</v>
      </c>
      <c r="H57" s="4">
        <v>17758719</v>
      </c>
      <c r="I57" s="4" t="str">
        <f>VLOOKUP($A57,能源品种参考表!$A:$E,5,FALSE)</f>
        <v>heavy fuel oil</v>
      </c>
      <c r="J57">
        <f>D57*VLOOKUP($A57,能源品种参考表!$A:$I,6,FALSE)*VLOOKUP($A57,能源品种参考表!$A:$I,8,FALSE)</f>
        <v>105802412109.27365</v>
      </c>
    </row>
    <row r="58" spans="1:10" x14ac:dyDescent="0.15">
      <c r="A58">
        <v>27101230</v>
      </c>
      <c r="B58" t="s">
        <v>53</v>
      </c>
      <c r="C58">
        <v>2020</v>
      </c>
      <c r="D58">
        <v>3061549</v>
      </c>
      <c r="E58" t="s">
        <v>67</v>
      </c>
      <c r="F58">
        <v>3921699</v>
      </c>
      <c r="G58" t="s">
        <v>70</v>
      </c>
      <c r="H58" s="4">
        <v>17408713</v>
      </c>
      <c r="I58" s="4" t="str">
        <f>VLOOKUP($A58,能源品种参考表!$A:$E,5,FALSE)</f>
        <v>heavy fuel oil</v>
      </c>
      <c r="J58">
        <f>D58*VLOOKUP($A58,能源品种参考表!$A:$I,6,FALSE)*VLOOKUP($A58,能源品种参考表!$A:$I,8,FALSE)</f>
        <v>124617309884.59045</v>
      </c>
    </row>
    <row r="59" spans="1:10" x14ac:dyDescent="0.15">
      <c r="A59">
        <f>VLOOKUP(B59,能源品种参考表!B:I,8,FALSE)</f>
        <v>27101230</v>
      </c>
      <c r="B59" t="s">
        <v>53</v>
      </c>
      <c r="C59">
        <v>2021</v>
      </c>
      <c r="D59">
        <v>3892526</v>
      </c>
      <c r="E59" t="s">
        <v>67</v>
      </c>
      <c r="F59">
        <v>4990168</v>
      </c>
      <c r="G59" t="s">
        <v>70</v>
      </c>
      <c r="H59">
        <v>24388292</v>
      </c>
      <c r="I59" s="4" t="str">
        <f>VLOOKUP($A59,能源品种参考表!$A:$E,5,FALSE)</f>
        <v>heavy fuel oil</v>
      </c>
      <c r="J59">
        <f>D59*VLOOKUP($A59,能源品种参考表!$A:$I,6,FALSE)*VLOOKUP($A59,能源品种参考表!$A:$I,8,FALSE)</f>
        <v>158441402955.11371</v>
      </c>
    </row>
    <row r="60" spans="1:10" x14ac:dyDescent="0.15">
      <c r="A60">
        <f>VLOOKUP(B60,能源品种参考表!B:I,8,FALSE)</f>
        <v>27101230</v>
      </c>
      <c r="B60" t="s">
        <v>53</v>
      </c>
      <c r="C60">
        <v>2022</v>
      </c>
      <c r="D60">
        <v>6409595</v>
      </c>
      <c r="E60" t="s">
        <v>67</v>
      </c>
      <c r="F60">
        <v>8215112</v>
      </c>
      <c r="G60" t="s">
        <v>70</v>
      </c>
      <c r="H60">
        <v>54978404</v>
      </c>
      <c r="I60" s="4" t="str">
        <f>VLOOKUP($A60,能源品种参考表!$A:$E,5,FALSE)</f>
        <v>heavy fuel oil</v>
      </c>
      <c r="J60">
        <f>D60*VLOOKUP($A60,能源品种参考表!$A:$I,6,FALSE)*VLOOKUP($A60,能源品种参考表!$A:$I,8,FALSE)</f>
        <v>260896195471.54779</v>
      </c>
    </row>
    <row r="61" spans="1:10" x14ac:dyDescent="0.15">
      <c r="A61">
        <f>VLOOKUP(B61,能源品种参考表!B:I,8,FALSE)</f>
        <v>27101299</v>
      </c>
      <c r="B61" t="s">
        <v>241</v>
      </c>
      <c r="C61">
        <v>2018</v>
      </c>
      <c r="D61">
        <v>6346103</v>
      </c>
      <c r="E61" t="s">
        <v>67</v>
      </c>
      <c r="F61">
        <v>0</v>
      </c>
      <c r="G61" t="s">
        <v>68</v>
      </c>
      <c r="H61">
        <v>46405412</v>
      </c>
      <c r="I61" s="4" t="str">
        <f>VLOOKUP($A61,能源品种参考表!$A:$E,5,FALSE)</f>
        <v>petroleum diesel</v>
      </c>
      <c r="J61">
        <f>D61*VLOOKUP($A61,能源品种参考表!$A:$I,6,FALSE)*VLOOKUP($A61,能源品种参考表!$A:$I,8,FALSE)</f>
        <v>256549437791.37375</v>
      </c>
    </row>
    <row r="62" spans="1:10" x14ac:dyDescent="0.15">
      <c r="A62">
        <f>VLOOKUP(B62,能源品种参考表!B:I,8,FALSE)</f>
        <v>27101299</v>
      </c>
      <c r="B62" t="s">
        <v>241</v>
      </c>
      <c r="C62">
        <v>2019</v>
      </c>
      <c r="D62">
        <v>85577395</v>
      </c>
      <c r="E62" t="s">
        <v>67</v>
      </c>
      <c r="F62">
        <v>0</v>
      </c>
      <c r="G62" t="s">
        <v>68</v>
      </c>
      <c r="H62">
        <v>396498484</v>
      </c>
      <c r="I62" s="4" t="str">
        <f>VLOOKUP($A62,能源品种参考表!$A:$E,5,FALSE)</f>
        <v>petroleum diesel</v>
      </c>
      <c r="J62">
        <f>D62*VLOOKUP($A62,能源品种参考表!$A:$I,6,FALSE)*VLOOKUP($A62,能源品种参考表!$A:$I,8,FALSE)</f>
        <v>3459577093989.8584</v>
      </c>
    </row>
    <row r="63" spans="1:10" x14ac:dyDescent="0.15">
      <c r="A63">
        <f>VLOOKUP(B63,能源品种参考表!B:I,8,FALSE)</f>
        <v>27101299</v>
      </c>
      <c r="B63" t="s">
        <v>241</v>
      </c>
      <c r="C63">
        <v>2020</v>
      </c>
      <c r="D63">
        <v>13663575</v>
      </c>
      <c r="E63" t="s">
        <v>67</v>
      </c>
      <c r="F63">
        <v>0</v>
      </c>
      <c r="G63" t="s">
        <v>68</v>
      </c>
      <c r="H63">
        <v>73730470</v>
      </c>
      <c r="I63" s="4" t="str">
        <f>VLOOKUP($A63,能源品种参考表!$A:$E,5,FALSE)</f>
        <v>petroleum diesel</v>
      </c>
      <c r="J63">
        <f>D63*VLOOKUP($A63,能源品种参考表!$A:$I,6,FALSE)*VLOOKUP($A63,能源品种参考表!$A:$I,8,FALSE)</f>
        <v>552367726220.37024</v>
      </c>
    </row>
    <row r="64" spans="1:10" x14ac:dyDescent="0.15">
      <c r="A64">
        <f>VLOOKUP(B64,能源品种参考表!B:I,8,FALSE)</f>
        <v>27101299</v>
      </c>
      <c r="B64" t="s">
        <v>241</v>
      </c>
      <c r="C64">
        <v>2021</v>
      </c>
      <c r="D64">
        <v>6246764</v>
      </c>
      <c r="E64" t="s">
        <v>67</v>
      </c>
      <c r="F64">
        <v>4874890</v>
      </c>
      <c r="G64" t="s">
        <v>68</v>
      </c>
      <c r="H64">
        <v>37874969</v>
      </c>
      <c r="I64" s="4" t="str">
        <f>VLOOKUP($A64,能源品种参考表!$A:$E,5,FALSE)</f>
        <v>petroleum diesel</v>
      </c>
      <c r="J64">
        <f>D64*VLOOKUP($A64,能源品种参考表!$A:$I,6,FALSE)*VLOOKUP($A64,能源品种参考表!$A:$I,8,FALSE)</f>
        <v>252533529981.37491</v>
      </c>
    </row>
    <row r="65" spans="1:10" x14ac:dyDescent="0.15">
      <c r="A65">
        <f>VLOOKUP(B65,能源品种参考表!B:I,8,FALSE)</f>
        <v>27101299</v>
      </c>
      <c r="B65" t="s">
        <v>241</v>
      </c>
      <c r="C65">
        <v>2022</v>
      </c>
      <c r="D65">
        <v>4787304</v>
      </c>
      <c r="E65" t="s">
        <v>67</v>
      </c>
      <c r="F65">
        <v>6545759</v>
      </c>
      <c r="G65" t="s">
        <v>70</v>
      </c>
      <c r="H65">
        <v>38223474</v>
      </c>
      <c r="I65" s="4" t="str">
        <f>VLOOKUP($A65,能源品种参考表!$A:$E,5,FALSE)</f>
        <v>petroleum diesel</v>
      </c>
      <c r="J65">
        <f>D65*VLOOKUP($A65,能源品种参考表!$A:$I,6,FALSE)*VLOOKUP($A65,能源品种参考表!$A:$I,8,FALSE)</f>
        <v>193532968143.81909</v>
      </c>
    </row>
    <row r="66" spans="1:10" x14ac:dyDescent="0.15">
      <c r="A66">
        <f>VLOOKUP(B66,能源品种参考表!B:I,8,FALSE)</f>
        <v>27101911</v>
      </c>
      <c r="B66" t="s">
        <v>55</v>
      </c>
      <c r="C66">
        <v>2019</v>
      </c>
      <c r="D66">
        <v>17612021912</v>
      </c>
      <c r="E66" t="s">
        <v>67</v>
      </c>
      <c r="F66">
        <v>21945361926</v>
      </c>
      <c r="G66" t="s">
        <v>70</v>
      </c>
      <c r="H66" s="4">
        <v>77519254379</v>
      </c>
      <c r="I66" s="4" t="str">
        <f>VLOOKUP($A66,能源品种参考表!$A:$E,5,FALSE)</f>
        <v>jet fuel or kerosene</v>
      </c>
      <c r="J66">
        <f>D66*VLOOKUP($A66,能源品种参考表!$A:$I,6,FALSE)*VLOOKUP($A66,能源品种参考表!$A:$I,8,FALSE)</f>
        <v>718966473433458.5</v>
      </c>
    </row>
    <row r="67" spans="1:10" x14ac:dyDescent="0.15">
      <c r="A67">
        <f>VLOOKUP(B67,能源品种参考表!B:I,8,FALSE)</f>
        <v>27101911</v>
      </c>
      <c r="B67" t="s">
        <v>55</v>
      </c>
      <c r="C67">
        <v>2020</v>
      </c>
      <c r="D67">
        <v>9974672300</v>
      </c>
      <c r="E67" t="s">
        <v>67</v>
      </c>
      <c r="F67">
        <v>12428097850</v>
      </c>
      <c r="G67" t="s">
        <v>70</v>
      </c>
      <c r="H67" s="4">
        <v>33129472281</v>
      </c>
      <c r="I67" s="4" t="str">
        <f>VLOOKUP($A67,能源品种参考表!$A:$E,5,FALSE)</f>
        <v>jet fuel or kerosene</v>
      </c>
      <c r="J67">
        <f>D67*VLOOKUP($A67,能源品种参考表!$A:$I,6,FALSE)*VLOOKUP($A67,能源品种参考表!$A:$I,8,FALSE)</f>
        <v>407190895118016.75</v>
      </c>
    </row>
    <row r="68" spans="1:10" x14ac:dyDescent="0.15">
      <c r="A68">
        <f>VLOOKUP(B68,能源品种参考表!B:I,8,FALSE)</f>
        <v>27101911</v>
      </c>
      <c r="B68" t="s">
        <v>55</v>
      </c>
      <c r="C68">
        <v>2021</v>
      </c>
      <c r="D68">
        <v>8557984953</v>
      </c>
      <c r="E68" t="s">
        <v>67</v>
      </c>
      <c r="F68">
        <v>10663249547</v>
      </c>
      <c r="G68" t="s">
        <v>70</v>
      </c>
      <c r="H68">
        <v>32047670116</v>
      </c>
      <c r="I68" s="4" t="str">
        <f>VLOOKUP($A68,能源品种参考表!$A:$E,5,FALSE)</f>
        <v>jet fuel or kerosene</v>
      </c>
      <c r="J68">
        <f>D68*VLOOKUP($A68,能源品种参考表!$A:$I,6,FALSE)*VLOOKUP($A68,能源品种参考表!$A:$I,8,FALSE)</f>
        <v>349358199308321</v>
      </c>
    </row>
    <row r="69" spans="1:10" x14ac:dyDescent="0.15">
      <c r="A69">
        <f>VLOOKUP(B69,能源品种参考表!B:I,8,FALSE)</f>
        <v>27101911</v>
      </c>
      <c r="B69" t="s">
        <v>55</v>
      </c>
      <c r="C69">
        <v>2022</v>
      </c>
      <c r="D69">
        <v>10904561844</v>
      </c>
      <c r="E69" t="s">
        <v>67</v>
      </c>
      <c r="F69">
        <v>13587247916</v>
      </c>
      <c r="G69" t="s">
        <v>70</v>
      </c>
      <c r="H69">
        <v>70529147866</v>
      </c>
      <c r="I69" s="4" t="str">
        <f>VLOOKUP($A69,能源品种参考表!$A:$E,5,FALSE)</f>
        <v>jet fuel or kerosene</v>
      </c>
      <c r="J69">
        <f>D69*VLOOKUP($A69,能源品种参考表!$A:$I,6,FALSE)*VLOOKUP($A69,能源品种参考表!$A:$I,8,FALSE)</f>
        <v>445151295659921.75</v>
      </c>
    </row>
    <row r="70" spans="1:10" x14ac:dyDescent="0.15">
      <c r="A70">
        <f>VLOOKUP(B70,能源品种参考表!B:I,8,FALSE)</f>
        <v>27101912</v>
      </c>
      <c r="B70" t="s">
        <v>128</v>
      </c>
      <c r="C70">
        <v>2019</v>
      </c>
      <c r="D70">
        <v>2669633</v>
      </c>
      <c r="E70" t="s">
        <v>67</v>
      </c>
      <c r="F70">
        <v>3326363</v>
      </c>
      <c r="G70" t="s">
        <v>70</v>
      </c>
      <c r="H70" s="4">
        <v>11145928</v>
      </c>
      <c r="I70" s="4" t="str">
        <f>VLOOKUP($A70,能源品种参考表!$A:$E,5,FALSE)</f>
        <v>jet fuel or kerosene</v>
      </c>
      <c r="J70">
        <f>D70*VLOOKUP($A70,能源品种参考表!$A:$I,6,FALSE)*VLOOKUP($A70,能源品种参考表!$A:$I,8,FALSE)</f>
        <v>108981049022.19159</v>
      </c>
    </row>
    <row r="71" spans="1:10" x14ac:dyDescent="0.15">
      <c r="A71">
        <f>VLOOKUP(B71,能源品种参考表!B:I,8,FALSE)</f>
        <v>27101919</v>
      </c>
      <c r="B71" t="s">
        <v>240</v>
      </c>
      <c r="C71">
        <v>2017</v>
      </c>
      <c r="D71">
        <v>210</v>
      </c>
      <c r="E71" t="s">
        <v>67</v>
      </c>
      <c r="F71">
        <v>250</v>
      </c>
      <c r="G71" t="s">
        <v>70</v>
      </c>
      <c r="H71">
        <v>1773</v>
      </c>
      <c r="I71" s="4" t="str">
        <f>VLOOKUP($A71,能源品种参考表!$A:$E,5,FALSE)</f>
        <v>jet fuel or kerosene</v>
      </c>
      <c r="J71">
        <f>D71*VLOOKUP($A71,能源品种参考表!$A:$I,6,FALSE)*VLOOKUP($A71,能源品种参考表!$A:$I,8,FALSE)</f>
        <v>8572721.529386336</v>
      </c>
    </row>
    <row r="72" spans="1:10" x14ac:dyDescent="0.15">
      <c r="A72">
        <f>VLOOKUP(B72,能源品种参考表!B:I,8,FALSE)</f>
        <v>27101919</v>
      </c>
      <c r="B72" t="s">
        <v>240</v>
      </c>
      <c r="C72">
        <v>2018</v>
      </c>
      <c r="D72">
        <v>89590</v>
      </c>
      <c r="E72" t="s">
        <v>67</v>
      </c>
      <c r="F72">
        <v>114854</v>
      </c>
      <c r="G72" t="s">
        <v>70</v>
      </c>
      <c r="H72">
        <v>586130</v>
      </c>
      <c r="I72" s="4" t="str">
        <f>VLOOKUP($A72,能源品种参考表!$A:$E,5,FALSE)</f>
        <v>jet fuel or kerosene</v>
      </c>
      <c r="J72">
        <f>D72*VLOOKUP($A72,能源品种参考表!$A:$I,6,FALSE)*VLOOKUP($A72,能源品种参考表!$A:$I,8,FALSE)</f>
        <v>3657286294.3701038</v>
      </c>
    </row>
    <row r="73" spans="1:10" x14ac:dyDescent="0.15">
      <c r="A73">
        <f>VLOOKUP(B73,能源品种参考表!B:I,8,FALSE)</f>
        <v>27101919</v>
      </c>
      <c r="B73" t="s">
        <v>240</v>
      </c>
      <c r="C73">
        <v>2019</v>
      </c>
      <c r="D73">
        <v>104710</v>
      </c>
      <c r="E73" t="s">
        <v>67</v>
      </c>
      <c r="F73">
        <v>132633</v>
      </c>
      <c r="G73" t="s">
        <v>70</v>
      </c>
      <c r="H73">
        <v>737010</v>
      </c>
      <c r="I73" s="4" t="str">
        <f>VLOOKUP($A73,能源品种参考表!$A:$E,5,FALSE)</f>
        <v>jet fuel or kerosene</v>
      </c>
      <c r="J73">
        <f>D73*VLOOKUP($A73,能源品种参考表!$A:$I,6,FALSE)*VLOOKUP($A73,能源品种参考表!$A:$I,8,FALSE)</f>
        <v>4274522244.48592</v>
      </c>
    </row>
    <row r="74" spans="1:10" x14ac:dyDescent="0.15">
      <c r="A74">
        <f>VLOOKUP(B74,能源品种参考表!B:I,8,FALSE)</f>
        <v>27101919</v>
      </c>
      <c r="B74" t="s">
        <v>240</v>
      </c>
      <c r="C74">
        <v>2020</v>
      </c>
      <c r="D74">
        <v>168816</v>
      </c>
      <c r="E74" t="s">
        <v>67</v>
      </c>
      <c r="F74">
        <v>198909</v>
      </c>
      <c r="G74" t="s">
        <v>70</v>
      </c>
      <c r="H74">
        <v>1115401</v>
      </c>
      <c r="I74" s="4" t="str">
        <f>VLOOKUP($A74,能源品种参考表!$A:$E,5,FALSE)</f>
        <v>jet fuel or kerosene</v>
      </c>
      <c r="J74">
        <f>D74*VLOOKUP($A74,能源品种参考表!$A:$I,6,FALSE)*VLOOKUP($A74,能源品种参考表!$A:$I,8,FALSE)</f>
        <v>6891488370.0232553</v>
      </c>
    </row>
    <row r="75" spans="1:10" x14ac:dyDescent="0.15">
      <c r="A75">
        <f>VLOOKUP(B75,能源品种参考表!B:I,8,FALSE)</f>
        <v>27101919</v>
      </c>
      <c r="B75" t="s">
        <v>240</v>
      </c>
      <c r="C75">
        <v>2021</v>
      </c>
      <c r="D75">
        <v>17016262</v>
      </c>
      <c r="E75" t="s">
        <v>67</v>
      </c>
      <c r="F75">
        <v>21249280</v>
      </c>
      <c r="G75" t="s">
        <v>70</v>
      </c>
      <c r="H75">
        <v>44477357</v>
      </c>
      <c r="I75" s="4" t="str">
        <f>VLOOKUP($A75,能源品种参考表!$A:$E,5,FALSE)</f>
        <v>jet fuel or kerosene</v>
      </c>
      <c r="J75">
        <f>D75*VLOOKUP($A75,能源品种参考表!$A:$I,6,FALSE)*VLOOKUP($A75,能源品种参考表!$A:$I,8,FALSE)</f>
        <v>694646074271.80286</v>
      </c>
    </row>
    <row r="76" spans="1:10" x14ac:dyDescent="0.15">
      <c r="A76">
        <f>VLOOKUP(B76,能源品种参考表!B:I,8,FALSE)</f>
        <v>27101919</v>
      </c>
      <c r="B76" t="s">
        <v>240</v>
      </c>
      <c r="C76">
        <v>2022</v>
      </c>
      <c r="D76">
        <v>41578881</v>
      </c>
      <c r="E76" t="s">
        <v>67</v>
      </c>
      <c r="F76">
        <v>56392757</v>
      </c>
      <c r="G76" t="s">
        <v>70</v>
      </c>
      <c r="H76">
        <v>170424301</v>
      </c>
      <c r="I76" s="4" t="str">
        <f>VLOOKUP($A76,能源品种参考表!$A:$E,5,FALSE)</f>
        <v>jet fuel or kerosene</v>
      </c>
      <c r="J76">
        <f>D76*VLOOKUP($A76,能源品种参考表!$A:$I,6,FALSE)*VLOOKUP($A76,能源品种参考表!$A:$I,8,FALSE)</f>
        <v>1697353182459.488</v>
      </c>
    </row>
    <row r="77" spans="1:10" x14ac:dyDescent="0.15">
      <c r="A77">
        <v>27101922</v>
      </c>
      <c r="B77" t="s">
        <v>50</v>
      </c>
      <c r="C77">
        <v>2019</v>
      </c>
      <c r="D77">
        <v>10737267908</v>
      </c>
      <c r="E77" t="s">
        <v>67</v>
      </c>
      <c r="F77">
        <v>10898331192</v>
      </c>
      <c r="G77" t="s">
        <v>70</v>
      </c>
      <c r="H77" s="4">
        <v>32892559766</v>
      </c>
      <c r="I77" s="4" t="str">
        <f>VLOOKUP($A77,能源品种参考表!$A:$E,5,FALSE)</f>
        <v>heavy fuel oil</v>
      </c>
      <c r="J77">
        <f>D77*VLOOKUP($A77,能源品种参考表!$A:$I,6,FALSE)*VLOOKUP($A77,能源品种参考表!$A:$I,8,FALSE)</f>
        <v>425560025889556.44</v>
      </c>
    </row>
    <row r="78" spans="1:10" x14ac:dyDescent="0.15">
      <c r="A78">
        <v>27101922</v>
      </c>
      <c r="B78" t="s">
        <v>50</v>
      </c>
      <c r="C78">
        <v>2020</v>
      </c>
      <c r="D78">
        <v>15466481578</v>
      </c>
      <c r="E78" t="s">
        <v>67</v>
      </c>
      <c r="F78">
        <v>15698030364</v>
      </c>
      <c r="G78" t="s">
        <v>70</v>
      </c>
      <c r="H78" s="4">
        <v>40818858631</v>
      </c>
      <c r="I78" s="4" t="str">
        <f>VLOOKUP($A78,能源品种参考表!$A:$E,5,FALSE)</f>
        <v>heavy fuel oil</v>
      </c>
      <c r="J78">
        <f>D78*VLOOKUP($A78,能源品种参考表!$A:$I,6,FALSE)*VLOOKUP($A78,能源品种参考表!$A:$I,8,FALSE)</f>
        <v>612997305939441.88</v>
      </c>
    </row>
    <row r="79" spans="1:10" x14ac:dyDescent="0.15">
      <c r="A79">
        <v>27101922</v>
      </c>
      <c r="B79" t="s">
        <v>50</v>
      </c>
      <c r="C79">
        <v>2021</v>
      </c>
      <c r="D79">
        <v>19193709411</v>
      </c>
      <c r="E79" t="s">
        <v>67</v>
      </c>
      <c r="F79">
        <v>19481616873</v>
      </c>
      <c r="G79" t="s">
        <v>70</v>
      </c>
      <c r="H79">
        <v>60733109705</v>
      </c>
      <c r="I79" s="4" t="str">
        <f>VLOOKUP($A79,能源品种参考表!$A:$E,5,FALSE)</f>
        <v>heavy fuel oil</v>
      </c>
      <c r="J79">
        <f>D79*VLOOKUP($A79,能源品种参考表!$A:$I,6,FALSE)*VLOOKUP($A79,能源品种参考表!$A:$I,8,FALSE)</f>
        <v>760721958681501</v>
      </c>
    </row>
    <row r="80" spans="1:10" x14ac:dyDescent="0.15">
      <c r="A80">
        <v>27101922</v>
      </c>
      <c r="B80" t="s">
        <v>50</v>
      </c>
      <c r="C80">
        <v>2022</v>
      </c>
      <c r="D80">
        <v>18043373223</v>
      </c>
      <c r="E80" t="s">
        <v>67</v>
      </c>
      <c r="F80">
        <v>18314025396</v>
      </c>
      <c r="G80" t="s">
        <v>70</v>
      </c>
      <c r="H80">
        <v>91866532956</v>
      </c>
      <c r="I80" s="4" t="str">
        <f>VLOOKUP($A80,能源品种参考表!$A:$E,5,FALSE)</f>
        <v>heavy fuel oil</v>
      </c>
      <c r="J80">
        <f>D80*VLOOKUP($A80,能源品种参考表!$A:$I,6,FALSE)*VLOOKUP($A80,能源品种参考表!$A:$I,8,FALSE)</f>
        <v>715129625311274.25</v>
      </c>
    </row>
    <row r="81" spans="1:10" x14ac:dyDescent="0.15">
      <c r="A81">
        <f>VLOOKUP(B81,能源品种参考表!B:I,8,FALSE)</f>
        <v>27101923</v>
      </c>
      <c r="B81" t="s">
        <v>127</v>
      </c>
      <c r="C81">
        <v>2019</v>
      </c>
      <c r="D81">
        <v>21382573861</v>
      </c>
      <c r="E81" t="s">
        <v>67</v>
      </c>
      <c r="F81">
        <v>25146734023</v>
      </c>
      <c r="G81" t="s">
        <v>70</v>
      </c>
      <c r="H81" s="4">
        <v>84327061006</v>
      </c>
      <c r="I81" s="4" t="str">
        <f>VLOOKUP($A81,能源品种参考表!$A:$E,5,FALSE)</f>
        <v>petroleum diesel</v>
      </c>
      <c r="J81">
        <f>D81*VLOOKUP($A81,能源品种参考表!$A:$I,6,FALSE)*VLOOKUP($A81,能源品种参考表!$A:$I,8,FALSE)</f>
        <v>864418258350372.63</v>
      </c>
    </row>
    <row r="82" spans="1:10" x14ac:dyDescent="0.15">
      <c r="A82">
        <f>VLOOKUP(B82,能源品种参考表!B:I,8,FALSE)</f>
        <v>27101923</v>
      </c>
      <c r="B82" t="s">
        <v>127</v>
      </c>
      <c r="C82">
        <v>2020</v>
      </c>
      <c r="D82">
        <v>19759527157</v>
      </c>
      <c r="E82" t="s">
        <v>67</v>
      </c>
      <c r="F82">
        <v>23236884348</v>
      </c>
      <c r="G82" t="s">
        <v>70</v>
      </c>
      <c r="H82" s="4">
        <v>54973024295</v>
      </c>
      <c r="I82" s="4" t="str">
        <f>VLOOKUP($A82,能源品种参考表!$A:$E,5,FALSE)</f>
        <v>petroleum diesel</v>
      </c>
      <c r="J82">
        <f>D82*VLOOKUP($A82,能源品种参考表!$A:$I,6,FALSE)*VLOOKUP($A82,能源品种参考表!$A:$I,8,FALSE)</f>
        <v>798804492008990.75</v>
      </c>
    </row>
    <row r="83" spans="1:10" x14ac:dyDescent="0.15">
      <c r="A83">
        <f>VLOOKUP(B83,能源品种参考表!B:I,8,FALSE)</f>
        <v>27101923</v>
      </c>
      <c r="B83" t="s">
        <v>127</v>
      </c>
      <c r="C83">
        <v>2021</v>
      </c>
      <c r="D83">
        <v>17205059625</v>
      </c>
      <c r="E83" t="s">
        <v>67</v>
      </c>
      <c r="F83">
        <v>20233286454</v>
      </c>
      <c r="G83" t="s">
        <v>70</v>
      </c>
      <c r="H83">
        <v>56307791960</v>
      </c>
      <c r="I83" s="4" t="str">
        <f>VLOOKUP($A83,能源品种参考表!$A:$E,5,FALSE)</f>
        <v>petroleum diesel</v>
      </c>
      <c r="J83">
        <f>D83*VLOOKUP($A83,能源品种参考表!$A:$I,6,FALSE)*VLOOKUP($A83,能源品种参考表!$A:$I,8,FALSE)</f>
        <v>695536831652561.25</v>
      </c>
    </row>
    <row r="84" spans="1:10" x14ac:dyDescent="0.15">
      <c r="A84">
        <f>VLOOKUP(B84,能源品种参考表!B:I,8,FALSE)</f>
        <v>27101923</v>
      </c>
      <c r="B84" t="s">
        <v>127</v>
      </c>
      <c r="C84">
        <v>2022</v>
      </c>
      <c r="D84">
        <v>10924404627</v>
      </c>
      <c r="E84" t="s">
        <v>67</v>
      </c>
      <c r="F84">
        <v>12847051146</v>
      </c>
      <c r="G84" t="s">
        <v>70</v>
      </c>
      <c r="H84">
        <v>72882177671</v>
      </c>
      <c r="I84" s="4" t="str">
        <f>VLOOKUP($A84,能源品种参考表!$A:$E,5,FALSE)</f>
        <v>petroleum diesel</v>
      </c>
      <c r="J84">
        <f>D84*VLOOKUP($A84,能源品种参考表!$A:$I,6,FALSE)*VLOOKUP($A84,能源品种参考表!$A:$I,8,FALSE)</f>
        <v>441633214157150.06</v>
      </c>
    </row>
    <row r="85" spans="1:10" x14ac:dyDescent="0.15">
      <c r="A85">
        <f>VLOOKUP(B85,能源品种参考表!B:I,8,FALSE)</f>
        <v>27101929</v>
      </c>
      <c r="B85" t="s">
        <v>51</v>
      </c>
      <c r="C85">
        <v>2019</v>
      </c>
      <c r="D85">
        <v>439339733</v>
      </c>
      <c r="E85" t="s">
        <v>67</v>
      </c>
      <c r="F85">
        <v>516663582</v>
      </c>
      <c r="G85" t="s">
        <v>70</v>
      </c>
      <c r="H85" s="4">
        <v>2096201612</v>
      </c>
      <c r="I85" s="4" t="str">
        <f>VLOOKUP($A85,能源品种参考表!$A:$E,5,FALSE)</f>
        <v>heavy fuel oil</v>
      </c>
      <c r="J85">
        <f>D85*VLOOKUP($A85,能源品种参考表!$A:$I,6,FALSE)*VLOOKUP($A85,能源品种参考表!$A:$I,8,FALSE)</f>
        <v>17412756182649.477</v>
      </c>
    </row>
    <row r="86" spans="1:10" x14ac:dyDescent="0.15">
      <c r="A86">
        <f>VLOOKUP(B86,能源品种参考表!B:I,8,FALSE)</f>
        <v>27101929</v>
      </c>
      <c r="B86" t="s">
        <v>51</v>
      </c>
      <c r="C86">
        <v>2020</v>
      </c>
      <c r="D86">
        <v>366580880</v>
      </c>
      <c r="E86" t="s">
        <v>67</v>
      </c>
      <c r="F86">
        <v>431099186</v>
      </c>
      <c r="G86" t="s">
        <v>70</v>
      </c>
      <c r="H86" s="4">
        <v>1249819491</v>
      </c>
      <c r="I86" s="4" t="str">
        <f>VLOOKUP($A86,能源品种参考表!$A:$E,5,FALSE)</f>
        <v>heavy fuel oil</v>
      </c>
      <c r="J86">
        <f>D86*VLOOKUP($A86,能源品种参考表!$A:$I,6,FALSE)*VLOOKUP($A86,能源品种参考表!$A:$I,8,FALSE)</f>
        <v>14529037565243.584</v>
      </c>
    </row>
    <row r="87" spans="1:10" x14ac:dyDescent="0.15">
      <c r="A87">
        <f>VLOOKUP(B87,能源品种参考表!B:I,8,FALSE)</f>
        <v>27101929</v>
      </c>
      <c r="B87" t="s">
        <v>51</v>
      </c>
      <c r="C87">
        <v>2021</v>
      </c>
      <c r="D87">
        <v>419341700</v>
      </c>
      <c r="E87" t="s">
        <v>67</v>
      </c>
      <c r="F87">
        <v>493145906</v>
      </c>
      <c r="G87" t="s">
        <v>70</v>
      </c>
      <c r="H87">
        <v>1618141395</v>
      </c>
      <c r="I87" s="4" t="str">
        <f>VLOOKUP($A87,能源品种参考表!$A:$E,5,FALSE)</f>
        <v>heavy fuel oil</v>
      </c>
      <c r="J87">
        <f>D87*VLOOKUP($A87,能源品种参考表!$A:$I,6,FALSE)*VLOOKUP($A87,能源品种参考表!$A:$I,8,FALSE)</f>
        <v>16620155726542.818</v>
      </c>
    </row>
    <row r="88" spans="1:10" x14ac:dyDescent="0.15">
      <c r="A88">
        <f>VLOOKUP(B88,能源品种参考表!B:I,8,FALSE)</f>
        <v>27101929</v>
      </c>
      <c r="B88" t="s">
        <v>51</v>
      </c>
      <c r="C88">
        <v>2022</v>
      </c>
      <c r="D88">
        <v>620357360</v>
      </c>
      <c r="E88" t="s">
        <v>67</v>
      </c>
      <c r="F88">
        <v>729030878</v>
      </c>
      <c r="G88" t="s">
        <v>70</v>
      </c>
      <c r="H88">
        <v>4717587638</v>
      </c>
      <c r="I88" s="4" t="str">
        <f>VLOOKUP($A88,能源品种参考表!$A:$E,5,FALSE)</f>
        <v>heavy fuel oil</v>
      </c>
      <c r="J88">
        <f>D88*VLOOKUP($A88,能源品种参考表!$A:$I,6,FALSE)*VLOOKUP($A88,能源品种参考表!$A:$I,8,FALSE)</f>
        <v>24587194474832.777</v>
      </c>
    </row>
    <row r="89" spans="1:10" x14ac:dyDescent="0.15">
      <c r="A89">
        <f>VLOOKUP(B89,能源品种参考表!B:I,8,FALSE)</f>
        <v>27101991</v>
      </c>
      <c r="B89" t="s">
        <v>48</v>
      </c>
      <c r="C89">
        <v>2019</v>
      </c>
      <c r="D89">
        <v>112509494</v>
      </c>
      <c r="E89" t="s">
        <v>67</v>
      </c>
      <c r="F89">
        <v>126685589</v>
      </c>
      <c r="G89" t="s">
        <v>70</v>
      </c>
      <c r="H89" s="4">
        <v>1365262643</v>
      </c>
      <c r="I89" s="4" t="str">
        <f>VLOOKUP($A89,能源品种参考表!$A:$E,5,FALSE)</f>
        <v>LPG propane or butane</v>
      </c>
      <c r="J89">
        <f>D89*VLOOKUP($A89,能源品种参考表!$A:$I,6,FALSE)*VLOOKUP($A89,能源品种参考表!$A:$I,8,FALSE)</f>
        <v>4414617513008.4346</v>
      </c>
    </row>
    <row r="90" spans="1:10" x14ac:dyDescent="0.15">
      <c r="A90">
        <f>VLOOKUP(B90,能源品种参考表!B:I,8,FALSE)</f>
        <v>27101991</v>
      </c>
      <c r="B90" t="s">
        <v>48</v>
      </c>
      <c r="C90">
        <v>2020</v>
      </c>
      <c r="D90">
        <v>134342951</v>
      </c>
      <c r="E90" t="s">
        <v>67</v>
      </c>
      <c r="F90">
        <v>151274148</v>
      </c>
      <c r="G90" t="s">
        <v>70</v>
      </c>
      <c r="H90" s="4">
        <v>1512659980</v>
      </c>
      <c r="I90" s="4" t="str">
        <f>VLOOKUP($A90,能源品种参考表!$A:$E,5,FALSE)</f>
        <v>LPG propane or butane</v>
      </c>
      <c r="J90">
        <f>D90*VLOOKUP($A90,能源品种参考表!$A:$I,6,FALSE)*VLOOKUP($A90,能源品种参考表!$A:$I,8,FALSE)</f>
        <v>5271312874572.4697</v>
      </c>
    </row>
    <row r="91" spans="1:10" x14ac:dyDescent="0.15">
      <c r="A91">
        <f>VLOOKUP(B91,能源品种参考表!B:I,8,FALSE)</f>
        <v>27101991</v>
      </c>
      <c r="B91" t="s">
        <v>48</v>
      </c>
      <c r="C91">
        <v>2021</v>
      </c>
      <c r="D91">
        <v>170641569</v>
      </c>
      <c r="E91" t="s">
        <v>67</v>
      </c>
      <c r="F91">
        <v>192145457</v>
      </c>
      <c r="G91" t="s">
        <v>70</v>
      </c>
      <c r="H91">
        <v>1852770951</v>
      </c>
      <c r="I91" s="4" t="str">
        <f>VLOOKUP($A91,能源品种参考表!$A:$E,5,FALSE)</f>
        <v>LPG propane or butane</v>
      </c>
      <c r="J91">
        <f>D91*VLOOKUP($A91,能源品种参考表!$A:$I,6,FALSE)*VLOOKUP($A91,能源品种参考表!$A:$I,8,FALSE)</f>
        <v>6695588364788.4609</v>
      </c>
    </row>
    <row r="92" spans="1:10" x14ac:dyDescent="0.15">
      <c r="A92">
        <f>VLOOKUP(B92,能源品种参考表!B:I,8,FALSE)</f>
        <v>27101991</v>
      </c>
      <c r="B92" t="s">
        <v>48</v>
      </c>
      <c r="C92">
        <v>2022</v>
      </c>
      <c r="D92">
        <v>183456693</v>
      </c>
      <c r="E92" t="s">
        <v>67</v>
      </c>
      <c r="F92">
        <v>206555629</v>
      </c>
      <c r="G92" t="s">
        <v>70</v>
      </c>
      <c r="H92">
        <v>2398786005</v>
      </c>
      <c r="I92" s="4" t="str">
        <f>VLOOKUP($A92,能源品种参考表!$A:$E,5,FALSE)</f>
        <v>LPG propane or butane</v>
      </c>
      <c r="J92">
        <f>D92*VLOOKUP($A92,能源品种参考表!$A:$I,6,FALSE)*VLOOKUP($A92,能源品种参考表!$A:$I,8,FALSE)</f>
        <v>7198424781791.4092</v>
      </c>
    </row>
    <row r="93" spans="1:10" x14ac:dyDescent="0.15">
      <c r="A93">
        <v>27101992</v>
      </c>
      <c r="B93" t="s">
        <v>239</v>
      </c>
      <c r="C93">
        <v>2017</v>
      </c>
      <c r="D93">
        <v>1496699</v>
      </c>
      <c r="E93" t="s">
        <v>67</v>
      </c>
      <c r="F93">
        <v>1685284</v>
      </c>
      <c r="G93" t="s">
        <v>70</v>
      </c>
      <c r="H93">
        <v>16393590</v>
      </c>
      <c r="I93" s="4" t="e">
        <f>VLOOKUP($A93,能源品种参考表!$A:$E,5,FALSE)</f>
        <v>#N/A</v>
      </c>
      <c r="J93" t="e">
        <f>D93*VLOOKUP($A93,能源品种参考表!$A:$I,6,FALSE)*VLOOKUP($A93,能源品种参考表!$A:$I,8,FALSE)</f>
        <v>#N/A</v>
      </c>
    </row>
    <row r="94" spans="1:10" x14ac:dyDescent="0.15">
      <c r="A94">
        <v>27101992</v>
      </c>
      <c r="B94" t="s">
        <v>239</v>
      </c>
      <c r="C94">
        <v>2018</v>
      </c>
      <c r="D94">
        <v>16006000</v>
      </c>
      <c r="E94" t="s">
        <v>67</v>
      </c>
      <c r="F94">
        <v>18022754</v>
      </c>
      <c r="G94" t="s">
        <v>70</v>
      </c>
      <c r="H94">
        <v>231132445</v>
      </c>
      <c r="I94" s="4" t="e">
        <f>VLOOKUP($A94,能源品种参考表!$A:$E,5,FALSE)</f>
        <v>#N/A</v>
      </c>
      <c r="J94" t="e">
        <f>D94*VLOOKUP($A94,能源品种参考表!$A:$I,6,FALSE)*VLOOKUP($A94,能源品种参考表!$A:$I,8,FALSE)</f>
        <v>#N/A</v>
      </c>
    </row>
    <row r="95" spans="1:10" x14ac:dyDescent="0.15">
      <c r="A95">
        <v>27101992</v>
      </c>
      <c r="B95" t="s">
        <v>239</v>
      </c>
      <c r="C95">
        <v>2019</v>
      </c>
      <c r="D95">
        <v>17888149</v>
      </c>
      <c r="E95" t="s">
        <v>67</v>
      </c>
      <c r="F95">
        <v>20143905</v>
      </c>
      <c r="G95" t="s">
        <v>70</v>
      </c>
      <c r="H95">
        <v>264910794</v>
      </c>
      <c r="I95" s="4" t="e">
        <f>VLOOKUP($A95,能源品种参考表!$A:$E,5,FALSE)</f>
        <v>#N/A</v>
      </c>
      <c r="J95" t="e">
        <f>D95*VLOOKUP($A95,能源品种参考表!$A:$I,6,FALSE)*VLOOKUP($A95,能源品种参考表!$A:$I,8,FALSE)</f>
        <v>#N/A</v>
      </c>
    </row>
    <row r="96" spans="1:10" x14ac:dyDescent="0.15">
      <c r="A96">
        <v>27101992</v>
      </c>
      <c r="B96" t="s">
        <v>239</v>
      </c>
      <c r="C96">
        <v>2020</v>
      </c>
      <c r="D96">
        <v>16246431</v>
      </c>
      <c r="E96" t="s">
        <v>67</v>
      </c>
      <c r="F96">
        <v>18282305</v>
      </c>
      <c r="G96" t="s">
        <v>70</v>
      </c>
      <c r="H96">
        <v>205586689</v>
      </c>
      <c r="I96" s="4" t="e">
        <f>VLOOKUP($A96,能源品种参考表!$A:$E,5,FALSE)</f>
        <v>#N/A</v>
      </c>
      <c r="J96" t="e">
        <f>D96*VLOOKUP($A96,能源品种参考表!$A:$I,6,FALSE)*VLOOKUP($A96,能源品种参考表!$A:$I,8,FALSE)</f>
        <v>#N/A</v>
      </c>
    </row>
    <row r="97" spans="1:10" x14ac:dyDescent="0.15">
      <c r="A97">
        <v>27101992</v>
      </c>
      <c r="B97" t="s">
        <v>239</v>
      </c>
      <c r="C97">
        <v>2021</v>
      </c>
      <c r="D97">
        <v>17974925</v>
      </c>
      <c r="E97" t="s">
        <v>67</v>
      </c>
      <c r="F97">
        <v>20239863</v>
      </c>
      <c r="G97" t="s">
        <v>70</v>
      </c>
      <c r="H97">
        <v>265543140</v>
      </c>
      <c r="I97" s="4" t="e">
        <f>VLOOKUP($A97,能源品种参考表!$A:$E,5,FALSE)</f>
        <v>#N/A</v>
      </c>
      <c r="J97" t="e">
        <f>D97*VLOOKUP($A97,能源品种参考表!$A:$I,6,FALSE)*VLOOKUP($A97,能源品种参考表!$A:$I,8,FALSE)</f>
        <v>#N/A</v>
      </c>
    </row>
    <row r="98" spans="1:10" x14ac:dyDescent="0.15">
      <c r="A98">
        <v>27101992</v>
      </c>
      <c r="B98" t="s">
        <v>239</v>
      </c>
      <c r="C98">
        <v>2022</v>
      </c>
      <c r="D98">
        <v>22611851</v>
      </c>
      <c r="E98" t="s">
        <v>67</v>
      </c>
      <c r="F98">
        <v>25661367</v>
      </c>
      <c r="G98" t="s">
        <v>70</v>
      </c>
      <c r="H98">
        <v>413211747</v>
      </c>
      <c r="I98" s="4" t="e">
        <f>VLOOKUP($A98,能源品种参考表!$A:$E,5,FALSE)</f>
        <v>#N/A</v>
      </c>
      <c r="J98" t="e">
        <f>D98*VLOOKUP($A98,能源品种参考表!$A:$I,6,FALSE)*VLOOKUP($A98,能源品种参考表!$A:$I,8,FALSE)</f>
        <v>#N/A</v>
      </c>
    </row>
    <row r="99" spans="1:10" x14ac:dyDescent="0.15">
      <c r="A99">
        <f>VLOOKUP(B99,能源品种参考表!B:I,8,FALSE)</f>
        <v>27101993</v>
      </c>
      <c r="B99" t="s">
        <v>47</v>
      </c>
      <c r="C99">
        <v>2019</v>
      </c>
      <c r="D99">
        <v>28426210</v>
      </c>
      <c r="E99" t="s">
        <v>67</v>
      </c>
      <c r="F99">
        <v>32007919</v>
      </c>
      <c r="G99" t="s">
        <v>70</v>
      </c>
      <c r="H99" s="4">
        <v>156839706</v>
      </c>
      <c r="I99" s="4" t="str">
        <f>VLOOKUP($A99,能源品种参考表!$A:$E,5,FALSE)</f>
        <v>LPG propane or butane</v>
      </c>
      <c r="J99">
        <f>D99*VLOOKUP($A99,能源品种参考表!$A:$I,6,FALSE)*VLOOKUP($A99,能源品种参考表!$A:$I,8,FALSE)</f>
        <v>1115380045122.7297</v>
      </c>
    </row>
    <row r="100" spans="1:10" x14ac:dyDescent="0.15">
      <c r="A100">
        <f>VLOOKUP(B100,能源品种参考表!B:I,8,FALSE)</f>
        <v>27101993</v>
      </c>
      <c r="B100" t="s">
        <v>47</v>
      </c>
      <c r="C100">
        <v>2020</v>
      </c>
      <c r="D100">
        <v>26152139</v>
      </c>
      <c r="E100" t="s">
        <v>67</v>
      </c>
      <c r="F100">
        <v>29448457</v>
      </c>
      <c r="G100" t="s">
        <v>70</v>
      </c>
      <c r="H100" s="4">
        <v>123081790</v>
      </c>
      <c r="I100" s="4" t="str">
        <f>VLOOKUP($A100,能源品种参考表!$A:$E,5,FALSE)</f>
        <v>LPG propane or butane</v>
      </c>
      <c r="J100">
        <f>D100*VLOOKUP($A100,能源品种参考表!$A:$I,6,FALSE)*VLOOKUP($A100,能源品种参考表!$A:$I,8,FALSE)</f>
        <v>1026150653846.4291</v>
      </c>
    </row>
    <row r="101" spans="1:10" x14ac:dyDescent="0.15">
      <c r="A101">
        <f>VLOOKUP(B101,能源品种参考表!B:I,8,FALSE)</f>
        <v>27101993</v>
      </c>
      <c r="B101" t="s">
        <v>47</v>
      </c>
      <c r="C101">
        <v>2021</v>
      </c>
      <c r="D101">
        <v>111431377</v>
      </c>
      <c r="E101" t="s">
        <v>67</v>
      </c>
      <c r="F101">
        <v>125471513</v>
      </c>
      <c r="G101" t="s">
        <v>70</v>
      </c>
      <c r="H101">
        <v>574997275</v>
      </c>
      <c r="I101" s="4" t="str">
        <f>VLOOKUP($A101,能源品种参考表!$A:$E,5,FALSE)</f>
        <v>LPG propane or butane</v>
      </c>
      <c r="J101">
        <f>D101*VLOOKUP($A101,能源品种参考表!$A:$I,6,FALSE)*VLOOKUP($A101,能源品种参考表!$A:$I,8,FALSE)</f>
        <v>4372314645756.4307</v>
      </c>
    </row>
    <row r="102" spans="1:10" x14ac:dyDescent="0.15">
      <c r="A102">
        <f>VLOOKUP(B102,能源品种参考表!B:I,8,FALSE)</f>
        <v>27101993</v>
      </c>
      <c r="B102" t="s">
        <v>47</v>
      </c>
      <c r="C102">
        <v>2022</v>
      </c>
      <c r="D102">
        <v>143556859</v>
      </c>
      <c r="E102" t="s">
        <v>67</v>
      </c>
      <c r="F102">
        <v>161645052</v>
      </c>
      <c r="G102" t="s">
        <v>70</v>
      </c>
      <c r="H102">
        <v>1008381912</v>
      </c>
      <c r="I102" s="4" t="str">
        <f>VLOOKUP($A102,能源品种参考表!$A:$E,5,FALSE)</f>
        <v>LPG propane or butane</v>
      </c>
      <c r="J102">
        <f>D102*VLOOKUP($A102,能源品种参考表!$A:$I,6,FALSE)*VLOOKUP($A102,能源品种参考表!$A:$I,8,FALSE)</f>
        <v>5632845738812.7842</v>
      </c>
    </row>
    <row r="103" spans="1:10" x14ac:dyDescent="0.15">
      <c r="A103">
        <f>VLOOKUP(B103,能源品种参考表!B:I,8,FALSE)</f>
        <v>27101994</v>
      </c>
      <c r="B103" t="s">
        <v>46</v>
      </c>
      <c r="C103">
        <v>2019</v>
      </c>
      <c r="D103">
        <v>40675150</v>
      </c>
      <c r="E103" t="s">
        <v>67</v>
      </c>
      <c r="F103">
        <v>0</v>
      </c>
      <c r="G103" t="s">
        <v>68</v>
      </c>
      <c r="H103" s="4">
        <v>327025541</v>
      </c>
      <c r="I103" s="4" t="str">
        <f>VLOOKUP($A103,能源品种参考表!$A:$E,5,FALSE)</f>
        <v>LPG propane or butane</v>
      </c>
      <c r="J103">
        <f>D103*VLOOKUP($A103,能源品种参考表!$A:$I,6,FALSE)*VLOOKUP($A103,能源品种参考表!$A:$I,8,FALSE)</f>
        <v>1539212700209.1877</v>
      </c>
    </row>
    <row r="104" spans="1:10" x14ac:dyDescent="0.15">
      <c r="A104">
        <f>VLOOKUP(B104,能源品种参考表!B:I,8,FALSE)</f>
        <v>27101994</v>
      </c>
      <c r="B104" t="s">
        <v>46</v>
      </c>
      <c r="C104">
        <v>2020</v>
      </c>
      <c r="D104">
        <v>35399408</v>
      </c>
      <c r="E104" t="s">
        <v>67</v>
      </c>
      <c r="F104">
        <v>0</v>
      </c>
      <c r="G104" t="s">
        <v>68</v>
      </c>
      <c r="H104" s="4">
        <v>292281575</v>
      </c>
      <c r="I104" s="4" t="str">
        <f>VLOOKUP($A104,能源品种参考表!$A:$E,5,FALSE)</f>
        <v>LPG propane or butane</v>
      </c>
      <c r="J104">
        <f>D104*VLOOKUP($A104,能源品种参考表!$A:$I,6,FALSE)*VLOOKUP($A104,能源品种参考表!$A:$I,8,FALSE)</f>
        <v>1339570189009.4253</v>
      </c>
    </row>
    <row r="105" spans="1:10" x14ac:dyDescent="0.15">
      <c r="A105">
        <f>VLOOKUP(B105,能源品种参考表!B:I,8,FALSE)</f>
        <v>27101994</v>
      </c>
      <c r="B105" t="s">
        <v>46</v>
      </c>
      <c r="C105">
        <v>2021</v>
      </c>
      <c r="D105">
        <v>42991632</v>
      </c>
      <c r="E105" t="s">
        <v>67</v>
      </c>
      <c r="F105">
        <v>0</v>
      </c>
      <c r="G105" t="s">
        <v>68</v>
      </c>
      <c r="H105">
        <v>385108237</v>
      </c>
      <c r="I105" s="4" t="str">
        <f>VLOOKUP($A105,能源品种参考表!$A:$E,5,FALSE)</f>
        <v>LPG propane or butane</v>
      </c>
      <c r="J105">
        <f>D105*VLOOKUP($A105,能源品种参考表!$A:$I,6,FALSE)*VLOOKUP($A105,能源品种参考表!$A:$I,8,FALSE)</f>
        <v>1626872082269.3887</v>
      </c>
    </row>
    <row r="106" spans="1:10" x14ac:dyDescent="0.15">
      <c r="A106">
        <f>VLOOKUP(B106,能源品种参考表!B:I,8,FALSE)</f>
        <v>27101994</v>
      </c>
      <c r="B106" t="s">
        <v>46</v>
      </c>
      <c r="C106">
        <v>2022</v>
      </c>
      <c r="D106">
        <v>65998932</v>
      </c>
      <c r="E106" t="s">
        <v>67</v>
      </c>
      <c r="F106">
        <v>0</v>
      </c>
      <c r="G106" t="s">
        <v>68</v>
      </c>
      <c r="H106">
        <v>940894508</v>
      </c>
      <c r="I106" s="4" t="str">
        <f>VLOOKUP($A106,能源品种参考表!$A:$E,5,FALSE)</f>
        <v>LPG propane or butane</v>
      </c>
      <c r="J106">
        <f>D106*VLOOKUP($A106,能源品种参考表!$A:$I,6,FALSE)*VLOOKUP($A106,能源品种参考表!$A:$I,8,FALSE)</f>
        <v>2497505094256.3843</v>
      </c>
    </row>
    <row r="107" spans="1:10" x14ac:dyDescent="0.15">
      <c r="A107">
        <f>VLOOKUP(B107,能源品种参考表!B:I,8,FALSE)</f>
        <v>27101999</v>
      </c>
      <c r="B107" t="s">
        <v>238</v>
      </c>
      <c r="C107">
        <v>2017</v>
      </c>
      <c r="D107">
        <v>400496</v>
      </c>
      <c r="E107" t="s">
        <v>67</v>
      </c>
      <c r="F107">
        <v>406506</v>
      </c>
      <c r="G107" t="s">
        <v>70</v>
      </c>
      <c r="H107">
        <v>4752245</v>
      </c>
      <c r="I107" s="4" t="str">
        <f>VLOOKUP($A107,能源品种参考表!$A:$E,5,FALSE)</f>
        <v>petroleum diesel</v>
      </c>
      <c r="J107">
        <f>D107*VLOOKUP($A107,能源品种参考表!$A:$I,6,FALSE)*VLOOKUP($A107,能源品种参考表!$A:$I,8,FALSE)</f>
        <v>14778089497.347466</v>
      </c>
    </row>
    <row r="108" spans="1:10" x14ac:dyDescent="0.15">
      <c r="A108">
        <f>VLOOKUP(B108,能源品种参考表!B:I,8,FALSE)</f>
        <v>27101999</v>
      </c>
      <c r="B108" t="s">
        <v>238</v>
      </c>
      <c r="C108">
        <v>2018</v>
      </c>
      <c r="D108">
        <v>6328444</v>
      </c>
      <c r="E108" t="s">
        <v>67</v>
      </c>
      <c r="F108">
        <v>6423440</v>
      </c>
      <c r="G108" t="s">
        <v>70</v>
      </c>
      <c r="H108">
        <v>80365767</v>
      </c>
      <c r="I108" s="4" t="str">
        <f>VLOOKUP($A108,能源品种参考表!$A:$E,5,FALSE)</f>
        <v>petroleum diesel</v>
      </c>
      <c r="J108">
        <f>D108*VLOOKUP($A108,能源品种参考表!$A:$I,6,FALSE)*VLOOKUP($A108,能源品种参考表!$A:$I,8,FALSE)</f>
        <v>233516219415.30399</v>
      </c>
    </row>
    <row r="109" spans="1:10" x14ac:dyDescent="0.15">
      <c r="A109">
        <f>VLOOKUP(B109,能源品种参考表!B:I,8,FALSE)</f>
        <v>27101999</v>
      </c>
      <c r="B109" t="s">
        <v>238</v>
      </c>
      <c r="C109">
        <v>2019</v>
      </c>
      <c r="D109">
        <v>14797093</v>
      </c>
      <c r="E109" t="s">
        <v>67</v>
      </c>
      <c r="F109">
        <v>15019083</v>
      </c>
      <c r="G109" t="s">
        <v>70</v>
      </c>
      <c r="H109">
        <v>102193288</v>
      </c>
      <c r="I109" s="4" t="str">
        <f>VLOOKUP($A109,能源品种参考表!$A:$E,5,FALSE)</f>
        <v>petroleum diesel</v>
      </c>
      <c r="J109">
        <f>D109*VLOOKUP($A109,能源品种参考表!$A:$I,6,FALSE)*VLOOKUP($A109,能源品种参考表!$A:$I,8,FALSE)</f>
        <v>546004865603.0863</v>
      </c>
    </row>
    <row r="110" spans="1:10" x14ac:dyDescent="0.15">
      <c r="A110">
        <f>VLOOKUP(B110,能源品种参考表!B:I,8,FALSE)</f>
        <v>27101999</v>
      </c>
      <c r="B110" t="s">
        <v>238</v>
      </c>
      <c r="C110">
        <v>2020</v>
      </c>
      <c r="D110">
        <v>8520036</v>
      </c>
      <c r="E110" t="s">
        <v>67</v>
      </c>
      <c r="F110">
        <v>8649289</v>
      </c>
      <c r="G110" t="s">
        <v>70</v>
      </c>
      <c r="H110">
        <v>85977757</v>
      </c>
      <c r="I110" s="4" t="str">
        <f>VLOOKUP($A110,能源品种参考表!$A:$E,5,FALSE)</f>
        <v>petroleum diesel</v>
      </c>
      <c r="J110">
        <f>D110*VLOOKUP($A110,能源品种参考表!$A:$I,6,FALSE)*VLOOKUP($A110,能源品种参考表!$A:$I,8,FALSE)</f>
        <v>314384799170.58423</v>
      </c>
    </row>
    <row r="111" spans="1:10" x14ac:dyDescent="0.15">
      <c r="A111">
        <f>VLOOKUP(B111,能源品种参考表!B:I,8,FALSE)</f>
        <v>27101999</v>
      </c>
      <c r="B111" t="s">
        <v>238</v>
      </c>
      <c r="C111">
        <v>2021</v>
      </c>
      <c r="D111">
        <v>15351483</v>
      </c>
      <c r="E111" t="s">
        <v>67</v>
      </c>
      <c r="F111">
        <v>15626817</v>
      </c>
      <c r="G111" t="s">
        <v>70</v>
      </c>
      <c r="H111">
        <v>129520093</v>
      </c>
      <c r="I111" s="4" t="str">
        <f>VLOOKUP($A111,能源品种参考表!$A:$E,5,FALSE)</f>
        <v>petroleum diesel</v>
      </c>
      <c r="J111">
        <f>D111*VLOOKUP($A111,能源品种参考表!$A:$I,6,FALSE)*VLOOKUP($A111,能源品种参考表!$A:$I,8,FALSE)</f>
        <v>566461561890.77576</v>
      </c>
    </row>
    <row r="112" spans="1:10" x14ac:dyDescent="0.15">
      <c r="A112">
        <f>VLOOKUP(B112,能源品种参考表!B:I,8,FALSE)</f>
        <v>27101999</v>
      </c>
      <c r="B112" t="s">
        <v>238</v>
      </c>
      <c r="C112">
        <v>2022</v>
      </c>
      <c r="D112">
        <v>98691563</v>
      </c>
      <c r="E112" t="s">
        <v>67</v>
      </c>
      <c r="F112">
        <v>100183380</v>
      </c>
      <c r="G112" t="s">
        <v>70</v>
      </c>
      <c r="H112">
        <v>538910438</v>
      </c>
      <c r="I112" s="4" t="str">
        <f>VLOOKUP($A112,能源品种参考表!$A:$E,5,FALSE)</f>
        <v>petroleum diesel</v>
      </c>
      <c r="J112">
        <f>D112*VLOOKUP($A112,能源品种参考表!$A:$I,6,FALSE)*VLOOKUP($A112,能源品种参考表!$A:$I,8,FALSE)</f>
        <v>3641666210516.7231</v>
      </c>
    </row>
    <row r="113" spans="1:10" x14ac:dyDescent="0.15">
      <c r="A113">
        <v>27102000</v>
      </c>
      <c r="B113" t="s">
        <v>251</v>
      </c>
      <c r="C113">
        <v>2017</v>
      </c>
      <c r="D113">
        <v>0</v>
      </c>
      <c r="E113" t="s">
        <v>67</v>
      </c>
      <c r="F113">
        <v>1</v>
      </c>
      <c r="G113" t="s">
        <v>70</v>
      </c>
      <c r="H113">
        <v>1288</v>
      </c>
      <c r="I113" s="4" t="e">
        <f>VLOOKUP($A113,能源品种参考表!$A:$E,5,FALSE)</f>
        <v>#N/A</v>
      </c>
      <c r="J113" t="e">
        <f>D113*VLOOKUP($A113,能源品种参考表!$A:$I,6,FALSE)*VLOOKUP($A113,能源品种参考表!$A:$I,8,FALSE)</f>
        <v>#N/A</v>
      </c>
    </row>
    <row r="114" spans="1:10" x14ac:dyDescent="0.15">
      <c r="A114">
        <v>27102000</v>
      </c>
      <c r="B114" t="s">
        <v>251</v>
      </c>
      <c r="C114">
        <v>2018</v>
      </c>
      <c r="D114">
        <v>65</v>
      </c>
      <c r="E114" t="s">
        <v>67</v>
      </c>
      <c r="F114">
        <v>65</v>
      </c>
      <c r="G114" t="s">
        <v>70</v>
      </c>
      <c r="H114">
        <v>1212</v>
      </c>
      <c r="I114" s="4" t="e">
        <f>VLOOKUP($A114,能源品种参考表!$A:$E,5,FALSE)</f>
        <v>#N/A</v>
      </c>
      <c r="J114" t="e">
        <f>D114*VLOOKUP($A114,能源品种参考表!$A:$I,6,FALSE)*VLOOKUP($A114,能源品种参考表!$A:$I,8,FALSE)</f>
        <v>#N/A</v>
      </c>
    </row>
    <row r="115" spans="1:10" x14ac:dyDescent="0.15">
      <c r="A115">
        <v>27102000</v>
      </c>
      <c r="B115" t="s">
        <v>251</v>
      </c>
      <c r="C115">
        <v>2019</v>
      </c>
      <c r="D115">
        <v>326</v>
      </c>
      <c r="E115" t="s">
        <v>67</v>
      </c>
      <c r="F115">
        <v>338</v>
      </c>
      <c r="G115" t="s">
        <v>70</v>
      </c>
      <c r="H115">
        <v>20836</v>
      </c>
      <c r="I115" s="4" t="e">
        <f>VLOOKUP($A115,能源品种参考表!$A:$E,5,FALSE)</f>
        <v>#N/A</v>
      </c>
      <c r="J115" t="e">
        <f>D115*VLOOKUP($A115,能源品种参考表!$A:$I,6,FALSE)*VLOOKUP($A115,能源品种参考表!$A:$I,8,FALSE)</f>
        <v>#N/A</v>
      </c>
    </row>
    <row r="116" spans="1:10" x14ac:dyDescent="0.15">
      <c r="A116">
        <v>27102000</v>
      </c>
      <c r="B116" t="s">
        <v>251</v>
      </c>
      <c r="C116">
        <v>2020</v>
      </c>
      <c r="D116">
        <v>2954</v>
      </c>
      <c r="E116" t="s">
        <v>67</v>
      </c>
      <c r="F116">
        <v>3181</v>
      </c>
      <c r="G116" t="s">
        <v>70</v>
      </c>
      <c r="H116">
        <v>184873</v>
      </c>
      <c r="I116" s="4" t="e">
        <f>VLOOKUP($A116,能源品种参考表!$A:$E,5,FALSE)</f>
        <v>#N/A</v>
      </c>
      <c r="J116" t="e">
        <f>D116*VLOOKUP($A116,能源品种参考表!$A:$I,6,FALSE)*VLOOKUP($A116,能源品种参考表!$A:$I,8,FALSE)</f>
        <v>#N/A</v>
      </c>
    </row>
    <row r="117" spans="1:10" x14ac:dyDescent="0.15">
      <c r="A117">
        <v>27102000</v>
      </c>
      <c r="B117" t="s">
        <v>251</v>
      </c>
      <c r="C117">
        <v>2021</v>
      </c>
      <c r="D117">
        <v>7285</v>
      </c>
      <c r="E117" t="s">
        <v>67</v>
      </c>
      <c r="F117">
        <v>8131</v>
      </c>
      <c r="G117" t="s">
        <v>70</v>
      </c>
      <c r="H117">
        <v>536049</v>
      </c>
      <c r="I117" s="4" t="e">
        <f>VLOOKUP($A117,能源品种参考表!$A:$E,5,FALSE)</f>
        <v>#N/A</v>
      </c>
      <c r="J117" t="e">
        <f>D117*VLOOKUP($A117,能源品种参考表!$A:$I,6,FALSE)*VLOOKUP($A117,能源品种参考表!$A:$I,8,FALSE)</f>
        <v>#N/A</v>
      </c>
    </row>
    <row r="118" spans="1:10" x14ac:dyDescent="0.15">
      <c r="A118">
        <v>27102000</v>
      </c>
      <c r="B118" t="s">
        <v>251</v>
      </c>
      <c r="C118">
        <v>2022</v>
      </c>
      <c r="D118">
        <v>23245839</v>
      </c>
      <c r="E118" t="s">
        <v>67</v>
      </c>
      <c r="F118">
        <v>27894265</v>
      </c>
      <c r="G118" t="s">
        <v>70</v>
      </c>
      <c r="H118">
        <v>161355595</v>
      </c>
      <c r="I118" s="4" t="e">
        <f>VLOOKUP($A118,能源品种参考表!$A:$E,5,FALSE)</f>
        <v>#N/A</v>
      </c>
      <c r="J118" t="e">
        <f>D118*VLOOKUP($A118,能源品种参考表!$A:$I,6,FALSE)*VLOOKUP($A118,能源品种参考表!$A:$I,8,FALSE)</f>
        <v>#N/A</v>
      </c>
    </row>
    <row r="119" spans="1:10" x14ac:dyDescent="0.15">
      <c r="A119">
        <f>VLOOKUP(B119,能源品种参考表!B:I,8,FALSE)</f>
        <v>27111100</v>
      </c>
      <c r="B119" t="s">
        <v>60</v>
      </c>
      <c r="C119">
        <v>2019</v>
      </c>
      <c r="D119">
        <v>74018193</v>
      </c>
      <c r="E119" t="s">
        <v>67</v>
      </c>
      <c r="F119">
        <v>0</v>
      </c>
      <c r="G119" t="s">
        <v>68</v>
      </c>
      <c r="H119" s="4">
        <v>146488270</v>
      </c>
      <c r="I119" s="4" t="str">
        <f>VLOOKUP($A119,能源品种参考表!$A:$E,5,FALSE)</f>
        <v>natural gas</v>
      </c>
      <c r="J119">
        <f>D119*VLOOKUP($A119,能源品种参考表!$A:$I,6,FALSE)*VLOOKUP($A119,能源品种参考表!$A:$I,8,FALSE)</f>
        <v>3608388824877.8491</v>
      </c>
    </row>
    <row r="120" spans="1:10" x14ac:dyDescent="0.15">
      <c r="A120">
        <f>VLOOKUP(B120,能源品种参考表!B:I,8,FALSE)</f>
        <v>27111100</v>
      </c>
      <c r="B120" t="s">
        <v>60</v>
      </c>
      <c r="C120">
        <v>2020</v>
      </c>
      <c r="D120">
        <v>58664521</v>
      </c>
      <c r="E120" t="s">
        <v>67</v>
      </c>
      <c r="F120">
        <v>0</v>
      </c>
      <c r="G120" t="s">
        <v>68</v>
      </c>
      <c r="H120" s="4">
        <v>146770721</v>
      </c>
      <c r="I120" s="4" t="str">
        <f>VLOOKUP($A120,能源品种参考表!$A:$E,5,FALSE)</f>
        <v>natural gas</v>
      </c>
      <c r="J120">
        <f>D120*VLOOKUP($A120,能源品种参考表!$A:$I,6,FALSE)*VLOOKUP($A120,能源品种参考表!$A:$I,8,FALSE)</f>
        <v>2859896917413.4243</v>
      </c>
    </row>
    <row r="121" spans="1:10" x14ac:dyDescent="0.15">
      <c r="A121">
        <f>VLOOKUP(B121,能源品种参考表!B:I,8,FALSE)</f>
        <v>27111100</v>
      </c>
      <c r="B121" t="s">
        <v>60</v>
      </c>
      <c r="C121">
        <v>2021</v>
      </c>
      <c r="D121">
        <v>26052688</v>
      </c>
      <c r="E121" t="s">
        <v>67</v>
      </c>
      <c r="F121">
        <v>0</v>
      </c>
      <c r="G121" t="s">
        <v>68</v>
      </c>
      <c r="H121">
        <v>47381110</v>
      </c>
      <c r="I121" s="4" t="str">
        <f>VLOOKUP($A121,能源品种参考表!$A:$E,5,FALSE)</f>
        <v>natural gas</v>
      </c>
      <c r="J121">
        <f>D121*VLOOKUP($A121,能源品种参考表!$A:$I,6,FALSE)*VLOOKUP($A121,能源品种参考表!$A:$I,8,FALSE)</f>
        <v>1270069214432.582</v>
      </c>
    </row>
    <row r="122" spans="1:10" x14ac:dyDescent="0.15">
      <c r="A122">
        <f>VLOOKUP(B122,能源品种参考表!B:I,8,FALSE)</f>
        <v>27111100</v>
      </c>
      <c r="B122" t="s">
        <v>60</v>
      </c>
      <c r="C122">
        <v>2022</v>
      </c>
      <c r="D122">
        <v>575539548</v>
      </c>
      <c r="E122" t="s">
        <v>67</v>
      </c>
      <c r="F122">
        <v>0</v>
      </c>
      <c r="G122" t="s">
        <v>68</v>
      </c>
      <c r="H122">
        <v>7525026800</v>
      </c>
      <c r="I122" s="4" t="str">
        <f>VLOOKUP($A122,能源品种参考表!$A:$E,5,FALSE)</f>
        <v>natural gas</v>
      </c>
      <c r="J122">
        <f>D122*VLOOKUP($A122,能源品种参考表!$A:$I,6,FALSE)*VLOOKUP($A122,能源品种参考表!$A:$I,8,FALSE)</f>
        <v>28057567864139.141</v>
      </c>
    </row>
    <row r="123" spans="1:10" x14ac:dyDescent="0.15">
      <c r="A123">
        <f>VLOOKUP(B123,能源品种参考表!B:I,8,FALSE)</f>
        <v>27111990</v>
      </c>
      <c r="B123" t="s">
        <v>58</v>
      </c>
      <c r="C123">
        <v>2019</v>
      </c>
      <c r="D123">
        <v>1614831</v>
      </c>
      <c r="E123" t="s">
        <v>67</v>
      </c>
      <c r="F123">
        <v>0</v>
      </c>
      <c r="G123" t="s">
        <v>68</v>
      </c>
      <c r="H123" s="4">
        <v>7511857</v>
      </c>
      <c r="I123" s="4" t="str">
        <f>VLOOKUP($A123,能源品种参考表!$A:$E,5,FALSE)</f>
        <v>LPG propane or butane</v>
      </c>
      <c r="J123">
        <f>D123*VLOOKUP($A123,能源品种参考表!$A:$I,6,FALSE)*VLOOKUP($A123,能源品种参考表!$A:$I,8,FALSE)</f>
        <v>76802194641.165207</v>
      </c>
    </row>
    <row r="124" spans="1:10" x14ac:dyDescent="0.15">
      <c r="A124">
        <f>VLOOKUP(B124,能源品种参考表!B:I,8,FALSE)</f>
        <v>27111990</v>
      </c>
      <c r="B124" t="s">
        <v>58</v>
      </c>
      <c r="C124">
        <v>2020</v>
      </c>
      <c r="D124">
        <v>1461277</v>
      </c>
      <c r="E124" t="s">
        <v>67</v>
      </c>
      <c r="F124">
        <v>0</v>
      </c>
      <c r="G124" t="s">
        <v>68</v>
      </c>
      <c r="H124" s="4">
        <v>7531623</v>
      </c>
      <c r="I124" s="4" t="str">
        <f>VLOOKUP($A124,能源品种参考表!$A:$E,5,FALSE)</f>
        <v>LPG propane or butane</v>
      </c>
      <c r="J124">
        <f>D124*VLOOKUP($A124,能源品种参考表!$A:$I,6,FALSE)*VLOOKUP($A124,能源品种参考表!$A:$I,8,FALSE)</f>
        <v>69499087259.693405</v>
      </c>
    </row>
    <row r="125" spans="1:10" x14ac:dyDescent="0.15">
      <c r="A125">
        <f>VLOOKUP(B125,能源品种参考表!B:I,8,FALSE)</f>
        <v>27111990</v>
      </c>
      <c r="B125" t="s">
        <v>58</v>
      </c>
      <c r="C125">
        <v>2021</v>
      </c>
      <c r="D125">
        <v>535388</v>
      </c>
      <c r="E125" t="s">
        <v>67</v>
      </c>
      <c r="F125">
        <v>0</v>
      </c>
      <c r="G125" t="s">
        <v>68</v>
      </c>
      <c r="H125">
        <v>1606278</v>
      </c>
      <c r="I125" s="4" t="str">
        <f>VLOOKUP($A125,能源品种参考表!$A:$E,5,FALSE)</f>
        <v>LPG propane or butane</v>
      </c>
      <c r="J125">
        <f>D125*VLOOKUP($A125,能源品种参考表!$A:$I,6,FALSE)*VLOOKUP($A125,能源品种参考表!$A:$I,8,FALSE)</f>
        <v>25463329218.069355</v>
      </c>
    </row>
    <row r="126" spans="1:10" x14ac:dyDescent="0.15">
      <c r="A126">
        <f>VLOOKUP(B126,能源品种参考表!B:I,8,FALSE)</f>
        <v>27111990</v>
      </c>
      <c r="B126" t="s">
        <v>58</v>
      </c>
      <c r="C126">
        <v>2022</v>
      </c>
      <c r="D126">
        <v>1437800</v>
      </c>
      <c r="E126" t="s">
        <v>67</v>
      </c>
      <c r="F126">
        <v>0</v>
      </c>
      <c r="G126" t="s">
        <v>68</v>
      </c>
      <c r="H126">
        <v>7818354</v>
      </c>
      <c r="I126" s="4" t="str">
        <f>VLOOKUP($A126,能源品种参考表!$A:$E,5,FALSE)</f>
        <v>LPG propane or butane</v>
      </c>
      <c r="J126">
        <f>D126*VLOOKUP($A126,能源品种参考表!$A:$I,6,FALSE)*VLOOKUP($A126,能源品种参考表!$A:$I,8,FALSE)</f>
        <v>68382509039.687332</v>
      </c>
    </row>
    <row r="127" spans="1:10" x14ac:dyDescent="0.15">
      <c r="A127">
        <f>VLOOKUP(B127,能源品种参考表!B:I,8,FALSE)</f>
        <v>27112100</v>
      </c>
      <c r="B127" t="s">
        <v>59</v>
      </c>
      <c r="C127">
        <v>2019</v>
      </c>
      <c r="D127">
        <v>2538373947</v>
      </c>
      <c r="E127" t="s">
        <v>67</v>
      </c>
      <c r="F127">
        <v>0</v>
      </c>
      <c r="G127" t="s">
        <v>68</v>
      </c>
      <c r="H127" s="4">
        <v>8585909585</v>
      </c>
      <c r="I127" s="4" t="str">
        <f>VLOOKUP($A127,能源品种参考表!$A:$E,5,FALSE)</f>
        <v>natural gas</v>
      </c>
      <c r="J127">
        <f>D127*VLOOKUP($A127,能源品种参考表!$A:$I,6,FALSE)*VLOOKUP($A127,能源品种参考表!$A:$I,8,FALSE)</f>
        <v>123745795627784.08</v>
      </c>
    </row>
    <row r="128" spans="1:10" x14ac:dyDescent="0.15">
      <c r="A128">
        <f>VLOOKUP(B128,能源品种参考表!B:I,8,FALSE)</f>
        <v>27112100</v>
      </c>
      <c r="B128" t="s">
        <v>59</v>
      </c>
      <c r="C128">
        <v>2020</v>
      </c>
      <c r="D128">
        <v>3684618956</v>
      </c>
      <c r="E128" t="s">
        <v>67</v>
      </c>
      <c r="F128">
        <v>0</v>
      </c>
      <c r="G128" t="s">
        <v>68</v>
      </c>
      <c r="H128" s="4">
        <v>10948964263</v>
      </c>
      <c r="I128" s="4" t="str">
        <f>VLOOKUP($A128,能源品种参考表!$A:$E,5,FALSE)</f>
        <v>natural gas</v>
      </c>
      <c r="J128">
        <f>D128*VLOOKUP($A128,能源品种参考表!$A:$I,6,FALSE)*VLOOKUP($A128,能源品种参考表!$A:$I,8,FALSE)</f>
        <v>179625269489671.09</v>
      </c>
    </row>
    <row r="129" spans="1:10" x14ac:dyDescent="0.15">
      <c r="A129">
        <f>VLOOKUP(B129,能源品种参考表!B:I,8,FALSE)</f>
        <v>27112100</v>
      </c>
      <c r="B129" t="s">
        <v>59</v>
      </c>
      <c r="C129">
        <v>2021</v>
      </c>
      <c r="D129">
        <v>3976087398</v>
      </c>
      <c r="E129" t="s">
        <v>67</v>
      </c>
      <c r="F129">
        <v>0</v>
      </c>
      <c r="G129" t="s">
        <v>68</v>
      </c>
      <c r="H129">
        <v>11023757209</v>
      </c>
      <c r="I129" s="4" t="str">
        <f>VLOOKUP($A129,能源品种参考表!$A:$E,5,FALSE)</f>
        <v>natural gas</v>
      </c>
      <c r="J129">
        <f>D129*VLOOKUP($A129,能源品种参考表!$A:$I,6,FALSE)*VLOOKUP($A129,能源品种参考表!$A:$I,8,FALSE)</f>
        <v>193834363582489.06</v>
      </c>
    </row>
    <row r="130" spans="1:10" x14ac:dyDescent="0.15">
      <c r="A130">
        <f>VLOOKUP(B130,能源品种参考表!B:I,8,FALSE)</f>
        <v>27112100</v>
      </c>
      <c r="B130" t="s">
        <v>59</v>
      </c>
      <c r="C130">
        <v>2022</v>
      </c>
      <c r="D130">
        <v>3653043514</v>
      </c>
      <c r="E130" t="s">
        <v>67</v>
      </c>
      <c r="F130">
        <v>0</v>
      </c>
      <c r="G130" t="s">
        <v>68</v>
      </c>
      <c r="H130">
        <v>14045790768</v>
      </c>
      <c r="I130" s="4" t="str">
        <f>VLOOKUP($A130,能源品种参考表!$A:$E,5,FALSE)</f>
        <v>natural gas</v>
      </c>
      <c r="J130">
        <f>D130*VLOOKUP($A130,能源品种参考表!$A:$I,6,FALSE)*VLOOKUP($A130,能源品种参考表!$A:$I,8,FALSE)</f>
        <v>178085965874769.56</v>
      </c>
    </row>
    <row r="131" spans="1:10" x14ac:dyDescent="0.15">
      <c r="A131">
        <f>VLOOKUP(B131,能源品种参考表!B:I,8,FALSE)</f>
        <v>27122000</v>
      </c>
      <c r="B131" t="s">
        <v>44</v>
      </c>
      <c r="C131">
        <v>2019</v>
      </c>
      <c r="D131">
        <v>575773949</v>
      </c>
      <c r="E131" t="s">
        <v>67</v>
      </c>
      <c r="F131">
        <v>0</v>
      </c>
      <c r="G131" t="s">
        <v>68</v>
      </c>
      <c r="H131" s="4">
        <v>3515622733</v>
      </c>
      <c r="I131" s="4" t="str">
        <f>VLOOKUP($A131,能源品种参考表!$A:$E,5,FALSE)</f>
        <v>LPG propane or butane</v>
      </c>
      <c r="J131">
        <f>D131*VLOOKUP($A131,能源品种参考表!$A:$I,6,FALSE)*VLOOKUP($A131,能源品种参考表!$A:$I,8,FALSE)</f>
        <v>21788206675338.559</v>
      </c>
    </row>
    <row r="132" spans="1:10" x14ac:dyDescent="0.15">
      <c r="A132">
        <f>VLOOKUP(B132,能源品种参考表!B:I,8,FALSE)</f>
        <v>27122000</v>
      </c>
      <c r="B132" t="s">
        <v>44</v>
      </c>
      <c r="C132">
        <v>2020</v>
      </c>
      <c r="D132">
        <v>629778666</v>
      </c>
      <c r="E132" t="s">
        <v>67</v>
      </c>
      <c r="F132">
        <v>0</v>
      </c>
      <c r="G132" t="s">
        <v>68</v>
      </c>
      <c r="H132" s="4">
        <v>3355670285</v>
      </c>
      <c r="I132" s="4" t="str">
        <f>VLOOKUP($A132,能源品种参考表!$A:$E,5,FALSE)</f>
        <v>LPG propane or butane</v>
      </c>
      <c r="J132">
        <f>D132*VLOOKUP($A132,能源品种参考表!$A:$I,6,FALSE)*VLOOKUP($A132,能源品种参考表!$A:$I,8,FALSE)</f>
        <v>23831831499773.211</v>
      </c>
    </row>
    <row r="133" spans="1:10" x14ac:dyDescent="0.15">
      <c r="A133">
        <f>VLOOKUP(B133,能源品种参考表!B:I,8,FALSE)</f>
        <v>27122000</v>
      </c>
      <c r="B133" t="s">
        <v>44</v>
      </c>
      <c r="C133">
        <v>2021</v>
      </c>
      <c r="D133">
        <v>801850361</v>
      </c>
      <c r="E133" t="s">
        <v>67</v>
      </c>
      <c r="F133">
        <v>0</v>
      </c>
      <c r="G133" t="s">
        <v>68</v>
      </c>
      <c r="H133">
        <v>5508289655</v>
      </c>
      <c r="I133" s="4" t="str">
        <f>VLOOKUP($A133,能源品种参考表!$A:$E,5,FALSE)</f>
        <v>LPG propane or butane</v>
      </c>
      <c r="J133">
        <f>D133*VLOOKUP($A133,能源品种参考表!$A:$I,6,FALSE)*VLOOKUP($A133,能源品种参考表!$A:$I,8,FALSE)</f>
        <v>30343299516253.098</v>
      </c>
    </row>
    <row r="134" spans="1:10" x14ac:dyDescent="0.15">
      <c r="A134">
        <f>VLOOKUP(B134,能源品种参考表!B:I,8,FALSE)</f>
        <v>27122000</v>
      </c>
      <c r="B134" t="s">
        <v>44</v>
      </c>
      <c r="C134">
        <v>2022</v>
      </c>
      <c r="D134">
        <v>739965143</v>
      </c>
      <c r="E134" t="s">
        <v>67</v>
      </c>
      <c r="F134">
        <v>0</v>
      </c>
      <c r="G134" t="s">
        <v>68</v>
      </c>
      <c r="H134">
        <v>6489490582</v>
      </c>
      <c r="I134" s="4" t="str">
        <f>VLOOKUP($A134,能源品种参考表!$A:$E,5,FALSE)</f>
        <v>LPG propane or butane</v>
      </c>
      <c r="J134">
        <f>D134*VLOOKUP($A134,能源品种参考表!$A:$I,6,FALSE)*VLOOKUP($A134,能源品种参考表!$A:$I,8,FALSE)</f>
        <v>28001463936032.391</v>
      </c>
    </row>
    <row r="135" spans="1:10" x14ac:dyDescent="0.15">
      <c r="A135">
        <f>VLOOKUP(B135,能源品种参考表!B:I,8,FALSE)</f>
        <v>27129010</v>
      </c>
      <c r="B135" t="s">
        <v>45</v>
      </c>
      <c r="C135">
        <v>2019</v>
      </c>
      <c r="D135">
        <v>3417591</v>
      </c>
      <c r="E135" t="s">
        <v>67</v>
      </c>
      <c r="F135">
        <v>0</v>
      </c>
      <c r="G135" t="s">
        <v>68</v>
      </c>
      <c r="H135" s="4">
        <v>35315497</v>
      </c>
      <c r="I135" s="4" t="str">
        <f>VLOOKUP($A135,能源品种参考表!$A:$E,5,FALSE)</f>
        <v>LPG propane or butane</v>
      </c>
      <c r="J135">
        <f>D135*VLOOKUP($A135,能源品种参考表!$A:$I,6,FALSE)*VLOOKUP($A135,能源品种参考表!$A:$I,8,FALSE)</f>
        <v>129327106877.80177</v>
      </c>
    </row>
    <row r="136" spans="1:10" x14ac:dyDescent="0.15">
      <c r="A136">
        <f>VLOOKUP(B136,能源品种参考表!B:I,8,FALSE)</f>
        <v>27129010</v>
      </c>
      <c r="B136" t="s">
        <v>45</v>
      </c>
      <c r="C136">
        <v>2020</v>
      </c>
      <c r="D136">
        <v>2323691</v>
      </c>
      <c r="E136" t="s">
        <v>67</v>
      </c>
      <c r="F136">
        <v>0</v>
      </c>
      <c r="G136" t="s">
        <v>68</v>
      </c>
      <c r="H136" s="4">
        <v>21922727</v>
      </c>
      <c r="I136" s="4" t="str">
        <f>VLOOKUP($A136,能源品种参考表!$A:$E,5,FALSE)</f>
        <v>LPG propane or butane</v>
      </c>
      <c r="J136">
        <f>D136*VLOOKUP($A136,能源品种参考表!$A:$I,6,FALSE)*VLOOKUP($A136,能源品种参考表!$A:$I,8,FALSE)</f>
        <v>87932182144.670349</v>
      </c>
    </row>
    <row r="137" spans="1:10" x14ac:dyDescent="0.15">
      <c r="A137">
        <f>VLOOKUP(B137,能源品种参考表!B:I,8,FALSE)</f>
        <v>27129010</v>
      </c>
      <c r="B137" t="s">
        <v>45</v>
      </c>
      <c r="C137">
        <v>2021</v>
      </c>
      <c r="D137">
        <v>4409539</v>
      </c>
      <c r="E137" t="s">
        <v>67</v>
      </c>
      <c r="F137">
        <v>0</v>
      </c>
      <c r="G137" t="s">
        <v>68</v>
      </c>
      <c r="H137">
        <v>49170279</v>
      </c>
      <c r="I137" s="4" t="str">
        <f>VLOOKUP($A137,能源品种参考表!$A:$E,5,FALSE)</f>
        <v>LPG propane or butane</v>
      </c>
      <c r="J137">
        <f>D137*VLOOKUP($A137,能源品种参考表!$A:$I,6,FALSE)*VLOOKUP($A137,能源品种参考表!$A:$I,8,FALSE)</f>
        <v>166864004948.17404</v>
      </c>
    </row>
    <row r="138" spans="1:10" x14ac:dyDescent="0.15">
      <c r="A138">
        <f>VLOOKUP(B138,能源品种参考表!B:I,8,FALSE)</f>
        <v>27129010</v>
      </c>
      <c r="B138" t="s">
        <v>45</v>
      </c>
      <c r="C138">
        <v>2022</v>
      </c>
      <c r="D138">
        <v>6067993</v>
      </c>
      <c r="E138" t="s">
        <v>67</v>
      </c>
      <c r="F138">
        <v>0</v>
      </c>
      <c r="G138" t="s">
        <v>68</v>
      </c>
      <c r="H138">
        <v>72139214</v>
      </c>
      <c r="I138" s="4" t="str">
        <f>VLOOKUP($A138,能源品种参考表!$A:$E,5,FALSE)</f>
        <v>LPG propane or butane</v>
      </c>
      <c r="J138">
        <f>D138*VLOOKUP($A138,能源品种参考表!$A:$I,6,FALSE)*VLOOKUP($A138,能源品种参考表!$A:$I,8,FALSE)</f>
        <v>229622555550.02133</v>
      </c>
    </row>
    <row r="139" spans="1:10" x14ac:dyDescent="0.15">
      <c r="A139">
        <f>VLOOKUP(B139,能源品种参考表!B:I,8,FALSE)</f>
        <v>27129090</v>
      </c>
      <c r="B139" t="s">
        <v>43</v>
      </c>
      <c r="C139">
        <v>2019</v>
      </c>
      <c r="D139">
        <v>22479155</v>
      </c>
      <c r="E139" t="s">
        <v>67</v>
      </c>
      <c r="F139">
        <v>0</v>
      </c>
      <c r="G139" t="s">
        <v>68</v>
      </c>
      <c r="H139" s="4">
        <v>173150589</v>
      </c>
      <c r="I139" s="4" t="str">
        <f>VLOOKUP($A139,能源品种参考表!$A:$E,5,FALSE)</f>
        <v>LPG propane or butane</v>
      </c>
      <c r="J139">
        <f>D139*VLOOKUP($A139,能源品种参考表!$A:$I,6,FALSE)*VLOOKUP($A139,能源品种参考表!$A:$I,8,FALSE)</f>
        <v>850647160882.52576</v>
      </c>
    </row>
    <row r="140" spans="1:10" x14ac:dyDescent="0.15">
      <c r="A140">
        <f>VLOOKUP(B140,能源品种参考表!B:I,8,FALSE)</f>
        <v>27129090</v>
      </c>
      <c r="B140" t="s">
        <v>43</v>
      </c>
      <c r="C140">
        <v>2020</v>
      </c>
      <c r="D140">
        <v>27858971</v>
      </c>
      <c r="E140" t="s">
        <v>67</v>
      </c>
      <c r="F140">
        <v>0</v>
      </c>
      <c r="G140" t="s">
        <v>68</v>
      </c>
      <c r="H140" s="4">
        <v>199821901</v>
      </c>
      <c r="I140" s="4" t="str">
        <f>VLOOKUP($A140,能源品种参考表!$A:$E,5,FALSE)</f>
        <v>LPG propane or butane</v>
      </c>
      <c r="J140">
        <f>D140*VLOOKUP($A140,能源品种参考表!$A:$I,6,FALSE)*VLOOKUP($A140,能源品种参考表!$A:$I,8,FALSE)</f>
        <v>1054227998617.3243</v>
      </c>
    </row>
    <row r="141" spans="1:10" x14ac:dyDescent="0.15">
      <c r="A141">
        <f>VLOOKUP(B141,能源品种参考表!B:I,8,FALSE)</f>
        <v>27129090</v>
      </c>
      <c r="B141" t="s">
        <v>43</v>
      </c>
      <c r="C141">
        <v>2021</v>
      </c>
      <c r="D141">
        <v>34619366</v>
      </c>
      <c r="E141" t="s">
        <v>67</v>
      </c>
      <c r="F141">
        <v>0</v>
      </c>
      <c r="G141" t="s">
        <v>68</v>
      </c>
      <c r="H141">
        <v>279576634</v>
      </c>
      <c r="I141" s="4" t="str">
        <f>VLOOKUP($A141,能源品种参考表!$A:$E,5,FALSE)</f>
        <v>LPG propane or butane</v>
      </c>
      <c r="J141">
        <f>D141*VLOOKUP($A141,能源品种参考表!$A:$I,6,FALSE)*VLOOKUP($A141,能源品种参考表!$A:$I,8,FALSE)</f>
        <v>1310052152736.7485</v>
      </c>
    </row>
    <row r="142" spans="1:10" x14ac:dyDescent="0.15">
      <c r="A142">
        <f>VLOOKUP(B142,能源品种参考表!B:I,8,FALSE)</f>
        <v>27129090</v>
      </c>
      <c r="B142" t="s">
        <v>43</v>
      </c>
      <c r="C142">
        <v>2022</v>
      </c>
      <c r="D142">
        <v>46588189</v>
      </c>
      <c r="E142" t="s">
        <v>67</v>
      </c>
      <c r="F142">
        <v>0</v>
      </c>
      <c r="G142" t="s">
        <v>68</v>
      </c>
      <c r="H142">
        <v>521157555</v>
      </c>
      <c r="I142" s="4" t="str">
        <f>VLOOKUP($A142,能源品种参考表!$A:$E,5,FALSE)</f>
        <v>LPG propane or butane</v>
      </c>
      <c r="J142">
        <f>D142*VLOOKUP($A142,能源品种参考表!$A:$I,6,FALSE)*VLOOKUP($A142,能源品种参考表!$A:$I,8,FALSE)</f>
        <v>1762971548686.2615</v>
      </c>
    </row>
    <row r="143" spans="1:10" x14ac:dyDescent="0.15">
      <c r="A143">
        <f>VLOOKUP(B143,能源品种参考表!B:I,8,FALSE)</f>
        <v>27131110</v>
      </c>
      <c r="B143" t="s">
        <v>39</v>
      </c>
      <c r="C143">
        <v>2019</v>
      </c>
      <c r="D143">
        <v>286758277</v>
      </c>
      <c r="E143" t="s">
        <v>67</v>
      </c>
      <c r="F143">
        <v>0</v>
      </c>
      <c r="G143" t="s">
        <v>68</v>
      </c>
      <c r="H143" s="4">
        <v>427413275</v>
      </c>
      <c r="I143" s="4" t="str">
        <f>VLOOKUP($A143,能源品种参考表!$A:$E,5,FALSE)</f>
        <v>petroleum diesel</v>
      </c>
      <c r="J143">
        <f>D143*VLOOKUP($A143,能源品种参考表!$A:$I,6,FALSE)*VLOOKUP($A143,能源品种参考表!$A:$I,8,FALSE)</f>
        <v>8683015856761.5146</v>
      </c>
    </row>
    <row r="144" spans="1:10" x14ac:dyDescent="0.15">
      <c r="A144">
        <f>VLOOKUP(B144,能源品种参考表!B:I,8,FALSE)</f>
        <v>27131110</v>
      </c>
      <c r="B144" t="s">
        <v>39</v>
      </c>
      <c r="C144">
        <v>2020</v>
      </c>
      <c r="D144">
        <v>230044094</v>
      </c>
      <c r="E144" t="s">
        <v>67</v>
      </c>
      <c r="F144">
        <v>0</v>
      </c>
      <c r="G144" t="s">
        <v>68</v>
      </c>
      <c r="H144" s="4">
        <v>309349641</v>
      </c>
      <c r="I144" s="4" t="str">
        <f>VLOOKUP($A144,能源品种参考表!$A:$E,5,FALSE)</f>
        <v>petroleum diesel</v>
      </c>
      <c r="J144">
        <f>D144*VLOOKUP($A144,能源品种参考表!$A:$I,6,FALSE)*VLOOKUP($A144,能源品种参考表!$A:$I,8,FALSE)</f>
        <v>6965715294614.9717</v>
      </c>
    </row>
    <row r="145" spans="1:10" x14ac:dyDescent="0.15">
      <c r="A145">
        <f>VLOOKUP(B145,能源品种参考表!B:I,8,FALSE)</f>
        <v>27131110</v>
      </c>
      <c r="B145" t="s">
        <v>39</v>
      </c>
      <c r="C145">
        <v>2021</v>
      </c>
      <c r="D145">
        <v>121627330</v>
      </c>
      <c r="E145" t="s">
        <v>67</v>
      </c>
      <c r="F145">
        <v>0</v>
      </c>
      <c r="G145" t="s">
        <v>68</v>
      </c>
      <c r="H145">
        <v>351173084</v>
      </c>
      <c r="I145" s="4" t="str">
        <f>VLOOKUP($A145,能源品种参考表!$A:$E,5,FALSE)</f>
        <v>petroleum diesel</v>
      </c>
      <c r="J145">
        <f>D145*VLOOKUP($A145,能源品种参考表!$A:$I,6,FALSE)*VLOOKUP($A145,能源品种参考表!$A:$I,8,FALSE)</f>
        <v>3682865045968.8931</v>
      </c>
    </row>
    <row r="146" spans="1:10" x14ac:dyDescent="0.15">
      <c r="A146">
        <f>VLOOKUP(B146,能源品种参考表!B:I,8,FALSE)</f>
        <v>27131110</v>
      </c>
      <c r="B146" t="s">
        <v>39</v>
      </c>
      <c r="C146">
        <v>2022</v>
      </c>
      <c r="D146">
        <v>104963902</v>
      </c>
      <c r="E146" t="s">
        <v>67</v>
      </c>
      <c r="F146">
        <v>0</v>
      </c>
      <c r="G146" t="s">
        <v>68</v>
      </c>
      <c r="H146">
        <v>629412964</v>
      </c>
      <c r="I146" s="4" t="str">
        <f>VLOOKUP($A146,能源品种参考表!$A:$E,5,FALSE)</f>
        <v>petroleum diesel</v>
      </c>
      <c r="J146">
        <f>D146*VLOOKUP($A146,能源品种参考表!$A:$I,6,FALSE)*VLOOKUP($A146,能源品种参考表!$A:$I,8,FALSE)</f>
        <v>3178297885551.7456</v>
      </c>
    </row>
    <row r="147" spans="1:10" x14ac:dyDescent="0.15">
      <c r="A147">
        <f>VLOOKUP(B147,能源品种参考表!B:I,8,FALSE)</f>
        <v>27131190</v>
      </c>
      <c r="B147" t="s">
        <v>37</v>
      </c>
      <c r="C147">
        <v>2019</v>
      </c>
      <c r="D147">
        <v>586483848</v>
      </c>
      <c r="E147" t="s">
        <v>67</v>
      </c>
      <c r="F147">
        <v>0</v>
      </c>
      <c r="G147" t="s">
        <v>68</v>
      </c>
      <c r="H147" s="4">
        <v>455852987</v>
      </c>
      <c r="I147" s="4" t="str">
        <f>VLOOKUP($A147,能源品种参考表!$A:$E,5,FALSE)</f>
        <v>petroleum diesel</v>
      </c>
      <c r="J147">
        <f>D147*VLOOKUP($A147,能源品种参考表!$A:$I,6,FALSE)*VLOOKUP($A147,能源品种参考表!$A:$I,8,FALSE)</f>
        <v>17758680255700.203</v>
      </c>
    </row>
    <row r="148" spans="1:10" x14ac:dyDescent="0.15">
      <c r="A148">
        <f>VLOOKUP(B148,能源品种参考表!B:I,8,FALSE)</f>
        <v>27131190</v>
      </c>
      <c r="B148" t="s">
        <v>37</v>
      </c>
      <c r="C148">
        <v>2020</v>
      </c>
      <c r="D148">
        <v>168274087</v>
      </c>
      <c r="E148" t="s">
        <v>67</v>
      </c>
      <c r="F148">
        <v>0</v>
      </c>
      <c r="G148" t="s">
        <v>68</v>
      </c>
      <c r="H148" s="4">
        <v>111957293</v>
      </c>
      <c r="I148" s="4" t="str">
        <f>VLOOKUP($A148,能源品种参考表!$A:$E,5,FALSE)</f>
        <v>petroleum diesel</v>
      </c>
      <c r="J148">
        <f>D148*VLOOKUP($A148,能源品种参考表!$A:$I,6,FALSE)*VLOOKUP($A148,能源品种参考表!$A:$I,8,FALSE)</f>
        <v>5095324818481.4102</v>
      </c>
    </row>
    <row r="149" spans="1:10" x14ac:dyDescent="0.15">
      <c r="A149">
        <f>VLOOKUP(B149,能源品种参考表!B:I,8,FALSE)</f>
        <v>27131190</v>
      </c>
      <c r="B149" t="s">
        <v>37</v>
      </c>
      <c r="C149">
        <v>2021</v>
      </c>
      <c r="D149">
        <v>181483605</v>
      </c>
      <c r="E149" t="s">
        <v>67</v>
      </c>
      <c r="F149">
        <v>0</v>
      </c>
      <c r="G149" t="s">
        <v>68</v>
      </c>
      <c r="H149">
        <v>305031399</v>
      </c>
      <c r="I149" s="4" t="str">
        <f>VLOOKUP($A149,能源品种参考表!$A:$E,5,FALSE)</f>
        <v>petroleum diesel</v>
      </c>
      <c r="J149">
        <f>D149*VLOOKUP($A149,能源品种参考表!$A:$I,6,FALSE)*VLOOKUP($A149,能源品种参考表!$A:$I,8,FALSE)</f>
        <v>5495307882454.7529</v>
      </c>
    </row>
    <row r="150" spans="1:10" x14ac:dyDescent="0.15">
      <c r="A150">
        <f>VLOOKUP(B150,能源品种参考表!B:I,8,FALSE)</f>
        <v>27131190</v>
      </c>
      <c r="B150" t="s">
        <v>37</v>
      </c>
      <c r="C150">
        <v>2022</v>
      </c>
      <c r="D150">
        <v>146435056</v>
      </c>
      <c r="E150" t="s">
        <v>67</v>
      </c>
      <c r="F150">
        <v>0</v>
      </c>
      <c r="G150" t="s">
        <v>68</v>
      </c>
      <c r="H150">
        <v>300785007</v>
      </c>
      <c r="I150" s="4" t="str">
        <f>VLOOKUP($A150,能源品种参考表!$A:$E,5,FALSE)</f>
        <v>petroleum diesel</v>
      </c>
      <c r="J150">
        <f>D150*VLOOKUP($A150,能源品种参考表!$A:$I,6,FALSE)*VLOOKUP($A150,能源品种参考表!$A:$I,8,FALSE)</f>
        <v>4434040846304.0127</v>
      </c>
    </row>
    <row r="151" spans="1:10" x14ac:dyDescent="0.15">
      <c r="A151">
        <f>VLOOKUP(B151,能源品种参考表!B:I,8,FALSE)</f>
        <v>27131210</v>
      </c>
      <c r="B151" t="s">
        <v>40</v>
      </c>
      <c r="C151">
        <v>2019</v>
      </c>
      <c r="D151">
        <v>115169468</v>
      </c>
      <c r="E151" t="s">
        <v>67</v>
      </c>
      <c r="F151">
        <v>0</v>
      </c>
      <c r="G151" t="s">
        <v>68</v>
      </c>
      <c r="H151" s="4">
        <v>1316021720</v>
      </c>
      <c r="I151" s="4" t="str">
        <f>VLOOKUP($A151,能源品种参考表!$A:$E,5,FALSE)</f>
        <v>petroleum diesel</v>
      </c>
      <c r="J151">
        <f>D151*VLOOKUP($A151,能源品种参考表!$A:$I,6,FALSE)*VLOOKUP($A151,能源品种参考表!$A:$I,8,FALSE)</f>
        <v>3487321542452.9419</v>
      </c>
    </row>
    <row r="152" spans="1:10" x14ac:dyDescent="0.15">
      <c r="A152">
        <f>VLOOKUP(B152,能源品种参考表!B:I,8,FALSE)</f>
        <v>27131210</v>
      </c>
      <c r="B152" t="s">
        <v>40</v>
      </c>
      <c r="C152">
        <v>2020</v>
      </c>
      <c r="D152">
        <v>93994802</v>
      </c>
      <c r="E152" t="s">
        <v>67</v>
      </c>
      <c r="F152">
        <v>0</v>
      </c>
      <c r="G152" t="s">
        <v>68</v>
      </c>
      <c r="H152" s="4">
        <v>541526920</v>
      </c>
      <c r="I152" s="4" t="str">
        <f>VLOOKUP($A152,能源品种参考表!$A:$E,5,FALSE)</f>
        <v>petroleum diesel</v>
      </c>
      <c r="J152">
        <f>D152*VLOOKUP($A152,能源品种参考表!$A:$I,6,FALSE)*VLOOKUP($A152,能源品种参考表!$A:$I,8,FALSE)</f>
        <v>2846154485086.2632</v>
      </c>
    </row>
    <row r="153" spans="1:10" x14ac:dyDescent="0.15">
      <c r="A153">
        <f>VLOOKUP(B153,能源品种参考表!B:I,8,FALSE)</f>
        <v>27131210</v>
      </c>
      <c r="B153" t="s">
        <v>40</v>
      </c>
      <c r="C153">
        <v>2021</v>
      </c>
      <c r="D153">
        <v>118957477</v>
      </c>
      <c r="E153" t="s">
        <v>67</v>
      </c>
      <c r="F153">
        <v>0</v>
      </c>
      <c r="G153" t="s">
        <v>68</v>
      </c>
      <c r="H153">
        <v>635198797</v>
      </c>
      <c r="I153" s="4" t="str">
        <f>VLOOKUP($A153,能源品种参考表!$A:$E,5,FALSE)</f>
        <v>petroleum diesel</v>
      </c>
      <c r="J153">
        <f>D153*VLOOKUP($A153,能源品种参考表!$A:$I,6,FALSE)*VLOOKUP($A153,能源品种参考表!$A:$I,8,FALSE)</f>
        <v>3602022127756.5542</v>
      </c>
    </row>
    <row r="154" spans="1:10" x14ac:dyDescent="0.15">
      <c r="A154">
        <f>VLOOKUP(B154,能源品种参考表!B:I,8,FALSE)</f>
        <v>27131210</v>
      </c>
      <c r="B154" t="s">
        <v>40</v>
      </c>
      <c r="C154">
        <v>2022</v>
      </c>
      <c r="D154">
        <v>95579449</v>
      </c>
      <c r="E154" t="s">
        <v>67</v>
      </c>
      <c r="F154">
        <v>0</v>
      </c>
      <c r="G154" t="s">
        <v>68</v>
      </c>
      <c r="H154">
        <v>1024583782</v>
      </c>
      <c r="I154" s="4" t="str">
        <f>VLOOKUP($A154,能源品种参考表!$A:$E,5,FALSE)</f>
        <v>petroleum diesel</v>
      </c>
      <c r="J154">
        <f>D154*VLOOKUP($A154,能源品种参考表!$A:$I,6,FALSE)*VLOOKUP($A154,能源品种参考表!$A:$I,8,FALSE)</f>
        <v>2894137459361.0376</v>
      </c>
    </row>
    <row r="155" spans="1:10" x14ac:dyDescent="0.15">
      <c r="A155">
        <f>VLOOKUP(B155,能源品种参考表!B:I,8,FALSE)</f>
        <v>27131290</v>
      </c>
      <c r="B155" t="s">
        <v>38</v>
      </c>
      <c r="C155">
        <v>2019</v>
      </c>
      <c r="D155">
        <v>1301224344</v>
      </c>
      <c r="E155" t="s">
        <v>67</v>
      </c>
      <c r="F155">
        <v>0</v>
      </c>
      <c r="G155" t="s">
        <v>68</v>
      </c>
      <c r="H155" s="4">
        <v>2943240495</v>
      </c>
      <c r="I155" s="4" t="str">
        <f>VLOOKUP($A155,能源品种参考表!$A:$E,5,FALSE)</f>
        <v>petroleum diesel</v>
      </c>
      <c r="J155">
        <f>D155*VLOOKUP($A155,能源品种参考表!$A:$I,6,FALSE)*VLOOKUP($A155,能源品种参考表!$A:$I,8,FALSE)</f>
        <v>39400960733754.516</v>
      </c>
    </row>
    <row r="156" spans="1:10" x14ac:dyDescent="0.15">
      <c r="A156">
        <f>VLOOKUP(B156,能源品种参考表!B:I,8,FALSE)</f>
        <v>27131290</v>
      </c>
      <c r="B156" t="s">
        <v>38</v>
      </c>
      <c r="C156">
        <v>2020</v>
      </c>
      <c r="D156">
        <v>1291246804</v>
      </c>
      <c r="E156" t="s">
        <v>67</v>
      </c>
      <c r="F156">
        <v>0</v>
      </c>
      <c r="G156" t="s">
        <v>68</v>
      </c>
      <c r="H156" s="4">
        <v>2253243531</v>
      </c>
      <c r="I156" s="4" t="str">
        <f>VLOOKUP($A156,能源品种参考表!$A:$E,5,FALSE)</f>
        <v>petroleum diesel</v>
      </c>
      <c r="J156">
        <f>D156*VLOOKUP($A156,能源品种参考表!$A:$I,6,FALSE)*VLOOKUP($A156,能源品种参考表!$A:$I,8,FALSE)</f>
        <v>39098841684435.945</v>
      </c>
    </row>
    <row r="157" spans="1:10" x14ac:dyDescent="0.15">
      <c r="A157">
        <f>VLOOKUP(B157,能源品种参考表!B:I,8,FALSE)</f>
        <v>27131290</v>
      </c>
      <c r="B157" t="s">
        <v>38</v>
      </c>
      <c r="C157">
        <v>2021</v>
      </c>
      <c r="D157">
        <v>1438626959</v>
      </c>
      <c r="E157" t="s">
        <v>67</v>
      </c>
      <c r="F157">
        <v>0</v>
      </c>
      <c r="G157" t="s">
        <v>68</v>
      </c>
      <c r="H157">
        <v>4371870508</v>
      </c>
      <c r="I157" s="4" t="str">
        <f>VLOOKUP($A157,能源品种参考表!$A:$E,5,FALSE)</f>
        <v>petroleum diesel</v>
      </c>
      <c r="J157">
        <f>D157*VLOOKUP($A157,能源品种参考表!$A:$I,6,FALSE)*VLOOKUP($A157,能源品种参考表!$A:$I,8,FALSE)</f>
        <v>43561500046820.266</v>
      </c>
    </row>
    <row r="158" spans="1:10" x14ac:dyDescent="0.15">
      <c r="A158">
        <f>VLOOKUP(B158,能源品种参考表!B:I,8,FALSE)</f>
        <v>27131290</v>
      </c>
      <c r="B158" t="s">
        <v>38</v>
      </c>
      <c r="C158">
        <v>2022</v>
      </c>
      <c r="D158">
        <v>1282204462</v>
      </c>
      <c r="E158" t="s">
        <v>67</v>
      </c>
      <c r="F158">
        <v>0</v>
      </c>
      <c r="G158" t="s">
        <v>68</v>
      </c>
      <c r="H158">
        <v>7052818915</v>
      </c>
      <c r="I158" s="4" t="str">
        <f>VLOOKUP($A158,能源品种参考表!$A:$E,5,FALSE)</f>
        <v>petroleum diesel</v>
      </c>
      <c r="J158">
        <f>D158*VLOOKUP($A158,能源品种参考表!$A:$I,6,FALSE)*VLOOKUP($A158,能源品种参考表!$A:$I,8,FALSE)</f>
        <v>38825040349772.953</v>
      </c>
    </row>
    <row r="159" spans="1:10" x14ac:dyDescent="0.15">
      <c r="A159">
        <f>VLOOKUP(B159,能源品种参考表!B:I,8,FALSE)</f>
        <v>27132000</v>
      </c>
      <c r="B159" t="s">
        <v>42</v>
      </c>
      <c r="C159">
        <v>2019</v>
      </c>
      <c r="D159">
        <v>656241001</v>
      </c>
      <c r="E159" t="s">
        <v>67</v>
      </c>
      <c r="F159">
        <v>0</v>
      </c>
      <c r="G159" t="s">
        <v>68</v>
      </c>
      <c r="H159" s="4">
        <v>2031929922</v>
      </c>
      <c r="I159" s="4" t="str">
        <f>VLOOKUP($A159,能源品种参考表!$A:$E,5,FALSE)</f>
        <v>petroleum diesel</v>
      </c>
      <c r="J159">
        <f>D159*VLOOKUP($A159,能源品种参考表!$A:$I,6,FALSE)*VLOOKUP($A159,能源品种参考表!$A:$I,8,FALSE)</f>
        <v>24214944080856.953</v>
      </c>
    </row>
    <row r="160" spans="1:10" x14ac:dyDescent="0.15">
      <c r="A160">
        <f>VLOOKUP(B160,能源品种参考表!B:I,8,FALSE)</f>
        <v>27132000</v>
      </c>
      <c r="B160" t="s">
        <v>42</v>
      </c>
      <c r="C160">
        <v>2020</v>
      </c>
      <c r="D160">
        <v>567384543</v>
      </c>
      <c r="E160" t="s">
        <v>67</v>
      </c>
      <c r="F160">
        <v>0</v>
      </c>
      <c r="G160" t="s">
        <v>68</v>
      </c>
      <c r="H160" s="4">
        <v>1467726777</v>
      </c>
      <c r="I160" s="4" t="str">
        <f>VLOOKUP($A160,能源品种参考表!$A:$E,5,FALSE)</f>
        <v>petroleum diesel</v>
      </c>
      <c r="J160">
        <f>D160*VLOOKUP($A160,能源品种参考表!$A:$I,6,FALSE)*VLOOKUP($A160,能源品种参考表!$A:$I,8,FALSE)</f>
        <v>20936188016523.484</v>
      </c>
    </row>
    <row r="161" spans="1:10" x14ac:dyDescent="0.15">
      <c r="A161">
        <f>VLOOKUP(B161,能源品种参考表!B:I,8,FALSE)</f>
        <v>27132000</v>
      </c>
      <c r="B161" t="s">
        <v>42</v>
      </c>
      <c r="C161">
        <v>2021</v>
      </c>
      <c r="D161">
        <v>552613083</v>
      </c>
      <c r="E161" t="s">
        <v>67</v>
      </c>
      <c r="F161">
        <v>0</v>
      </c>
      <c r="G161" t="s">
        <v>68</v>
      </c>
      <c r="H161">
        <v>1652310072</v>
      </c>
      <c r="I161" s="4" t="str">
        <f>VLOOKUP($A161,能源品种参考表!$A:$E,5,FALSE)</f>
        <v>petroleum diesel</v>
      </c>
      <c r="J161">
        <f>D161*VLOOKUP($A161,能源品种参考表!$A:$I,6,FALSE)*VLOOKUP($A161,能源品种参考表!$A:$I,8,FALSE)</f>
        <v>20391128994993.961</v>
      </c>
    </row>
    <row r="162" spans="1:10" x14ac:dyDescent="0.15">
      <c r="A162">
        <f>VLOOKUP(B162,能源品种参考表!B:I,8,FALSE)</f>
        <v>27132000</v>
      </c>
      <c r="B162" t="s">
        <v>42</v>
      </c>
      <c r="C162">
        <v>2022</v>
      </c>
      <c r="D162">
        <v>563604487</v>
      </c>
      <c r="E162" t="s">
        <v>67</v>
      </c>
      <c r="F162">
        <v>0</v>
      </c>
      <c r="G162" t="s">
        <v>68</v>
      </c>
      <c r="H162">
        <v>2642954550</v>
      </c>
      <c r="I162" s="4" t="str">
        <f>VLOOKUP($A162,能源品种参考表!$A:$E,5,FALSE)</f>
        <v>petroleum diesel</v>
      </c>
      <c r="J162">
        <f>D162*VLOOKUP($A162,能源品种参考表!$A:$I,6,FALSE)*VLOOKUP($A162,能源品种参考表!$A:$I,8,FALSE)</f>
        <v>20796705959591.621</v>
      </c>
    </row>
    <row r="163" spans="1:10" x14ac:dyDescent="0.15">
      <c r="A163">
        <f>VLOOKUP(B163,能源品种参考表!B:I,8,FALSE)</f>
        <v>28041000</v>
      </c>
      <c r="B163" t="s">
        <v>226</v>
      </c>
      <c r="C163">
        <v>2017</v>
      </c>
      <c r="D163">
        <v>103</v>
      </c>
      <c r="E163" t="s">
        <v>67</v>
      </c>
      <c r="F163">
        <v>1157</v>
      </c>
      <c r="G163" t="s">
        <v>237</v>
      </c>
      <c r="H163">
        <v>63571</v>
      </c>
      <c r="I163" s="4" t="str">
        <f>VLOOKUP($A163,能源品种参考表!$A:$E,5,FALSE)</f>
        <v>hydrogen</v>
      </c>
      <c r="J163">
        <f>D163*VLOOKUP($A163,能源品种参考表!$A:$I,6,FALSE)*VLOOKUP($A163,能源品种参考表!$A:$I,8,FALSE)</f>
        <v>94601.917329779273</v>
      </c>
    </row>
    <row r="164" spans="1:10" x14ac:dyDescent="0.15">
      <c r="A164">
        <f>VLOOKUP(B164,能源品种参考表!B:I,8,FALSE)</f>
        <v>28041000</v>
      </c>
      <c r="B164" t="s">
        <v>226</v>
      </c>
      <c r="C164">
        <v>2018</v>
      </c>
      <c r="D164">
        <v>2606</v>
      </c>
      <c r="E164" t="s">
        <v>67</v>
      </c>
      <c r="F164">
        <v>24979</v>
      </c>
      <c r="G164" t="s">
        <v>237</v>
      </c>
      <c r="H164">
        <v>685214</v>
      </c>
      <c r="I164" s="4" t="str">
        <f>VLOOKUP($A164,能源品种参考表!$A:$E,5,FALSE)</f>
        <v>hydrogen</v>
      </c>
      <c r="J164">
        <f>D164*VLOOKUP($A164,能源品种参考表!$A:$I,6,FALSE)*VLOOKUP($A164,能源品种参考表!$A:$I,8,FALSE)</f>
        <v>2393520.3549650949</v>
      </c>
    </row>
    <row r="165" spans="1:10" x14ac:dyDescent="0.15">
      <c r="A165">
        <f>VLOOKUP(B165,能源品种参考表!B:I,8,FALSE)</f>
        <v>28041000</v>
      </c>
      <c r="B165" t="s">
        <v>226</v>
      </c>
      <c r="C165">
        <v>2019</v>
      </c>
      <c r="D165">
        <v>5363</v>
      </c>
      <c r="E165" t="s">
        <v>67</v>
      </c>
      <c r="F165">
        <v>26557</v>
      </c>
      <c r="G165" t="s">
        <v>237</v>
      </c>
      <c r="H165">
        <v>6281909</v>
      </c>
      <c r="I165" s="4" t="str">
        <f>VLOOKUP($A165,能源品种参考表!$A:$E,5,FALSE)</f>
        <v>hydrogen</v>
      </c>
      <c r="J165">
        <f>D165*VLOOKUP($A165,能源品种参考表!$A:$I,6,FALSE)*VLOOKUP($A165,能源品种参考表!$A:$I,8,FALSE)</f>
        <v>4925728.9576660804</v>
      </c>
    </row>
    <row r="166" spans="1:10" x14ac:dyDescent="0.15">
      <c r="A166">
        <f>VLOOKUP(B166,能源品种参考表!B:I,8,FALSE)</f>
        <v>28041000</v>
      </c>
      <c r="B166" t="s">
        <v>226</v>
      </c>
      <c r="C166">
        <v>2020</v>
      </c>
      <c r="D166">
        <v>8560</v>
      </c>
      <c r="E166" t="s">
        <v>67</v>
      </c>
      <c r="F166">
        <v>21982</v>
      </c>
      <c r="G166" t="s">
        <v>237</v>
      </c>
      <c r="H166">
        <v>10026719</v>
      </c>
      <c r="I166" s="4" t="str">
        <f>VLOOKUP($A166,能源品种参考表!$A:$E,5,FALSE)</f>
        <v>hydrogen</v>
      </c>
      <c r="J166">
        <f>D166*VLOOKUP($A166,能源品种参考表!$A:$I,6,FALSE)*VLOOKUP($A166,能源品种参考表!$A:$I,8,FALSE)</f>
        <v>7862062.2557564136</v>
      </c>
    </row>
    <row r="167" spans="1:10" x14ac:dyDescent="0.15">
      <c r="A167">
        <f>VLOOKUP(B167,能源品种参考表!B:I,8,FALSE)</f>
        <v>28041000</v>
      </c>
      <c r="B167" t="s">
        <v>226</v>
      </c>
      <c r="C167">
        <v>2021</v>
      </c>
      <c r="D167">
        <v>5154</v>
      </c>
      <c r="E167" t="s">
        <v>67</v>
      </c>
      <c r="F167">
        <v>45974</v>
      </c>
      <c r="G167" t="s">
        <v>237</v>
      </c>
      <c r="H167">
        <v>4425370</v>
      </c>
      <c r="I167" s="4" t="str">
        <f>VLOOKUP($A167,能源品种参考表!$A:$E,5,FALSE)</f>
        <v>hydrogen</v>
      </c>
      <c r="J167">
        <f>D167*VLOOKUP($A167,能源品种参考表!$A:$I,6,FALSE)*VLOOKUP($A167,能源品种参考表!$A:$I,8,FALSE)</f>
        <v>4733769.7273561396</v>
      </c>
    </row>
    <row r="168" spans="1:10" x14ac:dyDescent="0.15">
      <c r="A168">
        <f>VLOOKUP(B168,能源品种参考表!B:I,8,FALSE)</f>
        <v>28041000</v>
      </c>
      <c r="B168" t="s">
        <v>226</v>
      </c>
      <c r="C168">
        <v>2022</v>
      </c>
      <c r="D168">
        <v>6135</v>
      </c>
      <c r="E168" t="s">
        <v>67</v>
      </c>
      <c r="F168">
        <v>48326</v>
      </c>
      <c r="G168" t="s">
        <v>237</v>
      </c>
      <c r="H168">
        <v>6530910</v>
      </c>
      <c r="I168" s="4" t="str">
        <f>VLOOKUP($A168,能源品种参考表!$A:$E,5,FALSE)</f>
        <v>hydrogen</v>
      </c>
      <c r="J168">
        <f>D168*VLOOKUP($A168,能源品种参考表!$A:$I,6,FALSE)*VLOOKUP($A168,能源品种参考表!$A:$I,8,FALSE)</f>
        <v>5634784.1050310275</v>
      </c>
    </row>
    <row r="169" spans="1:10" x14ac:dyDescent="0.15">
      <c r="A169">
        <v>28441000</v>
      </c>
      <c r="B169" t="s">
        <v>225</v>
      </c>
      <c r="C169">
        <v>2021</v>
      </c>
      <c r="D169">
        <v>2305</v>
      </c>
      <c r="E169" t="s">
        <v>232</v>
      </c>
      <c r="F169">
        <v>6</v>
      </c>
      <c r="G169" t="s">
        <v>233</v>
      </c>
      <c r="H169">
        <v>1229</v>
      </c>
      <c r="I169" s="4" t="e">
        <f>VLOOKUP($A169,能源品种参考表!$A:$E,5,FALSE)</f>
        <v>#N/A</v>
      </c>
      <c r="J169" t="e">
        <f>D169*VLOOKUP($A169,能源品种参考表!$A:$I,6,FALSE)*VLOOKUP($A169,能源品种参考表!$A:$I,8,FALSE)</f>
        <v>#N/A</v>
      </c>
    </row>
    <row r="170" spans="1:10" x14ac:dyDescent="0.15">
      <c r="A170">
        <f>VLOOKUP(B170,能源品种参考表!B:I,8,FALSE)</f>
        <v>28442000</v>
      </c>
      <c r="B170" t="s">
        <v>224</v>
      </c>
      <c r="C170">
        <v>2017</v>
      </c>
      <c r="D170">
        <v>8846900</v>
      </c>
      <c r="E170" t="s">
        <v>232</v>
      </c>
      <c r="F170">
        <v>647000</v>
      </c>
      <c r="G170" t="s">
        <v>233</v>
      </c>
      <c r="H170">
        <v>41027537</v>
      </c>
      <c r="I170" s="4" t="str">
        <f>VLOOKUP($A170,能源品种参考表!$A:$E,5,FALSE)</f>
        <v>nuclear</v>
      </c>
      <c r="J170">
        <f>D170*VLOOKUP($A170,能源品种参考表!$A:$I,6,FALSE)*VLOOKUP($A170,能源品种参考表!$A:$I,8,FALSE)</f>
        <v>34853467682064.719</v>
      </c>
    </row>
    <row r="171" spans="1:10" x14ac:dyDescent="0.15">
      <c r="A171">
        <f>VLOOKUP(B171,能源品种参考表!B:I,8,FALSE)</f>
        <v>28442000</v>
      </c>
      <c r="B171" t="s">
        <v>224</v>
      </c>
      <c r="C171">
        <v>2018</v>
      </c>
      <c r="D171">
        <v>315079508</v>
      </c>
      <c r="E171" t="s">
        <v>232</v>
      </c>
      <c r="F171">
        <v>13025010</v>
      </c>
      <c r="G171" t="s">
        <v>233</v>
      </c>
      <c r="H171">
        <v>1785161775</v>
      </c>
      <c r="I171" s="4" t="str">
        <f>VLOOKUP($A171,能源品种参考表!$A:$E,5,FALSE)</f>
        <v>nuclear</v>
      </c>
      <c r="J171">
        <f>D171*VLOOKUP($A171,能源品种参考表!$A:$I,6,FALSE)*VLOOKUP($A171,能源品种参考表!$A:$I,8,FALSE)</f>
        <v>1241295080690281.5</v>
      </c>
    </row>
    <row r="172" spans="1:10" x14ac:dyDescent="0.15">
      <c r="A172">
        <f>VLOOKUP(B172,能源品种参考表!B:I,8,FALSE)</f>
        <v>28442000</v>
      </c>
      <c r="B172" t="s">
        <v>224</v>
      </c>
      <c r="C172">
        <v>2019</v>
      </c>
      <c r="D172">
        <v>132650775</v>
      </c>
      <c r="E172" t="s">
        <v>232</v>
      </c>
      <c r="F172">
        <v>9738842</v>
      </c>
      <c r="G172" t="s">
        <v>233</v>
      </c>
      <c r="H172">
        <v>791706424</v>
      </c>
      <c r="I172" s="4" t="str">
        <f>VLOOKUP($A172,能源品种参考表!$A:$E,5,FALSE)</f>
        <v>nuclear</v>
      </c>
      <c r="J172">
        <f>D172*VLOOKUP($A172,能源品种参考表!$A:$I,6,FALSE)*VLOOKUP($A172,能源品种参考表!$A:$I,8,FALSE)</f>
        <v>522594298507198.94</v>
      </c>
    </row>
    <row r="173" spans="1:10" x14ac:dyDescent="0.15">
      <c r="A173">
        <f>VLOOKUP(B173,能源品种参考表!B:I,8,FALSE)</f>
        <v>28442000</v>
      </c>
      <c r="B173" t="s">
        <v>224</v>
      </c>
      <c r="C173">
        <v>2020</v>
      </c>
      <c r="D173">
        <v>219621322</v>
      </c>
      <c r="E173" t="s">
        <v>232</v>
      </c>
      <c r="F173">
        <v>10310260</v>
      </c>
      <c r="G173" t="s">
        <v>233</v>
      </c>
      <c r="H173">
        <v>1220470583</v>
      </c>
      <c r="I173" s="4" t="str">
        <f>VLOOKUP($A173,能源品种参考表!$A:$E,5,FALSE)</f>
        <v>nuclear</v>
      </c>
      <c r="J173">
        <f>D173*VLOOKUP($A173,能源品种参考表!$A:$I,6,FALSE)*VLOOKUP($A173,能源品种参考表!$A:$I,8,FALSE)</f>
        <v>865225632551439.38</v>
      </c>
    </row>
    <row r="174" spans="1:10" x14ac:dyDescent="0.15">
      <c r="A174">
        <f>VLOOKUP(B174,能源品种参考表!B:I,8,FALSE)</f>
        <v>28442000</v>
      </c>
      <c r="B174" t="s">
        <v>224</v>
      </c>
      <c r="C174">
        <v>2021</v>
      </c>
      <c r="D174">
        <v>94874081</v>
      </c>
      <c r="E174" t="s">
        <v>232</v>
      </c>
      <c r="F174">
        <v>6488301</v>
      </c>
      <c r="G174" t="s">
        <v>233</v>
      </c>
      <c r="H174">
        <v>418717278</v>
      </c>
      <c r="I174" s="4" t="str">
        <f>VLOOKUP($A174,能源品种参考表!$A:$E,5,FALSE)</f>
        <v>nuclear</v>
      </c>
      <c r="J174">
        <f>D174*VLOOKUP($A174,能源品种参考表!$A:$I,6,FALSE)*VLOOKUP($A174,能源品种参考表!$A:$I,8,FALSE)</f>
        <v>373768293526443.19</v>
      </c>
    </row>
    <row r="175" spans="1:10" x14ac:dyDescent="0.15">
      <c r="A175">
        <v>28442000</v>
      </c>
      <c r="B175" t="s">
        <v>236</v>
      </c>
      <c r="C175">
        <v>2022</v>
      </c>
      <c r="D175">
        <v>96556075</v>
      </c>
      <c r="E175" t="s">
        <v>232</v>
      </c>
      <c r="F175">
        <v>7084000</v>
      </c>
      <c r="G175" t="s">
        <v>233</v>
      </c>
      <c r="H175">
        <v>428391397</v>
      </c>
      <c r="I175" s="4" t="str">
        <f>VLOOKUP($A175,能源品种参考表!$A:$E,5,FALSE)</f>
        <v>nuclear</v>
      </c>
      <c r="J175">
        <f>D175*VLOOKUP($A175,能源品种参考表!$A:$I,6,FALSE)*VLOOKUP($A175,能源品种参考表!$A:$I,8,FALSE)</f>
        <v>380394718999821.06</v>
      </c>
    </row>
    <row r="176" spans="1:10" x14ac:dyDescent="0.15">
      <c r="A176">
        <v>28443000</v>
      </c>
      <c r="B176" t="s">
        <v>231</v>
      </c>
      <c r="C176">
        <v>2018</v>
      </c>
      <c r="D176">
        <v>2</v>
      </c>
      <c r="E176" t="s">
        <v>232</v>
      </c>
      <c r="F176">
        <v>0</v>
      </c>
      <c r="G176" t="s">
        <v>233</v>
      </c>
      <c r="H176">
        <v>42172</v>
      </c>
      <c r="I176" s="4" t="e">
        <f>VLOOKUP($A176,能源品种参考表!$A:$E,5,FALSE)</f>
        <v>#N/A</v>
      </c>
      <c r="J176" t="e">
        <f>D176*VLOOKUP($A176,能源品种参考表!$A:$I,6,FALSE)*VLOOKUP($A176,能源品种参考表!$A:$I,8,FALSE)</f>
        <v>#N/A</v>
      </c>
    </row>
    <row r="177" spans="1:10" x14ac:dyDescent="0.15">
      <c r="A177">
        <v>28443000</v>
      </c>
      <c r="B177" t="s">
        <v>231</v>
      </c>
      <c r="C177">
        <v>2019</v>
      </c>
      <c r="D177">
        <v>30</v>
      </c>
      <c r="E177" t="s">
        <v>232</v>
      </c>
      <c r="F177">
        <v>0</v>
      </c>
      <c r="G177" t="s">
        <v>233</v>
      </c>
      <c r="H177">
        <v>115518</v>
      </c>
      <c r="I177" s="4" t="e">
        <f>VLOOKUP($A177,能源品种参考表!$A:$E,5,FALSE)</f>
        <v>#N/A</v>
      </c>
      <c r="J177" t="e">
        <f>D177*VLOOKUP($A177,能源品种参考表!$A:$I,6,FALSE)*VLOOKUP($A177,能源品种参考表!$A:$I,8,FALSE)</f>
        <v>#N/A</v>
      </c>
    </row>
    <row r="178" spans="1:10" x14ac:dyDescent="0.15">
      <c r="A178">
        <v>28443000</v>
      </c>
      <c r="B178" t="s">
        <v>231</v>
      </c>
      <c r="C178">
        <v>2020</v>
      </c>
      <c r="D178">
        <v>100</v>
      </c>
      <c r="E178" t="s">
        <v>232</v>
      </c>
      <c r="F178">
        <v>0</v>
      </c>
      <c r="G178" t="s">
        <v>233</v>
      </c>
      <c r="H178">
        <v>17918</v>
      </c>
      <c r="I178" s="4" t="e">
        <f>VLOOKUP($A178,能源品种参考表!$A:$E,5,FALSE)</f>
        <v>#N/A</v>
      </c>
      <c r="J178" t="e">
        <f>D178*VLOOKUP($A178,能源品种参考表!$A:$I,6,FALSE)*VLOOKUP($A178,能源品种参考表!$A:$I,8,FALSE)</f>
        <v>#N/A</v>
      </c>
    </row>
    <row r="179" spans="1:10" x14ac:dyDescent="0.15">
      <c r="A179">
        <v>28443000</v>
      </c>
      <c r="B179" t="s">
        <v>235</v>
      </c>
      <c r="C179">
        <v>2022</v>
      </c>
      <c r="D179">
        <v>5</v>
      </c>
      <c r="E179" t="s">
        <v>232</v>
      </c>
      <c r="F179">
        <v>0</v>
      </c>
      <c r="G179" t="s">
        <v>233</v>
      </c>
      <c r="H179">
        <v>223825</v>
      </c>
      <c r="I179" s="4" t="e">
        <f>VLOOKUP($A179,能源品种参考表!$A:$E,5,FALSE)</f>
        <v>#N/A</v>
      </c>
      <c r="J179" t="e">
        <f>D179*VLOOKUP($A179,能源品种参考表!$A:$I,6,FALSE)*VLOOKUP($A179,能源品种参考表!$A:$I,8,FALSE)</f>
        <v>#N/A</v>
      </c>
    </row>
    <row r="180" spans="1:10" x14ac:dyDescent="0.15">
      <c r="A180">
        <f>VLOOKUP(B180,能源品种参考表!B:I,8,FALSE)</f>
        <v>38260000</v>
      </c>
      <c r="B180" t="s">
        <v>41</v>
      </c>
      <c r="C180">
        <v>2019</v>
      </c>
      <c r="D180">
        <v>662151272</v>
      </c>
      <c r="E180" t="s">
        <v>67</v>
      </c>
      <c r="F180">
        <v>754206474</v>
      </c>
      <c r="G180" t="s">
        <v>70</v>
      </c>
      <c r="H180" s="4">
        <v>4092349433</v>
      </c>
      <c r="I180" s="4" t="str">
        <f>VLOOKUP($A180,能源品种参考表!$A:$E,5,FALSE)</f>
        <v>biofuel diesel</v>
      </c>
      <c r="J180">
        <f>D180*VLOOKUP($A180,能源品种参考表!$A:$I,6,FALSE)*VLOOKUP($A180,能源品种参考表!$A:$I,8,FALSE)</f>
        <v>24430807710477.797</v>
      </c>
    </row>
    <row r="181" spans="1:10" x14ac:dyDescent="0.15">
      <c r="A181">
        <f>VLOOKUP(B181,能源品种参考表!B:I,8,FALSE)</f>
        <v>38260000</v>
      </c>
      <c r="B181" t="s">
        <v>41</v>
      </c>
      <c r="C181">
        <v>2020</v>
      </c>
      <c r="D181">
        <v>911340562</v>
      </c>
      <c r="E181" t="s">
        <v>67</v>
      </c>
      <c r="F181">
        <v>1052387163</v>
      </c>
      <c r="G181" t="s">
        <v>70</v>
      </c>
      <c r="H181" s="4">
        <v>6717328630</v>
      </c>
      <c r="I181" s="4" t="str">
        <f>VLOOKUP($A181,能源品种参考表!$A:$E,5,FALSE)</f>
        <v>biofuel diesel</v>
      </c>
      <c r="J181">
        <f>D181*VLOOKUP($A181,能源品种参考表!$A:$I,6,FALSE)*VLOOKUP($A181,能源品种参考表!$A:$I,8,FALSE)</f>
        <v>33624923745492.355</v>
      </c>
    </row>
    <row r="182" spans="1:10" x14ac:dyDescent="0.15">
      <c r="A182">
        <f>VLOOKUP(B182,能源品种参考表!B:I,8,FALSE)</f>
        <v>38260000</v>
      </c>
      <c r="B182" t="s">
        <v>41</v>
      </c>
      <c r="C182">
        <v>2021</v>
      </c>
      <c r="D182">
        <v>1293660412</v>
      </c>
      <c r="E182" t="s">
        <v>67</v>
      </c>
      <c r="F182">
        <v>1474940865</v>
      </c>
      <c r="G182" t="s">
        <v>70</v>
      </c>
      <c r="H182">
        <v>11642593052</v>
      </c>
      <c r="I182" s="4" t="str">
        <f>VLOOKUP($A182,能源品种参考表!$A:$E,5,FALSE)</f>
        <v>biofuel diesel</v>
      </c>
      <c r="J182">
        <f>D182*VLOOKUP($A182,能源品种参考表!$A:$I,6,FALSE)*VLOOKUP($A182,能源品种参考表!$A:$I,8,FALSE)</f>
        <v>47731039876684.68</v>
      </c>
    </row>
    <row r="183" spans="1:10" x14ac:dyDescent="0.15">
      <c r="A183">
        <f>VLOOKUP(B183,能源品种参考表!B:I,8,FALSE)</f>
        <v>38260000</v>
      </c>
      <c r="B183" t="s">
        <v>41</v>
      </c>
      <c r="C183">
        <v>2022</v>
      </c>
      <c r="D183">
        <v>1794772838</v>
      </c>
      <c r="E183" t="s">
        <v>67</v>
      </c>
      <c r="F183">
        <v>2054053243</v>
      </c>
      <c r="G183" t="s">
        <v>70</v>
      </c>
      <c r="H183">
        <v>20066843544</v>
      </c>
      <c r="I183" s="4" t="str">
        <f>VLOOKUP($A183,能源品种参考表!$A:$E,5,FALSE)</f>
        <v>biofuel diesel</v>
      </c>
      <c r="J183">
        <f>D183*VLOOKUP($A183,能源品种参考表!$A:$I,6,FALSE)*VLOOKUP($A183,能源品种参考表!$A:$I,8,FALSE)</f>
        <v>66220140235819.883</v>
      </c>
    </row>
    <row r="184" spans="1:10" x14ac:dyDescent="0.15">
      <c r="A184">
        <f>VLOOKUP(B184,能源品种参考表!B:I,8,FALSE)</f>
        <v>68152000</v>
      </c>
      <c r="B184" t="s">
        <v>32</v>
      </c>
      <c r="C184">
        <v>2019</v>
      </c>
      <c r="D184">
        <v>798249</v>
      </c>
      <c r="E184" t="s">
        <v>67</v>
      </c>
      <c r="F184">
        <v>0</v>
      </c>
      <c r="G184" t="s">
        <v>68</v>
      </c>
      <c r="H184" s="4">
        <v>18136576</v>
      </c>
      <c r="I184" s="4" t="str">
        <f>VLOOKUP($A184,能源品种参考表!$A:$E,5,FALSE)</f>
        <v>hard coal</v>
      </c>
      <c r="J184">
        <f>D184*VLOOKUP($A184,能源品种参考表!$A:$I,6,FALSE)*VLOOKUP($A184,能源品种参考表!$A:$I,8,FALSE)</f>
        <v>8224177544.7242908</v>
      </c>
    </row>
    <row r="185" spans="1:10" x14ac:dyDescent="0.15">
      <c r="A185">
        <f>VLOOKUP(B185,能源品种参考表!B:I,8,FALSE)</f>
        <v>68152000</v>
      </c>
      <c r="B185" t="s">
        <v>32</v>
      </c>
      <c r="C185">
        <v>2020</v>
      </c>
      <c r="D185">
        <v>743524</v>
      </c>
      <c r="E185" t="s">
        <v>67</v>
      </c>
      <c r="F185">
        <v>0</v>
      </c>
      <c r="G185" t="s">
        <v>68</v>
      </c>
      <c r="H185" s="4">
        <v>11840058</v>
      </c>
      <c r="I185" s="4" t="str">
        <f>VLOOKUP($A185,能源品种参考表!$A:$E,5,FALSE)</f>
        <v>hard coal</v>
      </c>
      <c r="J185">
        <f>D185*VLOOKUP($A185,能源品种参考表!$A:$I,6,FALSE)*VLOOKUP($A185,能源品种参考表!$A:$I,8,FALSE)</f>
        <v>7660358340.2717505</v>
      </c>
    </row>
    <row r="186" spans="1:10" x14ac:dyDescent="0.15">
      <c r="A186">
        <f>VLOOKUP(B186,能源品种参考表!B:I,8,FALSE)</f>
        <v>68152000</v>
      </c>
      <c r="B186" t="s">
        <v>32</v>
      </c>
      <c r="C186">
        <v>2021</v>
      </c>
      <c r="D186">
        <v>434249</v>
      </c>
      <c r="E186" t="s">
        <v>67</v>
      </c>
      <c r="F186">
        <v>0</v>
      </c>
      <c r="G186" t="s">
        <v>68</v>
      </c>
      <c r="H186">
        <v>4849566</v>
      </c>
      <c r="I186" s="4" t="str">
        <f>VLOOKUP($A186,能源品种参考表!$A:$E,5,FALSE)</f>
        <v>hard coal</v>
      </c>
      <c r="J186">
        <f>D186*VLOOKUP($A186,能源品种参考表!$A:$I,6,FALSE)*VLOOKUP($A186,能源品种参考表!$A:$I,8,FALSE)</f>
        <v>4473968491.810173</v>
      </c>
    </row>
    <row r="187" spans="1:10" x14ac:dyDescent="0.15">
      <c r="A187">
        <f>VLOOKUP(B187,能源品种参考表!B:I,8,FALSE)</f>
        <v>68152000</v>
      </c>
      <c r="B187" t="s">
        <v>32</v>
      </c>
      <c r="C187">
        <v>2022</v>
      </c>
      <c r="D187">
        <v>1349338</v>
      </c>
      <c r="E187" t="s">
        <v>67</v>
      </c>
      <c r="F187">
        <v>0</v>
      </c>
      <c r="G187" t="s">
        <v>68</v>
      </c>
      <c r="H187">
        <v>318618</v>
      </c>
      <c r="I187" s="4" t="str">
        <f>VLOOKUP($A187,能源品种参考表!$A:$E,5,FALSE)</f>
        <v>hard coal</v>
      </c>
      <c r="J187">
        <f>D187*VLOOKUP($A187,能源品种参考表!$A:$I,6,FALSE)*VLOOKUP($A187,能源品种参考表!$A:$I,8,FALSE)</f>
        <v>13901921931.431402</v>
      </c>
    </row>
  </sheetData>
  <autoFilter ref="A1:J1" xr:uid="{00000000-0001-0000-0200-000000000000}">
    <sortState xmlns:xlrd2="http://schemas.microsoft.com/office/spreadsheetml/2017/richdata2" ref="A2:J187">
      <sortCondition ref="A1"/>
    </sortState>
  </autoFilter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1"/>
  <sheetViews>
    <sheetView topLeftCell="A190" workbookViewId="0">
      <selection activeCell="C164" sqref="C164"/>
    </sheetView>
  </sheetViews>
  <sheetFormatPr defaultColWidth="9" defaultRowHeight="13.5" x14ac:dyDescent="0.15"/>
  <cols>
    <col min="1" max="1" width="11" style="52" customWidth="1"/>
    <col min="2" max="2" width="76.75" style="1" bestFit="1" customWidth="1"/>
    <col min="3" max="3" width="7.25" style="1" bestFit="1" customWidth="1"/>
    <col min="4" max="4" width="12.75" style="1" bestFit="1" customWidth="1"/>
    <col min="5" max="5" width="15" style="1" bestFit="1" customWidth="1"/>
    <col min="6" max="6" width="12.75" style="1" bestFit="1" customWidth="1"/>
    <col min="7" max="7" width="15" style="1" bestFit="1" customWidth="1"/>
    <col min="8" max="8" width="17.25" style="1" bestFit="1" customWidth="1"/>
    <col min="9" max="9" width="16.125" customWidth="1"/>
    <col min="10" max="16384" width="9" style="1"/>
  </cols>
  <sheetData>
    <row r="1" spans="1:10" customFormat="1" x14ac:dyDescent="0.15">
      <c r="A1" s="51" t="s">
        <v>124</v>
      </c>
      <c r="B1" t="s">
        <v>61</v>
      </c>
      <c r="C1" s="5" t="s">
        <v>125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s="5" t="s">
        <v>228</v>
      </c>
      <c r="J1" s="5" t="s">
        <v>223</v>
      </c>
    </row>
    <row r="2" spans="1:10" x14ac:dyDescent="0.15">
      <c r="A2">
        <v>23069000</v>
      </c>
      <c r="B2" s="1" t="s">
        <v>242</v>
      </c>
      <c r="C2" s="1">
        <v>2017</v>
      </c>
      <c r="D2" s="1">
        <v>8423467</v>
      </c>
      <c r="E2" s="1" t="s">
        <v>67</v>
      </c>
      <c r="F2" s="1">
        <v>0</v>
      </c>
      <c r="G2" s="1" t="s">
        <v>68</v>
      </c>
      <c r="H2" s="1">
        <v>10984314</v>
      </c>
      <c r="I2" s="4" t="e">
        <f>VLOOKUP($A2,能源品种参考表!$A:$E,5,FALSE)</f>
        <v>#N/A</v>
      </c>
      <c r="J2" t="e">
        <f>D2*VLOOKUP($A2,能源品种参考表!$A:$I,6,FALSE)*VLOOKUP($A2,能源品种参考表!$A:$I,8,FALSE)</f>
        <v>#N/A</v>
      </c>
    </row>
    <row r="3" spans="1:10" x14ac:dyDescent="0.15">
      <c r="A3">
        <v>23069000</v>
      </c>
      <c r="B3" s="1" t="s">
        <v>242</v>
      </c>
      <c r="C3" s="1">
        <v>2019</v>
      </c>
      <c r="D3" s="1">
        <v>10663100</v>
      </c>
      <c r="E3" s="1" t="s">
        <v>67</v>
      </c>
      <c r="F3" s="1">
        <v>0</v>
      </c>
      <c r="G3" s="1" t="s">
        <v>68</v>
      </c>
      <c r="H3" s="1">
        <v>14269350</v>
      </c>
      <c r="I3" s="4" t="e">
        <f>VLOOKUP($A3,能源品种参考表!$A:$E,5,FALSE)</f>
        <v>#N/A</v>
      </c>
      <c r="J3" t="e">
        <f>D3*VLOOKUP($A3,能源品种参考表!$A:$I,6,FALSE)*VLOOKUP($A3,能源品种参考表!$A:$I,8,FALSE)</f>
        <v>#N/A</v>
      </c>
    </row>
    <row r="4" spans="1:10" x14ac:dyDescent="0.15">
      <c r="A4">
        <v>23069000</v>
      </c>
      <c r="B4" s="1" t="s">
        <v>242</v>
      </c>
      <c r="C4" s="1">
        <v>2020</v>
      </c>
      <c r="D4" s="1">
        <v>24586002</v>
      </c>
      <c r="E4" s="1" t="s">
        <v>67</v>
      </c>
      <c r="F4" s="1">
        <v>0</v>
      </c>
      <c r="G4" s="1" t="s">
        <v>68</v>
      </c>
      <c r="H4" s="1">
        <v>35924194</v>
      </c>
      <c r="I4" s="4" t="e">
        <f>VLOOKUP($A4,能源品种参考表!$A:$E,5,FALSE)</f>
        <v>#N/A</v>
      </c>
      <c r="J4" t="e">
        <f>D4*VLOOKUP($A4,能源品种参考表!$A:$I,6,FALSE)*VLOOKUP($A4,能源品种参考表!$A:$I,8,FALSE)</f>
        <v>#N/A</v>
      </c>
    </row>
    <row r="5" spans="1:10" x14ac:dyDescent="0.15">
      <c r="A5">
        <v>23069000</v>
      </c>
      <c r="B5" s="1" t="s">
        <v>242</v>
      </c>
      <c r="C5" s="1">
        <v>2021</v>
      </c>
      <c r="D5" s="1">
        <v>290000</v>
      </c>
      <c r="E5" s="1" t="s">
        <v>67</v>
      </c>
      <c r="F5" s="1">
        <v>0</v>
      </c>
      <c r="G5" s="1" t="s">
        <v>68</v>
      </c>
      <c r="H5" s="1">
        <v>281782</v>
      </c>
      <c r="I5" s="4" t="e">
        <f>VLOOKUP($A5,能源品种参考表!$A:$E,5,FALSE)</f>
        <v>#N/A</v>
      </c>
      <c r="J5" t="e">
        <f>D5*VLOOKUP($A5,能源品种参考表!$A:$I,6,FALSE)*VLOOKUP($A5,能源品种参考表!$A:$I,8,FALSE)</f>
        <v>#N/A</v>
      </c>
    </row>
    <row r="6" spans="1:10" x14ac:dyDescent="0.15">
      <c r="A6">
        <v>23069000</v>
      </c>
      <c r="B6" s="1" t="s">
        <v>243</v>
      </c>
      <c r="C6" s="1">
        <v>2022</v>
      </c>
      <c r="D6" s="1">
        <v>38186653</v>
      </c>
      <c r="E6" s="1" t="s">
        <v>67</v>
      </c>
      <c r="F6" s="1">
        <v>0</v>
      </c>
      <c r="G6" s="1" t="s">
        <v>68</v>
      </c>
      <c r="H6" s="1">
        <v>81986145</v>
      </c>
      <c r="I6" s="4" t="e">
        <f>VLOOKUP($A6,能源品种参考表!$A:$E,5,FALSE)</f>
        <v>#N/A</v>
      </c>
      <c r="J6" t="e">
        <f>D6*VLOOKUP($A6,能源品种参考表!$A:$I,6,FALSE)*VLOOKUP($A6,能源品种参考表!$A:$I,8,FALSE)</f>
        <v>#N/A</v>
      </c>
    </row>
    <row r="7" spans="1:10" x14ac:dyDescent="0.15">
      <c r="A7">
        <v>26121000</v>
      </c>
      <c r="B7" s="1" t="s">
        <v>245</v>
      </c>
      <c r="C7" s="1">
        <v>2018</v>
      </c>
      <c r="D7" s="1">
        <v>182</v>
      </c>
      <c r="E7" s="1" t="s">
        <v>67</v>
      </c>
      <c r="F7" s="1">
        <v>0</v>
      </c>
      <c r="G7" s="1" t="s">
        <v>68</v>
      </c>
      <c r="H7" s="1">
        <v>23356</v>
      </c>
      <c r="I7" s="4" t="e">
        <f>VLOOKUP($A7,能源品种参考表!$A:$E,5,FALSE)</f>
        <v>#N/A</v>
      </c>
      <c r="J7" t="e">
        <f>D7*VLOOKUP($A7,能源品种参考表!$A:$I,6,FALSE)*VLOOKUP($A7,能源品种参考表!$A:$I,8,FALSE)</f>
        <v>#N/A</v>
      </c>
    </row>
    <row r="8" spans="1:10" x14ac:dyDescent="0.15">
      <c r="A8">
        <v>26121000</v>
      </c>
      <c r="B8" s="1" t="s">
        <v>245</v>
      </c>
      <c r="C8" s="1">
        <v>2020</v>
      </c>
      <c r="D8" s="1">
        <v>2877</v>
      </c>
      <c r="E8" s="1" t="s">
        <v>67</v>
      </c>
      <c r="F8" s="1">
        <v>0</v>
      </c>
      <c r="G8" s="1" t="s">
        <v>68</v>
      </c>
      <c r="H8" s="1">
        <v>384288</v>
      </c>
      <c r="I8" s="4" t="e">
        <f>VLOOKUP($A8,能源品种参考表!$A:$E,5,FALSE)</f>
        <v>#N/A</v>
      </c>
      <c r="J8" t="e">
        <f>D8*VLOOKUP($A8,能源品种参考表!$A:$I,6,FALSE)*VLOOKUP($A8,能源品种参考表!$A:$I,8,FALSE)</f>
        <v>#N/A</v>
      </c>
    </row>
    <row r="9" spans="1:10" x14ac:dyDescent="0.15">
      <c r="A9">
        <v>26121000</v>
      </c>
      <c r="B9" s="1" t="s">
        <v>245</v>
      </c>
      <c r="C9" s="1">
        <v>2022</v>
      </c>
      <c r="D9" s="1">
        <v>4006</v>
      </c>
      <c r="E9" s="1" t="s">
        <v>67</v>
      </c>
      <c r="F9" s="1">
        <v>0</v>
      </c>
      <c r="G9" s="1" t="s">
        <v>68</v>
      </c>
      <c r="H9" s="1">
        <v>513388</v>
      </c>
      <c r="I9" s="4" t="e">
        <f>VLOOKUP($A9,能源品种参考表!$A:$E,5,FALSE)</f>
        <v>#N/A</v>
      </c>
      <c r="J9" t="e">
        <f>D9*VLOOKUP($A9,能源品种参考表!$A:$I,6,FALSE)*VLOOKUP($A9,能源品种参考表!$A:$I,8,FALSE)</f>
        <v>#N/A</v>
      </c>
    </row>
    <row r="10" spans="1:10" x14ac:dyDescent="0.15">
      <c r="A10">
        <v>26122000</v>
      </c>
      <c r="B10" s="1" t="s">
        <v>244</v>
      </c>
      <c r="C10" s="1">
        <v>2017</v>
      </c>
      <c r="D10" s="1">
        <v>6004235</v>
      </c>
      <c r="E10" s="1" t="s">
        <v>67</v>
      </c>
      <c r="F10" s="1">
        <v>0</v>
      </c>
      <c r="G10" s="1" t="s">
        <v>68</v>
      </c>
      <c r="H10" s="1">
        <v>110772811</v>
      </c>
      <c r="I10" s="4" t="e">
        <f>VLOOKUP($A10,能源品种参考表!$A:$E,5,FALSE)</f>
        <v>#N/A</v>
      </c>
      <c r="J10" t="e">
        <f>D10*VLOOKUP($A10,能源品种参考表!$A:$I,6,FALSE)*VLOOKUP($A10,能源品种参考表!$A:$I,8,FALSE)</f>
        <v>#N/A</v>
      </c>
    </row>
    <row r="11" spans="1:10" x14ac:dyDescent="0.15">
      <c r="A11">
        <v>26122000</v>
      </c>
      <c r="B11" s="1" t="s">
        <v>244</v>
      </c>
      <c r="C11" s="1">
        <v>2018</v>
      </c>
      <c r="D11" s="1">
        <v>13840010</v>
      </c>
      <c r="E11" s="1" t="s">
        <v>67</v>
      </c>
      <c r="F11" s="1">
        <v>0</v>
      </c>
      <c r="G11" s="1" t="s">
        <v>68</v>
      </c>
      <c r="H11" s="1">
        <v>138808868</v>
      </c>
      <c r="I11" s="4" t="e">
        <f>VLOOKUP($A11,能源品种参考表!$A:$E,5,FALSE)</f>
        <v>#N/A</v>
      </c>
      <c r="J11" t="e">
        <f>D11*VLOOKUP($A11,能源品种参考表!$A:$I,6,FALSE)*VLOOKUP($A11,能源品种参考表!$A:$I,8,FALSE)</f>
        <v>#N/A</v>
      </c>
    </row>
    <row r="12" spans="1:10" x14ac:dyDescent="0.15">
      <c r="A12">
        <v>26122000</v>
      </c>
      <c r="B12" s="1" t="s">
        <v>244</v>
      </c>
      <c r="C12" s="1">
        <v>2019</v>
      </c>
      <c r="D12" s="1">
        <v>284732</v>
      </c>
      <c r="E12" s="1" t="s">
        <v>67</v>
      </c>
      <c r="F12" s="1">
        <v>0</v>
      </c>
      <c r="G12" s="1" t="s">
        <v>68</v>
      </c>
      <c r="H12" s="1">
        <v>5589357</v>
      </c>
      <c r="I12" s="4" t="e">
        <f>VLOOKUP($A12,能源品种参考表!$A:$E,5,FALSE)</f>
        <v>#N/A</v>
      </c>
      <c r="J12" t="e">
        <f>D12*VLOOKUP($A12,能源品种参考表!$A:$I,6,FALSE)*VLOOKUP($A12,能源品种参考表!$A:$I,8,FALSE)</f>
        <v>#N/A</v>
      </c>
    </row>
    <row r="13" spans="1:10" x14ac:dyDescent="0.15">
      <c r="A13">
        <v>26122000</v>
      </c>
      <c r="B13" s="1" t="s">
        <v>244</v>
      </c>
      <c r="C13" s="1">
        <v>2020</v>
      </c>
      <c r="D13" s="1">
        <v>34220928</v>
      </c>
      <c r="E13" s="1" t="s">
        <v>67</v>
      </c>
      <c r="F13" s="1">
        <v>0</v>
      </c>
      <c r="G13" s="1" t="s">
        <v>68</v>
      </c>
      <c r="H13" s="1">
        <v>284012858</v>
      </c>
      <c r="I13" s="4" t="e">
        <f>VLOOKUP($A13,能源品种参考表!$A:$E,5,FALSE)</f>
        <v>#N/A</v>
      </c>
      <c r="J13" t="e">
        <f>D13*VLOOKUP($A13,能源品种参考表!$A:$I,6,FALSE)*VLOOKUP($A13,能源品种参考表!$A:$I,8,FALSE)</f>
        <v>#N/A</v>
      </c>
    </row>
    <row r="14" spans="1:10" x14ac:dyDescent="0.15">
      <c r="A14">
        <v>26122000</v>
      </c>
      <c r="B14" s="1" t="s">
        <v>244</v>
      </c>
      <c r="C14" s="1">
        <v>2021</v>
      </c>
      <c r="D14" s="1">
        <v>10966900</v>
      </c>
      <c r="E14" s="1" t="s">
        <v>67</v>
      </c>
      <c r="F14" s="1">
        <v>0</v>
      </c>
      <c r="G14" s="1" t="s">
        <v>68</v>
      </c>
      <c r="H14" s="1">
        <v>70890484</v>
      </c>
      <c r="I14" s="4" t="e">
        <f>VLOOKUP($A14,能源品种参考表!$A:$E,5,FALSE)</f>
        <v>#N/A</v>
      </c>
      <c r="J14" t="e">
        <f>D14*VLOOKUP($A14,能源品种参考表!$A:$I,6,FALSE)*VLOOKUP($A14,能源品种参考表!$A:$I,8,FALSE)</f>
        <v>#N/A</v>
      </c>
    </row>
    <row r="15" spans="1:10" x14ac:dyDescent="0.15">
      <c r="A15">
        <v>26122000</v>
      </c>
      <c r="B15" s="1" t="s">
        <v>244</v>
      </c>
      <c r="C15" s="1">
        <v>2022</v>
      </c>
      <c r="D15" s="1">
        <v>45917202</v>
      </c>
      <c r="E15" s="1" t="s">
        <v>67</v>
      </c>
      <c r="F15" s="1">
        <v>0</v>
      </c>
      <c r="G15" s="1" t="s">
        <v>68</v>
      </c>
      <c r="H15" s="1">
        <v>1439306840</v>
      </c>
      <c r="I15" s="4" t="e">
        <f>VLOOKUP($A15,能源品种参考表!$A:$E,5,FALSE)</f>
        <v>#N/A</v>
      </c>
      <c r="J15" t="e">
        <f>D15*VLOOKUP($A15,能源品种参考表!$A:$I,6,FALSE)*VLOOKUP($A15,能源品种参考表!$A:$I,8,FALSE)</f>
        <v>#N/A</v>
      </c>
    </row>
    <row r="16" spans="1:10" x14ac:dyDescent="0.15">
      <c r="A16">
        <v>27011100</v>
      </c>
      <c r="B16" s="1" t="s">
        <v>35</v>
      </c>
      <c r="C16" s="1">
        <v>2019</v>
      </c>
      <c r="D16" s="1">
        <v>7125555500</v>
      </c>
      <c r="E16" s="1" t="s">
        <v>67</v>
      </c>
      <c r="F16" s="1">
        <v>0</v>
      </c>
      <c r="G16" s="1" t="s">
        <v>68</v>
      </c>
      <c r="H16" s="2">
        <v>5330157430</v>
      </c>
      <c r="I16" s="4" t="str">
        <f>VLOOKUP($A16,能源品种参考表!$A:$E,5,FALSE)</f>
        <v>hard coal</v>
      </c>
      <c r="J16">
        <f>D16*VLOOKUP($A16,能源品种参考表!$A:$I,6,FALSE)*VLOOKUP($A16,能源品种参考表!$A:$I,8,FALSE)</f>
        <v>137127602175752.11</v>
      </c>
    </row>
    <row r="17" spans="1:10" x14ac:dyDescent="0.15">
      <c r="A17">
        <v>27011100</v>
      </c>
      <c r="B17" s="1" t="s">
        <v>35</v>
      </c>
      <c r="C17" s="1">
        <v>2020</v>
      </c>
      <c r="D17" s="1">
        <v>7752640255</v>
      </c>
      <c r="E17" s="1" t="s">
        <v>67</v>
      </c>
      <c r="F17" s="1">
        <v>0</v>
      </c>
      <c r="G17" s="1" t="s">
        <v>68</v>
      </c>
      <c r="H17" s="1">
        <v>4634555682</v>
      </c>
      <c r="I17" s="4" t="str">
        <f>VLOOKUP($A17,能源品种参考表!$A:$E,5,FALSE)</f>
        <v>hard coal</v>
      </c>
      <c r="J17">
        <f>D17*VLOOKUP($A17,能源品种参考表!$A:$I,6,FALSE)*VLOOKUP($A17,能源品种参考表!$A:$I,8,FALSE)</f>
        <v>149195521485919.44</v>
      </c>
    </row>
    <row r="18" spans="1:10" x14ac:dyDescent="0.15">
      <c r="A18">
        <v>27011100</v>
      </c>
      <c r="B18" s="1" t="s">
        <v>35</v>
      </c>
      <c r="C18" s="1">
        <v>2021</v>
      </c>
      <c r="D18" s="1">
        <v>9167248887</v>
      </c>
      <c r="E18" s="1" t="s">
        <v>67</v>
      </c>
      <c r="F18" s="1">
        <v>0</v>
      </c>
      <c r="G18" s="1" t="s">
        <v>68</v>
      </c>
      <c r="H18" s="1">
        <v>8988327084</v>
      </c>
      <c r="I18" s="4" t="str">
        <f>VLOOKUP($A18,能源品种参考表!$A:$E,5,FALSE)</f>
        <v>hard coal</v>
      </c>
      <c r="J18">
        <f>D18*VLOOKUP($A18,能源品种参考表!$A:$I,6,FALSE)*VLOOKUP($A18,能源品种参考表!$A:$I,8,FALSE)</f>
        <v>176418927397680.41</v>
      </c>
    </row>
    <row r="19" spans="1:10" x14ac:dyDescent="0.15">
      <c r="A19">
        <v>27011100</v>
      </c>
      <c r="B19" s="1" t="s">
        <v>35</v>
      </c>
      <c r="C19" s="1">
        <v>2022</v>
      </c>
      <c r="D19" s="1">
        <v>11058910561</v>
      </c>
      <c r="E19" s="1" t="s">
        <v>67</v>
      </c>
      <c r="F19" s="1">
        <v>0</v>
      </c>
      <c r="G19" s="1" t="s">
        <v>68</v>
      </c>
      <c r="H19" s="1">
        <v>15816222100</v>
      </c>
      <c r="I19" s="4" t="str">
        <f>VLOOKUP($A19,能源品种参考表!$A:$E,5,FALSE)</f>
        <v>hard coal</v>
      </c>
      <c r="J19">
        <f>D19*VLOOKUP($A19,能源品种参考表!$A:$I,6,FALSE)*VLOOKUP($A19,能源品种参考表!$A:$I,8,FALSE)</f>
        <v>212822970490656</v>
      </c>
    </row>
    <row r="20" spans="1:10" x14ac:dyDescent="0.15">
      <c r="A20">
        <v>27011210</v>
      </c>
      <c r="B20" s="1" t="s">
        <v>29</v>
      </c>
      <c r="C20" s="1">
        <v>2019</v>
      </c>
      <c r="D20" s="1">
        <v>74490175693</v>
      </c>
      <c r="E20" s="1" t="s">
        <v>67</v>
      </c>
      <c r="F20" s="1">
        <v>0</v>
      </c>
      <c r="G20" s="1" t="s">
        <v>68</v>
      </c>
      <c r="H20" s="2">
        <v>70658712369</v>
      </c>
      <c r="I20" s="4" t="str">
        <f>VLOOKUP($A20,能源品种参考表!$A:$E,5,FALSE)</f>
        <v>hard coal</v>
      </c>
      <c r="J20">
        <f>D20*VLOOKUP($A20,能源品种参考表!$A:$I,6,FALSE)*VLOOKUP($A20,能源品种参考表!$A:$I,8,FALSE)</f>
        <v>1433524611299650.3</v>
      </c>
    </row>
    <row r="21" spans="1:10" x14ac:dyDescent="0.15">
      <c r="A21">
        <v>27011210</v>
      </c>
      <c r="B21" s="1" t="s">
        <v>29</v>
      </c>
      <c r="C21" s="1">
        <v>2020</v>
      </c>
      <c r="D21" s="1">
        <v>72268745842</v>
      </c>
      <c r="E21" s="1" t="s">
        <v>67</v>
      </c>
      <c r="F21" s="1">
        <v>0</v>
      </c>
      <c r="G21" s="1" t="s">
        <v>68</v>
      </c>
      <c r="H21" s="1">
        <v>58939445359</v>
      </c>
      <c r="I21" s="4" t="str">
        <f>VLOOKUP($A21,能源品种参考表!$A:$E,5,FALSE)</f>
        <v>hard coal</v>
      </c>
      <c r="J21">
        <f>D21*VLOOKUP($A21,能源品种参考表!$A:$I,6,FALSE)*VLOOKUP($A21,能源品种参考表!$A:$I,8,FALSE)</f>
        <v>1390774351496148.8</v>
      </c>
    </row>
    <row r="22" spans="1:10" x14ac:dyDescent="0.15">
      <c r="A22">
        <v>27011210</v>
      </c>
      <c r="B22" s="1" t="s">
        <v>29</v>
      </c>
      <c r="C22" s="1">
        <v>2021</v>
      </c>
      <c r="D22" s="1">
        <v>54633731697</v>
      </c>
      <c r="E22" s="1" t="s">
        <v>67</v>
      </c>
      <c r="F22" s="1">
        <v>0</v>
      </c>
      <c r="G22" s="1" t="s">
        <v>68</v>
      </c>
      <c r="H22" s="1">
        <v>72584185197</v>
      </c>
      <c r="I22" s="4" t="str">
        <f>VLOOKUP($A22,能源品种参考表!$A:$E,5,FALSE)</f>
        <v>hard coal</v>
      </c>
      <c r="J22">
        <f>D22*VLOOKUP($A22,能源品种参考表!$A:$I,6,FALSE)*VLOOKUP($A22,能源品种参考表!$A:$I,8,FALSE)</f>
        <v>1051397694611037</v>
      </c>
    </row>
    <row r="23" spans="1:10" x14ac:dyDescent="0.15">
      <c r="A23">
        <v>27011210</v>
      </c>
      <c r="B23" s="1" t="s">
        <v>29</v>
      </c>
      <c r="C23" s="1">
        <v>2022</v>
      </c>
      <c r="D23" s="1">
        <v>63868574865</v>
      </c>
      <c r="E23" s="1" t="s">
        <v>67</v>
      </c>
      <c r="F23" s="1">
        <v>0</v>
      </c>
      <c r="G23" s="1" t="s">
        <v>68</v>
      </c>
      <c r="H23" s="1">
        <v>100824520003</v>
      </c>
      <c r="I23" s="4" t="str">
        <f>VLOOKUP($A23,能源品种参考表!$A:$E,5,FALSE)</f>
        <v>hard coal</v>
      </c>
      <c r="J23">
        <f>D23*VLOOKUP($A23,能源品种参考表!$A:$I,6,FALSE)*VLOOKUP($A23,能源品种参考表!$A:$I,8,FALSE)</f>
        <v>1229117438720386.3</v>
      </c>
    </row>
    <row r="24" spans="1:10" x14ac:dyDescent="0.15">
      <c r="A24">
        <v>27011290</v>
      </c>
      <c r="B24" s="1" t="s">
        <v>34</v>
      </c>
      <c r="C24" s="1">
        <v>2019</v>
      </c>
      <c r="D24" s="1">
        <v>79752271727</v>
      </c>
      <c r="E24" s="1" t="s">
        <v>67</v>
      </c>
      <c r="F24" s="1">
        <v>0</v>
      </c>
      <c r="G24" s="1" t="s">
        <v>68</v>
      </c>
      <c r="H24" s="2">
        <v>39868797110</v>
      </c>
      <c r="I24" s="4" t="str">
        <f>VLOOKUP($A24,能源品种参考表!$A:$E,5,FALSE)</f>
        <v>hard coal</v>
      </c>
      <c r="J24">
        <f>D24*VLOOKUP($A24,能源品种参考表!$A:$I,6,FALSE)*VLOOKUP($A24,能源品种参考表!$A:$I,8,FALSE)</f>
        <v>1479307429741648.3</v>
      </c>
    </row>
    <row r="25" spans="1:10" x14ac:dyDescent="0.15">
      <c r="A25">
        <v>27011290</v>
      </c>
      <c r="B25" s="1" t="s">
        <v>34</v>
      </c>
      <c r="C25" s="1">
        <v>2020</v>
      </c>
      <c r="D25" s="1">
        <v>87149827500</v>
      </c>
      <c r="E25" s="1" t="s">
        <v>67</v>
      </c>
      <c r="F25" s="1">
        <v>0</v>
      </c>
      <c r="G25" s="1" t="s">
        <v>68</v>
      </c>
      <c r="H25" s="1">
        <v>37996522768</v>
      </c>
      <c r="I25" s="4" t="str">
        <f>VLOOKUP($A25,能源品种参考表!$A:$E,5,FALSE)</f>
        <v>hard coal</v>
      </c>
      <c r="J25">
        <f>D25*VLOOKUP($A25,能源品种参考表!$A:$I,6,FALSE)*VLOOKUP($A25,能源品种参考表!$A:$I,8,FALSE)</f>
        <v>1616523072380481.3</v>
      </c>
    </row>
    <row r="26" spans="1:10" x14ac:dyDescent="0.15">
      <c r="A26">
        <v>27011290</v>
      </c>
      <c r="B26" s="1" t="s">
        <v>34</v>
      </c>
      <c r="C26" s="1">
        <v>2021</v>
      </c>
      <c r="D26" s="1">
        <v>82234854810</v>
      </c>
      <c r="E26" s="1" t="s">
        <v>67</v>
      </c>
      <c r="F26" s="1">
        <v>0</v>
      </c>
      <c r="G26" s="1" t="s">
        <v>68</v>
      </c>
      <c r="H26" s="1">
        <v>55234675701</v>
      </c>
      <c r="I26" s="4" t="str">
        <f>VLOOKUP($A26,能源品种参考表!$A:$E,5,FALSE)</f>
        <v>hard coal</v>
      </c>
      <c r="J26">
        <f>D26*VLOOKUP($A26,能源品种参考表!$A:$I,6,FALSE)*VLOOKUP($A26,能源品种参考表!$A:$I,8,FALSE)</f>
        <v>1525356319887425.8</v>
      </c>
    </row>
    <row r="27" spans="1:10" x14ac:dyDescent="0.15">
      <c r="A27">
        <v>27011290</v>
      </c>
      <c r="B27" s="1" t="s">
        <v>34</v>
      </c>
      <c r="C27" s="1">
        <v>2022</v>
      </c>
      <c r="D27" s="1">
        <v>51046746850</v>
      </c>
      <c r="E27" s="1" t="s">
        <v>67</v>
      </c>
      <c r="F27" s="1">
        <v>0</v>
      </c>
      <c r="G27" s="1" t="s">
        <v>68</v>
      </c>
      <c r="H27" s="1">
        <v>54285052466</v>
      </c>
      <c r="I27" s="4" t="str">
        <f>VLOOKUP($A27,能源品种参考表!$A:$E,5,FALSE)</f>
        <v>hard coal</v>
      </c>
      <c r="J27">
        <f>D27*VLOOKUP($A27,能源品种参考表!$A:$I,6,FALSE)*VLOOKUP($A27,能源品种参考表!$A:$I,8,FALSE)</f>
        <v>946854932707590.88</v>
      </c>
    </row>
    <row r="28" spans="1:10" x14ac:dyDescent="0.15">
      <c r="A28">
        <v>27011900</v>
      </c>
      <c r="B28" s="1" t="s">
        <v>33</v>
      </c>
      <c r="C28" s="1">
        <v>2019</v>
      </c>
      <c r="D28" s="1">
        <v>35686011795</v>
      </c>
      <c r="E28" s="1" t="s">
        <v>67</v>
      </c>
      <c r="F28" s="1">
        <v>0</v>
      </c>
      <c r="G28" s="1" t="s">
        <v>68</v>
      </c>
      <c r="H28" s="2">
        <v>14127487641</v>
      </c>
      <c r="I28" s="4" t="str">
        <f>VLOOKUP($A28,能源品种参考表!$A:$E,5,FALSE)</f>
        <v>hard coal</v>
      </c>
      <c r="J28">
        <f>D28*VLOOKUP($A28,能源品种参考表!$A:$I,6,FALSE)*VLOOKUP($A28,能源品种参考表!$A:$I,8,FALSE)</f>
        <v>707188282601210.25</v>
      </c>
    </row>
    <row r="29" spans="1:10" x14ac:dyDescent="0.15">
      <c r="A29">
        <v>27011900</v>
      </c>
      <c r="B29" s="1" t="s">
        <v>33</v>
      </c>
      <c r="C29" s="1">
        <v>2020</v>
      </c>
      <c r="D29" s="1">
        <v>37203489372</v>
      </c>
      <c r="E29" s="1" t="s">
        <v>67</v>
      </c>
      <c r="F29" s="1">
        <v>0</v>
      </c>
      <c r="G29" s="1" t="s">
        <v>68</v>
      </c>
      <c r="H29" s="1">
        <v>12932715793</v>
      </c>
      <c r="I29" s="4" t="str">
        <f>VLOOKUP($A29,能源品种参考表!$A:$E,5,FALSE)</f>
        <v>hard coal</v>
      </c>
      <c r="J29">
        <f>D29*VLOOKUP($A29,能源品种参考表!$A:$I,6,FALSE)*VLOOKUP($A29,能源品种参考表!$A:$I,8,FALSE)</f>
        <v>737260075653602.5</v>
      </c>
    </row>
    <row r="30" spans="1:10" x14ac:dyDescent="0.15">
      <c r="A30">
        <v>27011900</v>
      </c>
      <c r="B30" s="1" t="s">
        <v>33</v>
      </c>
      <c r="C30" s="1">
        <v>2021</v>
      </c>
      <c r="D30" s="1">
        <v>58000916562</v>
      </c>
      <c r="E30" s="1" t="s">
        <v>67</v>
      </c>
      <c r="F30" s="1">
        <v>0</v>
      </c>
      <c r="G30" s="1" t="s">
        <v>68</v>
      </c>
      <c r="H30" s="1">
        <v>38617663084</v>
      </c>
      <c r="I30" s="4" t="str">
        <f>VLOOKUP($A30,能源品种参考表!$A:$E,5,FALSE)</f>
        <v>hard coal</v>
      </c>
      <c r="J30">
        <f>D30*VLOOKUP($A30,能源品种参考表!$A:$I,6,FALSE)*VLOOKUP($A30,能源品种参考表!$A:$I,8,FALSE)</f>
        <v>1149401866714729.8</v>
      </c>
    </row>
    <row r="31" spans="1:10" x14ac:dyDescent="0.15">
      <c r="A31">
        <v>27011900</v>
      </c>
      <c r="B31" s="1" t="s">
        <v>33</v>
      </c>
      <c r="C31" s="1">
        <v>2022</v>
      </c>
      <c r="D31" s="1">
        <v>36765203190</v>
      </c>
      <c r="E31" s="1" t="s">
        <v>67</v>
      </c>
      <c r="F31" s="1">
        <v>0</v>
      </c>
      <c r="G31" s="1" t="s">
        <v>68</v>
      </c>
      <c r="H31" s="1">
        <v>31947086491</v>
      </c>
      <c r="I31" s="4" t="str">
        <f>VLOOKUP($A31,能源品种参考表!$A:$E,5,FALSE)</f>
        <v>hard coal</v>
      </c>
      <c r="J31">
        <f>D31*VLOOKUP($A31,能源品种参考表!$A:$I,6,FALSE)*VLOOKUP($A31,能源品种参考表!$A:$I,8,FALSE)</f>
        <v>728574575740724.88</v>
      </c>
    </row>
    <row r="32" spans="1:10" x14ac:dyDescent="0.15">
      <c r="A32">
        <v>27012000</v>
      </c>
      <c r="B32" s="1" t="s">
        <v>30</v>
      </c>
      <c r="C32" s="1">
        <v>2019</v>
      </c>
      <c r="D32" s="1">
        <v>52</v>
      </c>
      <c r="E32" s="1" t="s">
        <v>67</v>
      </c>
      <c r="F32" s="1">
        <v>0</v>
      </c>
      <c r="G32" s="1" t="s">
        <v>68</v>
      </c>
      <c r="H32" s="1">
        <v>348</v>
      </c>
      <c r="I32" s="4" t="str">
        <f>VLOOKUP($A32,能源品种参考表!$A:$E,5,FALSE)</f>
        <v>hard coal</v>
      </c>
      <c r="J32">
        <f>D32*VLOOKUP($A32,能源品种参考表!$A:$I,6,FALSE)*VLOOKUP($A32,能源品种参考表!$A:$I,8,FALSE)</f>
        <v>762609.86562938825</v>
      </c>
    </row>
    <row r="33" spans="1:10" x14ac:dyDescent="0.15">
      <c r="A33">
        <v>27012000</v>
      </c>
      <c r="B33" s="1" t="s">
        <v>30</v>
      </c>
      <c r="C33" s="1">
        <v>2020</v>
      </c>
      <c r="D33" s="1">
        <v>380</v>
      </c>
      <c r="E33" s="1" t="s">
        <v>67</v>
      </c>
      <c r="F33" s="1">
        <v>0</v>
      </c>
      <c r="G33" s="1" t="s">
        <v>68</v>
      </c>
      <c r="H33" s="1">
        <v>19434</v>
      </c>
      <c r="I33" s="4" t="str">
        <f>VLOOKUP($A33,能源品种参考表!$A:$E,5,FALSE)</f>
        <v>hard coal</v>
      </c>
      <c r="J33">
        <f>D33*VLOOKUP($A33,能源品种参考表!$A:$I,6,FALSE)*VLOOKUP($A33,能源品种参考表!$A:$I,8,FALSE)</f>
        <v>5572918.2488301443</v>
      </c>
    </row>
    <row r="34" spans="1:10" x14ac:dyDescent="0.15">
      <c r="A34">
        <v>27012000</v>
      </c>
      <c r="B34" s="1" t="s">
        <v>30</v>
      </c>
      <c r="C34" s="1">
        <v>2021</v>
      </c>
      <c r="D34" s="1">
        <v>62</v>
      </c>
      <c r="E34" s="1" t="s">
        <v>67</v>
      </c>
      <c r="F34" s="1">
        <v>0</v>
      </c>
      <c r="G34" s="1" t="s">
        <v>68</v>
      </c>
      <c r="H34" s="1">
        <v>6962</v>
      </c>
      <c r="I34" s="4" t="str">
        <f>VLOOKUP($A34,能源品种参考表!$A:$E,5,FALSE)</f>
        <v>hard coal</v>
      </c>
      <c r="J34">
        <f>D34*VLOOKUP($A34,能源品种参考表!$A:$I,6,FALSE)*VLOOKUP($A34,能源品种参考表!$A:$I,8,FALSE)</f>
        <v>909265.60901965527</v>
      </c>
    </row>
    <row r="35" spans="1:10" x14ac:dyDescent="0.15">
      <c r="A35">
        <v>27021000</v>
      </c>
      <c r="B35" s="1" t="s">
        <v>28</v>
      </c>
      <c r="C35" s="1">
        <v>2019</v>
      </c>
      <c r="D35" s="1">
        <v>102470525818</v>
      </c>
      <c r="E35" s="1" t="s">
        <v>67</v>
      </c>
      <c r="F35" s="1">
        <v>0</v>
      </c>
      <c r="G35" s="1" t="s">
        <v>68</v>
      </c>
      <c r="H35" s="2">
        <v>30522980123</v>
      </c>
      <c r="I35" s="4" t="str">
        <f>VLOOKUP($A35,能源品种参考表!$A:$E,5,FALSE)</f>
        <v>hard coal</v>
      </c>
      <c r="J35">
        <f>D35*VLOOKUP($A35,能源品种参考表!$A:$I,6,FALSE)*VLOOKUP($A35,能源品种参考表!$A:$I,8,FALSE)</f>
        <v>1367496330661016.5</v>
      </c>
    </row>
    <row r="36" spans="1:10" x14ac:dyDescent="0.15">
      <c r="A36">
        <v>27021000</v>
      </c>
      <c r="B36" s="1" t="s">
        <v>28</v>
      </c>
      <c r="C36" s="1">
        <v>2020</v>
      </c>
      <c r="D36" s="1">
        <v>98935897362</v>
      </c>
      <c r="E36" s="1" t="s">
        <v>67</v>
      </c>
      <c r="F36" s="1">
        <v>0</v>
      </c>
      <c r="G36" s="1" t="s">
        <v>68</v>
      </c>
      <c r="H36" s="1">
        <v>26864719958</v>
      </c>
      <c r="I36" s="4" t="str">
        <f>VLOOKUP($A36,能源品种参考表!$A:$E,5,FALSE)</f>
        <v>hard coal</v>
      </c>
      <c r="J36">
        <f>D36*VLOOKUP($A36,能源品种参考表!$A:$I,6,FALSE)*VLOOKUP($A36,能源品种参考表!$A:$I,8,FALSE)</f>
        <v>1320325776931107.3</v>
      </c>
    </row>
    <row r="37" spans="1:10" x14ac:dyDescent="0.15">
      <c r="A37">
        <v>27021000</v>
      </c>
      <c r="B37" s="1" t="s">
        <v>28</v>
      </c>
      <c r="C37" s="1">
        <v>2021</v>
      </c>
      <c r="D37" s="1">
        <v>118906593830</v>
      </c>
      <c r="E37" s="1" t="s">
        <v>67</v>
      </c>
      <c r="F37" s="1">
        <v>0</v>
      </c>
      <c r="G37" s="1" t="s">
        <v>68</v>
      </c>
      <c r="H37" s="1">
        <v>58228696840</v>
      </c>
      <c r="I37" s="4" t="str">
        <f>VLOOKUP($A37,能源品种参考表!$A:$E,5,FALSE)</f>
        <v>hard coal</v>
      </c>
      <c r="J37">
        <f>D37*VLOOKUP($A37,能源品种参考表!$A:$I,6,FALSE)*VLOOKUP($A37,能源品种参考表!$A:$I,8,FALSE)</f>
        <v>1586840015271608.5</v>
      </c>
    </row>
    <row r="38" spans="1:10" x14ac:dyDescent="0.15">
      <c r="A38">
        <v>27021000</v>
      </c>
      <c r="B38" s="1" t="s">
        <v>28</v>
      </c>
      <c r="C38" s="1">
        <v>2022</v>
      </c>
      <c r="D38" s="1">
        <v>130464994414</v>
      </c>
      <c r="E38" s="1" t="s">
        <v>67</v>
      </c>
      <c r="F38" s="1">
        <v>0</v>
      </c>
      <c r="G38" s="1" t="s">
        <v>68</v>
      </c>
      <c r="H38" s="1">
        <v>82590341077</v>
      </c>
      <c r="I38" s="4" t="str">
        <f>VLOOKUP($A38,能源品种参考表!$A:$E,5,FALSE)</f>
        <v>hard coal</v>
      </c>
      <c r="J38">
        <f>D38*VLOOKUP($A38,能源品种参考表!$A:$I,6,FALSE)*VLOOKUP($A38,能源品种参考表!$A:$I,8,FALSE)</f>
        <v>1741089935048575.8</v>
      </c>
    </row>
    <row r="39" spans="1:10" x14ac:dyDescent="0.15">
      <c r="A39">
        <v>27022000</v>
      </c>
      <c r="B39" s="1" t="s">
        <v>36</v>
      </c>
      <c r="C39" s="1">
        <v>2019</v>
      </c>
      <c r="D39" s="1">
        <v>0</v>
      </c>
      <c r="E39" s="1" t="s">
        <v>67</v>
      </c>
      <c r="F39" s="1">
        <v>0</v>
      </c>
      <c r="G39" s="1" t="s">
        <v>68</v>
      </c>
      <c r="H39" s="2">
        <v>4338</v>
      </c>
      <c r="I39" s="4" t="str">
        <f>VLOOKUP($A39,能源品种参考表!$A:$E,5,FALSE)</f>
        <v>hard coal</v>
      </c>
      <c r="J39">
        <f>D39*VLOOKUP($A39,能源品种参考表!$A:$I,6,FALSE)*VLOOKUP($A39,能源品种参考表!$A:$I,8,FALSE)</f>
        <v>0</v>
      </c>
    </row>
    <row r="40" spans="1:10" x14ac:dyDescent="0.15">
      <c r="A40">
        <v>27022000</v>
      </c>
      <c r="B40" s="1" t="s">
        <v>36</v>
      </c>
      <c r="C40" s="1">
        <v>2022</v>
      </c>
      <c r="D40" s="1">
        <v>4</v>
      </c>
      <c r="E40" s="1" t="s">
        <v>67</v>
      </c>
      <c r="F40" s="1">
        <v>0</v>
      </c>
      <c r="G40" s="1" t="s">
        <v>68</v>
      </c>
      <c r="H40" s="1">
        <v>213</v>
      </c>
      <c r="I40" s="4" t="str">
        <f>VLOOKUP($A40,能源品种参考表!$A:$E,5,FALSE)</f>
        <v>hard coal</v>
      </c>
      <c r="J40">
        <f>D40*VLOOKUP($A40,能源品种参考表!$A:$I,6,FALSE)*VLOOKUP($A40,能源品种参考表!$A:$I,8,FALSE)</f>
        <v>53381.060348606188</v>
      </c>
    </row>
    <row r="41" spans="1:10" x14ac:dyDescent="0.15">
      <c r="A41">
        <v>27030000</v>
      </c>
      <c r="B41" s="1" t="s">
        <v>31</v>
      </c>
      <c r="C41" s="1">
        <v>2019</v>
      </c>
      <c r="D41" s="1">
        <v>244283629</v>
      </c>
      <c r="E41" s="1" t="s">
        <v>67</v>
      </c>
      <c r="F41" s="1">
        <v>0</v>
      </c>
      <c r="G41" s="1" t="s">
        <v>68</v>
      </c>
      <c r="H41" s="2">
        <v>381093509</v>
      </c>
      <c r="I41" s="4" t="str">
        <f>VLOOKUP($A41,能源品种参考表!$A:$E,5,FALSE)</f>
        <v>hard coal</v>
      </c>
      <c r="J41">
        <f>D41*VLOOKUP($A41,能源品种参考表!$A:$I,6,FALSE)*VLOOKUP($A41,能源品种参考表!$A:$I,8,FALSE)</f>
        <v>2516798563061.8511</v>
      </c>
    </row>
    <row r="42" spans="1:10" x14ac:dyDescent="0.15">
      <c r="A42">
        <v>27030000</v>
      </c>
      <c r="B42" s="1" t="s">
        <v>31</v>
      </c>
      <c r="C42" s="1">
        <v>2020</v>
      </c>
      <c r="D42" s="1">
        <v>300314767</v>
      </c>
      <c r="E42" s="1" t="s">
        <v>67</v>
      </c>
      <c r="F42" s="1">
        <v>0</v>
      </c>
      <c r="G42" s="1" t="s">
        <v>68</v>
      </c>
      <c r="H42" s="1">
        <v>452188255</v>
      </c>
      <c r="I42" s="4" t="str">
        <f>VLOOKUP($A42,能源品种参考表!$A:$E,5,FALSE)</f>
        <v>hard coal</v>
      </c>
      <c r="J42">
        <f>D42*VLOOKUP($A42,能源品种参考表!$A:$I,6,FALSE)*VLOOKUP($A42,能源品种参考表!$A:$I,8,FALSE)</f>
        <v>3094074609690.0938</v>
      </c>
    </row>
    <row r="43" spans="1:10" x14ac:dyDescent="0.15">
      <c r="A43">
        <v>27030000</v>
      </c>
      <c r="B43" s="1" t="s">
        <v>31</v>
      </c>
      <c r="C43" s="1">
        <v>2021</v>
      </c>
      <c r="D43" s="1">
        <v>330438594</v>
      </c>
      <c r="E43" s="1" t="s">
        <v>67</v>
      </c>
      <c r="F43" s="1">
        <v>0</v>
      </c>
      <c r="G43" s="1" t="s">
        <v>68</v>
      </c>
      <c r="H43" s="1">
        <v>557758443</v>
      </c>
      <c r="I43" s="4" t="str">
        <f>VLOOKUP($A43,能源品种参考表!$A:$E,5,FALSE)</f>
        <v>hard coal</v>
      </c>
      <c r="J43">
        <f>D43*VLOOKUP($A43,能源品种参考表!$A:$I,6,FALSE)*VLOOKUP($A43,能源品种参考表!$A:$I,8,FALSE)</f>
        <v>3404433534755.5298</v>
      </c>
    </row>
    <row r="44" spans="1:10" x14ac:dyDescent="0.15">
      <c r="A44">
        <v>27030000</v>
      </c>
      <c r="B44" s="1" t="s">
        <v>31</v>
      </c>
      <c r="C44" s="1">
        <v>2022</v>
      </c>
      <c r="D44" s="1">
        <v>505157916</v>
      </c>
      <c r="E44" s="1" t="s">
        <v>67</v>
      </c>
      <c r="F44" s="1">
        <v>0</v>
      </c>
      <c r="G44" s="1" t="s">
        <v>68</v>
      </c>
      <c r="H44" s="1">
        <v>871278861</v>
      </c>
      <c r="I44" s="4" t="str">
        <f>VLOOKUP($A44,能源品种参考表!$A:$E,5,FALSE)</f>
        <v>hard coal</v>
      </c>
      <c r="J44">
        <f>D44*VLOOKUP($A44,能源品种参考表!$A:$I,6,FALSE)*VLOOKUP($A44,能源品种参考表!$A:$I,8,FALSE)</f>
        <v>5204526894874.8076</v>
      </c>
    </row>
    <row r="45" spans="1:10" x14ac:dyDescent="0.15">
      <c r="A45">
        <v>27079990</v>
      </c>
      <c r="B45" s="1" t="s">
        <v>56</v>
      </c>
      <c r="C45" s="1">
        <v>2019</v>
      </c>
      <c r="D45" s="1">
        <v>8632977909</v>
      </c>
      <c r="E45" s="1" t="s">
        <v>67</v>
      </c>
      <c r="F45" s="1">
        <v>0</v>
      </c>
      <c r="G45" s="1" t="s">
        <v>68</v>
      </c>
      <c r="H45" s="2">
        <v>35727676150</v>
      </c>
      <c r="I45" s="4" t="str">
        <f>VLOOKUP($A45,能源品种参考表!$A:$E,5,FALSE)</f>
        <v>petroleum diesel</v>
      </c>
      <c r="J45">
        <f>D45*VLOOKUP($A45,能源品种参考表!$A:$I,6,FALSE)*VLOOKUP($A45,能源品种参考表!$A:$I,8,FALSE)</f>
        <v>273728646677592.47</v>
      </c>
    </row>
    <row r="46" spans="1:10" x14ac:dyDescent="0.15">
      <c r="A46">
        <v>27079990</v>
      </c>
      <c r="B46" s="1" t="s">
        <v>56</v>
      </c>
      <c r="C46" s="1">
        <v>2020</v>
      </c>
      <c r="D46" s="1">
        <v>15730289766</v>
      </c>
      <c r="E46" s="1" t="s">
        <v>67</v>
      </c>
      <c r="F46" s="1">
        <v>0</v>
      </c>
      <c r="G46" s="1" t="s">
        <v>68</v>
      </c>
      <c r="H46" s="1">
        <v>45562084782</v>
      </c>
      <c r="I46" s="4" t="str">
        <f>VLOOKUP($A46,能源品种参考表!$A:$E,5,FALSE)</f>
        <v>petroleum diesel</v>
      </c>
      <c r="J46">
        <f>D46*VLOOKUP($A46,能源品种参考表!$A:$I,6,FALSE)*VLOOKUP($A46,能源品种参考表!$A:$I,8,FALSE)</f>
        <v>498765428903122</v>
      </c>
    </row>
    <row r="47" spans="1:10" x14ac:dyDescent="0.15">
      <c r="A47">
        <v>27079990</v>
      </c>
      <c r="B47" s="1" t="s">
        <v>56</v>
      </c>
      <c r="C47" s="1">
        <v>2021</v>
      </c>
      <c r="D47" s="1">
        <v>10509905369</v>
      </c>
      <c r="E47" s="1" t="s">
        <v>67</v>
      </c>
      <c r="F47" s="1">
        <v>1681024051</v>
      </c>
      <c r="G47" s="1" t="s">
        <v>68</v>
      </c>
      <c r="H47" s="1">
        <v>38389071163</v>
      </c>
      <c r="I47" s="4" t="str">
        <f>VLOOKUP($A47,能源品种参考表!$A:$E,5,FALSE)</f>
        <v>petroleum diesel</v>
      </c>
      <c r="J47">
        <f>D47*VLOOKUP($A47,能源品种参考表!$A:$I,6,FALSE)*VLOOKUP($A47,能源品种参考表!$A:$I,8,FALSE)</f>
        <v>333240997914145.5</v>
      </c>
    </row>
    <row r="48" spans="1:10" x14ac:dyDescent="0.15">
      <c r="A48">
        <v>27079990</v>
      </c>
      <c r="B48" s="1" t="s">
        <v>56</v>
      </c>
      <c r="C48" s="1">
        <v>2022</v>
      </c>
      <c r="D48" s="1">
        <v>537046004</v>
      </c>
      <c r="E48" s="1" t="s">
        <v>67</v>
      </c>
      <c r="F48" s="1">
        <v>742571208</v>
      </c>
      <c r="G48" s="1" t="s">
        <v>70</v>
      </c>
      <c r="H48" s="1">
        <v>3431307572</v>
      </c>
      <c r="I48" s="4" t="str">
        <f>VLOOKUP($A48,能源品种参考表!$A:$E,5,FALSE)</f>
        <v>petroleum diesel</v>
      </c>
      <c r="J48">
        <f>D48*VLOOKUP($A48,能源品种参考表!$A:$I,6,FALSE)*VLOOKUP($A48,能源品种参考表!$A:$I,8,FALSE)</f>
        <v>17028292835693.959</v>
      </c>
    </row>
    <row r="49" spans="1:10" x14ac:dyDescent="0.15">
      <c r="A49">
        <v>27090000</v>
      </c>
      <c r="B49" s="1" t="s">
        <v>227</v>
      </c>
      <c r="C49" s="1">
        <v>2017</v>
      </c>
      <c r="D49" s="1">
        <v>419462000000</v>
      </c>
      <c r="E49" s="1" t="s">
        <v>67</v>
      </c>
      <c r="F49" s="1">
        <v>0</v>
      </c>
      <c r="G49" s="1" t="s">
        <v>68</v>
      </c>
      <c r="H49" s="1">
        <v>1110210349176</v>
      </c>
      <c r="I49" s="4" t="str">
        <f>VLOOKUP($A49,能源品种参考表!$A:$E,5,FALSE)</f>
        <v>crude oil</v>
      </c>
      <c r="J49">
        <f>D49*VLOOKUP($A49,能源品种参考表!$A:$I,6,FALSE)*VLOOKUP($A49,能源品种参考表!$A:$I,8,FALSE)</f>
        <v>1.662492368721523E+16</v>
      </c>
    </row>
    <row r="50" spans="1:10" x14ac:dyDescent="0.15">
      <c r="A50">
        <v>27090000</v>
      </c>
      <c r="B50" s="1" t="s">
        <v>227</v>
      </c>
      <c r="C50" s="1">
        <v>2018</v>
      </c>
      <c r="D50" s="1">
        <v>461885000000</v>
      </c>
      <c r="E50" s="1" t="s">
        <v>67</v>
      </c>
      <c r="F50" s="1">
        <v>0</v>
      </c>
      <c r="G50" s="1" t="s">
        <v>68</v>
      </c>
      <c r="H50" s="1">
        <v>1588962594434</v>
      </c>
      <c r="I50" s="4" t="str">
        <f>VLOOKUP($A50,能源品种参考表!$A:$E,5,FALSE)</f>
        <v>crude oil</v>
      </c>
      <c r="J50">
        <f>D50*VLOOKUP($A50,能源品种参考表!$A:$I,6,FALSE)*VLOOKUP($A50,能源品种参考表!$A:$I,8,FALSE)</f>
        <v>1.830631350937488E+16</v>
      </c>
    </row>
    <row r="51" spans="1:10" x14ac:dyDescent="0.15">
      <c r="A51">
        <v>27090000</v>
      </c>
      <c r="B51" s="1" t="s">
        <v>227</v>
      </c>
      <c r="C51" s="1">
        <v>2019</v>
      </c>
      <c r="D51" s="1">
        <v>42587337023</v>
      </c>
      <c r="E51" s="1" t="s">
        <v>67</v>
      </c>
      <c r="F51" s="1">
        <v>0</v>
      </c>
      <c r="G51" s="1" t="s">
        <v>68</v>
      </c>
      <c r="H51" s="1">
        <v>131967980316</v>
      </c>
      <c r="I51" s="4" t="str">
        <f>VLOOKUP($A51,能源品种参考表!$A:$E,5,FALSE)</f>
        <v>crude oil</v>
      </c>
      <c r="J51">
        <f>D51*VLOOKUP($A51,能源品种参考表!$A:$I,6,FALSE)*VLOOKUP($A51,能源品种参考表!$A:$I,8,FALSE)</f>
        <v>1687903142713978.5</v>
      </c>
    </row>
    <row r="52" spans="1:10" x14ac:dyDescent="0.15">
      <c r="A52">
        <v>27090000</v>
      </c>
      <c r="B52" s="1" t="s">
        <v>227</v>
      </c>
      <c r="C52" s="1">
        <v>2020</v>
      </c>
      <c r="D52" s="1">
        <v>542007000000</v>
      </c>
      <c r="E52" s="1" t="s">
        <v>67</v>
      </c>
      <c r="F52" s="1">
        <v>0</v>
      </c>
      <c r="G52" s="1" t="s">
        <v>68</v>
      </c>
      <c r="H52" s="1">
        <v>1236213195975</v>
      </c>
      <c r="I52" s="4" t="str">
        <f>VLOOKUP($A52,能源品种参考表!$A:$E,5,FALSE)</f>
        <v>crude oil</v>
      </c>
      <c r="J52">
        <f>D52*VLOOKUP($A52,能源品种参考表!$A:$I,6,FALSE)*VLOOKUP($A52,能源品种参考表!$A:$I,8,FALSE)</f>
        <v>2.1481862511828164E+16</v>
      </c>
    </row>
    <row r="53" spans="1:10" x14ac:dyDescent="0.15">
      <c r="A53">
        <v>27090000</v>
      </c>
      <c r="B53" s="1" t="s">
        <v>227</v>
      </c>
      <c r="C53" s="1">
        <v>2021</v>
      </c>
      <c r="D53" s="1">
        <v>44569071563</v>
      </c>
      <c r="E53" s="1" t="s">
        <v>67</v>
      </c>
      <c r="F53" s="1">
        <v>0</v>
      </c>
      <c r="G53" s="1" t="s">
        <v>68</v>
      </c>
      <c r="H53" s="1">
        <v>110554391675</v>
      </c>
      <c r="I53" s="4" t="str">
        <f>VLOOKUP($A53,能源品种参考表!$A:$E,5,FALSE)</f>
        <v>crude oil</v>
      </c>
      <c r="J53">
        <f>D53*VLOOKUP($A53,能源品种参考表!$A:$I,6,FALSE)*VLOOKUP($A53,能源品种参考表!$A:$I,8,FALSE)</f>
        <v>1766447052521824.3</v>
      </c>
    </row>
    <row r="54" spans="1:10" x14ac:dyDescent="0.15">
      <c r="A54">
        <v>27090000</v>
      </c>
      <c r="B54" s="1" t="s">
        <v>227</v>
      </c>
      <c r="C54" s="1">
        <v>2022</v>
      </c>
      <c r="D54" s="1">
        <v>508276000000</v>
      </c>
      <c r="E54" s="1" t="s">
        <v>67</v>
      </c>
      <c r="F54" s="1">
        <v>0</v>
      </c>
      <c r="G54" s="1" t="s">
        <v>68</v>
      </c>
      <c r="H54" s="1">
        <v>2435005878573</v>
      </c>
      <c r="I54" s="4" t="str">
        <f>VLOOKUP($A54,能源品种参考表!$A:$E,5,FALSE)</f>
        <v>crude oil</v>
      </c>
      <c r="J54">
        <f>D54*VLOOKUP($A54,能源品种参考表!$A:$I,6,FALSE)*VLOOKUP($A54,能源品种参考表!$A:$I,8,FALSE)</f>
        <v>2.0144970729274664E+16</v>
      </c>
    </row>
    <row r="55" spans="1:10" x14ac:dyDescent="0.15">
      <c r="A55">
        <v>27101210</v>
      </c>
      <c r="B55" s="1" t="s">
        <v>54</v>
      </c>
      <c r="C55" s="1">
        <v>2019</v>
      </c>
      <c r="D55" s="1">
        <v>333374203</v>
      </c>
      <c r="E55" s="1" t="s">
        <v>67</v>
      </c>
      <c r="F55" s="1">
        <v>462723392</v>
      </c>
      <c r="G55" s="1" t="s">
        <v>70</v>
      </c>
      <c r="H55" s="2">
        <v>1443730497</v>
      </c>
      <c r="I55" s="4" t="str">
        <f>VLOOKUP($A55,能源品种参考表!$A:$E,5,FALSE)</f>
        <v>petroleum gasoline</v>
      </c>
      <c r="J55">
        <f>D55*VLOOKUP($A55,能源品种参考表!$A:$I,6,FALSE)*VLOOKUP($A55,能源品种参考表!$A:$I,8,FALSE)</f>
        <v>13609162892381.48</v>
      </c>
    </row>
    <row r="56" spans="1:10" x14ac:dyDescent="0.15">
      <c r="A56">
        <v>27101210</v>
      </c>
      <c r="B56" s="1" t="s">
        <v>54</v>
      </c>
      <c r="C56" s="1">
        <v>2020</v>
      </c>
      <c r="D56" s="1">
        <v>480456303</v>
      </c>
      <c r="E56" s="1" t="s">
        <v>67</v>
      </c>
      <c r="F56" s="1">
        <v>666873346</v>
      </c>
      <c r="G56" s="1" t="s">
        <v>70</v>
      </c>
      <c r="H56" s="1">
        <v>1272894377</v>
      </c>
      <c r="I56" s="4" t="str">
        <f>VLOOKUP($A56,能源品种参考表!$A:$E,5,FALSE)</f>
        <v>petroleum gasoline</v>
      </c>
      <c r="J56">
        <f>D56*VLOOKUP($A56,能源品种参考表!$A:$I,6,FALSE)*VLOOKUP($A56,能源品种参考表!$A:$I,8,FALSE)</f>
        <v>19613419488845.07</v>
      </c>
    </row>
    <row r="57" spans="1:10" x14ac:dyDescent="0.15">
      <c r="A57">
        <v>27101210</v>
      </c>
      <c r="B57" s="1" t="s">
        <v>54</v>
      </c>
      <c r="C57" s="1">
        <v>2021</v>
      </c>
      <c r="D57" s="1">
        <v>357658041</v>
      </c>
      <c r="E57" s="1" t="s">
        <v>67</v>
      </c>
      <c r="F57" s="1">
        <v>496429364</v>
      </c>
      <c r="G57" s="1" t="s">
        <v>70</v>
      </c>
      <c r="H57" s="1">
        <v>1569247323</v>
      </c>
      <c r="I57" s="4" t="str">
        <f>VLOOKUP($A57,能源品种参考表!$A:$E,5,FALSE)</f>
        <v>petroleum gasoline</v>
      </c>
      <c r="J57">
        <f>D57*VLOOKUP($A57,能源品种参考表!$A:$I,6,FALSE)*VLOOKUP($A57,能源品种参考表!$A:$I,8,FALSE)</f>
        <v>14600489467804.004</v>
      </c>
    </row>
    <row r="58" spans="1:10" x14ac:dyDescent="0.15">
      <c r="A58">
        <v>27101210</v>
      </c>
      <c r="B58" s="1" t="s">
        <v>54</v>
      </c>
      <c r="C58" s="1">
        <v>2022</v>
      </c>
      <c r="D58" s="1">
        <v>20096040</v>
      </c>
      <c r="E58" s="1" t="s">
        <v>67</v>
      </c>
      <c r="F58" s="1">
        <v>27893302</v>
      </c>
      <c r="G58" s="1" t="s">
        <v>70</v>
      </c>
      <c r="H58" s="1">
        <v>137223686</v>
      </c>
      <c r="I58" s="4" t="str">
        <f>VLOOKUP($A58,能源品种参考表!$A:$E,5,FALSE)</f>
        <v>petroleum gasoline</v>
      </c>
      <c r="J58">
        <f>D58*VLOOKUP($A58,能源品种参考表!$A:$I,6,FALSE)*VLOOKUP($A58,能源品种参考表!$A:$I,8,FALSE)</f>
        <v>820370260778.13794</v>
      </c>
    </row>
    <row r="59" spans="1:10" x14ac:dyDescent="0.15">
      <c r="A59">
        <v>27101220</v>
      </c>
      <c r="B59" s="1" t="s">
        <v>49</v>
      </c>
      <c r="C59" s="1">
        <v>2019</v>
      </c>
      <c r="D59" s="1">
        <v>7022218545</v>
      </c>
      <c r="E59" s="1" t="s">
        <v>67</v>
      </c>
      <c r="F59" s="1">
        <v>9725772696</v>
      </c>
      <c r="G59" s="1" t="s">
        <v>70</v>
      </c>
      <c r="H59" s="2">
        <v>26371887574</v>
      </c>
      <c r="I59" s="4" t="str">
        <f>VLOOKUP($A59,能源品种参考表!$A:$E,5,FALSE)</f>
        <v>LPG propane or butane</v>
      </c>
      <c r="J59">
        <f>D59*VLOOKUP($A59,能源品种参考表!$A:$I,6,FALSE)*VLOOKUP($A59,能源品种参考表!$A:$I,8,FALSE)</f>
        <v>292235287501903.38</v>
      </c>
    </row>
    <row r="60" spans="1:10" x14ac:dyDescent="0.15">
      <c r="A60">
        <v>27101220</v>
      </c>
      <c r="B60" s="1" t="s">
        <v>49</v>
      </c>
      <c r="C60" s="1">
        <v>2020</v>
      </c>
      <c r="D60" s="1">
        <v>7886952327</v>
      </c>
      <c r="E60" s="1" t="s">
        <v>67</v>
      </c>
      <c r="F60" s="1">
        <v>10923428968</v>
      </c>
      <c r="G60" s="1" t="s">
        <v>70</v>
      </c>
      <c r="H60" s="1">
        <v>21357390348</v>
      </c>
      <c r="I60" s="4" t="str">
        <f>VLOOKUP($A60,能源品种参考表!$A:$E,5,FALSE)</f>
        <v>LPG propane or butane</v>
      </c>
      <c r="J60">
        <f>D60*VLOOKUP($A60,能源品种参考表!$A:$I,6,FALSE)*VLOOKUP($A60,能源品种参考表!$A:$I,8,FALSE)</f>
        <v>328221881165427.44</v>
      </c>
    </row>
    <row r="61" spans="1:10" x14ac:dyDescent="0.15">
      <c r="A61">
        <v>27101220</v>
      </c>
      <c r="B61" s="1" t="s">
        <v>49</v>
      </c>
      <c r="C61" s="1">
        <v>2021</v>
      </c>
      <c r="D61" s="1">
        <v>7609118247</v>
      </c>
      <c r="E61" s="1" t="s">
        <v>67</v>
      </c>
      <c r="F61" s="1">
        <v>10538672468</v>
      </c>
      <c r="G61" s="1" t="s">
        <v>70</v>
      </c>
      <c r="H61" s="1">
        <v>31442036198</v>
      </c>
      <c r="I61" s="4" t="str">
        <f>VLOOKUP($A61,能源品种参考表!$A:$E,5,FALSE)</f>
        <v>LPG propane or butane</v>
      </c>
      <c r="J61">
        <f>D61*VLOOKUP($A61,能源品种参考表!$A:$I,6,FALSE)*VLOOKUP($A61,能源品种参考表!$A:$I,8,FALSE)</f>
        <v>316659591879452.69</v>
      </c>
    </row>
    <row r="62" spans="1:10" x14ac:dyDescent="0.15">
      <c r="A62">
        <v>27101220</v>
      </c>
      <c r="B62" s="1" t="s">
        <v>49</v>
      </c>
      <c r="C62" s="1">
        <v>2022</v>
      </c>
      <c r="D62" s="1">
        <v>9262619770</v>
      </c>
      <c r="E62" s="1" t="s">
        <v>67</v>
      </c>
      <c r="F62" s="1">
        <v>12828728391</v>
      </c>
      <c r="G62" s="1" t="s">
        <v>70</v>
      </c>
      <c r="H62" s="1">
        <v>47777770917</v>
      </c>
      <c r="I62" s="4" t="str">
        <f>VLOOKUP($A62,能源品种参考表!$A:$E,5,FALSE)</f>
        <v>LPG propane or butane</v>
      </c>
      <c r="J62">
        <f>D62*VLOOKUP($A62,能源品种参考表!$A:$I,6,FALSE)*VLOOKUP($A62,能源品种参考表!$A:$I,8,FALSE)</f>
        <v>385471391150895.06</v>
      </c>
    </row>
    <row r="63" spans="1:10" x14ac:dyDescent="0.15">
      <c r="A63">
        <v>27101230</v>
      </c>
      <c r="B63" s="1" t="s">
        <v>53</v>
      </c>
      <c r="C63" s="1">
        <v>2019</v>
      </c>
      <c r="D63" s="1">
        <v>37688560</v>
      </c>
      <c r="E63" s="1" t="s">
        <v>67</v>
      </c>
      <c r="F63" s="1">
        <v>48316708</v>
      </c>
      <c r="G63" s="1" t="s">
        <v>70</v>
      </c>
      <c r="H63" s="2">
        <v>319225386</v>
      </c>
      <c r="I63" s="4" t="str">
        <f>VLOOKUP($A63,能源品种参考表!$A:$E,5,FALSE)</f>
        <v>heavy fuel oil</v>
      </c>
      <c r="J63">
        <f>D63*VLOOKUP($A63,能源品种参考表!$A:$I,6,FALSE)*VLOOKUP($A63,能源品种参考表!$A:$I,8,FALSE)</f>
        <v>1534075384919.1963</v>
      </c>
    </row>
    <row r="64" spans="1:10" x14ac:dyDescent="0.15">
      <c r="A64">
        <v>27101230</v>
      </c>
      <c r="B64" s="1" t="s">
        <v>53</v>
      </c>
      <c r="C64" s="1">
        <v>2020</v>
      </c>
      <c r="D64" s="1">
        <v>36888628</v>
      </c>
      <c r="E64" s="1" t="s">
        <v>67</v>
      </c>
      <c r="F64" s="1">
        <v>47295145</v>
      </c>
      <c r="G64" s="1" t="s">
        <v>70</v>
      </c>
      <c r="H64" s="1">
        <v>293346655</v>
      </c>
      <c r="I64" s="4" t="str">
        <f>VLOOKUP($A64,能源品种参考表!$A:$E,5,FALSE)</f>
        <v>heavy fuel oil</v>
      </c>
      <c r="J64">
        <f>D64*VLOOKUP($A64,能源品种参考表!$A:$I,6,FALSE)*VLOOKUP($A64,能源品种参考表!$A:$I,8,FALSE)</f>
        <v>1501514947725.2791</v>
      </c>
    </row>
    <row r="65" spans="1:10" x14ac:dyDescent="0.15">
      <c r="A65">
        <v>27101230</v>
      </c>
      <c r="B65" s="1" t="s">
        <v>53</v>
      </c>
      <c r="C65" s="1">
        <v>2021</v>
      </c>
      <c r="D65" s="1">
        <v>38596299</v>
      </c>
      <c r="E65" s="1" t="s">
        <v>67</v>
      </c>
      <c r="F65" s="1">
        <v>49480473</v>
      </c>
      <c r="G65" s="1" t="s">
        <v>70</v>
      </c>
      <c r="H65" s="1">
        <v>310515316</v>
      </c>
      <c r="I65" s="4" t="str">
        <f>VLOOKUP($A65,能源品种参考表!$A:$E,5,FALSE)</f>
        <v>heavy fuel oil</v>
      </c>
      <c r="J65">
        <f>D65*VLOOKUP($A65,能源品种参考表!$A:$I,6,FALSE)*VLOOKUP($A65,能源品种参考表!$A:$I,8,FALSE)</f>
        <v>1571023998923.8484</v>
      </c>
    </row>
    <row r="66" spans="1:10" x14ac:dyDescent="0.15">
      <c r="A66">
        <v>27101230</v>
      </c>
      <c r="B66" s="1" t="s">
        <v>53</v>
      </c>
      <c r="C66" s="1">
        <v>2022</v>
      </c>
      <c r="D66" s="1">
        <v>35904509</v>
      </c>
      <c r="E66" s="1" t="s">
        <v>67</v>
      </c>
      <c r="F66" s="1">
        <v>46031429</v>
      </c>
      <c r="G66" s="1" t="s">
        <v>70</v>
      </c>
      <c r="H66" s="1">
        <v>369508885</v>
      </c>
      <c r="I66" s="4" t="str">
        <f>VLOOKUP($A66,能源品种参考表!$A:$E,5,FALSE)</f>
        <v>heavy fuel oil</v>
      </c>
      <c r="J66">
        <f>D66*VLOOKUP($A66,能源品种参考表!$A:$I,6,FALSE)*VLOOKUP($A66,能源品种参考表!$A:$I,8,FALSE)</f>
        <v>1461457361716.9175</v>
      </c>
    </row>
    <row r="67" spans="1:10" x14ac:dyDescent="0.15">
      <c r="A67">
        <v>27101299</v>
      </c>
      <c r="B67" s="1" t="s">
        <v>241</v>
      </c>
      <c r="C67" s="1">
        <v>2017</v>
      </c>
      <c r="D67" s="1">
        <v>1245253018</v>
      </c>
      <c r="E67" s="1" t="s">
        <v>67</v>
      </c>
      <c r="F67" s="1">
        <v>0</v>
      </c>
      <c r="G67" s="1" t="s">
        <v>68</v>
      </c>
      <c r="H67" s="1">
        <v>5219610424</v>
      </c>
      <c r="I67" s="4" t="str">
        <f>VLOOKUP($A67,能源品种参考表!$A:$E,5,FALSE)</f>
        <v>petroleum diesel</v>
      </c>
      <c r="J67">
        <f>D67*VLOOKUP($A67,能源品种参考表!$A:$I,6,FALSE)*VLOOKUP($A67,能源品种参考表!$A:$I,8,FALSE)</f>
        <v>50340966995951.914</v>
      </c>
    </row>
    <row r="68" spans="1:10" x14ac:dyDescent="0.15">
      <c r="A68">
        <v>27101299</v>
      </c>
      <c r="B68" s="1" t="s">
        <v>241</v>
      </c>
      <c r="C68" s="1">
        <v>2018</v>
      </c>
      <c r="D68" s="1">
        <v>105930068</v>
      </c>
      <c r="E68" s="1" t="s">
        <v>67</v>
      </c>
      <c r="F68" s="1">
        <v>0</v>
      </c>
      <c r="G68" s="1" t="s">
        <v>68</v>
      </c>
      <c r="H68" s="1">
        <v>505441384</v>
      </c>
      <c r="I68" s="4" t="str">
        <f>VLOOKUP($A68,能源品种参考表!$A:$E,5,FALSE)</f>
        <v>petroleum diesel</v>
      </c>
      <c r="J68">
        <f>D68*VLOOKUP($A68,能源品种参考表!$A:$I,6,FALSE)*VLOOKUP($A68,能源品种参考表!$A:$I,8,FALSE)</f>
        <v>4282360275369.3081</v>
      </c>
    </row>
    <row r="69" spans="1:10" x14ac:dyDescent="0.15">
      <c r="A69">
        <v>27101299</v>
      </c>
      <c r="B69" s="1" t="s">
        <v>241</v>
      </c>
      <c r="C69" s="1">
        <v>2019</v>
      </c>
      <c r="D69" s="1">
        <v>192916247</v>
      </c>
      <c r="E69" s="1" t="s">
        <v>67</v>
      </c>
      <c r="F69" s="1">
        <v>0</v>
      </c>
      <c r="G69" s="1" t="s">
        <v>68</v>
      </c>
      <c r="H69" s="1">
        <v>1013467289</v>
      </c>
      <c r="I69" s="4" t="str">
        <f>VLOOKUP($A69,能源品种参考表!$A:$E,5,FALSE)</f>
        <v>petroleum diesel</v>
      </c>
      <c r="J69">
        <f>D69*VLOOKUP($A69,能源品种参考表!$A:$I,6,FALSE)*VLOOKUP($A69,能源品种参考表!$A:$I,8,FALSE)</f>
        <v>7798889288224.8838</v>
      </c>
    </row>
    <row r="70" spans="1:10" x14ac:dyDescent="0.15">
      <c r="A70">
        <v>27101299</v>
      </c>
      <c r="B70" s="1" t="s">
        <v>241</v>
      </c>
      <c r="C70" s="1">
        <v>2020</v>
      </c>
      <c r="D70" s="1">
        <v>356026122</v>
      </c>
      <c r="E70" s="1" t="s">
        <v>67</v>
      </c>
      <c r="F70" s="1">
        <v>0</v>
      </c>
      <c r="G70" s="1" t="s">
        <v>68</v>
      </c>
      <c r="H70" s="1">
        <v>1106228097</v>
      </c>
      <c r="I70" s="4" t="str">
        <f>VLOOKUP($A70,能源品种参考表!$A:$E,5,FALSE)</f>
        <v>petroleum diesel</v>
      </c>
      <c r="J70">
        <f>D70*VLOOKUP($A70,能源品种参考表!$A:$I,6,FALSE)*VLOOKUP($A70,能源品种参考表!$A:$I,8,FALSE)</f>
        <v>14392817361795.586</v>
      </c>
    </row>
    <row r="71" spans="1:10" x14ac:dyDescent="0.15">
      <c r="A71">
        <v>27101299</v>
      </c>
      <c r="B71" s="1" t="s">
        <v>241</v>
      </c>
      <c r="C71" s="1">
        <v>2021</v>
      </c>
      <c r="D71" s="1">
        <v>25703606</v>
      </c>
      <c r="E71" s="1" t="s">
        <v>67</v>
      </c>
      <c r="F71" s="1">
        <v>0</v>
      </c>
      <c r="G71" s="1" t="s">
        <v>68</v>
      </c>
      <c r="H71" s="1">
        <v>101282145</v>
      </c>
      <c r="I71" s="4" t="str">
        <f>VLOOKUP($A71,能源品种参考表!$A:$E,5,FALSE)</f>
        <v>petroleum diesel</v>
      </c>
      <c r="J71">
        <f>D71*VLOOKUP($A71,能源品种参考表!$A:$I,6,FALSE)*VLOOKUP($A71,能源品种参考表!$A:$I,8,FALSE)</f>
        <v>1039101582264.1047</v>
      </c>
    </row>
    <row r="72" spans="1:10" x14ac:dyDescent="0.15">
      <c r="A72">
        <v>27101299</v>
      </c>
      <c r="B72" s="1" t="s">
        <v>241</v>
      </c>
      <c r="C72" s="1">
        <v>2022</v>
      </c>
      <c r="D72" s="1">
        <v>45465833</v>
      </c>
      <c r="E72" s="1" t="s">
        <v>67</v>
      </c>
      <c r="F72" s="1">
        <v>62955544</v>
      </c>
      <c r="G72" s="1" t="s">
        <v>70</v>
      </c>
      <c r="H72" s="1">
        <v>406148822</v>
      </c>
      <c r="I72" s="4" t="str">
        <f>VLOOKUP($A72,能源品种参考表!$A:$E,5,FALSE)</f>
        <v>petroleum diesel</v>
      </c>
      <c r="J72">
        <f>D72*VLOOKUP($A72,能源品种参考表!$A:$I,6,FALSE)*VLOOKUP($A72,能源品种参考表!$A:$I,8,FALSE)</f>
        <v>1838015218925.1401</v>
      </c>
    </row>
    <row r="73" spans="1:10" x14ac:dyDescent="0.15">
      <c r="A73">
        <v>27101911</v>
      </c>
      <c r="B73" s="1" t="s">
        <v>55</v>
      </c>
      <c r="C73" s="1">
        <v>2019</v>
      </c>
      <c r="D73" s="1">
        <v>3583418585</v>
      </c>
      <c r="E73" s="1" t="s">
        <v>67</v>
      </c>
      <c r="F73" s="1">
        <v>4464939559</v>
      </c>
      <c r="G73" s="1" t="s">
        <v>70</v>
      </c>
      <c r="H73" s="2">
        <v>15402578857</v>
      </c>
      <c r="I73" s="4" t="str">
        <f>VLOOKUP($A73,能源品种参考表!$A:$E,5,FALSE)</f>
        <v>jet fuel or kerosene</v>
      </c>
      <c r="J73">
        <f>D73*VLOOKUP($A73,能源品种参考表!$A:$I,6,FALSE)*VLOOKUP($A73,能源品种参考表!$A:$I,8,FALSE)</f>
        <v>146284045963964.88</v>
      </c>
    </row>
    <row r="74" spans="1:10" x14ac:dyDescent="0.15">
      <c r="A74">
        <v>27101911</v>
      </c>
      <c r="B74" s="1" t="s">
        <v>55</v>
      </c>
      <c r="C74" s="1">
        <v>2020</v>
      </c>
      <c r="D74" s="1">
        <v>2552279164</v>
      </c>
      <c r="E74" s="1" t="s">
        <v>67</v>
      </c>
      <c r="F74" s="1">
        <v>3180139841</v>
      </c>
      <c r="G74" s="1" t="s">
        <v>70</v>
      </c>
      <c r="H74" s="1">
        <v>6401267874</v>
      </c>
      <c r="I74" s="4" t="str">
        <f>VLOOKUP($A74,能源品种参考表!$A:$E,5,FALSE)</f>
        <v>jet fuel or kerosene</v>
      </c>
      <c r="J74">
        <f>D74*VLOOKUP($A74,能源品种参考表!$A:$I,6,FALSE)*VLOOKUP($A74,能源品种参考表!$A:$I,8,FALSE)</f>
        <v>104190373991556.94</v>
      </c>
    </row>
    <row r="75" spans="1:10" x14ac:dyDescent="0.15">
      <c r="A75">
        <v>27101911</v>
      </c>
      <c r="B75" s="1" t="s">
        <v>55</v>
      </c>
      <c r="C75" s="1">
        <v>2021</v>
      </c>
      <c r="D75" s="1">
        <v>1373633787</v>
      </c>
      <c r="E75" s="1" t="s">
        <v>67</v>
      </c>
      <c r="F75" s="1">
        <v>1711547696</v>
      </c>
      <c r="G75" s="1" t="s">
        <v>70</v>
      </c>
      <c r="H75" s="1">
        <v>5203801601</v>
      </c>
      <c r="I75" s="4" t="str">
        <f>VLOOKUP($A75,能源品种参考表!$A:$E,5,FALSE)</f>
        <v>jet fuel or kerosene</v>
      </c>
      <c r="J75">
        <f>D75*VLOOKUP($A75,能源品种参考表!$A:$I,6,FALSE)*VLOOKUP($A75,能源品种参考表!$A:$I,8,FALSE)</f>
        <v>56075142568130.406</v>
      </c>
    </row>
    <row r="76" spans="1:10" x14ac:dyDescent="0.15">
      <c r="A76">
        <v>27101911</v>
      </c>
      <c r="B76" s="1" t="s">
        <v>55</v>
      </c>
      <c r="C76" s="1">
        <v>2022</v>
      </c>
      <c r="D76" s="1">
        <v>867947037</v>
      </c>
      <c r="E76" s="1" t="s">
        <v>67</v>
      </c>
      <c r="F76" s="1">
        <v>1081462009</v>
      </c>
      <c r="G76" s="1" t="s">
        <v>70</v>
      </c>
      <c r="H76" s="1">
        <v>5584703167</v>
      </c>
      <c r="I76" s="4" t="str">
        <f>VLOOKUP($A76,能源品种参考表!$A:$E,5,FALSE)</f>
        <v>jet fuel or kerosene</v>
      </c>
      <c r="J76">
        <f>D76*VLOOKUP($A76,能源品种参考表!$A:$I,6,FALSE)*VLOOKUP($A76,能源品种参考表!$A:$I,8,FALSE)</f>
        <v>35431753573604.656</v>
      </c>
    </row>
    <row r="77" spans="1:10" x14ac:dyDescent="0.15">
      <c r="A77">
        <v>27101912</v>
      </c>
      <c r="B77" s="1" t="s">
        <v>128</v>
      </c>
      <c r="C77" s="1">
        <v>2019</v>
      </c>
      <c r="D77" s="1">
        <v>2528</v>
      </c>
      <c r="E77" s="1" t="s">
        <v>67</v>
      </c>
      <c r="F77" s="1">
        <v>3150</v>
      </c>
      <c r="G77" s="1" t="s">
        <v>70</v>
      </c>
      <c r="H77" s="2">
        <v>36466</v>
      </c>
      <c r="I77" s="4" t="str">
        <f>VLOOKUP($A77,能源品种参考表!$A:$E,5,FALSE)</f>
        <v>jet fuel or kerosene</v>
      </c>
      <c r="J77">
        <f>D77*VLOOKUP($A77,能源品种参考表!$A:$I,6,FALSE)*VLOOKUP($A77,能源品种参考表!$A:$I,8,FALSE)</f>
        <v>103199238.22042216</v>
      </c>
    </row>
    <row r="78" spans="1:10" x14ac:dyDescent="0.15">
      <c r="A78">
        <v>27101919</v>
      </c>
      <c r="B78" s="1" t="s">
        <v>240</v>
      </c>
      <c r="C78" s="1">
        <v>2017</v>
      </c>
      <c r="D78" s="1">
        <v>42972341</v>
      </c>
      <c r="E78" s="1" t="s">
        <v>67</v>
      </c>
      <c r="F78" s="1">
        <v>50257877</v>
      </c>
      <c r="G78" s="1" t="s">
        <v>70</v>
      </c>
      <c r="H78" s="1">
        <v>271176013</v>
      </c>
      <c r="I78" s="4" t="str">
        <f>VLOOKUP($A78,能源品种参考表!$A:$E,5,FALSE)</f>
        <v>jet fuel or kerosene</v>
      </c>
      <c r="J78">
        <f>D78*VLOOKUP($A78,能源品种参考表!$A:$I,6,FALSE)*VLOOKUP($A78,能源品种参考表!$A:$I,8,FALSE)</f>
        <v>1754237680280.1482</v>
      </c>
    </row>
    <row r="79" spans="1:10" x14ac:dyDescent="0.15">
      <c r="A79">
        <v>27101919</v>
      </c>
      <c r="B79" s="1" t="s">
        <v>240</v>
      </c>
      <c r="C79" s="1">
        <v>2018</v>
      </c>
      <c r="D79" s="1">
        <v>5573056</v>
      </c>
      <c r="E79" s="1" t="s">
        <v>67</v>
      </c>
      <c r="F79" s="1">
        <v>5862831</v>
      </c>
      <c r="G79" s="1" t="s">
        <v>70</v>
      </c>
      <c r="H79" s="1">
        <v>35363424</v>
      </c>
      <c r="I79" s="4" t="str">
        <f>VLOOKUP($A79,能源品种参考表!$A:$E,5,FALSE)</f>
        <v>jet fuel or kerosene</v>
      </c>
      <c r="J79">
        <f>D79*VLOOKUP($A79,能源品种参考表!$A:$I,6,FALSE)*VLOOKUP($A79,能源品种参考表!$A:$I,8,FALSE)</f>
        <v>227505986455.59854</v>
      </c>
    </row>
    <row r="80" spans="1:10" x14ac:dyDescent="0.15">
      <c r="A80">
        <v>27101919</v>
      </c>
      <c r="B80" s="1" t="s">
        <v>240</v>
      </c>
      <c r="C80" s="1">
        <v>2019</v>
      </c>
      <c r="D80" s="1">
        <v>84100504</v>
      </c>
      <c r="E80" s="1" t="s">
        <v>67</v>
      </c>
      <c r="F80" s="1">
        <v>105927974</v>
      </c>
      <c r="G80" s="1" t="s">
        <v>70</v>
      </c>
      <c r="H80" s="1">
        <v>558788368</v>
      </c>
      <c r="I80" s="4" t="str">
        <f>VLOOKUP($A80,能源品种参考表!$A:$E,5,FALSE)</f>
        <v>jet fuel or kerosene</v>
      </c>
      <c r="J80">
        <f>D80*VLOOKUP($A80,能源品种参考表!$A:$I,6,FALSE)*VLOOKUP($A80,能源品种参考表!$A:$I,8,FALSE)</f>
        <v>3433191434633.5317</v>
      </c>
    </row>
    <row r="81" spans="1:10" x14ac:dyDescent="0.15">
      <c r="A81">
        <v>27101919</v>
      </c>
      <c r="B81" s="1" t="s">
        <v>240</v>
      </c>
      <c r="C81" s="1">
        <v>2020</v>
      </c>
      <c r="D81" s="1">
        <v>104976022</v>
      </c>
      <c r="E81" s="1" t="s">
        <v>67</v>
      </c>
      <c r="F81" s="1">
        <v>133043034</v>
      </c>
      <c r="G81" s="1" t="s">
        <v>70</v>
      </c>
      <c r="H81" s="1">
        <v>482443903</v>
      </c>
      <c r="I81" s="4" t="str">
        <f>VLOOKUP($A81,能源品种参考表!$A:$E,5,FALSE)</f>
        <v>jet fuel or kerosene</v>
      </c>
      <c r="J81">
        <f>D81*VLOOKUP($A81,能源品种参考表!$A:$I,6,FALSE)*VLOOKUP($A81,能源品种参考表!$A:$I,8,FALSE)</f>
        <v>4285381923184.4458</v>
      </c>
    </row>
    <row r="82" spans="1:10" x14ac:dyDescent="0.15">
      <c r="A82">
        <v>27101919</v>
      </c>
      <c r="B82" s="1" t="s">
        <v>240</v>
      </c>
      <c r="C82" s="1">
        <v>2021</v>
      </c>
      <c r="D82" s="1">
        <v>5791275</v>
      </c>
      <c r="E82" s="1" t="s">
        <v>67</v>
      </c>
      <c r="F82" s="1">
        <v>7358010</v>
      </c>
      <c r="G82" s="1" t="s">
        <v>70</v>
      </c>
      <c r="H82" s="1">
        <v>28678874</v>
      </c>
      <c r="I82" s="4" t="str">
        <f>VLOOKUP($A82,能源品种参考表!$A:$E,5,FALSE)</f>
        <v>jet fuel or kerosene</v>
      </c>
      <c r="J82">
        <f>D82*VLOOKUP($A82,能源品种参考表!$A:$I,6,FALSE)*VLOOKUP($A82,能源品种参考表!$A:$I,8,FALSE)</f>
        <v>236414227976.65167</v>
      </c>
    </row>
    <row r="83" spans="1:10" x14ac:dyDescent="0.15">
      <c r="A83">
        <v>27101919</v>
      </c>
      <c r="B83" s="1" t="s">
        <v>240</v>
      </c>
      <c r="C83" s="1">
        <v>2022</v>
      </c>
      <c r="D83" s="1">
        <v>275051730</v>
      </c>
      <c r="E83" s="1" t="s">
        <v>67</v>
      </c>
      <c r="F83" s="1">
        <v>369218934</v>
      </c>
      <c r="G83" s="1" t="s">
        <v>70</v>
      </c>
      <c r="H83" s="1">
        <v>1600351184</v>
      </c>
      <c r="I83" s="4" t="str">
        <f>VLOOKUP($A83,能源品种参考表!$A:$E,5,FALSE)</f>
        <v>jet fuel or kerosene</v>
      </c>
      <c r="J83">
        <f>D83*VLOOKUP($A83,能源品种参考表!$A:$I,6,FALSE)*VLOOKUP($A83,能源品种参考表!$A:$I,8,FALSE)</f>
        <v>11228294702218.846</v>
      </c>
    </row>
    <row r="84" spans="1:10" x14ac:dyDescent="0.15">
      <c r="A84">
        <v>27101922</v>
      </c>
      <c r="B84" s="1" t="s">
        <v>50</v>
      </c>
      <c r="C84" s="1">
        <v>2019</v>
      </c>
      <c r="D84" s="1">
        <v>14794396798</v>
      </c>
      <c r="E84" s="1" t="s">
        <v>67</v>
      </c>
      <c r="F84" s="1">
        <v>15016312761</v>
      </c>
      <c r="G84" s="1" t="s">
        <v>70</v>
      </c>
      <c r="H84" s="2">
        <v>46249765353</v>
      </c>
      <c r="I84" s="4" t="str">
        <f>VLOOKUP($A84,能源品种参考表!$A:$E,5,FALSE)</f>
        <v>heavy fuel oil</v>
      </c>
      <c r="J84">
        <f>D84*VLOOKUP($A84,能源品种参考表!$A:$I,6,FALSE)*VLOOKUP($A84,能源品种参考表!$A:$I,8,FALSE)</f>
        <v>586359950997066.13</v>
      </c>
    </row>
    <row r="85" spans="1:10" x14ac:dyDescent="0.15">
      <c r="A85">
        <v>27101922</v>
      </c>
      <c r="B85" s="1" t="s">
        <v>50</v>
      </c>
      <c r="C85" s="1">
        <v>2020</v>
      </c>
      <c r="D85" s="1">
        <v>12518465971</v>
      </c>
      <c r="E85" s="1" t="s">
        <v>67</v>
      </c>
      <c r="F85" s="1">
        <v>12706242964</v>
      </c>
      <c r="G85" s="1" t="s">
        <v>70</v>
      </c>
      <c r="H85" s="1">
        <v>30133267614</v>
      </c>
      <c r="I85" s="4" t="str">
        <f>VLOOKUP($A85,能源品种参考表!$A:$E,5,FALSE)</f>
        <v>heavy fuel oil</v>
      </c>
      <c r="J85">
        <f>D85*VLOOKUP($A85,能源品种参考表!$A:$I,6,FALSE)*VLOOKUP($A85,能源品种参考表!$A:$I,8,FALSE)</f>
        <v>496155888850183.56</v>
      </c>
    </row>
    <row r="86" spans="1:10" x14ac:dyDescent="0.15">
      <c r="A86">
        <v>27101922</v>
      </c>
      <c r="B86" s="1" t="s">
        <v>50</v>
      </c>
      <c r="C86" s="1">
        <v>2021</v>
      </c>
      <c r="D86" s="1">
        <v>13625643117</v>
      </c>
      <c r="E86" s="1" t="s">
        <v>67</v>
      </c>
      <c r="F86" s="1">
        <v>13830037918</v>
      </c>
      <c r="G86" s="1" t="s">
        <v>70</v>
      </c>
      <c r="H86" s="1">
        <v>42137859910</v>
      </c>
      <c r="I86" s="4" t="str">
        <f>VLOOKUP($A86,能源品种参考表!$A:$E,5,FALSE)</f>
        <v>heavy fuel oil</v>
      </c>
      <c r="J86">
        <f>D86*VLOOKUP($A86,能源品种参考表!$A:$I,6,FALSE)*VLOOKUP($A86,能源品种参考表!$A:$I,8,FALSE)</f>
        <v>540037660167916.25</v>
      </c>
    </row>
    <row r="87" spans="1:10" x14ac:dyDescent="0.15">
      <c r="A87">
        <v>27101922</v>
      </c>
      <c r="B87" s="1" t="s">
        <v>50</v>
      </c>
      <c r="C87" s="1">
        <v>2022</v>
      </c>
      <c r="D87" s="1">
        <v>12228771176</v>
      </c>
      <c r="E87" s="1" t="s">
        <v>67</v>
      </c>
      <c r="F87" s="1">
        <v>12412202745</v>
      </c>
      <c r="G87" s="1" t="s">
        <v>70</v>
      </c>
      <c r="H87" s="1">
        <v>44919335978</v>
      </c>
      <c r="I87" s="4" t="str">
        <f>VLOOKUP($A87,能源品种参考表!$A:$E,5,FALSE)</f>
        <v>heavy fuel oil</v>
      </c>
      <c r="J87">
        <f>D87*VLOOKUP($A87,能源品种参考表!$A:$I,6,FALSE)*VLOOKUP($A87,能源品种参考表!$A:$I,8,FALSE)</f>
        <v>484674148288563.13</v>
      </c>
    </row>
    <row r="88" spans="1:10" x14ac:dyDescent="0.15">
      <c r="A88">
        <v>27101923</v>
      </c>
      <c r="B88" s="1" t="s">
        <v>127</v>
      </c>
      <c r="C88" s="1">
        <v>2019</v>
      </c>
      <c r="D88" s="1">
        <v>1190175082</v>
      </c>
      <c r="E88" s="1" t="s">
        <v>67</v>
      </c>
      <c r="F88" s="1">
        <v>1399645895</v>
      </c>
      <c r="G88" s="1" t="s">
        <v>70</v>
      </c>
      <c r="H88" s="2">
        <v>4769199003</v>
      </c>
      <c r="I88" s="4" t="str">
        <f>VLOOKUP($A88,能源品种参考表!$A:$E,5,FALSE)</f>
        <v>petroleum diesel</v>
      </c>
      <c r="J88">
        <f>D88*VLOOKUP($A88,能源品种参考表!$A:$I,6,FALSE)*VLOOKUP($A88,能源品种参考表!$A:$I,8,FALSE)</f>
        <v>48114370056773.766</v>
      </c>
    </row>
    <row r="89" spans="1:10" x14ac:dyDescent="0.15">
      <c r="A89">
        <v>27101923</v>
      </c>
      <c r="B89" s="1" t="s">
        <v>127</v>
      </c>
      <c r="C89" s="1">
        <v>2020</v>
      </c>
      <c r="D89" s="1">
        <v>1190952394</v>
      </c>
      <c r="E89" s="1" t="s">
        <v>67</v>
      </c>
      <c r="F89" s="1">
        <v>1400563588</v>
      </c>
      <c r="G89" s="1" t="s">
        <v>70</v>
      </c>
      <c r="H89" s="1">
        <v>2968943196</v>
      </c>
      <c r="I89" s="4" t="str">
        <f>VLOOKUP($A89,能源品种参考表!$A:$E,5,FALSE)</f>
        <v>petroleum diesel</v>
      </c>
      <c r="J89">
        <f>D89*VLOOKUP($A89,能源品种参考表!$A:$I,6,FALSE)*VLOOKUP($A89,能源品种参考表!$A:$I,8,FALSE)</f>
        <v>48145793901704.82</v>
      </c>
    </row>
    <row r="90" spans="1:10" x14ac:dyDescent="0.15">
      <c r="A90">
        <v>27101923</v>
      </c>
      <c r="B90" s="1" t="s">
        <v>127</v>
      </c>
      <c r="C90" s="1">
        <v>2021</v>
      </c>
      <c r="D90" s="1">
        <v>761828135</v>
      </c>
      <c r="E90" s="1" t="s">
        <v>67</v>
      </c>
      <c r="F90" s="1">
        <v>895839180</v>
      </c>
      <c r="G90" s="1" t="s">
        <v>70</v>
      </c>
      <c r="H90" s="1">
        <v>2829983931</v>
      </c>
      <c r="I90" s="4" t="str">
        <f>VLOOKUP($A90,能源品种参考表!$A:$E,5,FALSE)</f>
        <v>petroleum diesel</v>
      </c>
      <c r="J90">
        <f>D90*VLOOKUP($A90,能源品种参考表!$A:$I,6,FALSE)*VLOOKUP($A90,能源品种参考表!$A:$I,8,FALSE)</f>
        <v>30797889622639.402</v>
      </c>
    </row>
    <row r="91" spans="1:10" x14ac:dyDescent="0.15">
      <c r="A91">
        <v>27101923</v>
      </c>
      <c r="B91" s="1" t="s">
        <v>127</v>
      </c>
      <c r="C91" s="1">
        <v>2022</v>
      </c>
      <c r="D91" s="1">
        <v>438416174</v>
      </c>
      <c r="E91" s="1" t="s">
        <v>67</v>
      </c>
      <c r="F91" s="1">
        <v>515577419</v>
      </c>
      <c r="G91" s="1" t="s">
        <v>70</v>
      </c>
      <c r="H91" s="1">
        <v>2778674588</v>
      </c>
      <c r="I91" s="4" t="str">
        <f>VLOOKUP($A91,能源品种参考表!$A:$E,5,FALSE)</f>
        <v>petroleum diesel</v>
      </c>
      <c r="J91">
        <f>D91*VLOOKUP($A91,能源品种参考表!$A:$I,6,FALSE)*VLOOKUP($A91,能源品种参考表!$A:$I,8,FALSE)</f>
        <v>17723541984481.672</v>
      </c>
    </row>
    <row r="92" spans="1:10" x14ac:dyDescent="0.15">
      <c r="A92">
        <v>27101929</v>
      </c>
      <c r="B92" s="1" t="s">
        <v>51</v>
      </c>
      <c r="C92" s="1">
        <v>2019</v>
      </c>
      <c r="D92" s="1">
        <v>60697908</v>
      </c>
      <c r="E92" s="1" t="s">
        <v>67</v>
      </c>
      <c r="F92" s="1">
        <v>71380740</v>
      </c>
      <c r="G92" s="1" t="s">
        <v>70</v>
      </c>
      <c r="H92" s="2">
        <v>242127411</v>
      </c>
      <c r="I92" s="4" t="str">
        <f>VLOOKUP($A92,能源品种参考表!$A:$E,5,FALSE)</f>
        <v>heavy fuel oil</v>
      </c>
      <c r="J92">
        <f>D92*VLOOKUP($A92,能源品种参考表!$A:$I,6,FALSE)*VLOOKUP($A92,能源品种参考表!$A:$I,8,FALSE)</f>
        <v>2405696078485.3237</v>
      </c>
    </row>
    <row r="93" spans="1:10" x14ac:dyDescent="0.15">
      <c r="A93">
        <v>27101929</v>
      </c>
      <c r="B93" s="1" t="s">
        <v>51</v>
      </c>
      <c r="C93" s="1">
        <v>2020</v>
      </c>
      <c r="D93" s="1">
        <v>16191900</v>
      </c>
      <c r="E93" s="1" t="s">
        <v>67</v>
      </c>
      <c r="F93" s="1">
        <v>19041673</v>
      </c>
      <c r="G93" s="1" t="s">
        <v>70</v>
      </c>
      <c r="H93" s="1">
        <v>67112467</v>
      </c>
      <c r="I93" s="4" t="str">
        <f>VLOOKUP($A93,能源品种参考表!$A:$E,5,FALSE)</f>
        <v>heavy fuel oil</v>
      </c>
      <c r="J93">
        <f>D93*VLOOKUP($A93,能源品种参考表!$A:$I,6,FALSE)*VLOOKUP($A93,能源品种参考表!$A:$I,8,FALSE)</f>
        <v>641748482224.89832</v>
      </c>
    </row>
    <row r="94" spans="1:10" x14ac:dyDescent="0.15">
      <c r="A94">
        <v>27101929</v>
      </c>
      <c r="B94" s="1" t="s">
        <v>51</v>
      </c>
      <c r="C94" s="1">
        <v>2021</v>
      </c>
      <c r="D94" s="1">
        <v>185265435</v>
      </c>
      <c r="E94" s="1" t="s">
        <v>67</v>
      </c>
      <c r="F94" s="1">
        <v>217872146</v>
      </c>
      <c r="G94" s="1" t="s">
        <v>70</v>
      </c>
      <c r="H94" s="1">
        <v>736286727</v>
      </c>
      <c r="I94" s="4" t="str">
        <f>VLOOKUP($A94,能源品种参考表!$A:$E,5,FALSE)</f>
        <v>heavy fuel oil</v>
      </c>
      <c r="J94">
        <f>D94*VLOOKUP($A94,能源品种参考表!$A:$I,6,FALSE)*VLOOKUP($A94,能源品种参考表!$A:$I,8,FALSE)</f>
        <v>7342795578035.0391</v>
      </c>
    </row>
    <row r="95" spans="1:10" x14ac:dyDescent="0.15">
      <c r="A95">
        <v>27101929</v>
      </c>
      <c r="B95" s="1" t="s">
        <v>51</v>
      </c>
      <c r="C95" s="1">
        <v>2022</v>
      </c>
      <c r="D95" s="1">
        <v>812301531</v>
      </c>
      <c r="E95" s="1" t="s">
        <v>67</v>
      </c>
      <c r="F95" s="1">
        <v>955266600</v>
      </c>
      <c r="G95" s="1" t="s">
        <v>70</v>
      </c>
      <c r="H95" s="1">
        <v>4297629287</v>
      </c>
      <c r="I95" s="4" t="str">
        <f>VLOOKUP($A95,能源品种参考表!$A:$E,5,FALSE)</f>
        <v>heavy fuel oil</v>
      </c>
      <c r="J95">
        <f>D95*VLOOKUP($A95,能源品种参考表!$A:$I,6,FALSE)*VLOOKUP($A95,能源品种参考表!$A:$I,8,FALSE)</f>
        <v>32194694546545.566</v>
      </c>
    </row>
    <row r="96" spans="1:10" x14ac:dyDescent="0.15">
      <c r="A96">
        <v>27101991</v>
      </c>
      <c r="B96" s="1" t="s">
        <v>48</v>
      </c>
      <c r="C96" s="1">
        <v>2019</v>
      </c>
      <c r="D96" s="1">
        <v>291594492</v>
      </c>
      <c r="E96" s="1" t="s">
        <v>67</v>
      </c>
      <c r="F96" s="1">
        <v>328334794</v>
      </c>
      <c r="G96" s="1" t="s">
        <v>70</v>
      </c>
      <c r="H96" s="2">
        <v>5009308203</v>
      </c>
      <c r="I96" s="4" t="str">
        <f>VLOOKUP($A96,能源品种参考表!$A:$E,5,FALSE)</f>
        <v>LPG propane or butane</v>
      </c>
      <c r="J96">
        <f>D96*VLOOKUP($A96,能源品种参考表!$A:$I,6,FALSE)*VLOOKUP($A96,能源品种参考表!$A:$I,8,FALSE)</f>
        <v>11441506892564.977</v>
      </c>
    </row>
    <row r="97" spans="1:10" x14ac:dyDescent="0.15">
      <c r="A97">
        <v>27101991</v>
      </c>
      <c r="B97" s="1" t="s">
        <v>48</v>
      </c>
      <c r="C97" s="1">
        <v>2020</v>
      </c>
      <c r="D97" s="1">
        <v>289467436</v>
      </c>
      <c r="E97" s="1" t="s">
        <v>67</v>
      </c>
      <c r="F97" s="1">
        <v>325939778</v>
      </c>
      <c r="G97" s="1" t="s">
        <v>70</v>
      </c>
      <c r="H97" s="1">
        <v>4690047661</v>
      </c>
      <c r="I97" s="4" t="str">
        <f>VLOOKUP($A97,能源品种参考表!$A:$E,5,FALSE)</f>
        <v>LPG propane or butane</v>
      </c>
      <c r="J97">
        <f>D97*VLOOKUP($A97,能源品种参考表!$A:$I,6,FALSE)*VLOOKUP($A97,能源品种参考表!$A:$I,8,FALSE)</f>
        <v>11358046036641.566</v>
      </c>
    </row>
    <row r="98" spans="1:10" x14ac:dyDescent="0.15">
      <c r="A98">
        <v>27101991</v>
      </c>
      <c r="B98" s="1" t="s">
        <v>48</v>
      </c>
      <c r="C98" s="1">
        <v>2021</v>
      </c>
      <c r="D98" s="1">
        <v>336954566</v>
      </c>
      <c r="E98" s="1" t="s">
        <v>67</v>
      </c>
      <c r="F98" s="1">
        <v>379413125</v>
      </c>
      <c r="G98" s="1" t="s">
        <v>70</v>
      </c>
      <c r="H98" s="1">
        <v>5479650419</v>
      </c>
      <c r="I98" s="4" t="str">
        <f>VLOOKUP($A98,能源品种参考表!$A:$E,5,FALSE)</f>
        <v>LPG propane or butane</v>
      </c>
      <c r="J98">
        <f>D98*VLOOKUP($A98,能源品种参考表!$A:$I,6,FALSE)*VLOOKUP($A98,能源品种参考表!$A:$I,8,FALSE)</f>
        <v>13221333376112.742</v>
      </c>
    </row>
    <row r="99" spans="1:10" x14ac:dyDescent="0.15">
      <c r="A99">
        <v>27101991</v>
      </c>
      <c r="B99" s="1" t="s">
        <v>48</v>
      </c>
      <c r="C99" s="1">
        <v>2022</v>
      </c>
      <c r="D99" s="1">
        <v>318107789</v>
      </c>
      <c r="E99" s="1" t="s">
        <v>67</v>
      </c>
      <c r="F99" s="1">
        <v>358290312</v>
      </c>
      <c r="G99" s="1" t="s">
        <v>70</v>
      </c>
      <c r="H99" s="1">
        <v>6170076130</v>
      </c>
      <c r="I99" s="4" t="str">
        <f>VLOOKUP($A99,能源品种参考表!$A:$E,5,FALSE)</f>
        <v>LPG propane or butane</v>
      </c>
      <c r="J99">
        <f>D99*VLOOKUP($A99,能源品种参考表!$A:$I,6,FALSE)*VLOOKUP($A99,能源品种参考表!$A:$I,8,FALSE)</f>
        <v>12481828567674.402</v>
      </c>
    </row>
    <row r="100" spans="1:10" x14ac:dyDescent="0.15">
      <c r="A100">
        <v>27101992</v>
      </c>
      <c r="B100" s="1" t="s">
        <v>239</v>
      </c>
      <c r="C100" s="1">
        <v>2017</v>
      </c>
      <c r="D100" s="1">
        <v>25566291</v>
      </c>
      <c r="E100" s="1" t="s">
        <v>67</v>
      </c>
      <c r="F100" s="1">
        <v>28787311</v>
      </c>
      <c r="G100" s="1" t="s">
        <v>70</v>
      </c>
      <c r="H100" s="1">
        <v>823276792</v>
      </c>
      <c r="I100" s="4" t="e">
        <f>VLOOKUP($A100,能源品种参考表!$A:$E,5,FALSE)</f>
        <v>#N/A</v>
      </c>
      <c r="J100" t="e">
        <f>D100*VLOOKUP($A100,能源品种参考表!$A:$I,6,FALSE)*VLOOKUP($A100,能源品种参考表!$A:$I,8,FALSE)</f>
        <v>#N/A</v>
      </c>
    </row>
    <row r="101" spans="1:10" x14ac:dyDescent="0.15">
      <c r="A101">
        <v>27101992</v>
      </c>
      <c r="B101" s="1" t="s">
        <v>239</v>
      </c>
      <c r="C101" s="1">
        <v>2018</v>
      </c>
      <c r="D101" s="1">
        <v>2411860</v>
      </c>
      <c r="E101" s="1" t="s">
        <v>67</v>
      </c>
      <c r="F101" s="1">
        <v>2715726</v>
      </c>
      <c r="G101" s="1" t="s">
        <v>70</v>
      </c>
      <c r="H101" s="1">
        <v>78075410</v>
      </c>
      <c r="I101" s="4" t="e">
        <f>VLOOKUP($A101,能源品种参考表!$A:$E,5,FALSE)</f>
        <v>#N/A</v>
      </c>
      <c r="J101" t="e">
        <f>D101*VLOOKUP($A101,能源品种参考表!$A:$I,6,FALSE)*VLOOKUP($A101,能源品种参考表!$A:$I,8,FALSE)</f>
        <v>#N/A</v>
      </c>
    </row>
    <row r="102" spans="1:10" x14ac:dyDescent="0.15">
      <c r="A102">
        <v>27101992</v>
      </c>
      <c r="B102" s="1" t="s">
        <v>239</v>
      </c>
      <c r="C102" s="1">
        <v>2019</v>
      </c>
      <c r="D102" s="1">
        <v>22340941</v>
      </c>
      <c r="E102" s="1" t="s">
        <v>67</v>
      </c>
      <c r="F102" s="1">
        <v>25155484</v>
      </c>
      <c r="G102" s="1" t="s">
        <v>70</v>
      </c>
      <c r="H102" s="1">
        <v>790343565</v>
      </c>
      <c r="I102" s="4" t="e">
        <f>VLOOKUP($A102,能源品种参考表!$A:$E,5,FALSE)</f>
        <v>#N/A</v>
      </c>
      <c r="J102" t="e">
        <f>D102*VLOOKUP($A102,能源品种参考表!$A:$I,6,FALSE)*VLOOKUP($A102,能源品种参考表!$A:$I,8,FALSE)</f>
        <v>#N/A</v>
      </c>
    </row>
    <row r="103" spans="1:10" x14ac:dyDescent="0.15">
      <c r="A103">
        <v>27101992</v>
      </c>
      <c r="B103" s="1" t="s">
        <v>239</v>
      </c>
      <c r="C103" s="1">
        <v>2020</v>
      </c>
      <c r="D103" s="1">
        <v>22554370</v>
      </c>
      <c r="E103" s="1" t="s">
        <v>67</v>
      </c>
      <c r="F103" s="1">
        <v>25395869</v>
      </c>
      <c r="G103" s="1" t="s">
        <v>70</v>
      </c>
      <c r="H103" s="1">
        <v>803783334</v>
      </c>
      <c r="I103" s="4" t="e">
        <f>VLOOKUP($A103,能源品种参考表!$A:$E,5,FALSE)</f>
        <v>#N/A</v>
      </c>
      <c r="J103" t="e">
        <f>D103*VLOOKUP($A103,能源品种参考表!$A:$I,6,FALSE)*VLOOKUP($A103,能源品种参考表!$A:$I,8,FALSE)</f>
        <v>#N/A</v>
      </c>
    </row>
    <row r="104" spans="1:10" x14ac:dyDescent="0.15">
      <c r="A104">
        <v>27101992</v>
      </c>
      <c r="B104" s="1" t="s">
        <v>239</v>
      </c>
      <c r="C104" s="1">
        <v>2021</v>
      </c>
      <c r="D104" s="1">
        <v>2104271</v>
      </c>
      <c r="E104" s="1" t="s">
        <v>67</v>
      </c>
      <c r="F104" s="1">
        <v>2369351</v>
      </c>
      <c r="G104" s="1" t="s">
        <v>70</v>
      </c>
      <c r="H104" s="1">
        <v>71951260</v>
      </c>
      <c r="I104" s="4" t="e">
        <f>VLOOKUP($A104,能源品种参考表!$A:$E,5,FALSE)</f>
        <v>#N/A</v>
      </c>
      <c r="J104" t="e">
        <f>D104*VLOOKUP($A104,能源品种参考表!$A:$I,6,FALSE)*VLOOKUP($A104,能源品种参考表!$A:$I,8,FALSE)</f>
        <v>#N/A</v>
      </c>
    </row>
    <row r="105" spans="1:10" x14ac:dyDescent="0.15">
      <c r="A105">
        <v>27101992</v>
      </c>
      <c r="B105" s="1" t="s">
        <v>239</v>
      </c>
      <c r="C105" s="1">
        <v>2022</v>
      </c>
      <c r="D105" s="1">
        <v>22114881</v>
      </c>
      <c r="E105" s="1" t="s">
        <v>67</v>
      </c>
      <c r="F105" s="1">
        <v>24924206</v>
      </c>
      <c r="G105" s="1" t="s">
        <v>70</v>
      </c>
      <c r="H105" s="1">
        <v>864470513</v>
      </c>
      <c r="I105" s="4" t="e">
        <f>VLOOKUP($A105,能源品种参考表!$A:$E,5,FALSE)</f>
        <v>#N/A</v>
      </c>
      <c r="J105" t="e">
        <f>D105*VLOOKUP($A105,能源品种参考表!$A:$I,6,FALSE)*VLOOKUP($A105,能源品种参考表!$A:$I,8,FALSE)</f>
        <v>#N/A</v>
      </c>
    </row>
    <row r="106" spans="1:10" x14ac:dyDescent="0.15">
      <c r="A106">
        <v>27101993</v>
      </c>
      <c r="B106" s="1" t="s">
        <v>47</v>
      </c>
      <c r="C106" s="1">
        <v>2019</v>
      </c>
      <c r="D106" s="1">
        <v>2666630463</v>
      </c>
      <c r="E106" s="1" t="s">
        <v>67</v>
      </c>
      <c r="F106" s="1">
        <v>3002625876</v>
      </c>
      <c r="G106" s="1" t="s">
        <v>70</v>
      </c>
      <c r="H106" s="2">
        <v>13172004496</v>
      </c>
      <c r="I106" s="4" t="str">
        <f>VLOOKUP($A106,能源品种参考表!$A:$E,5,FALSE)</f>
        <v>LPG propane or butane</v>
      </c>
      <c r="J106">
        <f>D106*VLOOKUP($A106,能源品种参考表!$A:$I,6,FALSE)*VLOOKUP($A106,能源品种参考表!$A:$I,8,FALSE)</f>
        <v>104632534767968.92</v>
      </c>
    </row>
    <row r="107" spans="1:10" x14ac:dyDescent="0.15">
      <c r="A107">
        <v>27101993</v>
      </c>
      <c r="B107" s="1" t="s">
        <v>47</v>
      </c>
      <c r="C107" s="1">
        <v>2020</v>
      </c>
      <c r="D107" s="1">
        <v>2523997418</v>
      </c>
      <c r="E107" s="1" t="s">
        <v>67</v>
      </c>
      <c r="F107" s="1">
        <v>2842021098</v>
      </c>
      <c r="G107" s="1" t="s">
        <v>70</v>
      </c>
      <c r="H107" s="1">
        <v>10498553379</v>
      </c>
      <c r="I107" s="4" t="str">
        <f>VLOOKUP($A107,能源品种参考表!$A:$E,5,FALSE)</f>
        <v>LPG propane or butane</v>
      </c>
      <c r="J107">
        <f>D107*VLOOKUP($A107,能源品种参考表!$A:$I,6,FALSE)*VLOOKUP($A107,能源品种参考表!$A:$I,8,FALSE)</f>
        <v>99035937396455.359</v>
      </c>
    </row>
    <row r="108" spans="1:10" x14ac:dyDescent="0.15">
      <c r="A108">
        <v>27101993</v>
      </c>
      <c r="B108" s="1" t="s">
        <v>47</v>
      </c>
      <c r="C108" s="1">
        <v>2021</v>
      </c>
      <c r="D108" s="1">
        <v>2131365688</v>
      </c>
      <c r="E108" s="1" t="s">
        <v>67</v>
      </c>
      <c r="F108" s="1">
        <v>2399917046</v>
      </c>
      <c r="G108" s="1" t="s">
        <v>70</v>
      </c>
      <c r="H108" s="1">
        <v>13465394783</v>
      </c>
      <c r="I108" s="4" t="str">
        <f>VLOOKUP($A108,能源品种参考表!$A:$E,5,FALSE)</f>
        <v>LPG propane or butane</v>
      </c>
      <c r="J108">
        <f>D108*VLOOKUP($A108,能源品种参考表!$A:$I,6,FALSE)*VLOOKUP($A108,能源品种参考表!$A:$I,8,FALSE)</f>
        <v>83629958311518.766</v>
      </c>
    </row>
    <row r="109" spans="1:10" x14ac:dyDescent="0.15">
      <c r="A109">
        <v>27101993</v>
      </c>
      <c r="B109" s="1" t="s">
        <v>47</v>
      </c>
      <c r="C109" s="1">
        <v>2022</v>
      </c>
      <c r="D109" s="1">
        <v>1786024673</v>
      </c>
      <c r="E109" s="1" t="s">
        <v>67</v>
      </c>
      <c r="F109" s="1">
        <v>2011060355</v>
      </c>
      <c r="G109" s="1" t="s">
        <v>70</v>
      </c>
      <c r="H109" s="1">
        <v>13172479682</v>
      </c>
      <c r="I109" s="4" t="str">
        <f>VLOOKUP($A109,能源品种参考表!$A:$E,5,FALSE)</f>
        <v>LPG propane or butane</v>
      </c>
      <c r="J109">
        <f>D109*VLOOKUP($A109,能源品种参考表!$A:$I,6,FALSE)*VLOOKUP($A109,能源品种参考表!$A:$I,8,FALSE)</f>
        <v>70079559686678.195</v>
      </c>
    </row>
    <row r="110" spans="1:10" x14ac:dyDescent="0.15">
      <c r="A110">
        <v>27101994</v>
      </c>
      <c r="B110" s="1" t="s">
        <v>46</v>
      </c>
      <c r="C110" s="1">
        <v>2019</v>
      </c>
      <c r="D110" s="1">
        <v>158442832</v>
      </c>
      <c r="E110" s="1" t="s">
        <v>67</v>
      </c>
      <c r="F110" s="1">
        <v>0</v>
      </c>
      <c r="G110" s="1" t="s">
        <v>68</v>
      </c>
      <c r="H110" s="2">
        <v>1053596634</v>
      </c>
      <c r="I110" s="4" t="str">
        <f>VLOOKUP($A110,能源品种参考表!$A:$E,5,FALSE)</f>
        <v>LPG propane or butane</v>
      </c>
      <c r="J110">
        <f>D110*VLOOKUP($A110,能源品种参考表!$A:$I,6,FALSE)*VLOOKUP($A110,能源品种参考表!$A:$I,8,FALSE)</f>
        <v>5995730053153.1104</v>
      </c>
    </row>
    <row r="111" spans="1:10" x14ac:dyDescent="0.15">
      <c r="A111">
        <v>27101994</v>
      </c>
      <c r="B111" s="1" t="s">
        <v>46</v>
      </c>
      <c r="C111" s="1">
        <v>2020</v>
      </c>
      <c r="D111" s="1">
        <v>147040144</v>
      </c>
      <c r="E111" s="1" t="s">
        <v>67</v>
      </c>
      <c r="F111" s="1">
        <v>0</v>
      </c>
      <c r="G111" s="1" t="s">
        <v>68</v>
      </c>
      <c r="H111" s="1">
        <v>701499750</v>
      </c>
      <c r="I111" s="4" t="str">
        <f>VLOOKUP($A111,能源品种参考表!$A:$E,5,FALSE)</f>
        <v>LPG propane or butane</v>
      </c>
      <c r="J111">
        <f>D111*VLOOKUP($A111,能源品种参考表!$A:$I,6,FALSE)*VLOOKUP($A111,能源品种参考表!$A:$I,8,FALSE)</f>
        <v>5564234110639.7344</v>
      </c>
    </row>
    <row r="112" spans="1:10" x14ac:dyDescent="0.15">
      <c r="A112">
        <v>27101994</v>
      </c>
      <c r="B112" s="1" t="s">
        <v>46</v>
      </c>
      <c r="C112" s="1">
        <v>2021</v>
      </c>
      <c r="D112" s="1">
        <v>92690599</v>
      </c>
      <c r="E112" s="1" t="s">
        <v>67</v>
      </c>
      <c r="F112" s="1">
        <v>0</v>
      </c>
      <c r="G112" s="1" t="s">
        <v>68</v>
      </c>
      <c r="H112" s="1">
        <v>528972012</v>
      </c>
      <c r="I112" s="4" t="str">
        <f>VLOOKUP($A112,能源品种参考表!$A:$E,5,FALSE)</f>
        <v>LPG propane or butane</v>
      </c>
      <c r="J112">
        <f>D112*VLOOKUP($A112,能源品种参考表!$A:$I,6,FALSE)*VLOOKUP($A112,能源品种参考表!$A:$I,8,FALSE)</f>
        <v>3507560443435.293</v>
      </c>
    </row>
    <row r="113" spans="1:10" x14ac:dyDescent="0.15">
      <c r="A113">
        <v>27101994</v>
      </c>
      <c r="B113" s="1" t="s">
        <v>46</v>
      </c>
      <c r="C113" s="1">
        <v>2022</v>
      </c>
      <c r="D113" s="1">
        <v>106355439</v>
      </c>
      <c r="E113" s="1" t="s">
        <v>67</v>
      </c>
      <c r="F113" s="1">
        <v>0</v>
      </c>
      <c r="G113" s="1" t="s">
        <v>68</v>
      </c>
      <c r="H113" s="1">
        <v>892699732</v>
      </c>
      <c r="I113" s="4" t="str">
        <f>VLOOKUP($A113,能源品种参考表!$A:$E,5,FALSE)</f>
        <v>LPG propane or butane</v>
      </c>
      <c r="J113">
        <f>D113*VLOOKUP($A113,能源品种参考表!$A:$I,6,FALSE)*VLOOKUP($A113,能源品种参考表!$A:$I,8,FALSE)</f>
        <v>4024659833955.7095</v>
      </c>
    </row>
    <row r="114" spans="1:10" x14ac:dyDescent="0.15">
      <c r="A114">
        <v>27101999</v>
      </c>
      <c r="B114" s="1" t="s">
        <v>238</v>
      </c>
      <c r="C114" s="1">
        <v>2017</v>
      </c>
      <c r="D114" s="1">
        <v>105935449</v>
      </c>
      <c r="E114" s="1" t="s">
        <v>67</v>
      </c>
      <c r="F114" s="1">
        <v>107524508</v>
      </c>
      <c r="G114" s="1" t="s">
        <v>70</v>
      </c>
      <c r="H114" s="1">
        <v>866004183</v>
      </c>
      <c r="I114" s="4" t="str">
        <f>VLOOKUP($A114,能源品种参考表!$A:$E,5,FALSE)</f>
        <v>petroleum diesel</v>
      </c>
      <c r="J114">
        <f>D114*VLOOKUP($A114,能源品种参考表!$A:$I,6,FALSE)*VLOOKUP($A114,能源品种参考表!$A:$I,8,FALSE)</f>
        <v>3908961753085.394</v>
      </c>
    </row>
    <row r="115" spans="1:10" x14ac:dyDescent="0.15">
      <c r="A115">
        <v>27101999</v>
      </c>
      <c r="B115" s="1" t="s">
        <v>238</v>
      </c>
      <c r="C115" s="1">
        <v>2018</v>
      </c>
      <c r="D115" s="1">
        <v>7607786</v>
      </c>
      <c r="E115" s="1" t="s">
        <v>67</v>
      </c>
      <c r="F115" s="1">
        <v>7721889</v>
      </c>
      <c r="G115" s="1" t="s">
        <v>70</v>
      </c>
      <c r="H115" s="1">
        <v>73552876</v>
      </c>
      <c r="I115" s="4" t="str">
        <f>VLOOKUP($A115,能源品种参考表!$A:$E,5,FALSE)</f>
        <v>petroleum diesel</v>
      </c>
      <c r="J115">
        <f>D115*VLOOKUP($A115,能源品种参考表!$A:$I,6,FALSE)*VLOOKUP($A115,能源品种参考表!$A:$I,8,FALSE)</f>
        <v>280723259120.35846</v>
      </c>
    </row>
    <row r="116" spans="1:10" x14ac:dyDescent="0.15">
      <c r="A116">
        <v>27101999</v>
      </c>
      <c r="B116" s="1" t="s">
        <v>238</v>
      </c>
      <c r="C116" s="1">
        <v>2019</v>
      </c>
      <c r="D116" s="1">
        <v>77268591</v>
      </c>
      <c r="E116" s="1" t="s">
        <v>67</v>
      </c>
      <c r="F116" s="1">
        <v>78427650</v>
      </c>
      <c r="G116" s="1" t="s">
        <v>70</v>
      </c>
      <c r="H116" s="1">
        <v>765968662</v>
      </c>
      <c r="I116" s="4" t="str">
        <f>VLOOKUP($A116,能源品种参考表!$A:$E,5,FALSE)</f>
        <v>petroleum diesel</v>
      </c>
      <c r="J116">
        <f>D116*VLOOKUP($A116,能源品种参考表!$A:$I,6,FALSE)*VLOOKUP($A116,能源品种参考表!$A:$I,8,FALSE)</f>
        <v>2851169932114.0205</v>
      </c>
    </row>
    <row r="117" spans="1:10" x14ac:dyDescent="0.15">
      <c r="A117">
        <v>27101999</v>
      </c>
      <c r="B117" s="1" t="s">
        <v>238</v>
      </c>
      <c r="C117" s="1">
        <v>2020</v>
      </c>
      <c r="D117" s="1">
        <v>91442480</v>
      </c>
      <c r="E117" s="1" t="s">
        <v>67</v>
      </c>
      <c r="F117" s="1">
        <v>92814174</v>
      </c>
      <c r="G117" s="1" t="s">
        <v>70</v>
      </c>
      <c r="H117" s="1">
        <v>824403315</v>
      </c>
      <c r="I117" s="4" t="str">
        <f>VLOOKUP($A117,能源品种参考表!$A:$E,5,FALSE)</f>
        <v>petroleum diesel</v>
      </c>
      <c r="J117">
        <f>D117*VLOOKUP($A117,能源品种参考表!$A:$I,6,FALSE)*VLOOKUP($A117,能源品种参考表!$A:$I,8,FALSE)</f>
        <v>3374178901410.7642</v>
      </c>
    </row>
    <row r="118" spans="1:10" x14ac:dyDescent="0.15">
      <c r="A118">
        <v>27101999</v>
      </c>
      <c r="B118" s="1" t="s">
        <v>238</v>
      </c>
      <c r="C118" s="1">
        <v>2021</v>
      </c>
      <c r="D118" s="1">
        <v>7445775</v>
      </c>
      <c r="E118" s="1" t="s">
        <v>67</v>
      </c>
      <c r="F118" s="1">
        <v>7557468</v>
      </c>
      <c r="G118" s="1" t="s">
        <v>70</v>
      </c>
      <c r="H118" s="1">
        <v>65449050</v>
      </c>
      <c r="I118" s="4" t="str">
        <f>VLOOKUP($A118,能源品种参考表!$A:$E,5,FALSE)</f>
        <v>petroleum diesel</v>
      </c>
      <c r="J118">
        <f>D118*VLOOKUP($A118,能源品种参考表!$A:$I,6,FALSE)*VLOOKUP($A118,能源品种参考表!$A:$I,8,FALSE)</f>
        <v>274745139344.99301</v>
      </c>
    </row>
    <row r="119" spans="1:10" x14ac:dyDescent="0.15">
      <c r="A119">
        <v>27101999</v>
      </c>
      <c r="B119" s="1" t="s">
        <v>238</v>
      </c>
      <c r="C119" s="1">
        <v>2022</v>
      </c>
      <c r="D119" s="1">
        <v>161658367</v>
      </c>
      <c r="E119" s="1" t="s">
        <v>67</v>
      </c>
      <c r="F119" s="1">
        <v>164085243</v>
      </c>
      <c r="G119" s="1" t="s">
        <v>70</v>
      </c>
      <c r="H119" s="1">
        <v>1179312991</v>
      </c>
      <c r="I119" s="4" t="str">
        <f>VLOOKUP($A119,能源品种参考表!$A:$E,5,FALSE)</f>
        <v>petroleum diesel</v>
      </c>
      <c r="J119">
        <f>D119*VLOOKUP($A119,能源品种参考表!$A:$I,6,FALSE)*VLOOKUP($A119,能源品种参考表!$A:$I,8,FALSE)</f>
        <v>5965107805124.251</v>
      </c>
    </row>
    <row r="120" spans="1:10" x14ac:dyDescent="0.15">
      <c r="A120">
        <v>27102000</v>
      </c>
      <c r="B120" s="1" t="s">
        <v>251</v>
      </c>
      <c r="C120" s="1">
        <v>2017</v>
      </c>
      <c r="D120" s="1">
        <v>193199</v>
      </c>
      <c r="E120" s="1" t="s">
        <v>67</v>
      </c>
      <c r="F120" s="1">
        <v>219039</v>
      </c>
      <c r="G120" s="1" t="s">
        <v>70</v>
      </c>
      <c r="H120" s="1">
        <v>3335227</v>
      </c>
      <c r="I120" s="4" t="e">
        <f>VLOOKUP($A120,能源品种参考表!$A:$E,5,FALSE)</f>
        <v>#N/A</v>
      </c>
      <c r="J120" t="e">
        <f>D120*VLOOKUP($A120,能源品种参考表!$A:$I,6,FALSE)*VLOOKUP($A120,能源品种参考表!$A:$I,8,FALSE)</f>
        <v>#N/A</v>
      </c>
    </row>
    <row r="121" spans="1:10" x14ac:dyDescent="0.15">
      <c r="A121">
        <v>27102000</v>
      </c>
      <c r="B121" s="1" t="s">
        <v>251</v>
      </c>
      <c r="C121" s="1">
        <v>2018</v>
      </c>
      <c r="D121" s="1">
        <v>203737</v>
      </c>
      <c r="E121" s="1" t="s">
        <v>67</v>
      </c>
      <c r="F121" s="1">
        <v>228794</v>
      </c>
      <c r="G121" s="1" t="s">
        <v>70</v>
      </c>
      <c r="H121" s="1">
        <v>2884149</v>
      </c>
      <c r="I121" s="4" t="e">
        <f>VLOOKUP($A121,能源品种参考表!$A:$E,5,FALSE)</f>
        <v>#N/A</v>
      </c>
      <c r="J121" t="e">
        <f>D121*VLOOKUP($A121,能源品种参考表!$A:$I,6,FALSE)*VLOOKUP($A121,能源品种参考表!$A:$I,8,FALSE)</f>
        <v>#N/A</v>
      </c>
    </row>
    <row r="122" spans="1:10" x14ac:dyDescent="0.15">
      <c r="A122">
        <v>27102000</v>
      </c>
      <c r="B122" s="1" t="s">
        <v>251</v>
      </c>
      <c r="C122" s="1">
        <v>2019</v>
      </c>
      <c r="D122" s="1">
        <v>41095</v>
      </c>
      <c r="E122" s="1" t="s">
        <v>67</v>
      </c>
      <c r="F122" s="1">
        <v>72960</v>
      </c>
      <c r="G122" s="1" t="s">
        <v>70</v>
      </c>
      <c r="H122" s="1">
        <v>526255</v>
      </c>
      <c r="I122" s="4" t="e">
        <f>VLOOKUP($A122,能源品种参考表!$A:$E,5,FALSE)</f>
        <v>#N/A</v>
      </c>
      <c r="J122" t="e">
        <f>D122*VLOOKUP($A122,能源品种参考表!$A:$I,6,FALSE)*VLOOKUP($A122,能源品种参考表!$A:$I,8,FALSE)</f>
        <v>#N/A</v>
      </c>
    </row>
    <row r="123" spans="1:10" x14ac:dyDescent="0.15">
      <c r="A123">
        <v>27102000</v>
      </c>
      <c r="B123" s="1" t="s">
        <v>251</v>
      </c>
      <c r="C123" s="1">
        <v>2020</v>
      </c>
      <c r="D123" s="1">
        <v>842577</v>
      </c>
      <c r="E123" s="1" t="s">
        <v>67</v>
      </c>
      <c r="F123" s="1">
        <v>930717</v>
      </c>
      <c r="G123" s="1" t="s">
        <v>70</v>
      </c>
      <c r="H123" s="1">
        <v>7896388</v>
      </c>
      <c r="I123" s="4" t="e">
        <f>VLOOKUP($A123,能源品种参考表!$A:$E,5,FALSE)</f>
        <v>#N/A</v>
      </c>
      <c r="J123" t="e">
        <f>D123*VLOOKUP($A123,能源品种参考表!$A:$I,6,FALSE)*VLOOKUP($A123,能源品种参考表!$A:$I,8,FALSE)</f>
        <v>#N/A</v>
      </c>
    </row>
    <row r="124" spans="1:10" x14ac:dyDescent="0.15">
      <c r="A124">
        <v>27102000</v>
      </c>
      <c r="B124" s="1" t="s">
        <v>251</v>
      </c>
      <c r="C124" s="1">
        <v>2021</v>
      </c>
      <c r="D124" s="1">
        <v>123491</v>
      </c>
      <c r="E124" s="1" t="s">
        <v>67</v>
      </c>
      <c r="F124" s="1">
        <v>142485</v>
      </c>
      <c r="G124" s="1" t="s">
        <v>70</v>
      </c>
      <c r="H124" s="1">
        <v>1626366</v>
      </c>
      <c r="I124" s="4" t="e">
        <f>VLOOKUP($A124,能源品种参考表!$A:$E,5,FALSE)</f>
        <v>#N/A</v>
      </c>
      <c r="J124" t="e">
        <f>D124*VLOOKUP($A124,能源品种参考表!$A:$I,6,FALSE)*VLOOKUP($A124,能源品种参考表!$A:$I,8,FALSE)</f>
        <v>#N/A</v>
      </c>
    </row>
    <row r="125" spans="1:10" x14ac:dyDescent="0.15">
      <c r="A125">
        <v>27102000</v>
      </c>
      <c r="B125" s="1" t="s">
        <v>251</v>
      </c>
      <c r="C125" s="1">
        <v>2022</v>
      </c>
      <c r="D125" s="1">
        <v>25077149</v>
      </c>
      <c r="E125" s="1" t="s">
        <v>67</v>
      </c>
      <c r="F125" s="1">
        <v>30082112</v>
      </c>
      <c r="G125" s="1" t="s">
        <v>70</v>
      </c>
      <c r="H125" s="1">
        <v>115254953</v>
      </c>
      <c r="I125" s="4" t="e">
        <f>VLOOKUP($A125,能源品种参考表!$A:$E,5,FALSE)</f>
        <v>#N/A</v>
      </c>
      <c r="J125" t="e">
        <f>D125*VLOOKUP($A125,能源品种参考表!$A:$I,6,FALSE)*VLOOKUP($A125,能源品种参考表!$A:$I,8,FALSE)</f>
        <v>#N/A</v>
      </c>
    </row>
    <row r="126" spans="1:10" x14ac:dyDescent="0.15">
      <c r="A126">
        <v>27111100</v>
      </c>
      <c r="B126" s="1" t="s">
        <v>60</v>
      </c>
      <c r="C126" s="1">
        <v>2019</v>
      </c>
      <c r="D126" s="1">
        <v>60191156119</v>
      </c>
      <c r="E126" s="1" t="s">
        <v>67</v>
      </c>
      <c r="F126" s="1">
        <v>0</v>
      </c>
      <c r="G126" s="1" t="s">
        <v>68</v>
      </c>
      <c r="H126" s="2">
        <v>197431042474</v>
      </c>
      <c r="I126" s="4" t="str">
        <f>VLOOKUP($A126,能源品种参考表!$A:$E,5,FALSE)</f>
        <v>natural gas</v>
      </c>
      <c r="J126">
        <f>D126*VLOOKUP($A126,能源品种参考表!$A:$I,6,FALSE)*VLOOKUP($A126,能源品种参考表!$A:$I,8,FALSE)</f>
        <v>2934320418985067</v>
      </c>
    </row>
    <row r="127" spans="1:10" x14ac:dyDescent="0.15">
      <c r="A127">
        <v>27111100</v>
      </c>
      <c r="B127" s="1" t="s">
        <v>60</v>
      </c>
      <c r="C127" s="1">
        <v>2020</v>
      </c>
      <c r="D127" s="1">
        <v>66697269994</v>
      </c>
      <c r="E127" s="1" t="s">
        <v>67</v>
      </c>
      <c r="F127" s="1">
        <v>0</v>
      </c>
      <c r="G127" s="1" t="s">
        <v>68</v>
      </c>
      <c r="H127" s="1">
        <v>160716975361</v>
      </c>
      <c r="I127" s="4" t="str">
        <f>VLOOKUP($A127,能源品种参考表!$A:$E,5,FALSE)</f>
        <v>natural gas</v>
      </c>
      <c r="J127">
        <f>D127*VLOOKUP($A127,能源品种参考表!$A:$I,6,FALSE)*VLOOKUP($A127,能源品种参考表!$A:$I,8,FALSE)</f>
        <v>3251493638816747.5</v>
      </c>
    </row>
    <row r="128" spans="1:10" x14ac:dyDescent="0.15">
      <c r="A128">
        <v>27111100</v>
      </c>
      <c r="B128" s="1" t="s">
        <v>60</v>
      </c>
      <c r="C128" s="1">
        <v>2021</v>
      </c>
      <c r="D128" s="1">
        <v>78789452889</v>
      </c>
      <c r="E128" s="1" t="s">
        <v>67</v>
      </c>
      <c r="F128" s="1">
        <v>0</v>
      </c>
      <c r="G128" s="1" t="s">
        <v>68</v>
      </c>
      <c r="H128" s="1">
        <v>284341483460</v>
      </c>
      <c r="I128" s="4" t="str">
        <f>VLOOKUP($A128,能源品种参考表!$A:$E,5,FALSE)</f>
        <v>natural gas</v>
      </c>
      <c r="J128">
        <f>D128*VLOOKUP($A128,能源品种参考表!$A:$I,6,FALSE)*VLOOKUP($A128,能源品种参考表!$A:$I,8,FALSE)</f>
        <v>3840987867981421</v>
      </c>
    </row>
    <row r="129" spans="1:10" x14ac:dyDescent="0.15">
      <c r="A129">
        <v>27111100</v>
      </c>
      <c r="B129" s="1" t="s">
        <v>60</v>
      </c>
      <c r="C129" s="1">
        <v>2022</v>
      </c>
      <c r="D129" s="1">
        <v>63442464335</v>
      </c>
      <c r="E129" s="1" t="s">
        <v>67</v>
      </c>
      <c r="F129" s="1">
        <v>0</v>
      </c>
      <c r="G129" s="1" t="s">
        <v>68</v>
      </c>
      <c r="H129" s="1">
        <v>348837151615</v>
      </c>
      <c r="I129" s="4" t="str">
        <f>VLOOKUP($A129,能源品种参考表!$A:$E,5,FALSE)</f>
        <v>natural gas</v>
      </c>
      <c r="J129">
        <f>D129*VLOOKUP($A129,能源品种参考表!$A:$I,6,FALSE)*VLOOKUP($A129,能源品种参考表!$A:$I,8,FALSE)</f>
        <v>3092821778682512.5</v>
      </c>
    </row>
    <row r="130" spans="1:10" x14ac:dyDescent="0.15">
      <c r="A130">
        <v>27111990</v>
      </c>
      <c r="B130" s="1" t="s">
        <v>58</v>
      </c>
      <c r="C130" s="1">
        <v>2019</v>
      </c>
      <c r="D130" s="1">
        <v>140168662</v>
      </c>
      <c r="E130" s="1" t="s">
        <v>67</v>
      </c>
      <c r="F130" s="1">
        <v>0</v>
      </c>
      <c r="G130" s="1" t="s">
        <v>68</v>
      </c>
      <c r="H130" s="2">
        <v>403700524</v>
      </c>
      <c r="I130" s="4" t="str">
        <f>VLOOKUP($A130,能源品种参考表!$A:$E,5,FALSE)</f>
        <v>LPG propane or butane</v>
      </c>
      <c r="J130">
        <f>D130*VLOOKUP($A130,能源品种参考表!$A:$I,6,FALSE)*VLOOKUP($A130,能源品种参考表!$A:$I,8,FALSE)</f>
        <v>6666493807411.2383</v>
      </c>
    </row>
    <row r="131" spans="1:10" x14ac:dyDescent="0.15">
      <c r="A131">
        <v>27111990</v>
      </c>
      <c r="B131" s="1" t="s">
        <v>58</v>
      </c>
      <c r="C131" s="1">
        <v>2020</v>
      </c>
      <c r="D131" s="1">
        <v>4272545</v>
      </c>
      <c r="E131" s="1" t="s">
        <v>67</v>
      </c>
      <c r="F131" s="1">
        <v>0</v>
      </c>
      <c r="G131" s="1" t="s">
        <v>68</v>
      </c>
      <c r="H131" s="1">
        <v>10855858</v>
      </c>
      <c r="I131" s="4" t="str">
        <f>VLOOKUP($A131,能源品种参考表!$A:$E,5,FALSE)</f>
        <v>LPG propane or butane</v>
      </c>
      <c r="J131">
        <f>D131*VLOOKUP($A131,能源品种参考表!$A:$I,6,FALSE)*VLOOKUP($A131,能源品种参考表!$A:$I,8,FALSE)</f>
        <v>203204442262.46411</v>
      </c>
    </row>
    <row r="132" spans="1:10" x14ac:dyDescent="0.15">
      <c r="A132">
        <v>27111990</v>
      </c>
      <c r="B132" s="1" t="s">
        <v>58</v>
      </c>
      <c r="C132" s="1">
        <v>2021</v>
      </c>
      <c r="D132" s="1">
        <v>9060</v>
      </c>
      <c r="E132" s="1" t="s">
        <v>67</v>
      </c>
      <c r="F132" s="1">
        <v>0</v>
      </c>
      <c r="G132" s="1" t="s">
        <v>68</v>
      </c>
      <c r="H132" s="1">
        <v>1010011</v>
      </c>
      <c r="I132" s="4" t="str">
        <f>VLOOKUP($A132,能源品种参考表!$A:$E,5,FALSE)</f>
        <v>LPG propane or butane</v>
      </c>
      <c r="J132">
        <f>D132*VLOOKUP($A132,能源品种参考表!$A:$I,6,FALSE)*VLOOKUP($A132,能源品种参考表!$A:$I,8,FALSE)</f>
        <v>430898269.50867105</v>
      </c>
    </row>
    <row r="133" spans="1:10" x14ac:dyDescent="0.15">
      <c r="A133">
        <v>27111990</v>
      </c>
      <c r="B133" s="1" t="s">
        <v>58</v>
      </c>
      <c r="C133" s="1">
        <v>2022</v>
      </c>
      <c r="D133" s="1">
        <v>9764</v>
      </c>
      <c r="E133" s="1" t="s">
        <v>67</v>
      </c>
      <c r="F133" s="1">
        <v>0</v>
      </c>
      <c r="G133" s="1" t="s">
        <v>68</v>
      </c>
      <c r="H133" s="1">
        <v>903978</v>
      </c>
      <c r="I133" s="4" t="str">
        <f>VLOOKUP($A133,能源品种参考表!$A:$E,5,FALSE)</f>
        <v>LPG propane or butane</v>
      </c>
      <c r="J133">
        <f>D133*VLOOKUP($A133,能源品种参考表!$A:$I,6,FALSE)*VLOOKUP($A133,能源品种参考表!$A:$I,8,FALSE)</f>
        <v>464380872.34907991</v>
      </c>
    </row>
    <row r="134" spans="1:10" x14ac:dyDescent="0.15">
      <c r="A134">
        <v>27112100</v>
      </c>
      <c r="B134" s="1" t="s">
        <v>59</v>
      </c>
      <c r="C134" s="1">
        <v>2019</v>
      </c>
      <c r="D134" s="1">
        <v>36314152106</v>
      </c>
      <c r="E134" s="1" t="s">
        <v>67</v>
      </c>
      <c r="F134" s="1">
        <v>0</v>
      </c>
      <c r="G134" s="1" t="s">
        <v>68</v>
      </c>
      <c r="H134" s="2">
        <v>89867710892</v>
      </c>
      <c r="I134" s="4" t="str">
        <f>VLOOKUP($A134,能源品种参考表!$A:$E,5,FALSE)</f>
        <v>natural gas</v>
      </c>
      <c r="J134">
        <f>D134*VLOOKUP($A134,能源品种参考表!$A:$I,6,FALSE)*VLOOKUP($A134,能源品种参考表!$A:$I,8,FALSE)</f>
        <v>1770315855241221.8</v>
      </c>
    </row>
    <row r="135" spans="1:10" x14ac:dyDescent="0.15">
      <c r="A135">
        <v>27112100</v>
      </c>
      <c r="B135" s="1" t="s">
        <v>59</v>
      </c>
      <c r="C135" s="1">
        <v>2020</v>
      </c>
      <c r="D135" s="1">
        <v>34531074889</v>
      </c>
      <c r="E135" s="1" t="s">
        <v>67</v>
      </c>
      <c r="F135" s="1">
        <v>0</v>
      </c>
      <c r="G135" s="1" t="s">
        <v>68</v>
      </c>
      <c r="H135" s="1">
        <v>69709783936</v>
      </c>
      <c r="I135" s="4" t="str">
        <f>VLOOKUP($A135,能源品种参考表!$A:$E,5,FALSE)</f>
        <v>natural gas</v>
      </c>
      <c r="J135">
        <f>D135*VLOOKUP($A135,能源品种参考表!$A:$I,6,FALSE)*VLOOKUP($A135,能源品种参考表!$A:$I,8,FALSE)</f>
        <v>1683390794753496.8</v>
      </c>
    </row>
    <row r="136" spans="1:10" x14ac:dyDescent="0.15">
      <c r="A136">
        <v>27112100</v>
      </c>
      <c r="B136" s="1" t="s">
        <v>59</v>
      </c>
      <c r="C136" s="1">
        <v>2021</v>
      </c>
      <c r="D136" s="1">
        <v>42479670901</v>
      </c>
      <c r="E136" s="1" t="s">
        <v>67</v>
      </c>
      <c r="F136" s="1">
        <v>0</v>
      </c>
      <c r="G136" s="1" t="s">
        <v>68</v>
      </c>
      <c r="H136" s="1">
        <v>75186573983</v>
      </c>
      <c r="I136" s="4" t="str">
        <f>VLOOKUP($A136,能源品种参考表!$A:$E,5,FALSE)</f>
        <v>natural gas</v>
      </c>
      <c r="J136">
        <f>D136*VLOOKUP($A136,能源品种参考表!$A:$I,6,FALSE)*VLOOKUP($A136,能源品种参考表!$A:$I,8,FALSE)</f>
        <v>2070885056105830.3</v>
      </c>
    </row>
    <row r="137" spans="1:10" x14ac:dyDescent="0.15">
      <c r="A137">
        <v>27112100</v>
      </c>
      <c r="B137" s="1" t="s">
        <v>59</v>
      </c>
      <c r="C137" s="1">
        <v>2022</v>
      </c>
      <c r="D137" s="1">
        <v>45805232804</v>
      </c>
      <c r="E137" s="1" t="s">
        <v>67</v>
      </c>
      <c r="F137" s="1">
        <v>0</v>
      </c>
      <c r="G137" s="1" t="s">
        <v>68</v>
      </c>
      <c r="H137" s="1">
        <v>119449965599</v>
      </c>
      <c r="I137" s="4" t="str">
        <f>VLOOKUP($A137,能源品种参考表!$A:$E,5,FALSE)</f>
        <v>natural gas</v>
      </c>
      <c r="J137">
        <f>D137*VLOOKUP($A137,能源品种参考表!$A:$I,6,FALSE)*VLOOKUP($A137,能源品种参考表!$A:$I,8,FALSE)</f>
        <v>2233006284966749.5</v>
      </c>
    </row>
    <row r="138" spans="1:10" x14ac:dyDescent="0.15">
      <c r="A138">
        <v>27122000</v>
      </c>
      <c r="B138" s="1" t="s">
        <v>44</v>
      </c>
      <c r="C138" s="1">
        <v>2019</v>
      </c>
      <c r="D138" s="1">
        <v>9324880</v>
      </c>
      <c r="E138" s="1" t="s">
        <v>67</v>
      </c>
      <c r="F138" s="1">
        <v>0</v>
      </c>
      <c r="G138" s="1" t="s">
        <v>68</v>
      </c>
      <c r="H138" s="2">
        <v>134458361</v>
      </c>
      <c r="I138" s="4" t="str">
        <f>VLOOKUP($A138,能源品种参考表!$A:$E,5,FALSE)</f>
        <v>LPG propane or butane</v>
      </c>
      <c r="J138">
        <f>D138*VLOOKUP($A138,能源品种参考表!$A:$I,6,FALSE)*VLOOKUP($A138,能源品种参考表!$A:$I,8,FALSE)</f>
        <v>352868366162.79602</v>
      </c>
    </row>
    <row r="139" spans="1:10" x14ac:dyDescent="0.15">
      <c r="A139">
        <v>27122000</v>
      </c>
      <c r="B139" s="1" t="s">
        <v>44</v>
      </c>
      <c r="C139" s="1">
        <v>2020</v>
      </c>
      <c r="D139" s="1">
        <v>21608206</v>
      </c>
      <c r="E139" s="1" t="s">
        <v>67</v>
      </c>
      <c r="F139" s="1">
        <v>0</v>
      </c>
      <c r="G139" s="1" t="s">
        <v>68</v>
      </c>
      <c r="H139" s="1">
        <v>252346700</v>
      </c>
      <c r="I139" s="4" t="str">
        <f>VLOOKUP($A139,能源品种参考表!$A:$E,5,FALSE)</f>
        <v>LPG propane or butane</v>
      </c>
      <c r="J139">
        <f>D139*VLOOKUP($A139,能源品种参考表!$A:$I,6,FALSE)*VLOOKUP($A139,能源品种参考表!$A:$I,8,FALSE)</f>
        <v>817689058403.875</v>
      </c>
    </row>
    <row r="140" spans="1:10" x14ac:dyDescent="0.15">
      <c r="A140">
        <v>27122000</v>
      </c>
      <c r="B140" s="1" t="s">
        <v>44</v>
      </c>
      <c r="C140" s="1">
        <v>2021</v>
      </c>
      <c r="D140" s="1">
        <v>20314288</v>
      </c>
      <c r="E140" s="1" t="s">
        <v>67</v>
      </c>
      <c r="F140" s="1">
        <v>0</v>
      </c>
      <c r="G140" s="1" t="s">
        <v>68</v>
      </c>
      <c r="H140" s="1">
        <v>245459149</v>
      </c>
      <c r="I140" s="4" t="str">
        <f>VLOOKUP($A140,能源品种参考表!$A:$E,5,FALSE)</f>
        <v>LPG propane or butane</v>
      </c>
      <c r="J140">
        <f>D140*VLOOKUP($A140,能源品种参考表!$A:$I,6,FALSE)*VLOOKUP($A140,能源品种参考表!$A:$I,8,FALSE)</f>
        <v>768725132797.47217</v>
      </c>
    </row>
    <row r="141" spans="1:10" x14ac:dyDescent="0.15">
      <c r="A141">
        <v>27122000</v>
      </c>
      <c r="B141" s="1" t="s">
        <v>44</v>
      </c>
      <c r="C141" s="1">
        <v>2022</v>
      </c>
      <c r="D141" s="1">
        <v>14478651</v>
      </c>
      <c r="E141" s="1" t="s">
        <v>67</v>
      </c>
      <c r="F141" s="1">
        <v>0</v>
      </c>
      <c r="G141" s="1" t="s">
        <v>68</v>
      </c>
      <c r="H141" s="1">
        <v>205197643</v>
      </c>
      <c r="I141" s="4" t="str">
        <f>VLOOKUP($A141,能源品种参考表!$A:$E,5,FALSE)</f>
        <v>LPG propane or butane</v>
      </c>
      <c r="J141">
        <f>D141*VLOOKUP($A141,能源品种参考表!$A:$I,6,FALSE)*VLOOKUP($A141,能源品种参考表!$A:$I,8,FALSE)</f>
        <v>547895299736.97595</v>
      </c>
    </row>
    <row r="142" spans="1:10" x14ac:dyDescent="0.15">
      <c r="A142">
        <v>27129010</v>
      </c>
      <c r="B142" s="1" t="s">
        <v>45</v>
      </c>
      <c r="C142" s="1">
        <v>2019</v>
      </c>
      <c r="D142" s="1">
        <v>13211625</v>
      </c>
      <c r="E142" s="1" t="s">
        <v>67</v>
      </c>
      <c r="F142" s="1">
        <v>0</v>
      </c>
      <c r="G142" s="1" t="s">
        <v>68</v>
      </c>
      <c r="H142" s="2">
        <v>167070144</v>
      </c>
      <c r="I142" s="4" t="str">
        <f>VLOOKUP($A142,能源品种参考表!$A:$E,5,FALSE)</f>
        <v>LPG propane or butane</v>
      </c>
      <c r="J142">
        <f>D142*VLOOKUP($A142,能源品种参考表!$A:$I,6,FALSE)*VLOOKUP($A142,能源品种参考表!$A:$I,8,FALSE)</f>
        <v>499949010400.72894</v>
      </c>
    </row>
    <row r="143" spans="1:10" x14ac:dyDescent="0.15">
      <c r="A143">
        <v>27129010</v>
      </c>
      <c r="B143" s="1" t="s">
        <v>45</v>
      </c>
      <c r="C143" s="1">
        <v>2020</v>
      </c>
      <c r="D143" s="1">
        <v>12775590</v>
      </c>
      <c r="E143" s="1" t="s">
        <v>67</v>
      </c>
      <c r="F143" s="1">
        <v>0</v>
      </c>
      <c r="G143" s="1" t="s">
        <v>68</v>
      </c>
      <c r="H143" s="1">
        <v>142801561</v>
      </c>
      <c r="I143" s="4" t="str">
        <f>VLOOKUP($A143,能源品种参考表!$A:$E,5,FALSE)</f>
        <v>LPG propane or butane</v>
      </c>
      <c r="J143">
        <f>D143*VLOOKUP($A143,能源品种参考表!$A:$I,6,FALSE)*VLOOKUP($A143,能源品种参考表!$A:$I,8,FALSE)</f>
        <v>483448748945.37573</v>
      </c>
    </row>
    <row r="144" spans="1:10" x14ac:dyDescent="0.15">
      <c r="A144">
        <v>27129010</v>
      </c>
      <c r="B144" s="1" t="s">
        <v>45</v>
      </c>
      <c r="C144" s="1">
        <v>2021</v>
      </c>
      <c r="D144" s="1">
        <v>14843583</v>
      </c>
      <c r="E144" s="1" t="s">
        <v>67</v>
      </c>
      <c r="F144" s="1">
        <v>0</v>
      </c>
      <c r="G144" s="1" t="s">
        <v>68</v>
      </c>
      <c r="H144" s="1">
        <v>172751156</v>
      </c>
      <c r="I144" s="4" t="str">
        <f>VLOOKUP($A144,能源品种参考表!$A:$E,5,FALSE)</f>
        <v>LPG propane or butane</v>
      </c>
      <c r="J144">
        <f>D144*VLOOKUP($A144,能源品种参考表!$A:$I,6,FALSE)*VLOOKUP($A144,能源品种参考表!$A:$I,8,FALSE)</f>
        <v>561704910005.47498</v>
      </c>
    </row>
    <row r="145" spans="1:10" x14ac:dyDescent="0.15">
      <c r="A145">
        <v>27129010</v>
      </c>
      <c r="B145" s="1" t="s">
        <v>45</v>
      </c>
      <c r="C145" s="1">
        <v>2022</v>
      </c>
      <c r="D145" s="1">
        <v>11115183</v>
      </c>
      <c r="E145" s="1" t="s">
        <v>67</v>
      </c>
      <c r="F145" s="1">
        <v>0</v>
      </c>
      <c r="G145" s="1" t="s">
        <v>68</v>
      </c>
      <c r="H145" s="1">
        <v>178544802</v>
      </c>
      <c r="I145" s="4" t="str">
        <f>VLOOKUP($A145,能源品种参考表!$A:$E,5,FALSE)</f>
        <v>LPG propane or butane</v>
      </c>
      <c r="J145">
        <f>D145*VLOOKUP($A145,能源品种参考表!$A:$I,6,FALSE)*VLOOKUP($A145,能源品种参考表!$A:$I,8,FALSE)</f>
        <v>420616293701.41876</v>
      </c>
    </row>
    <row r="146" spans="1:10" x14ac:dyDescent="0.15">
      <c r="A146">
        <v>27129090</v>
      </c>
      <c r="B146" s="1" t="s">
        <v>43</v>
      </c>
      <c r="C146" s="1">
        <v>2019</v>
      </c>
      <c r="D146" s="1">
        <v>75982860</v>
      </c>
      <c r="E146" s="1" t="s">
        <v>67</v>
      </c>
      <c r="F146" s="1">
        <v>0</v>
      </c>
      <c r="G146" s="1" t="s">
        <v>68</v>
      </c>
      <c r="H146" s="2">
        <v>552376719</v>
      </c>
      <c r="I146" s="4" t="str">
        <f>VLOOKUP($A146,能源品种参考表!$A:$E,5,FALSE)</f>
        <v>LPG propane or butane</v>
      </c>
      <c r="J146">
        <f>D146*VLOOKUP($A146,能源品种参考表!$A:$I,6,FALSE)*VLOOKUP($A146,能源品种参考表!$A:$I,8,FALSE)</f>
        <v>2875312890308.1289</v>
      </c>
    </row>
    <row r="147" spans="1:10" x14ac:dyDescent="0.15">
      <c r="A147">
        <v>27129090</v>
      </c>
      <c r="B147" s="1" t="s">
        <v>43</v>
      </c>
      <c r="C147" s="1">
        <v>2020</v>
      </c>
      <c r="D147" s="1">
        <v>79053082</v>
      </c>
      <c r="E147" s="1" t="s">
        <v>67</v>
      </c>
      <c r="F147" s="1">
        <v>0</v>
      </c>
      <c r="G147" s="1" t="s">
        <v>68</v>
      </c>
      <c r="H147" s="1">
        <v>453960007</v>
      </c>
      <c r="I147" s="4" t="str">
        <f>VLOOKUP($A147,能源品种参考表!$A:$E,5,FALSE)</f>
        <v>LPG propane or butane</v>
      </c>
      <c r="J147">
        <f>D147*VLOOKUP($A147,能源品种参考表!$A:$I,6,FALSE)*VLOOKUP($A147,能源品种参考表!$A:$I,8,FALSE)</f>
        <v>2991494998914.0386</v>
      </c>
    </row>
    <row r="148" spans="1:10" x14ac:dyDescent="0.15">
      <c r="A148">
        <v>27129090</v>
      </c>
      <c r="B148" s="1" t="s">
        <v>43</v>
      </c>
      <c r="C148" s="1">
        <v>2021</v>
      </c>
      <c r="D148" s="1">
        <v>70185425</v>
      </c>
      <c r="E148" s="1" t="s">
        <v>67</v>
      </c>
      <c r="F148" s="1">
        <v>0</v>
      </c>
      <c r="G148" s="1" t="s">
        <v>68</v>
      </c>
      <c r="H148" s="1">
        <v>453358335</v>
      </c>
      <c r="I148" s="4" t="str">
        <f>VLOOKUP($A148,能源品种参考表!$A:$E,5,FALSE)</f>
        <v>LPG propane or butane</v>
      </c>
      <c r="J148">
        <f>D148*VLOOKUP($A148,能源品种参考表!$A:$I,6,FALSE)*VLOOKUP($A148,能源品种参考表!$A:$I,8,FALSE)</f>
        <v>2655928681998.209</v>
      </c>
    </row>
    <row r="149" spans="1:10" x14ac:dyDescent="0.15">
      <c r="A149">
        <v>27129090</v>
      </c>
      <c r="B149" s="1" t="s">
        <v>43</v>
      </c>
      <c r="C149" s="1">
        <v>2022</v>
      </c>
      <c r="D149" s="1">
        <v>38842246</v>
      </c>
      <c r="E149" s="1" t="s">
        <v>67</v>
      </c>
      <c r="F149" s="1">
        <v>0</v>
      </c>
      <c r="G149" s="1" t="s">
        <v>68</v>
      </c>
      <c r="H149" s="1">
        <v>332726700</v>
      </c>
      <c r="I149" s="4" t="str">
        <f>VLOOKUP($A149,能源品种参考表!$A:$E,5,FALSE)</f>
        <v>LPG propane or butane</v>
      </c>
      <c r="J149">
        <f>D149*VLOOKUP($A149,能源品种参考表!$A:$I,6,FALSE)*VLOOKUP($A149,能源品种参考表!$A:$I,8,FALSE)</f>
        <v>1469852682727.6489</v>
      </c>
    </row>
    <row r="150" spans="1:10" x14ac:dyDescent="0.15">
      <c r="A150">
        <v>27131110</v>
      </c>
      <c r="B150" s="1" t="s">
        <v>39</v>
      </c>
      <c r="C150" s="1">
        <v>2019</v>
      </c>
      <c r="D150" s="1">
        <v>3576188651</v>
      </c>
      <c r="E150" s="1" t="s">
        <v>67</v>
      </c>
      <c r="F150" s="1">
        <v>0</v>
      </c>
      <c r="G150" s="1" t="s">
        <v>68</v>
      </c>
      <c r="H150" s="2">
        <v>4278232347</v>
      </c>
      <c r="I150" s="4" t="str">
        <f>VLOOKUP($A150,能源品种参考表!$A:$E,5,FALSE)</f>
        <v>petroleum diesel</v>
      </c>
      <c r="J150">
        <f>D150*VLOOKUP($A150,能源品种参考表!$A:$I,6,FALSE)*VLOOKUP($A150,能源品种参考表!$A:$I,8,FALSE)</f>
        <v>108286683433390.73</v>
      </c>
    </row>
    <row r="151" spans="1:10" x14ac:dyDescent="0.15">
      <c r="A151">
        <v>27131110</v>
      </c>
      <c r="B151" s="1" t="s">
        <v>39</v>
      </c>
      <c r="C151" s="1">
        <v>2020</v>
      </c>
      <c r="D151" s="1">
        <v>3217577787</v>
      </c>
      <c r="E151" s="1" t="s">
        <v>67</v>
      </c>
      <c r="F151" s="1">
        <v>0</v>
      </c>
      <c r="G151" s="1" t="s">
        <v>68</v>
      </c>
      <c r="H151" s="1">
        <v>2653102675</v>
      </c>
      <c r="I151" s="4" t="str">
        <f>VLOOKUP($A151,能源品种参考表!$A:$E,5,FALSE)</f>
        <v>petroleum diesel</v>
      </c>
      <c r="J151">
        <f>D151*VLOOKUP($A151,能源品种参考表!$A:$I,6,FALSE)*VLOOKUP($A151,能源品种参考表!$A:$I,8,FALSE)</f>
        <v>97427977449050.672</v>
      </c>
    </row>
    <row r="152" spans="1:10" x14ac:dyDescent="0.15">
      <c r="A152">
        <v>27131110</v>
      </c>
      <c r="B152" s="1" t="s">
        <v>39</v>
      </c>
      <c r="C152" s="1">
        <v>2021</v>
      </c>
      <c r="D152" s="1">
        <v>3570317735</v>
      </c>
      <c r="E152" s="1" t="s">
        <v>67</v>
      </c>
      <c r="F152" s="1">
        <v>0</v>
      </c>
      <c r="G152" s="1" t="s">
        <v>68</v>
      </c>
      <c r="H152" s="1">
        <v>5381188824</v>
      </c>
      <c r="I152" s="4" t="str">
        <f>VLOOKUP($A152,能源品种参考表!$A:$E,5,FALSE)</f>
        <v>petroleum diesel</v>
      </c>
      <c r="J152">
        <f>D152*VLOOKUP($A152,能源品种参考表!$A:$I,6,FALSE)*VLOOKUP($A152,能源品种参考表!$A:$I,8,FALSE)</f>
        <v>108108912604053.13</v>
      </c>
    </row>
    <row r="153" spans="1:10" x14ac:dyDescent="0.15">
      <c r="A153">
        <v>27131110</v>
      </c>
      <c r="B153" s="1" t="s">
        <v>39</v>
      </c>
      <c r="C153" s="1">
        <v>2022</v>
      </c>
      <c r="D153" s="1">
        <v>3666266951</v>
      </c>
      <c r="E153" s="1" t="s">
        <v>67</v>
      </c>
      <c r="F153" s="1">
        <v>0</v>
      </c>
      <c r="G153" s="1" t="s">
        <v>68</v>
      </c>
      <c r="H153" s="1">
        <v>12126509760</v>
      </c>
      <c r="I153" s="4" t="str">
        <f>VLOOKUP($A153,能源品种参考表!$A:$E,5,FALSE)</f>
        <v>petroleum diesel</v>
      </c>
      <c r="J153">
        <f>D153*VLOOKUP($A153,能源品种参考表!$A:$I,6,FALSE)*VLOOKUP($A153,能源品种参考表!$A:$I,8,FALSE)</f>
        <v>111014246576232.89</v>
      </c>
    </row>
    <row r="154" spans="1:10" x14ac:dyDescent="0.15">
      <c r="A154">
        <v>27131190</v>
      </c>
      <c r="B154" s="1" t="s">
        <v>37</v>
      </c>
      <c r="C154" s="1">
        <v>2019</v>
      </c>
      <c r="D154" s="1">
        <v>4510416485</v>
      </c>
      <c r="E154" s="1" t="s">
        <v>67</v>
      </c>
      <c r="F154" s="1">
        <v>0</v>
      </c>
      <c r="G154" s="1" t="s">
        <v>68</v>
      </c>
      <c r="H154" s="2">
        <v>2949821983</v>
      </c>
      <c r="I154" s="4" t="str">
        <f>VLOOKUP($A154,能源品种参考表!$A:$E,5,FALSE)</f>
        <v>petroleum diesel</v>
      </c>
      <c r="J154">
        <f>D154*VLOOKUP($A154,能源品种参考表!$A:$I,6,FALSE)*VLOOKUP($A154,能源品种参考表!$A:$I,8,FALSE)</f>
        <v>136575021546295.39</v>
      </c>
    </row>
    <row r="155" spans="1:10" x14ac:dyDescent="0.15">
      <c r="A155">
        <v>27131190</v>
      </c>
      <c r="B155" s="1" t="s">
        <v>37</v>
      </c>
      <c r="C155" s="1">
        <v>2020</v>
      </c>
      <c r="D155" s="1">
        <v>6888696025</v>
      </c>
      <c r="E155" s="1" t="s">
        <v>67</v>
      </c>
      <c r="F155" s="1">
        <v>0</v>
      </c>
      <c r="G155" s="1" t="s">
        <v>68</v>
      </c>
      <c r="H155" s="1">
        <v>3926638766</v>
      </c>
      <c r="I155" s="4" t="str">
        <f>VLOOKUP($A155,能源品种参考表!$A:$E,5,FALSE)</f>
        <v>petroleum diesel</v>
      </c>
      <c r="J155">
        <f>D155*VLOOKUP($A155,能源品种参考表!$A:$I,6,FALSE)*VLOOKUP($A155,能源品种参考表!$A:$I,8,FALSE)</f>
        <v>208589120576578.94</v>
      </c>
    </row>
    <row r="156" spans="1:10" x14ac:dyDescent="0.15">
      <c r="A156">
        <v>27131190</v>
      </c>
      <c r="B156" s="1" t="s">
        <v>37</v>
      </c>
      <c r="C156" s="1">
        <v>2021</v>
      </c>
      <c r="D156" s="1">
        <v>8945429090</v>
      </c>
      <c r="E156" s="1" t="s">
        <v>67</v>
      </c>
      <c r="F156" s="1">
        <v>0</v>
      </c>
      <c r="G156" s="1" t="s">
        <v>68</v>
      </c>
      <c r="H156" s="1">
        <v>9789346441</v>
      </c>
      <c r="I156" s="4" t="str">
        <f>VLOOKUP($A156,能源品种参考表!$A:$E,5,FALSE)</f>
        <v>petroleum diesel</v>
      </c>
      <c r="J156">
        <f>D156*VLOOKUP($A156,能源品种参考表!$A:$I,6,FALSE)*VLOOKUP($A156,能源品种参考表!$A:$I,8,FALSE)</f>
        <v>270866820119740.53</v>
      </c>
    </row>
    <row r="157" spans="1:10" x14ac:dyDescent="0.15">
      <c r="A157">
        <v>27131190</v>
      </c>
      <c r="B157" s="1" t="s">
        <v>37</v>
      </c>
      <c r="C157" s="1">
        <v>2022</v>
      </c>
      <c r="D157" s="1">
        <v>11174320757</v>
      </c>
      <c r="E157" s="1" t="s">
        <v>67</v>
      </c>
      <c r="F157" s="1">
        <v>0</v>
      </c>
      <c r="G157" s="1" t="s">
        <v>68</v>
      </c>
      <c r="H157" s="1">
        <v>19313577823</v>
      </c>
      <c r="I157" s="4" t="str">
        <f>VLOOKUP($A157,能源品种参考表!$A:$E,5,FALSE)</f>
        <v>petroleum diesel</v>
      </c>
      <c r="J157">
        <f>D157*VLOOKUP($A157,能源品种参考表!$A:$I,6,FALSE)*VLOOKUP($A157,能源品种参考表!$A:$I,8,FALSE)</f>
        <v>338357467260030.81</v>
      </c>
    </row>
    <row r="158" spans="1:10" x14ac:dyDescent="0.15">
      <c r="A158">
        <v>27131210</v>
      </c>
      <c r="B158" s="1" t="s">
        <v>40</v>
      </c>
      <c r="C158" s="1">
        <v>2019</v>
      </c>
      <c r="D158" s="1">
        <v>160990403</v>
      </c>
      <c r="E158" s="1" t="s">
        <v>67</v>
      </c>
      <c r="F158" s="1">
        <v>0</v>
      </c>
      <c r="G158" s="1" t="s">
        <v>68</v>
      </c>
      <c r="H158" s="2">
        <v>3590885665</v>
      </c>
      <c r="I158" s="4" t="str">
        <f>VLOOKUP($A158,能源品种参考表!$A:$E,5,FALSE)</f>
        <v>petroleum diesel</v>
      </c>
      <c r="J158">
        <f>D158*VLOOKUP($A158,能源品种参考表!$A:$I,6,FALSE)*VLOOKUP($A158,能源品种参考表!$A:$I,8,FALSE)</f>
        <v>4874775496141.7441</v>
      </c>
    </row>
    <row r="159" spans="1:10" x14ac:dyDescent="0.15">
      <c r="A159">
        <v>27131210</v>
      </c>
      <c r="B159" s="1" t="s">
        <v>40</v>
      </c>
      <c r="C159" s="1">
        <v>2020</v>
      </c>
      <c r="D159" s="1">
        <v>27457198</v>
      </c>
      <c r="E159" s="1" t="s">
        <v>67</v>
      </c>
      <c r="F159" s="1">
        <v>0</v>
      </c>
      <c r="G159" s="1" t="s">
        <v>68</v>
      </c>
      <c r="H159" s="1">
        <v>213134619</v>
      </c>
      <c r="I159" s="4" t="str">
        <f>VLOOKUP($A159,能源品种参考表!$A:$E,5,FALSE)</f>
        <v>petroleum diesel</v>
      </c>
      <c r="J159">
        <f>D159*VLOOKUP($A159,能源品种参考表!$A:$I,6,FALSE)*VLOOKUP($A159,能源品种参考表!$A:$I,8,FALSE)</f>
        <v>831401583628.01355</v>
      </c>
    </row>
    <row r="160" spans="1:10" x14ac:dyDescent="0.15">
      <c r="A160">
        <v>27131210</v>
      </c>
      <c r="B160" s="1" t="s">
        <v>40</v>
      </c>
      <c r="C160" s="1">
        <v>2021</v>
      </c>
      <c r="D160" s="1">
        <v>101213798</v>
      </c>
      <c r="E160" s="1" t="s">
        <v>67</v>
      </c>
      <c r="F160" s="1">
        <v>0</v>
      </c>
      <c r="G160" s="1" t="s">
        <v>68</v>
      </c>
      <c r="H160" s="1">
        <v>638700548</v>
      </c>
      <c r="I160" s="4" t="str">
        <f>VLOOKUP($A160,能源品种参考表!$A:$E,5,FALSE)</f>
        <v>petroleum diesel</v>
      </c>
      <c r="J160">
        <f>D160*VLOOKUP($A160,能源品种参考表!$A:$I,6,FALSE)*VLOOKUP($A160,能源品种参考表!$A:$I,8,FALSE)</f>
        <v>3064745060373.8174</v>
      </c>
    </row>
    <row r="161" spans="1:10" x14ac:dyDescent="0.15">
      <c r="A161">
        <v>27131210</v>
      </c>
      <c r="B161" s="1" t="s">
        <v>40</v>
      </c>
      <c r="C161" s="1">
        <v>2022</v>
      </c>
      <c r="D161" s="1">
        <v>127837196</v>
      </c>
      <c r="E161" s="1" t="s">
        <v>67</v>
      </c>
      <c r="F161" s="1">
        <v>0</v>
      </c>
      <c r="G161" s="1" t="s">
        <v>68</v>
      </c>
      <c r="H161" s="1">
        <v>1318607031</v>
      </c>
      <c r="I161" s="4" t="str">
        <f>VLOOKUP($A161,能源品种参考表!$A:$E,5,FALSE)</f>
        <v>petroleum diesel</v>
      </c>
      <c r="J161">
        <f>D161*VLOOKUP($A161,能源品种参考表!$A:$I,6,FALSE)*VLOOKUP($A161,能源品种参考表!$A:$I,8,FALSE)</f>
        <v>3870899252027.2739</v>
      </c>
    </row>
    <row r="162" spans="1:10" x14ac:dyDescent="0.15">
      <c r="A162">
        <v>27131290</v>
      </c>
      <c r="B162" s="1" t="s">
        <v>38</v>
      </c>
      <c r="C162" s="1">
        <v>2019</v>
      </c>
      <c r="D162" s="1">
        <v>57572175</v>
      </c>
      <c r="E162" s="1" t="s">
        <v>67</v>
      </c>
      <c r="F162" s="1">
        <v>0</v>
      </c>
      <c r="G162" s="1" t="s">
        <v>68</v>
      </c>
      <c r="H162" s="2">
        <v>85069115</v>
      </c>
      <c r="I162" s="4" t="str">
        <f>VLOOKUP($A162,能源品种参考表!$A:$E,5,FALSE)</f>
        <v>petroleum diesel</v>
      </c>
      <c r="J162">
        <f>D162*VLOOKUP($A162,能源品种参考表!$A:$I,6,FALSE)*VLOOKUP($A162,能源品种参考表!$A:$I,8,FALSE)</f>
        <v>1743280485791.3442</v>
      </c>
    </row>
    <row r="163" spans="1:10" x14ac:dyDescent="0.15">
      <c r="A163">
        <v>27131290</v>
      </c>
      <c r="B163" s="1" t="s">
        <v>38</v>
      </c>
      <c r="C163" s="1">
        <v>2020</v>
      </c>
      <c r="D163" s="1">
        <v>142894541</v>
      </c>
      <c r="E163" s="1" t="s">
        <v>67</v>
      </c>
      <c r="F163" s="1">
        <v>0</v>
      </c>
      <c r="G163" s="1" t="s">
        <v>68</v>
      </c>
      <c r="H163" s="1">
        <v>147799516</v>
      </c>
      <c r="I163" s="4" t="str">
        <f>VLOOKUP($A163,能源品种参考表!$A:$E,5,FALSE)</f>
        <v>petroleum diesel</v>
      </c>
      <c r="J163">
        <f>D163*VLOOKUP($A163,能源品种参考表!$A:$I,6,FALSE)*VLOOKUP($A163,能源品种参考表!$A:$I,8,FALSE)</f>
        <v>4326834357941.3354</v>
      </c>
    </row>
    <row r="164" spans="1:10" x14ac:dyDescent="0.15">
      <c r="A164">
        <v>27131290</v>
      </c>
      <c r="B164" s="1" t="s">
        <v>38</v>
      </c>
      <c r="C164" s="1">
        <v>2021</v>
      </c>
      <c r="D164" s="1">
        <v>123900237</v>
      </c>
      <c r="E164" s="1" t="s">
        <v>67</v>
      </c>
      <c r="F164" s="1">
        <v>0</v>
      </c>
      <c r="G164" s="1" t="s">
        <v>68</v>
      </c>
      <c r="H164" s="1">
        <v>288158682</v>
      </c>
      <c r="I164" s="4" t="str">
        <f>VLOOKUP($A164,能源品种参考表!$A:$E,5,FALSE)</f>
        <v>petroleum diesel</v>
      </c>
      <c r="J164">
        <f>D164*VLOOKUP($A164,能源品种参考表!$A:$I,6,FALSE)*VLOOKUP($A164,能源品种参考表!$A:$I,8,FALSE)</f>
        <v>3751688473590.2842</v>
      </c>
    </row>
    <row r="165" spans="1:10" x14ac:dyDescent="0.15">
      <c r="A165">
        <v>27131290</v>
      </c>
      <c r="B165" s="1" t="s">
        <v>38</v>
      </c>
      <c r="C165" s="1">
        <v>2022</v>
      </c>
      <c r="D165" s="1">
        <v>122299547</v>
      </c>
      <c r="E165" s="1" t="s">
        <v>67</v>
      </c>
      <c r="F165" s="1">
        <v>0</v>
      </c>
      <c r="G165" s="1" t="s">
        <v>68</v>
      </c>
      <c r="H165" s="1">
        <v>426429374</v>
      </c>
      <c r="I165" s="4" t="str">
        <f>VLOOKUP($A165,能源品种参考表!$A:$E,5,FALSE)</f>
        <v>petroleum diesel</v>
      </c>
      <c r="J165">
        <f>D165*VLOOKUP($A165,能源品种参考表!$A:$I,6,FALSE)*VLOOKUP($A165,能源品种参考表!$A:$I,8,FALSE)</f>
        <v>3703219718661.3384</v>
      </c>
    </row>
    <row r="166" spans="1:10" x14ac:dyDescent="0.15">
      <c r="A166">
        <v>27132000</v>
      </c>
      <c r="B166" s="1" t="s">
        <v>42</v>
      </c>
      <c r="C166" s="1">
        <v>2019</v>
      </c>
      <c r="D166" s="1">
        <v>4283911998</v>
      </c>
      <c r="E166" s="1" t="s">
        <v>67</v>
      </c>
      <c r="F166" s="1">
        <v>0</v>
      </c>
      <c r="G166" s="1" t="s">
        <v>68</v>
      </c>
      <c r="H166" s="2">
        <v>12203593810</v>
      </c>
      <c r="I166" s="4" t="str">
        <f>VLOOKUP($A166,能源品种参考表!$A:$E,5,FALSE)</f>
        <v>petroleum diesel</v>
      </c>
      <c r="J166">
        <f>D166*VLOOKUP($A166,能源品种参考表!$A:$I,6,FALSE)*VLOOKUP($A166,能源品种参考表!$A:$I,8,FALSE)</f>
        <v>158074075409503.69</v>
      </c>
    </row>
    <row r="167" spans="1:10" x14ac:dyDescent="0.15">
      <c r="A167">
        <v>27132000</v>
      </c>
      <c r="B167" s="1" t="s">
        <v>42</v>
      </c>
      <c r="C167" s="1">
        <v>2020</v>
      </c>
      <c r="D167" s="1">
        <v>4759212175</v>
      </c>
      <c r="E167" s="1" t="s">
        <v>67</v>
      </c>
      <c r="F167" s="1">
        <v>0</v>
      </c>
      <c r="G167" s="1" t="s">
        <v>68</v>
      </c>
      <c r="H167" s="1">
        <v>10815240405</v>
      </c>
      <c r="I167" s="4" t="str">
        <f>VLOOKUP($A167,能源品种参考表!$A:$E,5,FALSE)</f>
        <v>petroleum diesel</v>
      </c>
      <c r="J167">
        <f>D167*VLOOKUP($A167,能源品种参考表!$A:$I,6,FALSE)*VLOOKUP($A167,能源品种参考表!$A:$I,8,FALSE)</f>
        <v>175612399272441.38</v>
      </c>
    </row>
    <row r="168" spans="1:10" x14ac:dyDescent="0.15">
      <c r="A168">
        <v>27132000</v>
      </c>
      <c r="B168" s="1" t="s">
        <v>42</v>
      </c>
      <c r="C168" s="1">
        <v>2021</v>
      </c>
      <c r="D168" s="1">
        <v>3208345743</v>
      </c>
      <c r="E168" s="1" t="s">
        <v>67</v>
      </c>
      <c r="F168" s="1">
        <v>0</v>
      </c>
      <c r="G168" s="1" t="s">
        <v>68</v>
      </c>
      <c r="H168" s="1">
        <v>8375008342</v>
      </c>
      <c r="I168" s="4" t="str">
        <f>VLOOKUP($A168,能源品种参考表!$A:$E,5,FALSE)</f>
        <v>petroleum diesel</v>
      </c>
      <c r="J168">
        <f>D168*VLOOKUP($A168,能源品种参考表!$A:$I,6,FALSE)*VLOOKUP($A168,能源品种参考表!$A:$I,8,FALSE)</f>
        <v>118386252368282.7</v>
      </c>
    </row>
    <row r="169" spans="1:10" x14ac:dyDescent="0.15">
      <c r="A169">
        <v>27132000</v>
      </c>
      <c r="B169" s="1" t="s">
        <v>42</v>
      </c>
      <c r="C169" s="1">
        <v>2022</v>
      </c>
      <c r="D169" s="1">
        <v>2932897534</v>
      </c>
      <c r="E169" s="1" t="s">
        <v>67</v>
      </c>
      <c r="F169" s="1">
        <v>0</v>
      </c>
      <c r="G169" s="1" t="s">
        <v>68</v>
      </c>
      <c r="H169" s="1">
        <v>10311384953</v>
      </c>
      <c r="I169" s="4" t="str">
        <f>VLOOKUP($A169,能源品种参考表!$A:$E,5,FALSE)</f>
        <v>petroleum diesel</v>
      </c>
      <c r="J169">
        <f>D169*VLOOKUP($A169,能源品种参考表!$A:$I,6,FALSE)*VLOOKUP($A169,能源品种参考表!$A:$I,8,FALSE)</f>
        <v>108222359883748.34</v>
      </c>
    </row>
    <row r="170" spans="1:10" x14ac:dyDescent="0.15">
      <c r="A170">
        <v>28041000</v>
      </c>
      <c r="B170" s="1" t="s">
        <v>226</v>
      </c>
      <c r="C170" s="1">
        <v>2017</v>
      </c>
      <c r="D170" s="1">
        <v>12</v>
      </c>
      <c r="E170" s="1" t="s">
        <v>67</v>
      </c>
      <c r="F170" s="1">
        <v>87</v>
      </c>
      <c r="G170" s="1" t="s">
        <v>237</v>
      </c>
      <c r="H170" s="1">
        <v>72849</v>
      </c>
      <c r="I170" s="4" t="str">
        <f>VLOOKUP($A170,能源品种参考表!$A:$E,5,FALSE)</f>
        <v>hydrogen</v>
      </c>
      <c r="J170">
        <f>D170*VLOOKUP($A170,能源品种参考表!$A:$I,6,FALSE)*VLOOKUP($A170,能源品种参考表!$A:$I,8,FALSE)</f>
        <v>11021.582601527682</v>
      </c>
    </row>
    <row r="171" spans="1:10" x14ac:dyDescent="0.15">
      <c r="A171">
        <v>28041000</v>
      </c>
      <c r="B171" s="1" t="s">
        <v>226</v>
      </c>
      <c r="C171" s="1">
        <v>2018</v>
      </c>
      <c r="D171" s="1">
        <v>7</v>
      </c>
      <c r="E171" s="1" t="s">
        <v>67</v>
      </c>
      <c r="F171" s="1">
        <v>26</v>
      </c>
      <c r="G171" s="1" t="s">
        <v>237</v>
      </c>
      <c r="H171" s="1">
        <v>25707</v>
      </c>
      <c r="I171" s="4" t="str">
        <f>VLOOKUP($A171,能源品种参考表!$A:$E,5,FALSE)</f>
        <v>hydrogen</v>
      </c>
      <c r="J171">
        <f>D171*VLOOKUP($A171,能源品种参考表!$A:$I,6,FALSE)*VLOOKUP($A171,能源品种参考表!$A:$I,8,FALSE)</f>
        <v>6429.2565175578147</v>
      </c>
    </row>
    <row r="172" spans="1:10" x14ac:dyDescent="0.15">
      <c r="A172">
        <v>28041000</v>
      </c>
      <c r="B172" s="1" t="s">
        <v>226</v>
      </c>
      <c r="C172" s="1">
        <v>2019</v>
      </c>
      <c r="D172" s="1">
        <v>5</v>
      </c>
      <c r="E172" s="1" t="s">
        <v>67</v>
      </c>
      <c r="F172" s="1">
        <v>58</v>
      </c>
      <c r="G172" s="1" t="s">
        <v>237</v>
      </c>
      <c r="H172" s="1">
        <v>10549</v>
      </c>
      <c r="I172" s="4" t="str">
        <f>VLOOKUP($A172,能源品种参考表!$A:$E,5,FALSE)</f>
        <v>hydrogen</v>
      </c>
      <c r="J172">
        <f>D172*VLOOKUP($A172,能源品种参考表!$A:$I,6,FALSE)*VLOOKUP($A172,能源品种参考表!$A:$I,8,FALSE)</f>
        <v>4592.3260839698678</v>
      </c>
    </row>
    <row r="173" spans="1:10" x14ac:dyDescent="0.15">
      <c r="A173">
        <v>28041000</v>
      </c>
      <c r="B173" s="1" t="s">
        <v>226</v>
      </c>
      <c r="C173" s="1">
        <v>2020</v>
      </c>
      <c r="D173" s="1">
        <v>318</v>
      </c>
      <c r="E173" s="1" t="s">
        <v>67</v>
      </c>
      <c r="F173" s="1">
        <v>1809</v>
      </c>
      <c r="G173" s="1" t="s">
        <v>237</v>
      </c>
      <c r="H173" s="1">
        <v>2510832</v>
      </c>
      <c r="I173" s="4" t="str">
        <f>VLOOKUP($A173,能源品种参考表!$A:$E,5,FALSE)</f>
        <v>hydrogen</v>
      </c>
      <c r="J173">
        <f>D173*VLOOKUP($A173,能源品种参考表!$A:$I,6,FALSE)*VLOOKUP($A173,能源品种参考表!$A:$I,8,FALSE)</f>
        <v>292071.93894048355</v>
      </c>
    </row>
    <row r="174" spans="1:10" x14ac:dyDescent="0.15">
      <c r="A174">
        <v>28041000</v>
      </c>
      <c r="B174" s="1" t="s">
        <v>226</v>
      </c>
      <c r="C174" s="1">
        <v>2021</v>
      </c>
      <c r="D174" s="1">
        <v>12</v>
      </c>
      <c r="E174" s="1" t="s">
        <v>67</v>
      </c>
      <c r="F174" s="1">
        <v>132</v>
      </c>
      <c r="G174" s="1" t="s">
        <v>237</v>
      </c>
      <c r="H174" s="1">
        <v>45602</v>
      </c>
      <c r="I174" s="4" t="str">
        <f>VLOOKUP($A174,能源品种参考表!$A:$E,5,FALSE)</f>
        <v>hydrogen</v>
      </c>
      <c r="J174">
        <f>D174*VLOOKUP($A174,能源品种参考表!$A:$I,6,FALSE)*VLOOKUP($A174,能源品种参考表!$A:$I,8,FALSE)</f>
        <v>11021.582601527682</v>
      </c>
    </row>
    <row r="175" spans="1:10" x14ac:dyDescent="0.15">
      <c r="A175">
        <v>28041000</v>
      </c>
      <c r="B175" s="1" t="s">
        <v>226</v>
      </c>
      <c r="C175" s="1">
        <v>2022</v>
      </c>
      <c r="D175" s="1">
        <v>6</v>
      </c>
      <c r="E175" s="1" t="s">
        <v>67</v>
      </c>
      <c r="F175" s="1">
        <v>3486</v>
      </c>
      <c r="G175" s="1" t="s">
        <v>237</v>
      </c>
      <c r="H175" s="1">
        <v>41858</v>
      </c>
      <c r="I175" s="4" t="str">
        <f>VLOOKUP($A175,能源品种参考表!$A:$E,5,FALSE)</f>
        <v>hydrogen</v>
      </c>
      <c r="J175">
        <f>D175*VLOOKUP($A175,能源品种参考表!$A:$I,6,FALSE)*VLOOKUP($A175,能源品种参考表!$A:$I,8,FALSE)</f>
        <v>5510.7913007638408</v>
      </c>
    </row>
    <row r="176" spans="1:10" x14ac:dyDescent="0.15">
      <c r="A176">
        <v>28441000</v>
      </c>
      <c r="B176" s="1" t="s">
        <v>225</v>
      </c>
      <c r="C176" s="1">
        <v>2017</v>
      </c>
      <c r="D176" s="1">
        <v>21677928478</v>
      </c>
      <c r="E176" s="1" t="s">
        <v>232</v>
      </c>
      <c r="F176" s="1">
        <v>427520304</v>
      </c>
      <c r="G176" s="1" t="s">
        <v>233</v>
      </c>
      <c r="H176" s="1">
        <v>9890112860</v>
      </c>
      <c r="I176" s="4" t="e">
        <f>VLOOKUP($A176,能源品种参考表!$A:$E,5,FALSE)</f>
        <v>#N/A</v>
      </c>
      <c r="J176" t="e">
        <f>D176*VLOOKUP($A176,能源品种参考表!$A:$I,6,FALSE)*VLOOKUP($A176,能源品种参考表!$A:$I,8,FALSE)</f>
        <v>#N/A</v>
      </c>
    </row>
    <row r="177" spans="1:10" x14ac:dyDescent="0.15">
      <c r="A177">
        <v>28441000</v>
      </c>
      <c r="B177" s="1" t="s">
        <v>225</v>
      </c>
      <c r="C177" s="1">
        <v>2018</v>
      </c>
      <c r="D177" s="1">
        <v>18657161935</v>
      </c>
      <c r="E177" s="1" t="s">
        <v>232</v>
      </c>
      <c r="F177" s="1">
        <v>375294761</v>
      </c>
      <c r="G177" s="1" t="s">
        <v>233</v>
      </c>
      <c r="H177" s="1">
        <v>9746345553</v>
      </c>
      <c r="I177" s="4" t="e">
        <f>VLOOKUP($A177,能源品种参考表!$A:$E,5,FALSE)</f>
        <v>#N/A</v>
      </c>
      <c r="J177" t="e">
        <f>D177*VLOOKUP($A177,能源品种参考表!$A:$I,6,FALSE)*VLOOKUP($A177,能源品种参考表!$A:$I,8,FALSE)</f>
        <v>#N/A</v>
      </c>
    </row>
    <row r="178" spans="1:10" x14ac:dyDescent="0.15">
      <c r="A178">
        <v>28441000</v>
      </c>
      <c r="B178" s="1" t="s">
        <v>225</v>
      </c>
      <c r="C178" s="1">
        <v>2019</v>
      </c>
      <c r="D178" s="1">
        <v>634910870</v>
      </c>
      <c r="E178" s="1" t="s">
        <v>232</v>
      </c>
      <c r="F178" s="1">
        <v>12693869</v>
      </c>
      <c r="G178" s="1" t="s">
        <v>233</v>
      </c>
      <c r="H178" s="1">
        <v>367835221</v>
      </c>
      <c r="I178" s="4" t="e">
        <f>VLOOKUP($A178,能源品种参考表!$A:$E,5,FALSE)</f>
        <v>#N/A</v>
      </c>
      <c r="J178" t="e">
        <f>D178*VLOOKUP($A178,能源品种参考表!$A:$I,6,FALSE)*VLOOKUP($A178,能源品种参考表!$A:$I,8,FALSE)</f>
        <v>#N/A</v>
      </c>
    </row>
    <row r="179" spans="1:10" x14ac:dyDescent="0.15">
      <c r="A179">
        <v>28441000</v>
      </c>
      <c r="B179" s="1" t="s">
        <v>225</v>
      </c>
      <c r="C179" s="1">
        <v>2020</v>
      </c>
      <c r="D179" s="1">
        <v>16484708942</v>
      </c>
      <c r="E179" s="1" t="s">
        <v>232</v>
      </c>
      <c r="F179" s="1">
        <v>355233860</v>
      </c>
      <c r="G179" s="1" t="s">
        <v>233</v>
      </c>
      <c r="H179" s="1">
        <v>10463612128</v>
      </c>
      <c r="I179" s="4" t="e">
        <f>VLOOKUP($A179,能源品种参考表!$A:$E,5,FALSE)</f>
        <v>#N/A</v>
      </c>
      <c r="J179" t="e">
        <f>D179*VLOOKUP($A179,能源品种参考表!$A:$I,6,FALSE)*VLOOKUP($A179,能源品种参考表!$A:$I,8,FALSE)</f>
        <v>#N/A</v>
      </c>
    </row>
    <row r="180" spans="1:10" x14ac:dyDescent="0.15">
      <c r="A180">
        <v>28441000</v>
      </c>
      <c r="B180" s="1" t="s">
        <v>225</v>
      </c>
      <c r="C180" s="1">
        <v>2021</v>
      </c>
      <c r="D180" s="1">
        <v>1284991809</v>
      </c>
      <c r="E180" s="1" t="s">
        <v>232</v>
      </c>
      <c r="F180" s="1">
        <v>27857910</v>
      </c>
      <c r="G180" s="1" t="s">
        <v>233</v>
      </c>
      <c r="H180" s="1">
        <v>706498313</v>
      </c>
      <c r="I180" s="4" t="e">
        <f>VLOOKUP($A180,能源品种参考表!$A:$E,5,FALSE)</f>
        <v>#N/A</v>
      </c>
      <c r="J180" t="e">
        <f>D180*VLOOKUP($A180,能源品种参考表!$A:$I,6,FALSE)*VLOOKUP($A180,能源品种参考表!$A:$I,8,FALSE)</f>
        <v>#N/A</v>
      </c>
    </row>
    <row r="181" spans="1:10" x14ac:dyDescent="0.15">
      <c r="A181">
        <v>28441000</v>
      </c>
      <c r="B181" s="1" t="s">
        <v>225</v>
      </c>
      <c r="C181" s="1">
        <v>2022</v>
      </c>
      <c r="D181" s="1">
        <v>12246378923</v>
      </c>
      <c r="E181" s="1" t="s">
        <v>232</v>
      </c>
      <c r="F181" s="1">
        <v>251824445</v>
      </c>
      <c r="G181" s="1" t="s">
        <v>233</v>
      </c>
      <c r="H181" s="1">
        <v>8286113799</v>
      </c>
      <c r="I181" s="4" t="e">
        <f>VLOOKUP($A181,能源品种参考表!$A:$E,5,FALSE)</f>
        <v>#N/A</v>
      </c>
      <c r="J181" t="e">
        <f>D181*VLOOKUP($A181,能源品种参考表!$A:$I,6,FALSE)*VLOOKUP($A181,能源品种参考表!$A:$I,8,FALSE)</f>
        <v>#N/A</v>
      </c>
    </row>
    <row r="182" spans="1:10" x14ac:dyDescent="0.15">
      <c r="A182">
        <v>28442000</v>
      </c>
      <c r="B182" s="1" t="s">
        <v>224</v>
      </c>
      <c r="C182" s="1">
        <v>2017</v>
      </c>
      <c r="D182" s="1">
        <v>227034599</v>
      </c>
      <c r="E182" s="1" t="s">
        <v>232</v>
      </c>
      <c r="F182" s="1">
        <v>153077528</v>
      </c>
      <c r="G182" s="1" t="s">
        <v>233</v>
      </c>
      <c r="H182" s="1">
        <v>1210266631</v>
      </c>
      <c r="I182" s="4" t="str">
        <f>VLOOKUP($A182,能源品种参考表!$A:$E,5,FALSE)</f>
        <v>nuclear</v>
      </c>
      <c r="J182">
        <f>D182*VLOOKUP($A182,能源品种参考表!$A:$I,6,FALSE)*VLOOKUP($A182,能源品种参考表!$A:$I,8,FALSE)</f>
        <v>894431163340494.75</v>
      </c>
    </row>
    <row r="183" spans="1:10" x14ac:dyDescent="0.15">
      <c r="A183">
        <v>28442000</v>
      </c>
      <c r="B183" s="1" t="s">
        <v>224</v>
      </c>
      <c r="C183" s="1">
        <v>2018</v>
      </c>
      <c r="D183" s="1">
        <v>395216809</v>
      </c>
      <c r="E183" s="1" t="s">
        <v>232</v>
      </c>
      <c r="F183" s="1">
        <v>57393810</v>
      </c>
      <c r="G183" s="1" t="s">
        <v>233</v>
      </c>
      <c r="H183" s="1">
        <v>1647670365</v>
      </c>
      <c r="I183" s="4" t="str">
        <f>VLOOKUP($A183,能源品种参考表!$A:$E,5,FALSE)</f>
        <v>nuclear</v>
      </c>
      <c r="J183">
        <f>D183*VLOOKUP($A183,能源品种参考表!$A:$I,6,FALSE)*VLOOKUP($A183,能源品种参考表!$A:$I,8,FALSE)</f>
        <v>1557005988525952</v>
      </c>
    </row>
    <row r="184" spans="1:10" x14ac:dyDescent="0.15">
      <c r="A184">
        <v>28442000</v>
      </c>
      <c r="B184" s="1" t="s">
        <v>224</v>
      </c>
      <c r="C184" s="1">
        <v>2019</v>
      </c>
      <c r="D184" s="1">
        <v>26967297</v>
      </c>
      <c r="E184" s="1" t="s">
        <v>232</v>
      </c>
      <c r="F184" s="1">
        <v>2275366</v>
      </c>
      <c r="G184" s="1" t="s">
        <v>233</v>
      </c>
      <c r="H184" s="1">
        <v>173871914</v>
      </c>
      <c r="I184" s="4" t="str">
        <f>VLOOKUP($A184,能源品种参考表!$A:$E,5,FALSE)</f>
        <v>nuclear</v>
      </c>
      <c r="J184">
        <f>D184*VLOOKUP($A184,能源品种参考表!$A:$I,6,FALSE)*VLOOKUP($A184,能源品种参考表!$A:$I,8,FALSE)</f>
        <v>106241035217097.61</v>
      </c>
    </row>
    <row r="185" spans="1:10" x14ac:dyDescent="0.15">
      <c r="A185">
        <v>28442000</v>
      </c>
      <c r="B185" s="1" t="s">
        <v>224</v>
      </c>
      <c r="C185" s="1">
        <v>2020</v>
      </c>
      <c r="D185" s="1">
        <v>192188989</v>
      </c>
      <c r="E185" s="1" t="s">
        <v>232</v>
      </c>
      <c r="F185" s="1">
        <v>150723947</v>
      </c>
      <c r="G185" s="1" t="s">
        <v>233</v>
      </c>
      <c r="H185" s="1">
        <v>1344836084</v>
      </c>
      <c r="I185" s="4" t="str">
        <f>VLOOKUP($A185,能源品种参考表!$A:$E,5,FALSE)</f>
        <v>nuclear</v>
      </c>
      <c r="J185">
        <f>D185*VLOOKUP($A185,能源品种参考表!$A:$I,6,FALSE)*VLOOKUP($A185,能源品种参考表!$A:$I,8,FALSE)</f>
        <v>757152529921237</v>
      </c>
    </row>
    <row r="186" spans="1:10" x14ac:dyDescent="0.15">
      <c r="A186">
        <v>28442000</v>
      </c>
      <c r="B186" s="1" t="s">
        <v>224</v>
      </c>
      <c r="C186" s="1">
        <v>2021</v>
      </c>
      <c r="D186" s="1">
        <v>15</v>
      </c>
      <c r="E186" s="1" t="s">
        <v>232</v>
      </c>
      <c r="F186" s="1">
        <v>0</v>
      </c>
      <c r="G186" s="1" t="s">
        <v>233</v>
      </c>
      <c r="H186" s="1">
        <v>40845</v>
      </c>
      <c r="I186" s="4" t="str">
        <f>VLOOKUP($A186,能源品种参考表!$A:$E,5,FALSE)</f>
        <v>nuclear</v>
      </c>
      <c r="J186">
        <f>D186*VLOOKUP($A186,能源品种参考表!$A:$I,6,FALSE)*VLOOKUP($A186,能源品种参考表!$A:$I,8,FALSE)</f>
        <v>59094373.761540286</v>
      </c>
    </row>
    <row r="187" spans="1:10" x14ac:dyDescent="0.15">
      <c r="A187">
        <v>28442000</v>
      </c>
      <c r="B187" s="1" t="s">
        <v>236</v>
      </c>
      <c r="C187" s="1">
        <v>2022</v>
      </c>
      <c r="D187" s="1">
        <v>877317838</v>
      </c>
      <c r="E187" s="1" t="s">
        <v>232</v>
      </c>
      <c r="F187" s="1">
        <v>57146808</v>
      </c>
      <c r="G187" s="1" t="s">
        <v>233</v>
      </c>
      <c r="H187" s="1">
        <v>4625217934</v>
      </c>
      <c r="I187" s="4" t="str">
        <f>VLOOKUP($A187,能源品种参考表!$A:$E,5,FALSE)</f>
        <v>nuclear</v>
      </c>
      <c r="J187">
        <f>D187*VLOOKUP($A187,能源品种参考表!$A:$I,6,FALSE)*VLOOKUP($A187,能源品种参考表!$A:$I,8,FALSE)</f>
        <v>3456303215095896.5</v>
      </c>
    </row>
    <row r="188" spans="1:10" x14ac:dyDescent="0.15">
      <c r="A188">
        <v>28443000</v>
      </c>
      <c r="B188" s="1" t="s">
        <v>231</v>
      </c>
      <c r="C188" s="1">
        <v>2017</v>
      </c>
      <c r="D188" s="1">
        <v>92265</v>
      </c>
      <c r="E188" s="1" t="s">
        <v>232</v>
      </c>
      <c r="F188" s="1">
        <v>21000035</v>
      </c>
      <c r="G188" s="1" t="s">
        <v>233</v>
      </c>
      <c r="H188" s="1">
        <v>4928941</v>
      </c>
      <c r="I188" s="4" t="e">
        <f>VLOOKUP($A188,能源品种参考表!$A:$E,5,FALSE)</f>
        <v>#N/A</v>
      </c>
      <c r="J188" t="e">
        <f>D188*VLOOKUP($A188,能源品种参考表!$A:$I,6,FALSE)*VLOOKUP($A188,能源品种参考表!$A:$I,8,FALSE)</f>
        <v>#N/A</v>
      </c>
    </row>
    <row r="189" spans="1:10" x14ac:dyDescent="0.15">
      <c r="A189">
        <v>28443000</v>
      </c>
      <c r="B189" s="1" t="s">
        <v>231</v>
      </c>
      <c r="C189" s="1">
        <v>2018</v>
      </c>
      <c r="D189" s="1">
        <v>44430</v>
      </c>
      <c r="E189" s="1" t="s">
        <v>232</v>
      </c>
      <c r="F189" s="1">
        <v>0</v>
      </c>
      <c r="G189" s="1" t="s">
        <v>233</v>
      </c>
      <c r="H189" s="1">
        <v>2011941</v>
      </c>
      <c r="I189" s="4" t="e">
        <f>VLOOKUP($A189,能源品种参考表!$A:$E,5,FALSE)</f>
        <v>#N/A</v>
      </c>
      <c r="J189" t="e">
        <f>D189*VLOOKUP($A189,能源品种参考表!$A:$I,6,FALSE)*VLOOKUP($A189,能源品种参考表!$A:$I,8,FALSE)</f>
        <v>#N/A</v>
      </c>
    </row>
    <row r="190" spans="1:10" x14ac:dyDescent="0.15">
      <c r="A190">
        <v>28443000</v>
      </c>
      <c r="B190" s="1" t="s">
        <v>231</v>
      </c>
      <c r="C190" s="1">
        <v>2020</v>
      </c>
      <c r="D190" s="1">
        <v>33640</v>
      </c>
      <c r="E190" s="1" t="s">
        <v>232</v>
      </c>
      <c r="F190" s="1">
        <v>15</v>
      </c>
      <c r="G190" s="1" t="s">
        <v>233</v>
      </c>
      <c r="H190" s="1">
        <v>1485189</v>
      </c>
      <c r="I190" s="4" t="e">
        <f>VLOOKUP($A190,能源品种参考表!$A:$E,5,FALSE)</f>
        <v>#N/A</v>
      </c>
      <c r="J190" t="e">
        <f>D190*VLOOKUP($A190,能源品种参考表!$A:$I,6,FALSE)*VLOOKUP($A190,能源品种参考表!$A:$I,8,FALSE)</f>
        <v>#N/A</v>
      </c>
    </row>
    <row r="191" spans="1:10" x14ac:dyDescent="0.15">
      <c r="A191">
        <v>28443000</v>
      </c>
      <c r="B191" s="1" t="s">
        <v>231</v>
      </c>
      <c r="C191" s="1">
        <v>2021</v>
      </c>
      <c r="D191" s="1">
        <v>20</v>
      </c>
      <c r="E191" s="1" t="s">
        <v>232</v>
      </c>
      <c r="F191" s="1">
        <v>0</v>
      </c>
      <c r="G191" s="1" t="s">
        <v>233</v>
      </c>
      <c r="H191" s="1">
        <v>52579</v>
      </c>
      <c r="I191" s="4" t="e">
        <f>VLOOKUP($A191,能源品种参考表!$A:$E,5,FALSE)</f>
        <v>#N/A</v>
      </c>
      <c r="J191" t="e">
        <f>D191*VLOOKUP($A191,能源品种参考表!$A:$I,6,FALSE)*VLOOKUP($A191,能源品种参考表!$A:$I,8,FALSE)</f>
        <v>#N/A</v>
      </c>
    </row>
    <row r="192" spans="1:10" x14ac:dyDescent="0.15">
      <c r="A192">
        <v>28443000</v>
      </c>
      <c r="B192" s="1" t="s">
        <v>235</v>
      </c>
      <c r="C192" s="1">
        <v>2022</v>
      </c>
      <c r="D192" s="1">
        <v>39650</v>
      </c>
      <c r="E192" s="1" t="s">
        <v>232</v>
      </c>
      <c r="F192" s="1">
        <v>120</v>
      </c>
      <c r="G192" s="1" t="s">
        <v>233</v>
      </c>
      <c r="H192" s="1">
        <v>1457831</v>
      </c>
      <c r="I192" s="4" t="e">
        <f>VLOOKUP($A192,能源品种参考表!$A:$E,5,FALSE)</f>
        <v>#N/A</v>
      </c>
      <c r="J192" t="e">
        <f>D192*VLOOKUP($A192,能源品种参考表!$A:$I,6,FALSE)*VLOOKUP($A192,能源品种参考表!$A:$I,8,FALSE)</f>
        <v>#N/A</v>
      </c>
    </row>
    <row r="193" spans="1:10" x14ac:dyDescent="0.15">
      <c r="A193">
        <v>28445000</v>
      </c>
      <c r="B193" s="1" t="s">
        <v>234</v>
      </c>
      <c r="C193" s="1">
        <v>2017</v>
      </c>
      <c r="D193" s="1">
        <v>1087</v>
      </c>
      <c r="E193" s="1" t="s">
        <v>232</v>
      </c>
      <c r="F193" s="1">
        <v>0</v>
      </c>
      <c r="G193" s="1" t="s">
        <v>68</v>
      </c>
      <c r="H193" s="1">
        <v>153518</v>
      </c>
      <c r="I193" s="4" t="e">
        <f>VLOOKUP($A193,能源品种参考表!$A:$E,5,FALSE)</f>
        <v>#N/A</v>
      </c>
      <c r="J193" t="e">
        <f>D193*VLOOKUP($A193,能源品种参考表!$A:$I,6,FALSE)*VLOOKUP($A193,能源品种参考表!$A:$I,8,FALSE)</f>
        <v>#N/A</v>
      </c>
    </row>
    <row r="194" spans="1:10" x14ac:dyDescent="0.15">
      <c r="A194">
        <v>28445000</v>
      </c>
      <c r="B194" s="1" t="s">
        <v>234</v>
      </c>
      <c r="C194" s="1">
        <v>2018</v>
      </c>
      <c r="D194" s="1">
        <v>1114</v>
      </c>
      <c r="E194" s="1" t="s">
        <v>232</v>
      </c>
      <c r="F194" s="1">
        <v>0</v>
      </c>
      <c r="G194" s="1" t="s">
        <v>68</v>
      </c>
      <c r="H194" s="1">
        <v>154668</v>
      </c>
      <c r="I194" s="4" t="e">
        <f>VLOOKUP($A194,能源品种参考表!$A:$E,5,FALSE)</f>
        <v>#N/A</v>
      </c>
      <c r="J194" t="e">
        <f>D194*VLOOKUP($A194,能源品种参考表!$A:$I,6,FALSE)*VLOOKUP($A194,能源品种参考表!$A:$I,8,FALSE)</f>
        <v>#N/A</v>
      </c>
    </row>
    <row r="195" spans="1:10" x14ac:dyDescent="0.15">
      <c r="A195">
        <v>38260000</v>
      </c>
      <c r="B195" s="1" t="s">
        <v>41</v>
      </c>
      <c r="C195" s="1">
        <v>2020</v>
      </c>
      <c r="D195" s="1">
        <v>89612027</v>
      </c>
      <c r="E195" s="1" t="s">
        <v>67</v>
      </c>
      <c r="F195" s="1">
        <v>102593119</v>
      </c>
      <c r="G195" s="1" t="s">
        <v>70</v>
      </c>
      <c r="H195" s="1">
        <v>552203878</v>
      </c>
      <c r="I195" s="4" t="str">
        <f>VLOOKUP($A195,能源品种参考表!$A:$E,5,FALSE)</f>
        <v>biofuel diesel</v>
      </c>
      <c r="J195">
        <f>D195*VLOOKUP($A195,能源品种参考表!$A:$I,6,FALSE)*VLOOKUP($A195,能源品种参考表!$A:$I,8,FALSE)</f>
        <v>3306335414218.0737</v>
      </c>
    </row>
    <row r="196" spans="1:10" x14ac:dyDescent="0.15">
      <c r="A196">
        <v>38260000</v>
      </c>
      <c r="B196" s="1" t="s">
        <v>41</v>
      </c>
      <c r="C196" s="1">
        <v>2021</v>
      </c>
      <c r="D196" s="1">
        <v>176079729</v>
      </c>
      <c r="E196" s="1" t="s">
        <v>67</v>
      </c>
      <c r="F196" s="1">
        <v>203692315</v>
      </c>
      <c r="G196" s="1" t="s">
        <v>70</v>
      </c>
      <c r="H196" s="1">
        <v>1486405092</v>
      </c>
      <c r="I196" s="4" t="str">
        <f>VLOOKUP($A196,能源品种参考表!$A:$E,5,FALSE)</f>
        <v>biofuel diesel</v>
      </c>
      <c r="J196">
        <f>D196*VLOOKUP($A196,能源品种参考表!$A:$I,6,FALSE)*VLOOKUP($A196,能源品种参考表!$A:$I,8,FALSE)</f>
        <v>6496657460037.3809</v>
      </c>
    </row>
    <row r="197" spans="1:10" x14ac:dyDescent="0.15">
      <c r="A197">
        <v>38260000</v>
      </c>
      <c r="B197" s="1" t="s">
        <v>41</v>
      </c>
      <c r="C197" s="1">
        <v>2022</v>
      </c>
      <c r="D197" s="1">
        <v>307559164</v>
      </c>
      <c r="E197" s="1" t="s">
        <v>67</v>
      </c>
      <c r="F197" s="1">
        <v>357808610</v>
      </c>
      <c r="G197" s="1" t="s">
        <v>70</v>
      </c>
      <c r="H197" s="1">
        <v>2874472759</v>
      </c>
      <c r="I197" s="4" t="str">
        <f>VLOOKUP($A197,能源品种参考表!$A:$E,5,FALSE)</f>
        <v>biofuel diesel</v>
      </c>
      <c r="J197">
        <f>D197*VLOOKUP($A197,能源品种参考表!$A:$I,6,FALSE)*VLOOKUP($A197,能源品种参考表!$A:$I,8,FALSE)</f>
        <v>11347737462745.984</v>
      </c>
    </row>
    <row r="198" spans="1:10" x14ac:dyDescent="0.15">
      <c r="A198">
        <v>68152000</v>
      </c>
      <c r="B198" s="1" t="s">
        <v>32</v>
      </c>
      <c r="C198" s="1">
        <v>2019</v>
      </c>
      <c r="D198" s="1">
        <v>43511</v>
      </c>
      <c r="E198" s="1" t="s">
        <v>67</v>
      </c>
      <c r="F198" s="1">
        <v>0</v>
      </c>
      <c r="G198" s="1" t="s">
        <v>68</v>
      </c>
      <c r="H198" s="2">
        <v>1175239</v>
      </c>
      <c r="I198" s="4" t="str">
        <f>VLOOKUP($A198,能源品种参考表!$A:$E,5,FALSE)</f>
        <v>hard coal</v>
      </c>
      <c r="J198">
        <f>D198*VLOOKUP($A198,能源品种参考表!$A:$I,6,FALSE)*VLOOKUP($A198,能源品种参考表!$A:$I,8,FALSE)</f>
        <v>448283917.86084121</v>
      </c>
    </row>
    <row r="199" spans="1:10" x14ac:dyDescent="0.15">
      <c r="A199">
        <v>68152000</v>
      </c>
      <c r="B199" s="1" t="s">
        <v>32</v>
      </c>
      <c r="C199" s="1">
        <v>2020</v>
      </c>
      <c r="D199" s="1">
        <v>26040</v>
      </c>
      <c r="E199" s="1" t="s">
        <v>67</v>
      </c>
      <c r="F199" s="1">
        <v>0</v>
      </c>
      <c r="G199" s="1" t="s">
        <v>68</v>
      </c>
      <c r="H199" s="1">
        <v>815786</v>
      </c>
      <c r="I199" s="4" t="str">
        <f>VLOOKUP($A199,能源品种参考表!$A:$E,5,FALSE)</f>
        <v>hard coal</v>
      </c>
      <c r="J199">
        <f>D199*VLOOKUP($A199,能源品种参考表!$A:$I,6,FALSE)*VLOOKUP($A199,能源品种参考表!$A:$I,8,FALSE)</f>
        <v>268284186.09308693</v>
      </c>
    </row>
    <row r="200" spans="1:10" x14ac:dyDescent="0.15">
      <c r="A200">
        <v>68152000</v>
      </c>
      <c r="B200" s="1" t="s">
        <v>32</v>
      </c>
      <c r="C200" s="1">
        <v>2021</v>
      </c>
      <c r="D200" s="1">
        <v>33791</v>
      </c>
      <c r="E200" s="1" t="s">
        <v>67</v>
      </c>
      <c r="F200" s="1">
        <v>0</v>
      </c>
      <c r="G200" s="1" t="s">
        <v>68</v>
      </c>
      <c r="H200" s="1">
        <v>716128</v>
      </c>
      <c r="I200" s="4" t="str">
        <f>VLOOKUP($A200,能源品种参考表!$A:$E,5,FALSE)</f>
        <v>hard coal</v>
      </c>
      <c r="J200">
        <f>D200*VLOOKUP($A200,能源品种参考表!$A:$I,6,FALSE)*VLOOKUP($A200,能源品种参考表!$A:$I,8,FALSE)</f>
        <v>348140972.82148618</v>
      </c>
    </row>
    <row r="201" spans="1:10" x14ac:dyDescent="0.15">
      <c r="A201">
        <v>68152000</v>
      </c>
      <c r="B201" s="1" t="s">
        <v>32</v>
      </c>
      <c r="C201" s="1">
        <v>2022</v>
      </c>
      <c r="D201" s="1">
        <v>110180</v>
      </c>
      <c r="E201" s="1" t="s">
        <v>67</v>
      </c>
      <c r="F201" s="1">
        <v>0</v>
      </c>
      <c r="G201" s="1" t="s">
        <v>68</v>
      </c>
      <c r="H201" s="1">
        <v>318618</v>
      </c>
      <c r="I201" s="4" t="str">
        <f>VLOOKUP($A201,能源品种参考表!$A:$E,5,FALSE)</f>
        <v>hard coal</v>
      </c>
      <c r="J201">
        <f>D201*VLOOKUP($A201,能源品种参考表!$A:$I,6,FALSE)*VLOOKUP($A201,能源品种参考表!$A:$I,8,FALSE)</f>
        <v>1135159432.5551581</v>
      </c>
    </row>
  </sheetData>
  <autoFilter ref="A1:H1" xr:uid="{00000000-0001-0000-0600-000000000000}">
    <sortState xmlns:xlrd2="http://schemas.microsoft.com/office/spreadsheetml/2017/richdata2" ref="A2:H201">
      <sortCondition ref="A1"/>
    </sortState>
  </autoFilter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Q22"/>
  <sheetViews>
    <sheetView topLeftCell="T1" workbookViewId="0">
      <selection activeCell="AD22" sqref="AD22"/>
    </sheetView>
  </sheetViews>
  <sheetFormatPr defaultColWidth="9" defaultRowHeight="13.5" x14ac:dyDescent="0.15"/>
  <cols>
    <col min="1" max="1" width="29.375" customWidth="1"/>
    <col min="2" max="2" width="9" customWidth="1"/>
  </cols>
  <sheetData>
    <row r="1" spans="1:43" x14ac:dyDescent="0.15">
      <c r="A1" t="s">
        <v>78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s="5" t="s">
        <v>254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15">
      <c r="A3" s="5" t="s">
        <v>121</v>
      </c>
      <c r="B3">
        <f>SUMIFS(Export!$J:$J,Export!$I:$I,$A3,Export!$C:$C,'BFPIaE-exports'!B$1)</f>
        <v>114061710521607.92</v>
      </c>
      <c r="C3">
        <f>SUMIFS(Export!$J:$J,Export!$I:$I,$A3,Export!$C:$C,'BFPIaE-exports'!C$1)</f>
        <v>60693251133868.422</v>
      </c>
      <c r="D3">
        <f>SUMIFS(Export!$J:$J,Export!$I:$I,$A3,Export!$C:$C,'BFPIaE-exports'!D$1)</f>
        <v>49357338113273.328</v>
      </c>
      <c r="E3">
        <f>SUMIFS(Export!$J:$J,Export!$I:$I,$A3,Export!$C:$C,'BFPIaE-exports'!E$1)</f>
        <v>75802525737591.063</v>
      </c>
      <c r="F3">
        <f>E3</f>
        <v>75802525737591.063</v>
      </c>
      <c r="G3">
        <f t="shared" ref="G3:AQ9" si="0">F3</f>
        <v>75802525737591.063</v>
      </c>
      <c r="H3">
        <f t="shared" si="0"/>
        <v>75802525737591.063</v>
      </c>
      <c r="I3">
        <f t="shared" si="0"/>
        <v>75802525737591.063</v>
      </c>
      <c r="J3">
        <f t="shared" si="0"/>
        <v>75802525737591.063</v>
      </c>
      <c r="K3">
        <f t="shared" si="0"/>
        <v>75802525737591.063</v>
      </c>
      <c r="L3">
        <f t="shared" si="0"/>
        <v>75802525737591.063</v>
      </c>
      <c r="M3">
        <f t="shared" si="0"/>
        <v>75802525737591.063</v>
      </c>
      <c r="N3">
        <f t="shared" si="0"/>
        <v>75802525737591.063</v>
      </c>
      <c r="O3">
        <f t="shared" si="0"/>
        <v>75802525737591.063</v>
      </c>
      <c r="P3">
        <f t="shared" si="0"/>
        <v>75802525737591.063</v>
      </c>
      <c r="Q3">
        <f t="shared" si="0"/>
        <v>75802525737591.063</v>
      </c>
      <c r="R3">
        <f t="shared" si="0"/>
        <v>75802525737591.063</v>
      </c>
      <c r="S3">
        <f t="shared" si="0"/>
        <v>75802525737591.063</v>
      </c>
      <c r="T3">
        <f t="shared" si="0"/>
        <v>75802525737591.063</v>
      </c>
      <c r="U3">
        <f t="shared" si="0"/>
        <v>75802525737591.063</v>
      </c>
      <c r="V3">
        <f t="shared" si="0"/>
        <v>75802525737591.063</v>
      </c>
      <c r="W3">
        <f t="shared" si="0"/>
        <v>75802525737591.063</v>
      </c>
      <c r="X3">
        <f t="shared" si="0"/>
        <v>75802525737591.063</v>
      </c>
      <c r="Y3">
        <f t="shared" si="0"/>
        <v>75802525737591.063</v>
      </c>
      <c r="Z3">
        <f t="shared" si="0"/>
        <v>75802525737591.063</v>
      </c>
      <c r="AA3">
        <f t="shared" si="0"/>
        <v>75802525737591.063</v>
      </c>
      <c r="AB3">
        <f t="shared" si="0"/>
        <v>75802525737591.063</v>
      </c>
      <c r="AC3">
        <f t="shared" si="0"/>
        <v>75802525737591.063</v>
      </c>
      <c r="AD3">
        <f t="shared" si="0"/>
        <v>75802525737591.063</v>
      </c>
      <c r="AE3">
        <f t="shared" si="0"/>
        <v>75802525737591.063</v>
      </c>
      <c r="AF3">
        <f t="shared" si="0"/>
        <v>75802525737591.063</v>
      </c>
      <c r="AG3">
        <f t="shared" si="0"/>
        <v>75802525737591.063</v>
      </c>
      <c r="AH3">
        <f t="shared" si="0"/>
        <v>75802525737591.063</v>
      </c>
      <c r="AI3">
        <f t="shared" si="0"/>
        <v>75802525737591.063</v>
      </c>
      <c r="AJ3">
        <f t="shared" si="0"/>
        <v>75802525737591.063</v>
      </c>
      <c r="AK3">
        <f t="shared" si="0"/>
        <v>75802525737591.063</v>
      </c>
      <c r="AL3">
        <f t="shared" si="0"/>
        <v>75802525737591.063</v>
      </c>
      <c r="AM3">
        <f t="shared" si="0"/>
        <v>75802525737591.063</v>
      </c>
      <c r="AN3">
        <f t="shared" si="0"/>
        <v>75802525737591.063</v>
      </c>
      <c r="AO3">
        <f t="shared" si="0"/>
        <v>75802525737591.063</v>
      </c>
      <c r="AP3">
        <f t="shared" si="0"/>
        <v>75802525737591.063</v>
      </c>
      <c r="AQ3">
        <f t="shared" si="0"/>
        <v>75802525737591.063</v>
      </c>
    </row>
    <row r="4" spans="1:43" x14ac:dyDescent="0.15">
      <c r="A4" s="5" t="s">
        <v>122</v>
      </c>
      <c r="B4">
        <f>SUMIFS(Export!$J:$J,Export!$I:$I,$A4,Export!$C:$C,'BFPIaE-exports'!B$1)</f>
        <v>127354184452661.92</v>
      </c>
      <c r="C4">
        <f>SUMIFS(Export!$J:$J,Export!$I:$I,$A4,Export!$C:$C,'BFPIaE-exports'!C$1)</f>
        <v>182485166407084.53</v>
      </c>
      <c r="D4">
        <f>SUMIFS(Export!$J:$J,Export!$I:$I,$A4,Export!$C:$C,'BFPIaE-exports'!D$1)</f>
        <v>195104432796921.66</v>
      </c>
      <c r="E4">
        <f>SUMIFS(Export!$J:$J,Export!$I:$I,$A4,Export!$C:$C,'BFPIaE-exports'!E$1)</f>
        <v>206143533738908.69</v>
      </c>
      <c r="F4">
        <f t="shared" ref="F4:U22" si="1">E4</f>
        <v>206143533738908.69</v>
      </c>
      <c r="G4">
        <f t="shared" si="1"/>
        <v>206143533738908.69</v>
      </c>
      <c r="H4">
        <f t="shared" si="1"/>
        <v>206143533738908.69</v>
      </c>
      <c r="I4">
        <f t="shared" si="1"/>
        <v>206143533738908.69</v>
      </c>
      <c r="J4">
        <f t="shared" si="1"/>
        <v>206143533738908.69</v>
      </c>
      <c r="K4">
        <f t="shared" si="1"/>
        <v>206143533738908.69</v>
      </c>
      <c r="L4">
        <f t="shared" si="1"/>
        <v>206143533738908.69</v>
      </c>
      <c r="M4">
        <f t="shared" si="1"/>
        <v>206143533738908.69</v>
      </c>
      <c r="N4">
        <f t="shared" si="1"/>
        <v>206143533738908.69</v>
      </c>
      <c r="O4">
        <f t="shared" si="1"/>
        <v>206143533738908.69</v>
      </c>
      <c r="P4">
        <f t="shared" si="1"/>
        <v>206143533738908.69</v>
      </c>
      <c r="Q4">
        <f t="shared" si="1"/>
        <v>206143533738908.69</v>
      </c>
      <c r="R4">
        <f t="shared" si="1"/>
        <v>206143533738908.69</v>
      </c>
      <c r="S4">
        <f t="shared" si="1"/>
        <v>206143533738908.69</v>
      </c>
      <c r="T4">
        <f t="shared" si="1"/>
        <v>206143533738908.69</v>
      </c>
      <c r="U4">
        <f t="shared" si="1"/>
        <v>206143533738908.69</v>
      </c>
      <c r="V4">
        <f t="shared" si="0"/>
        <v>206143533738908.69</v>
      </c>
      <c r="W4">
        <f t="shared" si="0"/>
        <v>206143533738908.69</v>
      </c>
      <c r="X4">
        <f t="shared" si="0"/>
        <v>206143533738908.69</v>
      </c>
      <c r="Y4">
        <f t="shared" si="0"/>
        <v>206143533738908.69</v>
      </c>
      <c r="Z4">
        <f t="shared" si="0"/>
        <v>206143533738908.69</v>
      </c>
      <c r="AA4">
        <f t="shared" si="0"/>
        <v>206143533738908.69</v>
      </c>
      <c r="AB4">
        <f t="shared" si="0"/>
        <v>206143533738908.69</v>
      </c>
      <c r="AC4">
        <f t="shared" si="0"/>
        <v>206143533738908.69</v>
      </c>
      <c r="AD4">
        <f t="shared" si="0"/>
        <v>206143533738908.69</v>
      </c>
      <c r="AE4">
        <f t="shared" si="0"/>
        <v>206143533738908.69</v>
      </c>
      <c r="AF4">
        <f t="shared" si="0"/>
        <v>206143533738908.69</v>
      </c>
      <c r="AG4">
        <f t="shared" si="0"/>
        <v>206143533738908.69</v>
      </c>
      <c r="AH4">
        <f t="shared" si="0"/>
        <v>206143533738908.69</v>
      </c>
      <c r="AI4">
        <f t="shared" si="0"/>
        <v>206143533738908.69</v>
      </c>
      <c r="AJ4">
        <f t="shared" si="0"/>
        <v>206143533738908.69</v>
      </c>
      <c r="AK4">
        <f t="shared" si="0"/>
        <v>206143533738908.69</v>
      </c>
      <c r="AL4">
        <f t="shared" si="0"/>
        <v>206143533738908.69</v>
      </c>
      <c r="AM4">
        <f t="shared" si="0"/>
        <v>206143533738908.69</v>
      </c>
      <c r="AN4">
        <f t="shared" si="0"/>
        <v>206143533738908.69</v>
      </c>
      <c r="AO4">
        <f t="shared" si="0"/>
        <v>206143533738908.69</v>
      </c>
      <c r="AP4">
        <f t="shared" si="0"/>
        <v>206143533738908.69</v>
      </c>
      <c r="AQ4">
        <f t="shared" si="0"/>
        <v>206143533738908.69</v>
      </c>
    </row>
    <row r="5" spans="1:43" x14ac:dyDescent="0.15">
      <c r="A5" t="s">
        <v>79</v>
      </c>
      <c r="B5">
        <f>SUMIFS(Export!$J:$J,Export!$I:$I,$A5,Export!$C:$C,'BFPIaE-exports'!B$1)</f>
        <v>522594298507198.94</v>
      </c>
      <c r="C5">
        <f>SUMIFS(Export!$J:$J,Export!$I:$I,$A5,Export!$C:$C,'BFPIaE-exports'!C$1)</f>
        <v>865225632551439.38</v>
      </c>
      <c r="D5">
        <f>SUMIFS(Export!$J:$J,Export!$I:$I,$A5,Export!$C:$C,'BFPIaE-exports'!D$1)</f>
        <v>373768293526443.19</v>
      </c>
      <c r="E5">
        <f>SUMIFS(Export!$J:$J,Export!$I:$I,$A5,Export!$C:$C,'BFPIaE-exports'!E$1)</f>
        <v>380394718999821.06</v>
      </c>
      <c r="F5">
        <f t="shared" si="1"/>
        <v>380394718999821.06</v>
      </c>
      <c r="G5">
        <f t="shared" si="0"/>
        <v>380394718999821.06</v>
      </c>
      <c r="H5">
        <f t="shared" si="0"/>
        <v>380394718999821.06</v>
      </c>
      <c r="I5">
        <f t="shared" si="0"/>
        <v>380394718999821.06</v>
      </c>
      <c r="J5">
        <f t="shared" si="0"/>
        <v>380394718999821.06</v>
      </c>
      <c r="K5">
        <f t="shared" si="0"/>
        <v>380394718999821.06</v>
      </c>
      <c r="L5">
        <f t="shared" si="0"/>
        <v>380394718999821.06</v>
      </c>
      <c r="M5">
        <f t="shared" si="0"/>
        <v>380394718999821.06</v>
      </c>
      <c r="N5">
        <f t="shared" si="0"/>
        <v>380394718999821.06</v>
      </c>
      <c r="O5">
        <f t="shared" si="0"/>
        <v>380394718999821.06</v>
      </c>
      <c r="P5">
        <f t="shared" si="0"/>
        <v>380394718999821.06</v>
      </c>
      <c r="Q5">
        <f t="shared" si="0"/>
        <v>380394718999821.06</v>
      </c>
      <c r="R5">
        <f t="shared" si="0"/>
        <v>380394718999821.06</v>
      </c>
      <c r="S5">
        <f t="shared" si="0"/>
        <v>380394718999821.06</v>
      </c>
      <c r="T5">
        <f t="shared" si="0"/>
        <v>380394718999821.06</v>
      </c>
      <c r="U5">
        <f t="shared" si="0"/>
        <v>380394718999821.06</v>
      </c>
      <c r="V5">
        <f t="shared" si="0"/>
        <v>380394718999821.06</v>
      </c>
      <c r="W5">
        <f t="shared" si="0"/>
        <v>380394718999821.06</v>
      </c>
      <c r="X5">
        <f t="shared" si="0"/>
        <v>380394718999821.06</v>
      </c>
      <c r="Y5">
        <f t="shared" si="0"/>
        <v>380394718999821.06</v>
      </c>
      <c r="Z5">
        <f t="shared" si="0"/>
        <v>380394718999821.06</v>
      </c>
      <c r="AA5">
        <f t="shared" si="0"/>
        <v>380394718999821.06</v>
      </c>
      <c r="AB5">
        <f t="shared" si="0"/>
        <v>380394718999821.06</v>
      </c>
      <c r="AC5">
        <f t="shared" si="0"/>
        <v>380394718999821.06</v>
      </c>
      <c r="AD5">
        <f t="shared" si="0"/>
        <v>380394718999821.06</v>
      </c>
      <c r="AE5">
        <f t="shared" si="0"/>
        <v>380394718999821.06</v>
      </c>
      <c r="AF5">
        <f t="shared" si="0"/>
        <v>380394718999821.06</v>
      </c>
      <c r="AG5">
        <f t="shared" si="0"/>
        <v>380394718999821.06</v>
      </c>
      <c r="AH5">
        <f t="shared" si="0"/>
        <v>380394718999821.06</v>
      </c>
      <c r="AI5">
        <f t="shared" si="0"/>
        <v>380394718999821.06</v>
      </c>
      <c r="AJ5">
        <f t="shared" si="0"/>
        <v>380394718999821.06</v>
      </c>
      <c r="AK5">
        <f t="shared" si="0"/>
        <v>380394718999821.06</v>
      </c>
      <c r="AL5">
        <f t="shared" si="0"/>
        <v>380394718999821.06</v>
      </c>
      <c r="AM5">
        <f t="shared" si="0"/>
        <v>380394718999821.06</v>
      </c>
      <c r="AN5">
        <f t="shared" si="0"/>
        <v>380394718999821.06</v>
      </c>
      <c r="AO5">
        <f t="shared" si="0"/>
        <v>380394718999821.06</v>
      </c>
      <c r="AP5">
        <f t="shared" si="0"/>
        <v>380394718999821.06</v>
      </c>
      <c r="AQ5">
        <f t="shared" si="0"/>
        <v>380394718999821.06</v>
      </c>
    </row>
    <row r="6" spans="1:43" x14ac:dyDescent="0.15">
      <c r="A6" t="s">
        <v>80</v>
      </c>
      <c r="B6">
        <f>SUMIFS(Export!$J:$J,Export!$I:$I,$A6,Export!$C:$C,'BFPIaE-exports'!B$1)</f>
        <v>0</v>
      </c>
      <c r="C6">
        <f>SUMIFS(Export!$J:$J,Export!$I:$I,$A6,Export!$C:$C,'BFPIaE-exports'!C$1)</f>
        <v>0</v>
      </c>
      <c r="D6">
        <f>SUMIFS(Export!$J:$J,Export!$I:$I,$A6,Export!$C:$C,'BFPIaE-exports'!D$1)</f>
        <v>0</v>
      </c>
      <c r="E6">
        <f>SUMIFS(Export!$J:$J,Export!$I:$I,$A6,Export!$C:$C,'BFPIaE-exports'!E$1)</f>
        <v>0</v>
      </c>
      <c r="F6">
        <f t="shared" si="1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</row>
    <row r="7" spans="1:43" x14ac:dyDescent="0.15">
      <c r="A7" t="s">
        <v>81</v>
      </c>
      <c r="B7">
        <f>SUMIFS(Export!$J:$J,Export!$I:$I,$A7,Export!$C:$C,'BFPIaE-exports'!B$1)</f>
        <v>0</v>
      </c>
      <c r="C7">
        <f>SUMIFS(Export!$J:$J,Export!$I:$I,$A7,Export!$C:$C,'BFPIaE-exports'!C$1)</f>
        <v>0</v>
      </c>
      <c r="D7">
        <f>SUMIFS(Export!$J:$J,Export!$I:$I,$A7,Export!$C:$C,'BFPIaE-exports'!D$1)</f>
        <v>0</v>
      </c>
      <c r="E7">
        <f>SUMIFS(Export!$J:$J,Export!$I:$I,$A7,Export!$C:$C,'BFPIaE-exports'!E$1)</f>
        <v>0</v>
      </c>
      <c r="F7">
        <f t="shared" si="1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</row>
    <row r="8" spans="1:43" x14ac:dyDescent="0.15">
      <c r="A8" t="s">
        <v>82</v>
      </c>
      <c r="B8">
        <f>SUMIFS(Export!$J:$J,Export!$I:$I,$A8,Export!$C:$C,'BFPIaE-exports'!B$1)</f>
        <v>0</v>
      </c>
      <c r="C8">
        <f>SUMIFS(Export!$J:$J,Export!$I:$I,$A8,Export!$C:$C,'BFPIaE-exports'!C$1)</f>
        <v>0</v>
      </c>
      <c r="D8">
        <f>SUMIFS(Export!$J:$J,Export!$I:$I,$A8,Export!$C:$C,'BFPIaE-exports'!D$1)</f>
        <v>0</v>
      </c>
      <c r="E8">
        <f>SUMIFS(Export!$J:$J,Export!$I:$I,$A8,Export!$C:$C,'BFPIaE-exports'!E$1)</f>
        <v>0</v>
      </c>
      <c r="F8">
        <f t="shared" si="1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</row>
    <row r="9" spans="1:43" x14ac:dyDescent="0.15">
      <c r="A9" t="s">
        <v>83</v>
      </c>
      <c r="B9">
        <f>SUMIFS(Export!$J:$J,Export!$I:$I,$A9,Export!$C:$C,'BFPIaE-exports'!B$1)</f>
        <v>0</v>
      </c>
      <c r="C9">
        <f>SUMIFS(Export!$J:$J,Export!$I:$I,$A9,Export!$C:$C,'BFPIaE-exports'!C$1)</f>
        <v>0</v>
      </c>
      <c r="D9">
        <f>SUMIFS(Export!$J:$J,Export!$I:$I,$A9,Export!$C:$C,'BFPIaE-exports'!D$1)</f>
        <v>0</v>
      </c>
      <c r="E9">
        <f>SUMIFS(Export!$J:$J,Export!$I:$I,$A9,Export!$C:$C,'BFPIaE-exports'!E$1)</f>
        <v>0</v>
      </c>
      <c r="F9">
        <f t="shared" si="1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ref="G9:AQ14" si="2">L9</f>
        <v>0</v>
      </c>
      <c r="N9">
        <f t="shared" si="2"/>
        <v>0</v>
      </c>
      <c r="O9">
        <f t="shared" si="2"/>
        <v>0</v>
      </c>
      <c r="P9">
        <f t="shared" si="2"/>
        <v>0</v>
      </c>
      <c r="Q9">
        <f t="shared" si="2"/>
        <v>0</v>
      </c>
      <c r="R9">
        <f t="shared" si="2"/>
        <v>0</v>
      </c>
      <c r="S9">
        <f t="shared" si="2"/>
        <v>0</v>
      </c>
      <c r="T9">
        <f t="shared" si="2"/>
        <v>0</v>
      </c>
      <c r="U9">
        <f t="shared" si="2"/>
        <v>0</v>
      </c>
      <c r="V9">
        <f t="shared" si="2"/>
        <v>0</v>
      </c>
      <c r="W9">
        <f t="shared" si="2"/>
        <v>0</v>
      </c>
      <c r="X9">
        <f t="shared" si="2"/>
        <v>0</v>
      </c>
      <c r="Y9">
        <f t="shared" si="2"/>
        <v>0</v>
      </c>
      <c r="Z9">
        <f t="shared" si="2"/>
        <v>0</v>
      </c>
      <c r="AA9">
        <f t="shared" si="2"/>
        <v>0</v>
      </c>
      <c r="AB9">
        <f t="shared" si="2"/>
        <v>0</v>
      </c>
      <c r="AC9">
        <f t="shared" si="2"/>
        <v>0</v>
      </c>
      <c r="AD9">
        <f t="shared" si="2"/>
        <v>0</v>
      </c>
      <c r="AE9">
        <f t="shared" si="2"/>
        <v>0</v>
      </c>
      <c r="AF9">
        <f t="shared" si="2"/>
        <v>0</v>
      </c>
      <c r="AG9">
        <f t="shared" si="2"/>
        <v>0</v>
      </c>
      <c r="AH9">
        <f t="shared" si="2"/>
        <v>0</v>
      </c>
      <c r="AI9">
        <f t="shared" si="2"/>
        <v>0</v>
      </c>
      <c r="AJ9">
        <f t="shared" si="2"/>
        <v>0</v>
      </c>
      <c r="AK9">
        <f t="shared" si="2"/>
        <v>0</v>
      </c>
      <c r="AL9">
        <f t="shared" si="2"/>
        <v>0</v>
      </c>
      <c r="AM9">
        <f t="shared" si="2"/>
        <v>0</v>
      </c>
      <c r="AN9">
        <f t="shared" si="2"/>
        <v>0</v>
      </c>
      <c r="AO9">
        <f t="shared" si="2"/>
        <v>0</v>
      </c>
      <c r="AP9">
        <f t="shared" si="2"/>
        <v>0</v>
      </c>
      <c r="AQ9">
        <f t="shared" si="2"/>
        <v>0</v>
      </c>
    </row>
    <row r="10" spans="1:43" x14ac:dyDescent="0.15">
      <c r="A10" t="s">
        <v>73</v>
      </c>
      <c r="B10">
        <f>SUMIFS(Export!$J:$J,Export!$I:$I,$A10,Export!$C:$C,'BFPIaE-exports'!B$1)</f>
        <v>668289438326672.5</v>
      </c>
      <c r="C10">
        <f>SUMIFS(Export!$J:$J,Export!$I:$I,$A10,Export!$C:$C,'BFPIaE-exports'!C$1)</f>
        <v>653158213750930.88</v>
      </c>
      <c r="D10">
        <f>SUMIFS(Export!$J:$J,Export!$I:$I,$A10,Export!$C:$C,'BFPIaE-exports'!D$1)</f>
        <v>593648916133444.5</v>
      </c>
      <c r="E10">
        <f>SUMIFS(Export!$J:$J,Export!$I:$I,$A10,Export!$C:$C,'BFPIaE-exports'!E$1)</f>
        <v>512839639595041.38</v>
      </c>
      <c r="F10">
        <f t="shared" si="1"/>
        <v>512839639595041.38</v>
      </c>
      <c r="G10">
        <f t="shared" si="2"/>
        <v>512839639595041.38</v>
      </c>
      <c r="H10">
        <f t="shared" si="2"/>
        <v>512839639595041.38</v>
      </c>
      <c r="I10">
        <f t="shared" si="2"/>
        <v>512839639595041.38</v>
      </c>
      <c r="J10">
        <f t="shared" si="2"/>
        <v>512839639595041.38</v>
      </c>
      <c r="K10">
        <f t="shared" si="2"/>
        <v>512839639595041.38</v>
      </c>
      <c r="L10">
        <f t="shared" si="2"/>
        <v>512839639595041.38</v>
      </c>
      <c r="M10">
        <f t="shared" si="2"/>
        <v>512839639595041.38</v>
      </c>
      <c r="N10">
        <f t="shared" si="2"/>
        <v>512839639595041.38</v>
      </c>
      <c r="O10">
        <f t="shared" si="2"/>
        <v>512839639595041.38</v>
      </c>
      <c r="P10">
        <f t="shared" si="2"/>
        <v>512839639595041.38</v>
      </c>
      <c r="Q10">
        <f t="shared" si="2"/>
        <v>512839639595041.38</v>
      </c>
      <c r="R10">
        <f t="shared" si="2"/>
        <v>512839639595041.38</v>
      </c>
      <c r="S10">
        <f t="shared" si="2"/>
        <v>512839639595041.38</v>
      </c>
      <c r="T10">
        <f t="shared" si="2"/>
        <v>512839639595041.38</v>
      </c>
      <c r="U10">
        <f t="shared" si="2"/>
        <v>512839639595041.38</v>
      </c>
      <c r="V10">
        <f t="shared" si="2"/>
        <v>512839639595041.38</v>
      </c>
      <c r="W10">
        <f t="shared" si="2"/>
        <v>512839639595041.38</v>
      </c>
      <c r="X10">
        <f t="shared" si="2"/>
        <v>512839639595041.38</v>
      </c>
      <c r="Y10">
        <f t="shared" si="2"/>
        <v>512839639595041.38</v>
      </c>
      <c r="Z10">
        <f t="shared" si="2"/>
        <v>512839639595041.38</v>
      </c>
      <c r="AA10">
        <f t="shared" si="2"/>
        <v>512839639595041.38</v>
      </c>
      <c r="AB10">
        <f t="shared" si="2"/>
        <v>512839639595041.38</v>
      </c>
      <c r="AC10">
        <f t="shared" si="2"/>
        <v>512839639595041.38</v>
      </c>
      <c r="AD10">
        <f t="shared" si="2"/>
        <v>512839639595041.38</v>
      </c>
      <c r="AE10">
        <f t="shared" si="2"/>
        <v>512839639595041.38</v>
      </c>
      <c r="AF10">
        <f t="shared" si="2"/>
        <v>512839639595041.38</v>
      </c>
      <c r="AG10">
        <f t="shared" si="2"/>
        <v>512839639595041.38</v>
      </c>
      <c r="AH10">
        <f t="shared" si="2"/>
        <v>512839639595041.38</v>
      </c>
      <c r="AI10">
        <f t="shared" si="2"/>
        <v>512839639595041.38</v>
      </c>
      <c r="AJ10">
        <f t="shared" si="2"/>
        <v>512839639595041.38</v>
      </c>
      <c r="AK10">
        <f t="shared" si="2"/>
        <v>512839639595041.38</v>
      </c>
      <c r="AL10">
        <f t="shared" si="2"/>
        <v>512839639595041.38</v>
      </c>
      <c r="AM10">
        <f t="shared" si="2"/>
        <v>512839639595041.38</v>
      </c>
      <c r="AN10">
        <f t="shared" si="2"/>
        <v>512839639595041.38</v>
      </c>
      <c r="AO10">
        <f t="shared" si="2"/>
        <v>512839639595041.38</v>
      </c>
      <c r="AP10">
        <f t="shared" si="2"/>
        <v>512839639595041.38</v>
      </c>
      <c r="AQ10">
        <f t="shared" si="2"/>
        <v>512839639595041.38</v>
      </c>
    </row>
    <row r="11" spans="1:43" x14ac:dyDescent="0.15">
      <c r="A11" t="s">
        <v>74</v>
      </c>
      <c r="B11">
        <f>SUMIFS(Export!$J:$J,Export!$I:$I,$A11,Export!$C:$C,'BFPIaE-exports'!B$1)</f>
        <v>962942311498889</v>
      </c>
      <c r="C11">
        <f>SUMIFS(Export!$J:$J,Export!$I:$I,$A11,Export!$C:$C,'BFPIaE-exports'!C$1)</f>
        <v>874812725059200.5</v>
      </c>
      <c r="D11">
        <f>SUMIFS(Export!$J:$J,Export!$I:$I,$A11,Export!$C:$C,'BFPIaE-exports'!D$1)</f>
        <v>773634707819199.13</v>
      </c>
      <c r="E11">
        <f>SUMIFS(Export!$J:$J,Export!$I:$I,$A11,Export!$C:$C,'BFPIaE-exports'!E$1)</f>
        <v>516855834874639.13</v>
      </c>
      <c r="F11">
        <f t="shared" si="1"/>
        <v>516855834874639.13</v>
      </c>
      <c r="G11">
        <f t="shared" si="2"/>
        <v>516855834874639.13</v>
      </c>
      <c r="H11">
        <f t="shared" si="2"/>
        <v>516855834874639.13</v>
      </c>
      <c r="I11">
        <f t="shared" si="2"/>
        <v>516855834874639.13</v>
      </c>
      <c r="J11">
        <f t="shared" si="2"/>
        <v>516855834874639.13</v>
      </c>
      <c r="K11">
        <f t="shared" si="2"/>
        <v>516855834874639.13</v>
      </c>
      <c r="L11">
        <f t="shared" si="2"/>
        <v>516855834874639.13</v>
      </c>
      <c r="M11">
        <f t="shared" si="2"/>
        <v>516855834874639.13</v>
      </c>
      <c r="N11">
        <f t="shared" si="2"/>
        <v>516855834874639.13</v>
      </c>
      <c r="O11">
        <f t="shared" si="2"/>
        <v>516855834874639.13</v>
      </c>
      <c r="P11">
        <f t="shared" si="2"/>
        <v>516855834874639.13</v>
      </c>
      <c r="Q11">
        <f t="shared" si="2"/>
        <v>516855834874639.13</v>
      </c>
      <c r="R11">
        <f t="shared" si="2"/>
        <v>516855834874639.13</v>
      </c>
      <c r="S11">
        <f t="shared" si="2"/>
        <v>516855834874639.13</v>
      </c>
      <c r="T11">
        <f t="shared" si="2"/>
        <v>516855834874639.13</v>
      </c>
      <c r="U11">
        <f t="shared" si="2"/>
        <v>516855834874639.13</v>
      </c>
      <c r="V11">
        <f t="shared" si="2"/>
        <v>516855834874639.13</v>
      </c>
      <c r="W11">
        <f t="shared" si="2"/>
        <v>516855834874639.13</v>
      </c>
      <c r="X11">
        <f t="shared" si="2"/>
        <v>516855834874639.13</v>
      </c>
      <c r="Y11">
        <f t="shared" si="2"/>
        <v>516855834874639.13</v>
      </c>
      <c r="Z11">
        <f t="shared" si="2"/>
        <v>516855834874639.13</v>
      </c>
      <c r="AA11">
        <f t="shared" si="2"/>
        <v>516855834874639.13</v>
      </c>
      <c r="AB11">
        <f t="shared" si="2"/>
        <v>516855834874639.13</v>
      </c>
      <c r="AC11">
        <f t="shared" si="2"/>
        <v>516855834874639.13</v>
      </c>
      <c r="AD11">
        <f t="shared" si="2"/>
        <v>516855834874639.13</v>
      </c>
      <c r="AE11">
        <f t="shared" si="2"/>
        <v>516855834874639.13</v>
      </c>
      <c r="AF11">
        <f t="shared" si="2"/>
        <v>516855834874639.13</v>
      </c>
      <c r="AG11">
        <f t="shared" si="2"/>
        <v>516855834874639.13</v>
      </c>
      <c r="AH11">
        <f t="shared" si="2"/>
        <v>516855834874639.13</v>
      </c>
      <c r="AI11">
        <f t="shared" si="2"/>
        <v>516855834874639.13</v>
      </c>
      <c r="AJ11">
        <f t="shared" si="2"/>
        <v>516855834874639.13</v>
      </c>
      <c r="AK11">
        <f t="shared" si="2"/>
        <v>516855834874639.13</v>
      </c>
      <c r="AL11">
        <f t="shared" si="2"/>
        <v>516855834874639.13</v>
      </c>
      <c r="AM11">
        <f t="shared" si="2"/>
        <v>516855834874639.13</v>
      </c>
      <c r="AN11">
        <f t="shared" si="2"/>
        <v>516855834874639.13</v>
      </c>
      <c r="AO11">
        <f t="shared" si="2"/>
        <v>516855834874639.13</v>
      </c>
      <c r="AP11">
        <f t="shared" si="2"/>
        <v>516855834874639.13</v>
      </c>
      <c r="AQ11">
        <f t="shared" si="2"/>
        <v>516855834874639.13</v>
      </c>
    </row>
    <row r="12" spans="1:43" x14ac:dyDescent="0.15">
      <c r="A12" t="s">
        <v>84</v>
      </c>
      <c r="B12">
        <f>SUMIFS(Export!$J:$J,Export!$I:$I,$A12,Export!$C:$C,'BFPIaE-exports'!B$1)</f>
        <v>0</v>
      </c>
      <c r="C12">
        <f>SUMIFS(Export!$J:$J,Export!$I:$I,$A12,Export!$C:$C,'BFPIaE-exports'!C$1)</f>
        <v>0</v>
      </c>
      <c r="D12">
        <f>SUMIFS(Export!$J:$J,Export!$I:$I,$A12,Export!$C:$C,'BFPIaE-exports'!D$1)</f>
        <v>0</v>
      </c>
      <c r="E12">
        <f>SUMIFS(Export!$J:$J,Export!$I:$I,$A12,Export!$C:$C,'BFPIaE-exports'!E$1)</f>
        <v>0</v>
      </c>
      <c r="F12">
        <f t="shared" si="1"/>
        <v>0</v>
      </c>
      <c r="G12">
        <f t="shared" si="2"/>
        <v>0</v>
      </c>
      <c r="H12">
        <f t="shared" si="2"/>
        <v>0</v>
      </c>
      <c r="I12">
        <f t="shared" si="2"/>
        <v>0</v>
      </c>
      <c r="J12">
        <f t="shared" si="2"/>
        <v>0</v>
      </c>
      <c r="K12">
        <f t="shared" si="2"/>
        <v>0</v>
      </c>
      <c r="L12">
        <f t="shared" si="2"/>
        <v>0</v>
      </c>
      <c r="M12">
        <f t="shared" si="2"/>
        <v>0</v>
      </c>
      <c r="N12">
        <f t="shared" si="2"/>
        <v>0</v>
      </c>
      <c r="O12">
        <f t="shared" si="2"/>
        <v>0</v>
      </c>
      <c r="P12">
        <f t="shared" si="2"/>
        <v>0</v>
      </c>
      <c r="Q12">
        <f t="shared" si="2"/>
        <v>0</v>
      </c>
      <c r="R12">
        <f t="shared" si="2"/>
        <v>0</v>
      </c>
      <c r="S12">
        <f t="shared" si="2"/>
        <v>0</v>
      </c>
      <c r="T12">
        <f t="shared" si="2"/>
        <v>0</v>
      </c>
      <c r="U12">
        <f t="shared" si="2"/>
        <v>0</v>
      </c>
      <c r="V12">
        <f t="shared" si="2"/>
        <v>0</v>
      </c>
      <c r="W12">
        <f t="shared" si="2"/>
        <v>0</v>
      </c>
      <c r="X12">
        <f t="shared" si="2"/>
        <v>0</v>
      </c>
      <c r="Y12">
        <f t="shared" si="2"/>
        <v>0</v>
      </c>
      <c r="Z12">
        <f t="shared" si="2"/>
        <v>0</v>
      </c>
      <c r="AA12">
        <f t="shared" si="2"/>
        <v>0</v>
      </c>
      <c r="AB12">
        <f t="shared" si="2"/>
        <v>0</v>
      </c>
      <c r="AC12">
        <f t="shared" si="2"/>
        <v>0</v>
      </c>
      <c r="AD12">
        <f t="shared" si="2"/>
        <v>0</v>
      </c>
      <c r="AE12">
        <f t="shared" si="2"/>
        <v>0</v>
      </c>
      <c r="AF12">
        <f t="shared" si="2"/>
        <v>0</v>
      </c>
      <c r="AG12">
        <f t="shared" si="2"/>
        <v>0</v>
      </c>
      <c r="AH12">
        <f t="shared" si="2"/>
        <v>0</v>
      </c>
      <c r="AI12">
        <f t="shared" si="2"/>
        <v>0</v>
      </c>
      <c r="AJ12">
        <f t="shared" si="2"/>
        <v>0</v>
      </c>
      <c r="AK12">
        <f t="shared" si="2"/>
        <v>0</v>
      </c>
      <c r="AL12">
        <f t="shared" si="2"/>
        <v>0</v>
      </c>
      <c r="AM12">
        <f t="shared" si="2"/>
        <v>0</v>
      </c>
      <c r="AN12">
        <f t="shared" si="2"/>
        <v>0</v>
      </c>
      <c r="AO12">
        <f t="shared" si="2"/>
        <v>0</v>
      </c>
      <c r="AP12">
        <f t="shared" si="2"/>
        <v>0</v>
      </c>
      <c r="AQ12">
        <f t="shared" si="2"/>
        <v>0</v>
      </c>
    </row>
    <row r="13" spans="1:43" x14ac:dyDescent="0.15">
      <c r="A13" t="s">
        <v>77</v>
      </c>
      <c r="B13">
        <f>SUMIFS(Export!$J:$J,Export!$I:$I,$A13,Export!$C:$C,'BFPIaE-exports'!B$1)</f>
        <v>24430807710477.797</v>
      </c>
      <c r="C13">
        <f>SUMIFS(Export!$J:$J,Export!$I:$I,$A13,Export!$C:$C,'BFPIaE-exports'!C$1)</f>
        <v>33624923745492.355</v>
      </c>
      <c r="D13">
        <f>SUMIFS(Export!$J:$J,Export!$I:$I,$A13,Export!$C:$C,'BFPIaE-exports'!D$1)</f>
        <v>47731039876684.68</v>
      </c>
      <c r="E13">
        <f>SUMIFS(Export!$J:$J,Export!$I:$I,$A13,Export!$C:$C,'BFPIaE-exports'!E$1)</f>
        <v>66220140235819.883</v>
      </c>
      <c r="F13">
        <f t="shared" si="1"/>
        <v>66220140235819.883</v>
      </c>
      <c r="G13">
        <f t="shared" si="2"/>
        <v>66220140235819.883</v>
      </c>
      <c r="H13">
        <f t="shared" si="2"/>
        <v>66220140235819.883</v>
      </c>
      <c r="I13">
        <f t="shared" si="2"/>
        <v>66220140235819.883</v>
      </c>
      <c r="J13">
        <f t="shared" si="2"/>
        <v>66220140235819.883</v>
      </c>
      <c r="K13">
        <f t="shared" si="2"/>
        <v>66220140235819.883</v>
      </c>
      <c r="L13">
        <f t="shared" si="2"/>
        <v>66220140235819.883</v>
      </c>
      <c r="M13">
        <f t="shared" si="2"/>
        <v>66220140235819.883</v>
      </c>
      <c r="N13">
        <f t="shared" si="2"/>
        <v>66220140235819.883</v>
      </c>
      <c r="O13">
        <f t="shared" si="2"/>
        <v>66220140235819.883</v>
      </c>
      <c r="P13">
        <f t="shared" si="2"/>
        <v>66220140235819.883</v>
      </c>
      <c r="Q13">
        <f t="shared" si="2"/>
        <v>66220140235819.883</v>
      </c>
      <c r="R13">
        <f t="shared" si="2"/>
        <v>66220140235819.883</v>
      </c>
      <c r="S13">
        <f t="shared" si="2"/>
        <v>66220140235819.883</v>
      </c>
      <c r="T13">
        <f t="shared" si="2"/>
        <v>66220140235819.883</v>
      </c>
      <c r="U13">
        <f t="shared" si="2"/>
        <v>66220140235819.883</v>
      </c>
      <c r="V13">
        <f t="shared" si="2"/>
        <v>66220140235819.883</v>
      </c>
      <c r="W13">
        <f t="shared" si="2"/>
        <v>66220140235819.883</v>
      </c>
      <c r="X13">
        <f t="shared" si="2"/>
        <v>66220140235819.883</v>
      </c>
      <c r="Y13">
        <f t="shared" si="2"/>
        <v>66220140235819.883</v>
      </c>
      <c r="Z13">
        <f t="shared" si="2"/>
        <v>66220140235819.883</v>
      </c>
      <c r="AA13">
        <f t="shared" si="2"/>
        <v>66220140235819.883</v>
      </c>
      <c r="AB13">
        <f t="shared" si="2"/>
        <v>66220140235819.883</v>
      </c>
      <c r="AC13">
        <f t="shared" si="2"/>
        <v>66220140235819.883</v>
      </c>
      <c r="AD13">
        <f t="shared" si="2"/>
        <v>66220140235819.883</v>
      </c>
      <c r="AE13">
        <f t="shared" si="2"/>
        <v>66220140235819.883</v>
      </c>
      <c r="AF13">
        <f t="shared" si="2"/>
        <v>66220140235819.883</v>
      </c>
      <c r="AG13">
        <f t="shared" si="2"/>
        <v>66220140235819.883</v>
      </c>
      <c r="AH13">
        <f t="shared" si="2"/>
        <v>66220140235819.883</v>
      </c>
      <c r="AI13">
        <f t="shared" si="2"/>
        <v>66220140235819.883</v>
      </c>
      <c r="AJ13">
        <f t="shared" si="2"/>
        <v>66220140235819.883</v>
      </c>
      <c r="AK13">
        <f t="shared" si="2"/>
        <v>66220140235819.883</v>
      </c>
      <c r="AL13">
        <f t="shared" si="2"/>
        <v>66220140235819.883</v>
      </c>
      <c r="AM13">
        <f t="shared" si="2"/>
        <v>66220140235819.883</v>
      </c>
      <c r="AN13">
        <f t="shared" si="2"/>
        <v>66220140235819.883</v>
      </c>
      <c r="AO13">
        <f t="shared" si="2"/>
        <v>66220140235819.883</v>
      </c>
      <c r="AP13">
        <f t="shared" si="2"/>
        <v>66220140235819.883</v>
      </c>
      <c r="AQ13">
        <f t="shared" si="2"/>
        <v>66220140235819.883</v>
      </c>
    </row>
    <row r="14" spans="1:43" x14ac:dyDescent="0.15">
      <c r="A14" t="s">
        <v>76</v>
      </c>
      <c r="B14">
        <f>SUMIFS(Export!$J:$J,Export!$I:$I,$A14,Export!$C:$C,'BFPIaE-exports'!B$1)</f>
        <v>719079729004725.25</v>
      </c>
      <c r="C14">
        <f>SUMIFS(Export!$J:$J,Export!$I:$I,$A14,Export!$C:$C,'BFPIaE-exports'!C$1)</f>
        <v>407197786606386.75</v>
      </c>
      <c r="D14">
        <f>SUMIFS(Export!$J:$J,Export!$I:$I,$A14,Export!$C:$C,'BFPIaE-exports'!D$1)</f>
        <v>350052845382592.81</v>
      </c>
      <c r="E14">
        <f>SUMIFS(Export!$J:$J,Export!$I:$I,$A14,Export!$C:$C,'BFPIaE-exports'!E$1)</f>
        <v>446848648842381.25</v>
      </c>
      <c r="F14">
        <f t="shared" si="1"/>
        <v>446848648842381.25</v>
      </c>
      <c r="G14">
        <f t="shared" si="2"/>
        <v>446848648842381.25</v>
      </c>
      <c r="H14">
        <f t="shared" si="2"/>
        <v>446848648842381.25</v>
      </c>
      <c r="I14">
        <f t="shared" si="2"/>
        <v>446848648842381.25</v>
      </c>
      <c r="J14">
        <f t="shared" si="2"/>
        <v>446848648842381.25</v>
      </c>
      <c r="K14">
        <f t="shared" si="2"/>
        <v>446848648842381.25</v>
      </c>
      <c r="L14">
        <f t="shared" si="2"/>
        <v>446848648842381.25</v>
      </c>
      <c r="M14">
        <f t="shared" si="2"/>
        <v>446848648842381.25</v>
      </c>
      <c r="N14">
        <f t="shared" si="2"/>
        <v>446848648842381.25</v>
      </c>
      <c r="O14">
        <f t="shared" si="2"/>
        <v>446848648842381.25</v>
      </c>
      <c r="P14">
        <f t="shared" si="2"/>
        <v>446848648842381.25</v>
      </c>
      <c r="Q14">
        <f t="shared" si="2"/>
        <v>446848648842381.25</v>
      </c>
      <c r="R14">
        <f t="shared" si="2"/>
        <v>446848648842381.25</v>
      </c>
      <c r="S14">
        <f t="shared" si="2"/>
        <v>446848648842381.25</v>
      </c>
      <c r="T14">
        <f t="shared" si="2"/>
        <v>446848648842381.25</v>
      </c>
      <c r="U14">
        <f t="shared" si="2"/>
        <v>446848648842381.25</v>
      </c>
      <c r="V14">
        <f t="shared" si="2"/>
        <v>446848648842381.25</v>
      </c>
      <c r="W14">
        <f t="shared" si="2"/>
        <v>446848648842381.25</v>
      </c>
      <c r="X14">
        <f t="shared" si="2"/>
        <v>446848648842381.25</v>
      </c>
      <c r="Y14">
        <f t="shared" si="2"/>
        <v>446848648842381.25</v>
      </c>
      <c r="Z14">
        <f t="shared" si="2"/>
        <v>446848648842381.25</v>
      </c>
      <c r="AA14">
        <f t="shared" si="2"/>
        <v>446848648842381.25</v>
      </c>
      <c r="AB14">
        <f t="shared" si="2"/>
        <v>446848648842381.25</v>
      </c>
      <c r="AC14">
        <f t="shared" si="2"/>
        <v>446848648842381.25</v>
      </c>
      <c r="AD14">
        <f t="shared" si="2"/>
        <v>446848648842381.25</v>
      </c>
      <c r="AE14">
        <f t="shared" si="2"/>
        <v>446848648842381.25</v>
      </c>
      <c r="AF14">
        <f t="shared" si="2"/>
        <v>446848648842381.25</v>
      </c>
      <c r="AG14">
        <f t="shared" si="2"/>
        <v>446848648842381.25</v>
      </c>
      <c r="AH14">
        <f t="shared" si="2"/>
        <v>446848648842381.25</v>
      </c>
      <c r="AI14">
        <f t="shared" si="2"/>
        <v>446848648842381.25</v>
      </c>
      <c r="AJ14">
        <f t="shared" si="2"/>
        <v>446848648842381.25</v>
      </c>
      <c r="AK14">
        <f t="shared" si="2"/>
        <v>446848648842381.25</v>
      </c>
      <c r="AL14">
        <f t="shared" si="2"/>
        <v>446848648842381.25</v>
      </c>
      <c r="AM14">
        <f t="shared" si="2"/>
        <v>446848648842381.25</v>
      </c>
      <c r="AN14">
        <f t="shared" si="2"/>
        <v>446848648842381.25</v>
      </c>
      <c r="AO14">
        <f t="shared" si="2"/>
        <v>446848648842381.25</v>
      </c>
      <c r="AP14">
        <f t="shared" si="2"/>
        <v>446848648842381.25</v>
      </c>
      <c r="AQ14">
        <f t="shared" si="2"/>
        <v>446848648842381.25</v>
      </c>
    </row>
    <row r="15" spans="1:43" x14ac:dyDescent="0.15">
      <c r="A15" t="s">
        <v>85</v>
      </c>
      <c r="B15">
        <f>SUMIFS(Export!$J:$J,Export!$I:$I,$A15,Export!$C:$C,'BFPIaE-exports'!B$1)</f>
        <v>0</v>
      </c>
      <c r="C15">
        <f>SUMIFS(Export!$J:$J,Export!$I:$I,$A15,Export!$C:$C,'BFPIaE-exports'!C$1)</f>
        <v>0</v>
      </c>
      <c r="D15">
        <f>SUMIFS(Export!$J:$J,Export!$I:$I,$A15,Export!$C:$C,'BFPIaE-exports'!D$1)</f>
        <v>0</v>
      </c>
      <c r="E15">
        <f>SUMIFS(Export!$J:$J,Export!$I:$I,$A15,Export!$C:$C,'BFPIaE-exports'!E$1)</f>
        <v>0</v>
      </c>
      <c r="F15">
        <f t="shared" si="1"/>
        <v>0</v>
      </c>
      <c r="G15">
        <f t="shared" ref="G15:AQ20" si="3">F15</f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  <c r="AL15">
        <f t="shared" si="3"/>
        <v>0</v>
      </c>
      <c r="AM15">
        <f t="shared" si="3"/>
        <v>0</v>
      </c>
      <c r="AN15">
        <f t="shared" si="3"/>
        <v>0</v>
      </c>
      <c r="AO15">
        <f t="shared" si="3"/>
        <v>0</v>
      </c>
      <c r="AP15">
        <f t="shared" si="3"/>
        <v>0</v>
      </c>
      <c r="AQ15">
        <f t="shared" si="3"/>
        <v>0</v>
      </c>
    </row>
    <row r="16" spans="1:43" x14ac:dyDescent="0.15">
      <c r="A16" t="s">
        <v>86</v>
      </c>
      <c r="B16">
        <f>SUMIFS(Export!$J:$J,Export!$I:$I,$A16,Export!$C:$C,'BFPIaE-exports'!B$1)</f>
        <v>0</v>
      </c>
      <c r="C16">
        <f>SUMIFS(Export!$J:$J,Export!$I:$I,$A16,Export!$C:$C,'BFPIaE-exports'!C$1)</f>
        <v>0</v>
      </c>
      <c r="D16">
        <f>SUMIFS(Export!$J:$J,Export!$I:$I,$A16,Export!$C:$C,'BFPIaE-exports'!D$1)</f>
        <v>0</v>
      </c>
      <c r="E16">
        <f>SUMIFS(Export!$J:$J,Export!$I:$I,$A16,Export!$C:$C,'BFPIaE-exports'!E$1)</f>
        <v>0</v>
      </c>
      <c r="F16">
        <f t="shared" si="1"/>
        <v>0</v>
      </c>
      <c r="G16">
        <f t="shared" si="3"/>
        <v>0</v>
      </c>
      <c r="H16">
        <f t="shared" si="3"/>
        <v>0</v>
      </c>
      <c r="I16">
        <f t="shared" si="3"/>
        <v>0</v>
      </c>
      <c r="J16">
        <f t="shared" si="3"/>
        <v>0</v>
      </c>
      <c r="K16">
        <f t="shared" si="3"/>
        <v>0</v>
      </c>
      <c r="L16">
        <f t="shared" si="3"/>
        <v>0</v>
      </c>
      <c r="M16">
        <f t="shared" si="3"/>
        <v>0</v>
      </c>
      <c r="N16">
        <f t="shared" si="3"/>
        <v>0</v>
      </c>
      <c r="O16">
        <f t="shared" si="3"/>
        <v>0</v>
      </c>
      <c r="P16">
        <f t="shared" si="3"/>
        <v>0</v>
      </c>
      <c r="Q16">
        <f t="shared" si="3"/>
        <v>0</v>
      </c>
      <c r="R16">
        <f t="shared" si="3"/>
        <v>0</v>
      </c>
      <c r="S16">
        <f t="shared" si="3"/>
        <v>0</v>
      </c>
      <c r="T16">
        <f t="shared" si="3"/>
        <v>0</v>
      </c>
      <c r="U16">
        <f t="shared" si="3"/>
        <v>0</v>
      </c>
      <c r="V16">
        <f t="shared" si="3"/>
        <v>0</v>
      </c>
      <c r="W16">
        <f t="shared" si="3"/>
        <v>0</v>
      </c>
      <c r="X16">
        <f t="shared" si="3"/>
        <v>0</v>
      </c>
      <c r="Y16">
        <f t="shared" si="3"/>
        <v>0</v>
      </c>
      <c r="Z16">
        <f t="shared" si="3"/>
        <v>0</v>
      </c>
      <c r="AA16">
        <f t="shared" si="3"/>
        <v>0</v>
      </c>
      <c r="AB16">
        <f t="shared" si="3"/>
        <v>0</v>
      </c>
      <c r="AC16">
        <f t="shared" si="3"/>
        <v>0</v>
      </c>
      <c r="AD16">
        <f t="shared" si="3"/>
        <v>0</v>
      </c>
      <c r="AE16">
        <f t="shared" si="3"/>
        <v>0</v>
      </c>
      <c r="AF16">
        <f t="shared" si="3"/>
        <v>0</v>
      </c>
      <c r="AG16">
        <f t="shared" si="3"/>
        <v>0</v>
      </c>
      <c r="AH16">
        <f t="shared" si="3"/>
        <v>0</v>
      </c>
      <c r="AI16">
        <f t="shared" si="3"/>
        <v>0</v>
      </c>
      <c r="AJ16">
        <f t="shared" si="3"/>
        <v>0</v>
      </c>
      <c r="AK16">
        <f t="shared" si="3"/>
        <v>0</v>
      </c>
      <c r="AL16">
        <f t="shared" si="3"/>
        <v>0</v>
      </c>
      <c r="AM16">
        <f t="shared" si="3"/>
        <v>0</v>
      </c>
      <c r="AN16">
        <f t="shared" si="3"/>
        <v>0</v>
      </c>
      <c r="AO16">
        <f t="shared" si="3"/>
        <v>0</v>
      </c>
      <c r="AP16">
        <f t="shared" si="3"/>
        <v>0</v>
      </c>
      <c r="AQ16">
        <f t="shared" si="3"/>
        <v>0</v>
      </c>
    </row>
    <row r="17" spans="1:43" x14ac:dyDescent="0.15">
      <c r="A17" t="s">
        <v>87</v>
      </c>
      <c r="B17">
        <f>SUMIFS(Export!$J:$J,Export!$I:$I,$A17,Export!$C:$C,'BFPIaE-exports'!B$1)</f>
        <v>0</v>
      </c>
      <c r="C17">
        <f>SUMIFS(Export!$J:$J,Export!$I:$I,$A17,Export!$C:$C,'BFPIaE-exports'!C$1)</f>
        <v>0</v>
      </c>
      <c r="D17">
        <f>SUMIFS(Export!$J:$J,Export!$I:$I,$A17,Export!$C:$C,'BFPIaE-exports'!D$1)</f>
        <v>0</v>
      </c>
      <c r="E17">
        <f>SUMIFS(Export!$J:$J,Export!$I:$I,$A17,Export!$C:$C,'BFPIaE-exports'!E$1)</f>
        <v>0</v>
      </c>
      <c r="F17">
        <f t="shared" si="1"/>
        <v>0</v>
      </c>
      <c r="G17">
        <f t="shared" si="3"/>
        <v>0</v>
      </c>
      <c r="H17">
        <f t="shared" si="3"/>
        <v>0</v>
      </c>
      <c r="I17">
        <f t="shared" si="3"/>
        <v>0</v>
      </c>
      <c r="J17">
        <f t="shared" si="3"/>
        <v>0</v>
      </c>
      <c r="K17">
        <f t="shared" si="3"/>
        <v>0</v>
      </c>
      <c r="L17">
        <f t="shared" si="3"/>
        <v>0</v>
      </c>
      <c r="M17">
        <f t="shared" si="3"/>
        <v>0</v>
      </c>
      <c r="N17">
        <f t="shared" si="3"/>
        <v>0</v>
      </c>
      <c r="O17">
        <f t="shared" si="3"/>
        <v>0</v>
      </c>
      <c r="P17">
        <f t="shared" si="3"/>
        <v>0</v>
      </c>
      <c r="Q17">
        <f t="shared" si="3"/>
        <v>0</v>
      </c>
      <c r="R17">
        <f t="shared" si="3"/>
        <v>0</v>
      </c>
      <c r="S17">
        <f t="shared" si="3"/>
        <v>0</v>
      </c>
      <c r="T17">
        <f t="shared" si="3"/>
        <v>0</v>
      </c>
      <c r="U17">
        <f t="shared" si="3"/>
        <v>0</v>
      </c>
      <c r="V17">
        <f t="shared" si="3"/>
        <v>0</v>
      </c>
      <c r="W17">
        <f t="shared" si="3"/>
        <v>0</v>
      </c>
      <c r="X17">
        <f t="shared" si="3"/>
        <v>0</v>
      </c>
      <c r="Y17">
        <f t="shared" si="3"/>
        <v>0</v>
      </c>
      <c r="Z17">
        <f t="shared" si="3"/>
        <v>0</v>
      </c>
      <c r="AA17">
        <f t="shared" si="3"/>
        <v>0</v>
      </c>
      <c r="AB17">
        <f t="shared" si="3"/>
        <v>0</v>
      </c>
      <c r="AC17">
        <f t="shared" si="3"/>
        <v>0</v>
      </c>
      <c r="AD17">
        <f t="shared" si="3"/>
        <v>0</v>
      </c>
      <c r="AE17">
        <f t="shared" si="3"/>
        <v>0</v>
      </c>
      <c r="AF17">
        <f t="shared" si="3"/>
        <v>0</v>
      </c>
      <c r="AG17">
        <f t="shared" si="3"/>
        <v>0</v>
      </c>
      <c r="AH17">
        <f t="shared" si="3"/>
        <v>0</v>
      </c>
      <c r="AI17">
        <f t="shared" si="3"/>
        <v>0</v>
      </c>
      <c r="AJ17">
        <f t="shared" si="3"/>
        <v>0</v>
      </c>
      <c r="AK17">
        <f t="shared" si="3"/>
        <v>0</v>
      </c>
      <c r="AL17">
        <f t="shared" si="3"/>
        <v>0</v>
      </c>
      <c r="AM17">
        <f t="shared" si="3"/>
        <v>0</v>
      </c>
      <c r="AN17">
        <f t="shared" si="3"/>
        <v>0</v>
      </c>
      <c r="AO17">
        <f t="shared" si="3"/>
        <v>0</v>
      </c>
      <c r="AP17">
        <f t="shared" si="3"/>
        <v>0</v>
      </c>
      <c r="AQ17">
        <f t="shared" si="3"/>
        <v>0</v>
      </c>
    </row>
    <row r="18" spans="1:43" x14ac:dyDescent="0.15">
      <c r="A18" t="s">
        <v>88</v>
      </c>
      <c r="B18">
        <v>32105175355450.199</v>
      </c>
      <c r="C18">
        <v>65003071090047.398</v>
      </c>
      <c r="D18">
        <v>65003071090047.398</v>
      </c>
      <c r="E18">
        <v>65003071090048.398</v>
      </c>
      <c r="F18">
        <f t="shared" si="1"/>
        <v>65003071090048.398</v>
      </c>
      <c r="G18">
        <f t="shared" si="3"/>
        <v>65003071090048.398</v>
      </c>
      <c r="H18">
        <f t="shared" si="3"/>
        <v>65003071090048.398</v>
      </c>
      <c r="I18">
        <f t="shared" si="3"/>
        <v>65003071090048.398</v>
      </c>
      <c r="J18">
        <f t="shared" si="3"/>
        <v>65003071090048.398</v>
      </c>
      <c r="K18">
        <f t="shared" si="3"/>
        <v>65003071090048.398</v>
      </c>
      <c r="L18">
        <f t="shared" si="3"/>
        <v>65003071090048.398</v>
      </c>
      <c r="M18">
        <f t="shared" si="3"/>
        <v>65003071090048.398</v>
      </c>
      <c r="N18">
        <f t="shared" si="3"/>
        <v>65003071090048.398</v>
      </c>
      <c r="O18">
        <f t="shared" si="3"/>
        <v>65003071090048.398</v>
      </c>
      <c r="P18">
        <f t="shared" si="3"/>
        <v>65003071090048.398</v>
      </c>
      <c r="Q18">
        <f t="shared" si="3"/>
        <v>65003071090048.398</v>
      </c>
      <c r="R18">
        <f t="shared" si="3"/>
        <v>65003071090048.398</v>
      </c>
      <c r="S18">
        <f t="shared" si="3"/>
        <v>65003071090048.398</v>
      </c>
      <c r="T18">
        <f t="shared" si="3"/>
        <v>65003071090048.398</v>
      </c>
      <c r="U18">
        <f t="shared" si="3"/>
        <v>65003071090048.398</v>
      </c>
      <c r="V18">
        <f t="shared" si="3"/>
        <v>65003071090048.398</v>
      </c>
      <c r="W18">
        <f t="shared" si="3"/>
        <v>65003071090048.398</v>
      </c>
      <c r="X18">
        <f t="shared" si="3"/>
        <v>65003071090048.398</v>
      </c>
      <c r="Y18">
        <f t="shared" si="3"/>
        <v>65003071090048.398</v>
      </c>
      <c r="Z18">
        <f t="shared" si="3"/>
        <v>65003071090048.398</v>
      </c>
      <c r="AA18">
        <f t="shared" si="3"/>
        <v>65003071090048.398</v>
      </c>
      <c r="AB18">
        <f t="shared" si="3"/>
        <v>65003071090048.398</v>
      </c>
      <c r="AC18">
        <f t="shared" si="3"/>
        <v>65003071090048.398</v>
      </c>
      <c r="AD18">
        <f t="shared" si="3"/>
        <v>65003071090048.398</v>
      </c>
      <c r="AE18">
        <f t="shared" si="3"/>
        <v>65003071090048.398</v>
      </c>
      <c r="AF18">
        <f t="shared" si="3"/>
        <v>65003071090048.398</v>
      </c>
      <c r="AG18">
        <f t="shared" si="3"/>
        <v>65003071090048.398</v>
      </c>
      <c r="AH18">
        <f t="shared" si="3"/>
        <v>65003071090048.398</v>
      </c>
      <c r="AI18">
        <f t="shared" si="3"/>
        <v>65003071090048.398</v>
      </c>
      <c r="AJ18">
        <f t="shared" si="3"/>
        <v>65003071090048.398</v>
      </c>
      <c r="AK18">
        <f t="shared" si="3"/>
        <v>65003071090048.398</v>
      </c>
      <c r="AL18">
        <f t="shared" si="3"/>
        <v>65003071090048.398</v>
      </c>
      <c r="AM18">
        <f t="shared" si="3"/>
        <v>65003071090048.398</v>
      </c>
      <c r="AN18">
        <f t="shared" si="3"/>
        <v>65003071090048.398</v>
      </c>
      <c r="AO18">
        <f t="shared" si="3"/>
        <v>65003071090048.398</v>
      </c>
      <c r="AP18">
        <f t="shared" si="3"/>
        <v>65003071090048.398</v>
      </c>
      <c r="AQ18">
        <f t="shared" si="3"/>
        <v>65003071090048.398</v>
      </c>
    </row>
    <row r="19" spans="1:43" x14ac:dyDescent="0.15">
      <c r="A19" t="s">
        <v>72</v>
      </c>
      <c r="B19">
        <f>SUMIFS(Export!$J:$J,Export!$I:$I,$A19,Export!$C:$C,'BFPIaE-exports'!B$1)</f>
        <v>443078584484315.19</v>
      </c>
      <c r="C19">
        <f>SUMIFS(Export!$J:$J,Export!$I:$I,$A19,Export!$C:$C,'BFPIaE-exports'!C$1)</f>
        <v>627650960814570.13</v>
      </c>
      <c r="D19">
        <f>SUMIFS(Export!$J:$J,Export!$I:$I,$A19,Export!$C:$C,'BFPIaE-exports'!D$1)</f>
        <v>777500555810999</v>
      </c>
      <c r="E19">
        <f>SUMIFS(Export!$J:$J,Export!$I:$I,$A19,Export!$C:$C,'BFPIaE-exports'!E$1)</f>
        <v>739977715981578.5</v>
      </c>
      <c r="F19">
        <f t="shared" si="1"/>
        <v>739977715981578.5</v>
      </c>
      <c r="G19">
        <f t="shared" si="3"/>
        <v>739977715981578.5</v>
      </c>
      <c r="H19">
        <f t="shared" si="3"/>
        <v>739977715981578.5</v>
      </c>
      <c r="I19">
        <f t="shared" si="3"/>
        <v>739977715981578.5</v>
      </c>
      <c r="J19">
        <f t="shared" si="3"/>
        <v>739977715981578.5</v>
      </c>
      <c r="K19">
        <f t="shared" si="3"/>
        <v>739977715981578.5</v>
      </c>
      <c r="L19">
        <f t="shared" si="3"/>
        <v>739977715981578.5</v>
      </c>
      <c r="M19">
        <f t="shared" si="3"/>
        <v>739977715981578.5</v>
      </c>
      <c r="N19">
        <f t="shared" si="3"/>
        <v>739977715981578.5</v>
      </c>
      <c r="O19">
        <f t="shared" si="3"/>
        <v>739977715981578.5</v>
      </c>
      <c r="P19">
        <f t="shared" si="3"/>
        <v>739977715981578.5</v>
      </c>
      <c r="Q19">
        <f t="shared" si="3"/>
        <v>739977715981578.5</v>
      </c>
      <c r="R19">
        <f t="shared" si="3"/>
        <v>739977715981578.5</v>
      </c>
      <c r="S19">
        <f t="shared" si="3"/>
        <v>739977715981578.5</v>
      </c>
      <c r="T19">
        <f t="shared" si="3"/>
        <v>739977715981578.5</v>
      </c>
      <c r="U19">
        <f t="shared" si="3"/>
        <v>739977715981578.5</v>
      </c>
      <c r="V19">
        <f t="shared" si="3"/>
        <v>739977715981578.5</v>
      </c>
      <c r="W19">
        <f t="shared" si="3"/>
        <v>739977715981578.5</v>
      </c>
      <c r="X19">
        <f t="shared" si="3"/>
        <v>739977715981578.5</v>
      </c>
      <c r="Y19">
        <f t="shared" si="3"/>
        <v>739977715981578.5</v>
      </c>
      <c r="Z19">
        <f t="shared" si="3"/>
        <v>739977715981578.5</v>
      </c>
      <c r="AA19">
        <f t="shared" si="3"/>
        <v>739977715981578.5</v>
      </c>
      <c r="AB19">
        <f t="shared" si="3"/>
        <v>739977715981578.5</v>
      </c>
      <c r="AC19">
        <f t="shared" si="3"/>
        <v>739977715981578.5</v>
      </c>
      <c r="AD19">
        <f t="shared" si="3"/>
        <v>739977715981578.5</v>
      </c>
      <c r="AE19">
        <f t="shared" si="3"/>
        <v>739977715981578.5</v>
      </c>
      <c r="AF19">
        <f t="shared" si="3"/>
        <v>739977715981578.5</v>
      </c>
      <c r="AG19">
        <f t="shared" si="3"/>
        <v>739977715981578.5</v>
      </c>
      <c r="AH19">
        <f t="shared" si="3"/>
        <v>739977715981578.5</v>
      </c>
      <c r="AI19">
        <f t="shared" si="3"/>
        <v>739977715981578.5</v>
      </c>
      <c r="AJ19">
        <f t="shared" si="3"/>
        <v>739977715981578.5</v>
      </c>
      <c r="AK19">
        <f t="shared" si="3"/>
        <v>739977715981578.5</v>
      </c>
      <c r="AL19">
        <f t="shared" si="3"/>
        <v>739977715981578.5</v>
      </c>
      <c r="AM19">
        <f t="shared" si="3"/>
        <v>739977715981578.5</v>
      </c>
      <c r="AN19">
        <f t="shared" si="3"/>
        <v>739977715981578.5</v>
      </c>
      <c r="AO19">
        <f t="shared" si="3"/>
        <v>739977715981578.5</v>
      </c>
      <c r="AP19">
        <f t="shared" si="3"/>
        <v>739977715981578.5</v>
      </c>
      <c r="AQ19">
        <f t="shared" si="3"/>
        <v>739977715981578.5</v>
      </c>
    </row>
    <row r="20" spans="1:43" x14ac:dyDescent="0.15">
      <c r="A20" t="s">
        <v>75</v>
      </c>
      <c r="B20">
        <f>SUMIFS(Export!$J:$J,Export!$I:$I,$A20,Export!$C:$C,'BFPIaE-exports'!B$1)</f>
        <v>29914268803921.609</v>
      </c>
      <c r="C20">
        <f>SUMIFS(Export!$J:$J,Export!$I:$I,$A20,Export!$C:$C,'BFPIaE-exports'!C$1)</f>
        <v>32680526940555.801</v>
      </c>
      <c r="D20">
        <f>SUMIFS(Export!$J:$J,Export!$I:$I,$A20,Export!$C:$C,'BFPIaE-exports'!D$1)</f>
        <v>44540454095970.367</v>
      </c>
      <c r="E20">
        <f>SUMIFS(Export!$J:$J,Export!$I:$I,$A20,Export!$C:$C,'BFPIaE-exports'!E$1)</f>
        <v>47196217750748.547</v>
      </c>
      <c r="F20">
        <f t="shared" si="1"/>
        <v>47196217750748.547</v>
      </c>
      <c r="G20">
        <f t="shared" si="3"/>
        <v>47196217750748.547</v>
      </c>
      <c r="H20">
        <f t="shared" si="3"/>
        <v>47196217750748.547</v>
      </c>
      <c r="I20">
        <f t="shared" si="3"/>
        <v>47196217750748.547</v>
      </c>
      <c r="J20">
        <f t="shared" si="3"/>
        <v>47196217750748.547</v>
      </c>
      <c r="K20">
        <f t="shared" si="3"/>
        <v>47196217750748.547</v>
      </c>
      <c r="L20">
        <f t="shared" si="3"/>
        <v>47196217750748.547</v>
      </c>
      <c r="M20">
        <f t="shared" si="3"/>
        <v>47196217750748.547</v>
      </c>
      <c r="N20">
        <f t="shared" si="3"/>
        <v>47196217750748.547</v>
      </c>
      <c r="O20">
        <f t="shared" si="3"/>
        <v>47196217750748.547</v>
      </c>
      <c r="P20">
        <f t="shared" si="3"/>
        <v>47196217750748.547</v>
      </c>
      <c r="Q20">
        <f t="shared" si="3"/>
        <v>47196217750748.547</v>
      </c>
      <c r="R20">
        <f t="shared" si="3"/>
        <v>47196217750748.547</v>
      </c>
      <c r="S20">
        <f t="shared" si="3"/>
        <v>47196217750748.547</v>
      </c>
      <c r="T20">
        <f t="shared" si="3"/>
        <v>47196217750748.547</v>
      </c>
      <c r="U20">
        <f t="shared" si="3"/>
        <v>47196217750748.547</v>
      </c>
      <c r="V20">
        <f t="shared" si="3"/>
        <v>47196217750748.547</v>
      </c>
      <c r="W20">
        <f t="shared" si="3"/>
        <v>47196217750748.547</v>
      </c>
      <c r="X20">
        <f t="shared" si="3"/>
        <v>47196217750748.547</v>
      </c>
      <c r="Y20">
        <f t="shared" si="3"/>
        <v>47196217750748.547</v>
      </c>
      <c r="Z20">
        <f t="shared" si="3"/>
        <v>47196217750748.547</v>
      </c>
      <c r="AA20">
        <f t="shared" si="3"/>
        <v>47196217750748.547</v>
      </c>
      <c r="AB20">
        <f t="shared" si="3"/>
        <v>47196217750748.547</v>
      </c>
      <c r="AC20">
        <f t="shared" si="3"/>
        <v>47196217750748.547</v>
      </c>
      <c r="AD20">
        <f t="shared" si="3"/>
        <v>47196217750748.547</v>
      </c>
      <c r="AE20">
        <f t="shared" si="3"/>
        <v>47196217750748.547</v>
      </c>
      <c r="AF20">
        <f t="shared" si="3"/>
        <v>47196217750748.547</v>
      </c>
      <c r="AG20">
        <f t="shared" si="3"/>
        <v>47196217750748.547</v>
      </c>
      <c r="AH20">
        <f t="shared" si="3"/>
        <v>47196217750748.547</v>
      </c>
      <c r="AI20">
        <f t="shared" si="3"/>
        <v>47196217750748.547</v>
      </c>
      <c r="AJ20">
        <f t="shared" si="3"/>
        <v>47196217750748.547</v>
      </c>
      <c r="AK20">
        <f t="shared" si="3"/>
        <v>47196217750748.547</v>
      </c>
      <c r="AL20">
        <f t="shared" si="3"/>
        <v>47196217750748.547</v>
      </c>
      <c r="AM20">
        <f t="shared" ref="G20:AQ22" si="4">AL20</f>
        <v>47196217750748.547</v>
      </c>
      <c r="AN20">
        <f t="shared" si="4"/>
        <v>47196217750748.547</v>
      </c>
      <c r="AO20">
        <f t="shared" si="4"/>
        <v>47196217750748.547</v>
      </c>
      <c r="AP20">
        <f t="shared" si="4"/>
        <v>47196217750748.547</v>
      </c>
      <c r="AQ20">
        <f t="shared" si="4"/>
        <v>47196217750748.547</v>
      </c>
    </row>
    <row r="21" spans="1:43" x14ac:dyDescent="0.15">
      <c r="A21" t="s">
        <v>89</v>
      </c>
      <c r="B21">
        <f>SUMIFS(Export!$J:$J,Export!$I:$I,$A21,Export!$C:$C,'BFPIaE-exports'!B$1)</f>
        <v>0</v>
      </c>
      <c r="C21">
        <f>SUMIFS(Export!$J:$J,Export!$I:$I,$A21,Export!$C:$C,'BFPIaE-exports'!C$1)</f>
        <v>0</v>
      </c>
      <c r="D21">
        <f>SUMIFS(Export!$J:$J,Export!$I:$I,$A21,Export!$C:$C,'BFPIaE-exports'!D$1)</f>
        <v>0</v>
      </c>
      <c r="E21">
        <f>SUMIFS(Export!$J:$J,Export!$I:$I,$A21,Export!$C:$C,'BFPIaE-exports'!E$1)</f>
        <v>0</v>
      </c>
      <c r="F21">
        <f t="shared" si="1"/>
        <v>0</v>
      </c>
      <c r="G21">
        <f t="shared" si="4"/>
        <v>0</v>
      </c>
      <c r="H21">
        <f t="shared" si="4"/>
        <v>0</v>
      </c>
      <c r="I21">
        <f t="shared" si="4"/>
        <v>0</v>
      </c>
      <c r="J21">
        <f t="shared" si="4"/>
        <v>0</v>
      </c>
      <c r="K21">
        <f t="shared" si="4"/>
        <v>0</v>
      </c>
      <c r="L21">
        <f t="shared" si="4"/>
        <v>0</v>
      </c>
      <c r="M21">
        <f t="shared" si="4"/>
        <v>0</v>
      </c>
      <c r="N21">
        <f t="shared" si="4"/>
        <v>0</v>
      </c>
      <c r="O21">
        <f t="shared" si="4"/>
        <v>0</v>
      </c>
      <c r="P21">
        <f t="shared" si="4"/>
        <v>0</v>
      </c>
      <c r="Q21">
        <f t="shared" si="4"/>
        <v>0</v>
      </c>
      <c r="R21">
        <f t="shared" si="4"/>
        <v>0</v>
      </c>
      <c r="S21">
        <f t="shared" si="4"/>
        <v>0</v>
      </c>
      <c r="T21">
        <f t="shared" si="4"/>
        <v>0</v>
      </c>
      <c r="U21">
        <f t="shared" si="4"/>
        <v>0</v>
      </c>
      <c r="V21">
        <f t="shared" si="4"/>
        <v>0</v>
      </c>
      <c r="W21">
        <f t="shared" si="4"/>
        <v>0</v>
      </c>
      <c r="X21">
        <f t="shared" si="4"/>
        <v>0</v>
      </c>
      <c r="Y21">
        <f t="shared" si="4"/>
        <v>0</v>
      </c>
      <c r="Z21">
        <f t="shared" si="4"/>
        <v>0</v>
      </c>
      <c r="AA21">
        <f t="shared" si="4"/>
        <v>0</v>
      </c>
      <c r="AB21">
        <f t="shared" si="4"/>
        <v>0</v>
      </c>
      <c r="AC21">
        <f t="shared" si="4"/>
        <v>0</v>
      </c>
      <c r="AD21">
        <f t="shared" si="4"/>
        <v>0</v>
      </c>
      <c r="AE21">
        <f t="shared" si="4"/>
        <v>0</v>
      </c>
      <c r="AF21">
        <f t="shared" si="4"/>
        <v>0</v>
      </c>
      <c r="AG21">
        <f t="shared" si="4"/>
        <v>0</v>
      </c>
      <c r="AH21">
        <f t="shared" si="4"/>
        <v>0</v>
      </c>
      <c r="AI21">
        <f t="shared" si="4"/>
        <v>0</v>
      </c>
      <c r="AJ21">
        <f t="shared" si="4"/>
        <v>0</v>
      </c>
      <c r="AK21">
        <f t="shared" si="4"/>
        <v>0</v>
      </c>
      <c r="AL21">
        <f t="shared" si="4"/>
        <v>0</v>
      </c>
      <c r="AM21">
        <f t="shared" si="4"/>
        <v>0</v>
      </c>
      <c r="AN21">
        <f t="shared" si="4"/>
        <v>0</v>
      </c>
      <c r="AO21">
        <f t="shared" si="4"/>
        <v>0</v>
      </c>
      <c r="AP21">
        <f t="shared" si="4"/>
        <v>0</v>
      </c>
      <c r="AQ21">
        <f t="shared" si="4"/>
        <v>0</v>
      </c>
    </row>
    <row r="22" spans="1:43" x14ac:dyDescent="0.15">
      <c r="A22" t="s">
        <v>90</v>
      </c>
      <c r="B22">
        <f>SUMIFS(Export!$J:$J,Export!$I:$I,$A22,Export!$C:$C,'BFPIaE-exports'!B$1)</f>
        <v>4925728.9576660804</v>
      </c>
      <c r="C22">
        <f>SUMIFS(Export!$J:$J,Export!$I:$I,$A22,Export!$C:$C,'BFPIaE-exports'!C$1)</f>
        <v>7862062.2557564136</v>
      </c>
      <c r="D22">
        <f>SUMIFS(Export!$J:$J,Export!$I:$I,$A22,Export!$C:$C,'BFPIaE-exports'!D$1)</f>
        <v>4733769.7273561396</v>
      </c>
      <c r="E22">
        <f>SUMIFS(Export!$J:$J,Export!$I:$I,$A22,Export!$C:$C,'BFPIaE-exports'!E$1)</f>
        <v>5634784.1050310275</v>
      </c>
      <c r="F22">
        <f t="shared" si="1"/>
        <v>5634784.1050310275</v>
      </c>
      <c r="G22">
        <f t="shared" si="4"/>
        <v>5634784.1050310275</v>
      </c>
      <c r="H22">
        <f t="shared" si="4"/>
        <v>5634784.1050310275</v>
      </c>
      <c r="I22">
        <f t="shared" si="4"/>
        <v>5634784.1050310275</v>
      </c>
      <c r="J22">
        <f t="shared" si="4"/>
        <v>5634784.1050310275</v>
      </c>
      <c r="K22">
        <f t="shared" si="4"/>
        <v>5634784.1050310275</v>
      </c>
      <c r="L22">
        <f t="shared" si="4"/>
        <v>5634784.1050310275</v>
      </c>
      <c r="M22">
        <f t="shared" si="4"/>
        <v>5634784.1050310275</v>
      </c>
      <c r="N22">
        <f t="shared" si="4"/>
        <v>5634784.1050310275</v>
      </c>
      <c r="O22">
        <f t="shared" si="4"/>
        <v>5634784.1050310275</v>
      </c>
      <c r="P22">
        <f t="shared" si="4"/>
        <v>5634784.1050310275</v>
      </c>
      <c r="Q22">
        <f t="shared" si="4"/>
        <v>5634784.1050310275</v>
      </c>
      <c r="R22">
        <f t="shared" si="4"/>
        <v>5634784.1050310275</v>
      </c>
      <c r="S22">
        <f t="shared" si="4"/>
        <v>5634784.1050310275</v>
      </c>
      <c r="T22">
        <f t="shared" si="4"/>
        <v>5634784.1050310275</v>
      </c>
      <c r="U22">
        <f t="shared" si="4"/>
        <v>5634784.1050310275</v>
      </c>
      <c r="V22">
        <f t="shared" si="4"/>
        <v>5634784.1050310275</v>
      </c>
      <c r="W22">
        <f t="shared" si="4"/>
        <v>5634784.1050310275</v>
      </c>
      <c r="X22">
        <f t="shared" si="4"/>
        <v>5634784.1050310275</v>
      </c>
      <c r="Y22">
        <f t="shared" si="4"/>
        <v>5634784.1050310275</v>
      </c>
      <c r="Z22">
        <f t="shared" si="4"/>
        <v>5634784.1050310275</v>
      </c>
      <c r="AA22">
        <f t="shared" si="4"/>
        <v>5634784.1050310275</v>
      </c>
      <c r="AB22">
        <f t="shared" si="4"/>
        <v>5634784.1050310275</v>
      </c>
      <c r="AC22">
        <f t="shared" si="4"/>
        <v>5634784.1050310275</v>
      </c>
      <c r="AD22">
        <f t="shared" si="4"/>
        <v>5634784.1050310275</v>
      </c>
      <c r="AE22">
        <f t="shared" si="4"/>
        <v>5634784.1050310275</v>
      </c>
      <c r="AF22">
        <f t="shared" si="4"/>
        <v>5634784.1050310275</v>
      </c>
      <c r="AG22">
        <f t="shared" si="4"/>
        <v>5634784.1050310275</v>
      </c>
      <c r="AH22">
        <f t="shared" si="4"/>
        <v>5634784.1050310275</v>
      </c>
      <c r="AI22">
        <f t="shared" si="4"/>
        <v>5634784.1050310275</v>
      </c>
      <c r="AJ22">
        <f t="shared" si="4"/>
        <v>5634784.1050310275</v>
      </c>
      <c r="AK22">
        <f t="shared" si="4"/>
        <v>5634784.1050310275</v>
      </c>
      <c r="AL22">
        <f t="shared" si="4"/>
        <v>5634784.1050310275</v>
      </c>
      <c r="AM22">
        <f t="shared" si="4"/>
        <v>5634784.1050310275</v>
      </c>
      <c r="AN22">
        <f t="shared" si="4"/>
        <v>5634784.1050310275</v>
      </c>
      <c r="AO22">
        <f t="shared" si="4"/>
        <v>5634784.1050310275</v>
      </c>
      <c r="AP22">
        <f t="shared" si="4"/>
        <v>5634784.1050310275</v>
      </c>
      <c r="AQ22">
        <f t="shared" si="4"/>
        <v>5634784.1050310275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Q22"/>
  <sheetViews>
    <sheetView workbookViewId="0">
      <selection activeCell="B2" sqref="B2:AQ2"/>
    </sheetView>
  </sheetViews>
  <sheetFormatPr defaultColWidth="9" defaultRowHeight="13.5" x14ac:dyDescent="0.15"/>
  <cols>
    <col min="1" max="1" width="29.375" style="1" bestFit="1" customWidth="1"/>
    <col min="2" max="6" width="9" style="1" customWidth="1"/>
    <col min="7" max="32" width="9" style="1"/>
    <col min="33" max="33" width="9" style="1" customWidth="1"/>
    <col min="34" max="16384" width="9" style="1"/>
  </cols>
  <sheetData>
    <row r="1" spans="1:43" x14ac:dyDescent="0.15">
      <c r="A1" s="1" t="s">
        <v>78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</row>
    <row r="2" spans="1:43" x14ac:dyDescent="0.15">
      <c r="A2" s="1" t="s">
        <v>254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</row>
    <row r="3" spans="1:43" x14ac:dyDescent="0.15">
      <c r="A3" s="1" t="s">
        <v>121</v>
      </c>
      <c r="B3" s="1">
        <f>SUMIFS(Import!$J:$J,Import!$I:$I,$A3,Import!$C:$C,'BFPIaE-imports'!B$1)</f>
        <v>5127161504088868</v>
      </c>
      <c r="C3" s="1">
        <f>SUMIFS(Import!$J:$J,Import!$I:$I,$A3,Import!$C:$C,'BFPIaE-imports'!C$1)</f>
        <v>5217173146414053</v>
      </c>
      <c r="D3" s="1">
        <f>SUMIFS(Import!$J:$J,Import!$I:$I,$A3,Import!$C:$C,'BFPIaE-imports'!D$1)</f>
        <v>5492819606467476</v>
      </c>
      <c r="E3" s="1">
        <f>SUMIFS(Import!$J:$J,Import!$I:$I,$A3,Import!$C:$C,'BFPIaE-imports'!E$1)</f>
        <v>4863665514815623</v>
      </c>
      <c r="F3" s="1">
        <f>E3</f>
        <v>4863665514815623</v>
      </c>
      <c r="G3" s="1">
        <f t="shared" ref="G3:V15" si="0">F3</f>
        <v>4863665514815623</v>
      </c>
      <c r="H3" s="1">
        <f t="shared" si="0"/>
        <v>4863665514815623</v>
      </c>
      <c r="I3" s="1">
        <f t="shared" si="0"/>
        <v>4863665514815623</v>
      </c>
      <c r="J3" s="1">
        <f t="shared" si="0"/>
        <v>4863665514815623</v>
      </c>
      <c r="K3" s="1">
        <f t="shared" si="0"/>
        <v>4863665514815623</v>
      </c>
      <c r="L3" s="1">
        <f t="shared" si="0"/>
        <v>4863665514815623</v>
      </c>
      <c r="M3" s="1">
        <f t="shared" si="0"/>
        <v>4863665514815623</v>
      </c>
      <c r="N3" s="1">
        <f t="shared" si="0"/>
        <v>4863665514815623</v>
      </c>
      <c r="O3" s="1">
        <f t="shared" si="0"/>
        <v>4863665514815623</v>
      </c>
      <c r="P3" s="1">
        <f t="shared" si="0"/>
        <v>4863665514815623</v>
      </c>
      <c r="Q3" s="1">
        <f t="shared" si="0"/>
        <v>4863665514815623</v>
      </c>
      <c r="R3" s="1">
        <f t="shared" si="0"/>
        <v>4863665514815623</v>
      </c>
      <c r="S3" s="1">
        <f t="shared" si="0"/>
        <v>4863665514815623</v>
      </c>
      <c r="T3" s="1">
        <f t="shared" si="0"/>
        <v>4863665514815623</v>
      </c>
      <c r="U3" s="1">
        <f t="shared" ref="U3:AQ15" si="1">T3</f>
        <v>4863665514815623</v>
      </c>
      <c r="V3" s="1">
        <f t="shared" si="1"/>
        <v>4863665514815623</v>
      </c>
      <c r="W3" s="1">
        <f t="shared" si="1"/>
        <v>4863665514815623</v>
      </c>
      <c r="X3" s="1">
        <f t="shared" si="1"/>
        <v>4863665514815623</v>
      </c>
      <c r="Y3" s="1">
        <f t="shared" si="1"/>
        <v>4863665514815623</v>
      </c>
      <c r="Z3" s="1">
        <f t="shared" si="1"/>
        <v>4863665514815623</v>
      </c>
      <c r="AA3" s="1">
        <f t="shared" si="1"/>
        <v>4863665514815623</v>
      </c>
      <c r="AB3" s="1">
        <f t="shared" si="1"/>
        <v>4863665514815623</v>
      </c>
      <c r="AC3" s="1">
        <f t="shared" si="1"/>
        <v>4863665514815623</v>
      </c>
      <c r="AD3" s="1">
        <f t="shared" si="1"/>
        <v>4863665514815623</v>
      </c>
      <c r="AE3" s="1">
        <f t="shared" si="1"/>
        <v>4863665514815623</v>
      </c>
      <c r="AF3" s="1">
        <f t="shared" si="1"/>
        <v>4863665514815623</v>
      </c>
      <c r="AG3" s="1">
        <f t="shared" si="1"/>
        <v>4863665514815623</v>
      </c>
      <c r="AH3" s="1">
        <f t="shared" si="1"/>
        <v>4863665514815623</v>
      </c>
      <c r="AI3" s="1">
        <f t="shared" si="1"/>
        <v>4863665514815623</v>
      </c>
      <c r="AJ3" s="1">
        <f t="shared" si="1"/>
        <v>4863665514815623</v>
      </c>
      <c r="AK3" s="1">
        <f t="shared" si="1"/>
        <v>4863665514815623</v>
      </c>
      <c r="AL3" s="1">
        <f t="shared" si="1"/>
        <v>4863665514815623</v>
      </c>
      <c r="AM3" s="1">
        <f t="shared" si="1"/>
        <v>4863665514815623</v>
      </c>
      <c r="AN3" s="1">
        <f t="shared" si="1"/>
        <v>4863665514815623</v>
      </c>
      <c r="AO3" s="1">
        <f t="shared" si="1"/>
        <v>4863665514815623</v>
      </c>
      <c r="AP3" s="1">
        <f t="shared" si="1"/>
        <v>4863665514815623</v>
      </c>
      <c r="AQ3" s="1">
        <f t="shared" si="1"/>
        <v>4863665514815623</v>
      </c>
    </row>
    <row r="4" spans="1:43" x14ac:dyDescent="0.15">
      <c r="A4" s="1" t="s">
        <v>122</v>
      </c>
      <c r="B4" s="1">
        <f>SUMIFS(Import!$J:$J,Import!$I:$I,$A4,Import!$C:$C,'BFPIaE-imports'!B$1)</f>
        <v>4704636274226289</v>
      </c>
      <c r="C4" s="1">
        <f>SUMIFS(Import!$J:$J,Import!$I:$I,$A4,Import!$C:$C,'BFPIaE-imports'!C$1)</f>
        <v>4934884433570244</v>
      </c>
      <c r="D4" s="1">
        <f>SUMIFS(Import!$J:$J,Import!$I:$I,$A4,Import!$C:$C,'BFPIaE-imports'!D$1)</f>
        <v>5911872924087251</v>
      </c>
      <c r="E4" s="1">
        <f>SUMIFS(Import!$J:$J,Import!$I:$I,$A4,Import!$C:$C,'BFPIaE-imports'!E$1)</f>
        <v>5325828063649262</v>
      </c>
      <c r="F4" s="1">
        <f t="shared" ref="F4:S22" si="2">E4</f>
        <v>5325828063649262</v>
      </c>
      <c r="G4" s="1">
        <f t="shared" si="2"/>
        <v>5325828063649262</v>
      </c>
      <c r="H4" s="1">
        <f t="shared" si="2"/>
        <v>5325828063649262</v>
      </c>
      <c r="I4" s="1">
        <f t="shared" si="2"/>
        <v>5325828063649262</v>
      </c>
      <c r="J4" s="1">
        <f t="shared" si="2"/>
        <v>5325828063649262</v>
      </c>
      <c r="K4" s="1">
        <f t="shared" si="2"/>
        <v>5325828063649262</v>
      </c>
      <c r="L4" s="1">
        <f t="shared" si="2"/>
        <v>5325828063649262</v>
      </c>
      <c r="M4" s="1">
        <f t="shared" si="2"/>
        <v>5325828063649262</v>
      </c>
      <c r="N4" s="1">
        <f t="shared" si="2"/>
        <v>5325828063649262</v>
      </c>
      <c r="O4" s="1">
        <f t="shared" si="2"/>
        <v>5325828063649262</v>
      </c>
      <c r="P4" s="1">
        <f t="shared" si="2"/>
        <v>5325828063649262</v>
      </c>
      <c r="Q4" s="1">
        <f t="shared" si="2"/>
        <v>5325828063649262</v>
      </c>
      <c r="R4" s="1">
        <f t="shared" si="2"/>
        <v>5325828063649262</v>
      </c>
      <c r="S4" s="1">
        <f t="shared" si="2"/>
        <v>5325828063649262</v>
      </c>
      <c r="T4" s="1">
        <f t="shared" si="0"/>
        <v>5325828063649262</v>
      </c>
      <c r="U4" s="1">
        <f t="shared" si="0"/>
        <v>5325828063649262</v>
      </c>
      <c r="V4" s="1">
        <f t="shared" si="0"/>
        <v>5325828063649262</v>
      </c>
      <c r="W4" s="1">
        <f t="shared" si="1"/>
        <v>5325828063649262</v>
      </c>
      <c r="X4" s="1">
        <f t="shared" si="1"/>
        <v>5325828063649262</v>
      </c>
      <c r="Y4" s="1">
        <f t="shared" si="1"/>
        <v>5325828063649262</v>
      </c>
      <c r="Z4" s="1">
        <f t="shared" si="1"/>
        <v>5325828063649262</v>
      </c>
      <c r="AA4" s="1">
        <f t="shared" si="1"/>
        <v>5325828063649262</v>
      </c>
      <c r="AB4" s="1">
        <f t="shared" si="1"/>
        <v>5325828063649262</v>
      </c>
      <c r="AC4" s="1">
        <f t="shared" si="1"/>
        <v>5325828063649262</v>
      </c>
      <c r="AD4" s="1">
        <f t="shared" si="1"/>
        <v>5325828063649262</v>
      </c>
      <c r="AE4" s="1">
        <f t="shared" si="1"/>
        <v>5325828063649262</v>
      </c>
      <c r="AF4" s="1">
        <f t="shared" si="1"/>
        <v>5325828063649262</v>
      </c>
      <c r="AG4" s="1">
        <f t="shared" si="1"/>
        <v>5325828063649262</v>
      </c>
      <c r="AH4" s="1">
        <f t="shared" si="1"/>
        <v>5325828063649262</v>
      </c>
      <c r="AI4" s="1">
        <f t="shared" si="1"/>
        <v>5325828063649262</v>
      </c>
      <c r="AJ4" s="1">
        <f t="shared" si="1"/>
        <v>5325828063649262</v>
      </c>
      <c r="AK4" s="1">
        <f t="shared" si="1"/>
        <v>5325828063649262</v>
      </c>
      <c r="AL4" s="1">
        <f t="shared" si="1"/>
        <v>5325828063649262</v>
      </c>
      <c r="AM4" s="1">
        <f t="shared" si="1"/>
        <v>5325828063649262</v>
      </c>
      <c r="AN4" s="1">
        <f t="shared" si="1"/>
        <v>5325828063649262</v>
      </c>
      <c r="AO4" s="1">
        <f t="shared" si="1"/>
        <v>5325828063649262</v>
      </c>
      <c r="AP4" s="1">
        <f t="shared" si="1"/>
        <v>5325828063649262</v>
      </c>
      <c r="AQ4" s="1">
        <f t="shared" si="1"/>
        <v>5325828063649262</v>
      </c>
    </row>
    <row r="5" spans="1:43" x14ac:dyDescent="0.15">
      <c r="A5" s="1" t="s">
        <v>79</v>
      </c>
      <c r="B5" s="1">
        <f>SUMIFS(Import!$J:$J,Import!$I:$I,$A5,Import!$C:$C,'BFPIaE-imports'!B$1)</f>
        <v>106241035217097.61</v>
      </c>
      <c r="C5" s="1">
        <f>SUMIFS(Import!$J:$J,Import!$I:$I,$A5,Import!$C:$C,'BFPIaE-imports'!C$1)</f>
        <v>757152529921237</v>
      </c>
      <c r="D5" s="1">
        <f>SUMIFS(Import!$J:$J,Import!$I:$I,$A5,Import!$C:$C,'BFPIaE-imports'!D$1)</f>
        <v>59094373.761540286</v>
      </c>
      <c r="E5" s="1">
        <f>SUMIFS(Import!$J:$J,Import!$I:$I,$A5,Import!$C:$C,'BFPIaE-imports'!E$1)</f>
        <v>3456303215095896.5</v>
      </c>
      <c r="F5" s="1">
        <f t="shared" si="2"/>
        <v>3456303215095896.5</v>
      </c>
      <c r="G5" s="1">
        <f t="shared" si="2"/>
        <v>3456303215095896.5</v>
      </c>
      <c r="H5" s="1">
        <f t="shared" si="2"/>
        <v>3456303215095896.5</v>
      </c>
      <c r="I5" s="1">
        <f t="shared" si="2"/>
        <v>3456303215095896.5</v>
      </c>
      <c r="J5" s="1">
        <f t="shared" si="2"/>
        <v>3456303215095896.5</v>
      </c>
      <c r="K5" s="1">
        <f t="shared" si="2"/>
        <v>3456303215095896.5</v>
      </c>
      <c r="L5" s="1">
        <f t="shared" si="2"/>
        <v>3456303215095896.5</v>
      </c>
      <c r="M5" s="1">
        <f t="shared" si="2"/>
        <v>3456303215095896.5</v>
      </c>
      <c r="N5" s="1">
        <f t="shared" si="2"/>
        <v>3456303215095896.5</v>
      </c>
      <c r="O5" s="1">
        <f t="shared" si="2"/>
        <v>3456303215095896.5</v>
      </c>
      <c r="P5" s="1">
        <f t="shared" si="2"/>
        <v>3456303215095896.5</v>
      </c>
      <c r="Q5" s="1">
        <f t="shared" si="2"/>
        <v>3456303215095896.5</v>
      </c>
      <c r="R5" s="1">
        <f t="shared" si="2"/>
        <v>3456303215095896.5</v>
      </c>
      <c r="S5" s="1">
        <f t="shared" si="2"/>
        <v>3456303215095896.5</v>
      </c>
      <c r="T5" s="1">
        <f t="shared" si="0"/>
        <v>3456303215095896.5</v>
      </c>
      <c r="U5" s="1">
        <f t="shared" si="0"/>
        <v>3456303215095896.5</v>
      </c>
      <c r="V5" s="1">
        <f t="shared" si="0"/>
        <v>3456303215095896.5</v>
      </c>
      <c r="W5" s="1">
        <f t="shared" si="1"/>
        <v>3456303215095896.5</v>
      </c>
      <c r="X5" s="1">
        <f t="shared" si="1"/>
        <v>3456303215095896.5</v>
      </c>
      <c r="Y5" s="1">
        <f t="shared" si="1"/>
        <v>3456303215095896.5</v>
      </c>
      <c r="Z5" s="1">
        <f t="shared" si="1"/>
        <v>3456303215095896.5</v>
      </c>
      <c r="AA5" s="1">
        <f t="shared" si="1"/>
        <v>3456303215095896.5</v>
      </c>
      <c r="AB5" s="1">
        <f t="shared" si="1"/>
        <v>3456303215095896.5</v>
      </c>
      <c r="AC5" s="1">
        <f t="shared" si="1"/>
        <v>3456303215095896.5</v>
      </c>
      <c r="AD5" s="1">
        <f t="shared" si="1"/>
        <v>3456303215095896.5</v>
      </c>
      <c r="AE5" s="1">
        <f t="shared" si="1"/>
        <v>3456303215095896.5</v>
      </c>
      <c r="AF5" s="1">
        <f t="shared" si="1"/>
        <v>3456303215095896.5</v>
      </c>
      <c r="AG5" s="1">
        <f t="shared" si="1"/>
        <v>3456303215095896.5</v>
      </c>
      <c r="AH5" s="1">
        <f t="shared" si="1"/>
        <v>3456303215095896.5</v>
      </c>
      <c r="AI5" s="1">
        <f t="shared" si="1"/>
        <v>3456303215095896.5</v>
      </c>
      <c r="AJ5" s="1">
        <f t="shared" si="1"/>
        <v>3456303215095896.5</v>
      </c>
      <c r="AK5" s="1">
        <f t="shared" si="1"/>
        <v>3456303215095896.5</v>
      </c>
      <c r="AL5" s="1">
        <f t="shared" si="1"/>
        <v>3456303215095896.5</v>
      </c>
      <c r="AM5" s="1">
        <f t="shared" si="1"/>
        <v>3456303215095896.5</v>
      </c>
      <c r="AN5" s="1">
        <f t="shared" si="1"/>
        <v>3456303215095896.5</v>
      </c>
      <c r="AO5" s="1">
        <f t="shared" si="1"/>
        <v>3456303215095896.5</v>
      </c>
      <c r="AP5" s="1">
        <f t="shared" si="1"/>
        <v>3456303215095896.5</v>
      </c>
      <c r="AQ5" s="1">
        <f t="shared" si="1"/>
        <v>3456303215095896.5</v>
      </c>
    </row>
    <row r="6" spans="1:43" x14ac:dyDescent="0.15">
      <c r="A6" s="1" t="s">
        <v>80</v>
      </c>
      <c r="B6" s="1">
        <f>SUMIFS(Import!$J:$J,Import!$I:$I,$A6,Import!$C:$C,'BFPIaE-imports'!B$1)</f>
        <v>0</v>
      </c>
      <c r="C6" s="1">
        <f>SUMIFS(Import!$J:$J,Import!$I:$I,$A6,Import!$C:$C,'BFPIaE-imports'!C$1)</f>
        <v>0</v>
      </c>
      <c r="D6" s="1">
        <f>SUMIFS(Import!$J:$J,Import!$I:$I,$A6,Import!$C:$C,'BFPIaE-imports'!D$1)</f>
        <v>0</v>
      </c>
      <c r="E6" s="1">
        <f>SUMIFS(Import!$J:$J,Import!$I:$I,$A6,Import!$C:$C,'BFPIaE-imports'!E$1)</f>
        <v>0</v>
      </c>
      <c r="F6" s="1">
        <f t="shared" si="2"/>
        <v>0</v>
      </c>
      <c r="G6" s="1">
        <f t="shared" si="2"/>
        <v>0</v>
      </c>
      <c r="H6" s="1">
        <f t="shared" si="2"/>
        <v>0</v>
      </c>
      <c r="I6" s="1">
        <f t="shared" si="2"/>
        <v>0</v>
      </c>
      <c r="J6" s="1">
        <f t="shared" si="2"/>
        <v>0</v>
      </c>
      <c r="K6" s="1">
        <f t="shared" si="2"/>
        <v>0</v>
      </c>
      <c r="L6" s="1">
        <f t="shared" si="2"/>
        <v>0</v>
      </c>
      <c r="M6" s="1">
        <f t="shared" si="2"/>
        <v>0</v>
      </c>
      <c r="N6" s="1">
        <f t="shared" si="2"/>
        <v>0</v>
      </c>
      <c r="O6" s="1">
        <f t="shared" si="2"/>
        <v>0</v>
      </c>
      <c r="P6" s="1">
        <f t="shared" si="2"/>
        <v>0</v>
      </c>
      <c r="Q6" s="1">
        <f t="shared" si="2"/>
        <v>0</v>
      </c>
      <c r="R6" s="1">
        <f t="shared" si="2"/>
        <v>0</v>
      </c>
      <c r="S6" s="1">
        <f t="shared" si="2"/>
        <v>0</v>
      </c>
      <c r="T6" s="1">
        <f t="shared" si="0"/>
        <v>0</v>
      </c>
      <c r="U6" s="1">
        <f t="shared" si="0"/>
        <v>0</v>
      </c>
      <c r="V6" s="1">
        <f t="shared" si="0"/>
        <v>0</v>
      </c>
      <c r="W6" s="1">
        <f t="shared" si="1"/>
        <v>0</v>
      </c>
      <c r="X6" s="1">
        <f t="shared" si="1"/>
        <v>0</v>
      </c>
      <c r="Y6" s="1">
        <f t="shared" si="1"/>
        <v>0</v>
      </c>
      <c r="Z6" s="1">
        <f t="shared" si="1"/>
        <v>0</v>
      </c>
      <c r="AA6" s="1">
        <f t="shared" si="1"/>
        <v>0</v>
      </c>
      <c r="AB6" s="1">
        <f t="shared" si="1"/>
        <v>0</v>
      </c>
      <c r="AC6" s="1">
        <f t="shared" si="1"/>
        <v>0</v>
      </c>
      <c r="AD6" s="1">
        <f t="shared" si="1"/>
        <v>0</v>
      </c>
      <c r="AE6" s="1">
        <f t="shared" si="1"/>
        <v>0</v>
      </c>
      <c r="AF6" s="1">
        <f t="shared" si="1"/>
        <v>0</v>
      </c>
      <c r="AG6" s="1">
        <f t="shared" si="1"/>
        <v>0</v>
      </c>
      <c r="AH6" s="1">
        <f t="shared" si="1"/>
        <v>0</v>
      </c>
      <c r="AI6" s="1">
        <f t="shared" si="1"/>
        <v>0</v>
      </c>
      <c r="AJ6" s="1">
        <f t="shared" si="1"/>
        <v>0</v>
      </c>
      <c r="AK6" s="1">
        <f t="shared" si="1"/>
        <v>0</v>
      </c>
      <c r="AL6" s="1">
        <f t="shared" si="1"/>
        <v>0</v>
      </c>
      <c r="AM6" s="1">
        <f t="shared" si="1"/>
        <v>0</v>
      </c>
      <c r="AN6" s="1">
        <f t="shared" si="1"/>
        <v>0</v>
      </c>
      <c r="AO6" s="1">
        <f t="shared" si="1"/>
        <v>0</v>
      </c>
      <c r="AP6" s="1">
        <f t="shared" si="1"/>
        <v>0</v>
      </c>
      <c r="AQ6" s="1">
        <f t="shared" si="1"/>
        <v>0</v>
      </c>
    </row>
    <row r="7" spans="1:43" x14ac:dyDescent="0.15">
      <c r="A7" s="1" t="s">
        <v>81</v>
      </c>
      <c r="B7" s="1">
        <f>SUMIFS(Import!$J:$J,Import!$I:$I,$A7,Import!$C:$C,'BFPIaE-imports'!B$1)</f>
        <v>0</v>
      </c>
      <c r="C7" s="1">
        <f>SUMIFS(Import!$J:$J,Import!$I:$I,$A7,Import!$C:$C,'BFPIaE-imports'!C$1)</f>
        <v>0</v>
      </c>
      <c r="D7" s="1">
        <f>SUMIFS(Import!$J:$J,Import!$I:$I,$A7,Import!$C:$C,'BFPIaE-imports'!D$1)</f>
        <v>0</v>
      </c>
      <c r="E7" s="1">
        <f>SUMIFS(Import!$J:$J,Import!$I:$I,$A7,Import!$C:$C,'BFPIaE-imports'!E$1)</f>
        <v>0</v>
      </c>
      <c r="F7" s="1">
        <f t="shared" si="2"/>
        <v>0</v>
      </c>
      <c r="G7" s="1">
        <f t="shared" si="2"/>
        <v>0</v>
      </c>
      <c r="H7" s="1">
        <f t="shared" si="2"/>
        <v>0</v>
      </c>
      <c r="I7" s="1">
        <f t="shared" si="2"/>
        <v>0</v>
      </c>
      <c r="J7" s="1">
        <f t="shared" si="2"/>
        <v>0</v>
      </c>
      <c r="K7" s="1">
        <f t="shared" si="2"/>
        <v>0</v>
      </c>
      <c r="L7" s="1">
        <f t="shared" si="2"/>
        <v>0</v>
      </c>
      <c r="M7" s="1">
        <f t="shared" si="2"/>
        <v>0</v>
      </c>
      <c r="N7" s="1">
        <f t="shared" si="2"/>
        <v>0</v>
      </c>
      <c r="O7" s="1">
        <f t="shared" si="2"/>
        <v>0</v>
      </c>
      <c r="P7" s="1">
        <f t="shared" si="2"/>
        <v>0</v>
      </c>
      <c r="Q7" s="1">
        <f t="shared" si="2"/>
        <v>0</v>
      </c>
      <c r="R7" s="1">
        <f t="shared" si="2"/>
        <v>0</v>
      </c>
      <c r="S7" s="1">
        <f t="shared" si="2"/>
        <v>0</v>
      </c>
      <c r="T7" s="1">
        <f t="shared" si="0"/>
        <v>0</v>
      </c>
      <c r="U7" s="1">
        <f t="shared" si="0"/>
        <v>0</v>
      </c>
      <c r="V7" s="1">
        <f t="shared" si="0"/>
        <v>0</v>
      </c>
      <c r="W7" s="1">
        <f t="shared" si="1"/>
        <v>0</v>
      </c>
      <c r="X7" s="1">
        <f t="shared" si="1"/>
        <v>0</v>
      </c>
      <c r="Y7" s="1">
        <f t="shared" si="1"/>
        <v>0</v>
      </c>
      <c r="Z7" s="1">
        <f t="shared" si="1"/>
        <v>0</v>
      </c>
      <c r="AA7" s="1">
        <f t="shared" si="1"/>
        <v>0</v>
      </c>
      <c r="AB7" s="1">
        <f t="shared" si="1"/>
        <v>0</v>
      </c>
      <c r="AC7" s="1">
        <f t="shared" si="1"/>
        <v>0</v>
      </c>
      <c r="AD7" s="1">
        <f t="shared" si="1"/>
        <v>0</v>
      </c>
      <c r="AE7" s="1">
        <f t="shared" si="1"/>
        <v>0</v>
      </c>
      <c r="AF7" s="1">
        <f t="shared" si="1"/>
        <v>0</v>
      </c>
      <c r="AG7" s="1">
        <f t="shared" si="1"/>
        <v>0</v>
      </c>
      <c r="AH7" s="1">
        <f t="shared" si="1"/>
        <v>0</v>
      </c>
      <c r="AI7" s="1">
        <f t="shared" si="1"/>
        <v>0</v>
      </c>
      <c r="AJ7" s="1">
        <f t="shared" si="1"/>
        <v>0</v>
      </c>
      <c r="AK7" s="1">
        <f t="shared" si="1"/>
        <v>0</v>
      </c>
      <c r="AL7" s="1">
        <f t="shared" si="1"/>
        <v>0</v>
      </c>
      <c r="AM7" s="1">
        <f t="shared" si="1"/>
        <v>0</v>
      </c>
      <c r="AN7" s="1">
        <f t="shared" si="1"/>
        <v>0</v>
      </c>
      <c r="AO7" s="1">
        <f t="shared" si="1"/>
        <v>0</v>
      </c>
      <c r="AP7" s="1">
        <f t="shared" si="1"/>
        <v>0</v>
      </c>
      <c r="AQ7" s="1">
        <f t="shared" si="1"/>
        <v>0</v>
      </c>
    </row>
    <row r="8" spans="1:43" x14ac:dyDescent="0.15">
      <c r="A8" s="1" t="s">
        <v>82</v>
      </c>
      <c r="B8" s="1">
        <f>SUMIFS(Import!$J:$J,Import!$I:$I,$A8,Import!$C:$C,'BFPIaE-imports'!B$1)</f>
        <v>0</v>
      </c>
      <c r="C8" s="1">
        <f>SUMIFS(Import!$J:$J,Import!$I:$I,$A8,Import!$C:$C,'BFPIaE-imports'!C$1)</f>
        <v>0</v>
      </c>
      <c r="D8" s="1">
        <f>SUMIFS(Import!$J:$J,Import!$I:$I,$A8,Import!$C:$C,'BFPIaE-imports'!D$1)</f>
        <v>0</v>
      </c>
      <c r="E8" s="1">
        <f>SUMIFS(Import!$J:$J,Import!$I:$I,$A8,Import!$C:$C,'BFPIaE-imports'!E$1)</f>
        <v>0</v>
      </c>
      <c r="F8" s="1">
        <f t="shared" si="2"/>
        <v>0</v>
      </c>
      <c r="G8" s="1">
        <f t="shared" si="2"/>
        <v>0</v>
      </c>
      <c r="H8" s="1">
        <f t="shared" si="2"/>
        <v>0</v>
      </c>
      <c r="I8" s="1">
        <f t="shared" si="2"/>
        <v>0</v>
      </c>
      <c r="J8" s="1">
        <f t="shared" si="2"/>
        <v>0</v>
      </c>
      <c r="K8" s="1">
        <f t="shared" si="2"/>
        <v>0</v>
      </c>
      <c r="L8" s="1">
        <f t="shared" si="2"/>
        <v>0</v>
      </c>
      <c r="M8" s="1">
        <f t="shared" si="2"/>
        <v>0</v>
      </c>
      <c r="N8" s="1">
        <f t="shared" si="2"/>
        <v>0</v>
      </c>
      <c r="O8" s="1">
        <f t="shared" si="2"/>
        <v>0</v>
      </c>
      <c r="P8" s="1">
        <f t="shared" si="2"/>
        <v>0</v>
      </c>
      <c r="Q8" s="1">
        <f t="shared" si="2"/>
        <v>0</v>
      </c>
      <c r="R8" s="1">
        <f t="shared" si="2"/>
        <v>0</v>
      </c>
      <c r="S8" s="1">
        <f t="shared" si="2"/>
        <v>0</v>
      </c>
      <c r="T8" s="1">
        <f t="shared" si="0"/>
        <v>0</v>
      </c>
      <c r="U8" s="1">
        <f t="shared" si="0"/>
        <v>0</v>
      </c>
      <c r="V8" s="1">
        <f t="shared" si="0"/>
        <v>0</v>
      </c>
      <c r="W8" s="1">
        <f t="shared" si="1"/>
        <v>0</v>
      </c>
      <c r="X8" s="1">
        <f t="shared" si="1"/>
        <v>0</v>
      </c>
      <c r="Y8" s="1">
        <f t="shared" si="1"/>
        <v>0</v>
      </c>
      <c r="Z8" s="1">
        <f t="shared" si="1"/>
        <v>0</v>
      </c>
      <c r="AA8" s="1">
        <f t="shared" si="1"/>
        <v>0</v>
      </c>
      <c r="AB8" s="1">
        <f t="shared" si="1"/>
        <v>0</v>
      </c>
      <c r="AC8" s="1">
        <f t="shared" si="1"/>
        <v>0</v>
      </c>
      <c r="AD8" s="1">
        <f t="shared" si="1"/>
        <v>0</v>
      </c>
      <c r="AE8" s="1">
        <f t="shared" si="1"/>
        <v>0</v>
      </c>
      <c r="AF8" s="1">
        <f t="shared" si="1"/>
        <v>0</v>
      </c>
      <c r="AG8" s="1">
        <f t="shared" si="1"/>
        <v>0</v>
      </c>
      <c r="AH8" s="1">
        <f t="shared" si="1"/>
        <v>0</v>
      </c>
      <c r="AI8" s="1">
        <f t="shared" si="1"/>
        <v>0</v>
      </c>
      <c r="AJ8" s="1">
        <f t="shared" si="1"/>
        <v>0</v>
      </c>
      <c r="AK8" s="1">
        <f t="shared" si="1"/>
        <v>0</v>
      </c>
      <c r="AL8" s="1">
        <f t="shared" si="1"/>
        <v>0</v>
      </c>
      <c r="AM8" s="1">
        <f t="shared" si="1"/>
        <v>0</v>
      </c>
      <c r="AN8" s="1">
        <f t="shared" si="1"/>
        <v>0</v>
      </c>
      <c r="AO8" s="1">
        <f t="shared" si="1"/>
        <v>0</v>
      </c>
      <c r="AP8" s="1">
        <f t="shared" si="1"/>
        <v>0</v>
      </c>
      <c r="AQ8" s="1">
        <f t="shared" si="1"/>
        <v>0</v>
      </c>
    </row>
    <row r="9" spans="1:43" x14ac:dyDescent="0.15">
      <c r="A9" s="1" t="s">
        <v>83</v>
      </c>
      <c r="B9" s="1">
        <f>SUMIFS(Import!$J:$J,Import!$I:$I,$A9,Import!$C:$C,'BFPIaE-imports'!B$1)</f>
        <v>0</v>
      </c>
      <c r="C9" s="1">
        <f>SUMIFS(Import!$J:$J,Import!$I:$I,$A9,Import!$C:$C,'BFPIaE-imports'!C$1)</f>
        <v>0</v>
      </c>
      <c r="D9" s="1">
        <f>SUMIFS(Import!$J:$J,Import!$I:$I,$A9,Import!$C:$C,'BFPIaE-imports'!D$1)</f>
        <v>0</v>
      </c>
      <c r="E9" s="1">
        <f>SUMIFS(Import!$J:$J,Import!$I:$I,$A9,Import!$C:$C,'BFPIaE-imports'!E$1)</f>
        <v>0</v>
      </c>
      <c r="F9" s="1">
        <f t="shared" si="2"/>
        <v>0</v>
      </c>
      <c r="G9" s="1">
        <f t="shared" si="2"/>
        <v>0</v>
      </c>
      <c r="H9" s="1">
        <f t="shared" si="2"/>
        <v>0</v>
      </c>
      <c r="I9" s="1">
        <f t="shared" si="2"/>
        <v>0</v>
      </c>
      <c r="J9" s="1">
        <f t="shared" si="2"/>
        <v>0</v>
      </c>
      <c r="K9" s="1">
        <f t="shared" si="2"/>
        <v>0</v>
      </c>
      <c r="L9" s="1">
        <f t="shared" si="2"/>
        <v>0</v>
      </c>
      <c r="M9" s="1">
        <f t="shared" si="2"/>
        <v>0</v>
      </c>
      <c r="N9" s="1">
        <f t="shared" si="2"/>
        <v>0</v>
      </c>
      <c r="O9" s="1">
        <f t="shared" si="2"/>
        <v>0</v>
      </c>
      <c r="P9" s="1">
        <f t="shared" si="2"/>
        <v>0</v>
      </c>
      <c r="Q9" s="1">
        <f t="shared" si="2"/>
        <v>0</v>
      </c>
      <c r="R9" s="1">
        <f t="shared" si="2"/>
        <v>0</v>
      </c>
      <c r="S9" s="1">
        <f t="shared" si="2"/>
        <v>0</v>
      </c>
      <c r="T9" s="1">
        <f t="shared" si="0"/>
        <v>0</v>
      </c>
      <c r="U9" s="1">
        <f t="shared" si="0"/>
        <v>0</v>
      </c>
      <c r="V9" s="1">
        <f t="shared" si="0"/>
        <v>0</v>
      </c>
      <c r="W9" s="1">
        <f t="shared" si="1"/>
        <v>0</v>
      </c>
      <c r="X9" s="1">
        <f t="shared" si="1"/>
        <v>0</v>
      </c>
      <c r="Y9" s="1">
        <f t="shared" si="1"/>
        <v>0</v>
      </c>
      <c r="Z9" s="1">
        <f t="shared" si="1"/>
        <v>0</v>
      </c>
      <c r="AA9" s="1">
        <f t="shared" si="1"/>
        <v>0</v>
      </c>
      <c r="AB9" s="1">
        <f t="shared" si="1"/>
        <v>0</v>
      </c>
      <c r="AC9" s="1">
        <f t="shared" si="1"/>
        <v>0</v>
      </c>
      <c r="AD9" s="1">
        <f t="shared" si="1"/>
        <v>0</v>
      </c>
      <c r="AE9" s="1">
        <f t="shared" si="1"/>
        <v>0</v>
      </c>
      <c r="AF9" s="1">
        <f t="shared" si="1"/>
        <v>0</v>
      </c>
      <c r="AG9" s="1">
        <f t="shared" si="1"/>
        <v>0</v>
      </c>
      <c r="AH9" s="1">
        <f t="shared" si="1"/>
        <v>0</v>
      </c>
      <c r="AI9" s="1">
        <f t="shared" si="1"/>
        <v>0</v>
      </c>
      <c r="AJ9" s="1">
        <f t="shared" si="1"/>
        <v>0</v>
      </c>
      <c r="AK9" s="1">
        <f t="shared" si="1"/>
        <v>0</v>
      </c>
      <c r="AL9" s="1">
        <f t="shared" si="1"/>
        <v>0</v>
      </c>
      <c r="AM9" s="1">
        <f t="shared" si="1"/>
        <v>0</v>
      </c>
      <c r="AN9" s="1">
        <f t="shared" si="1"/>
        <v>0</v>
      </c>
      <c r="AO9" s="1">
        <f t="shared" si="1"/>
        <v>0</v>
      </c>
      <c r="AP9" s="1">
        <f t="shared" si="1"/>
        <v>0</v>
      </c>
      <c r="AQ9" s="1">
        <f t="shared" si="1"/>
        <v>0</v>
      </c>
    </row>
    <row r="10" spans="1:43" x14ac:dyDescent="0.15">
      <c r="A10" s="1" t="s">
        <v>73</v>
      </c>
      <c r="B10" s="1">
        <f>SUMIFS(Import!$J:$J,Import!$I:$I,$A10,Import!$C:$C,'BFPIaE-imports'!B$1)</f>
        <v>13609162892381.48</v>
      </c>
      <c r="C10" s="1">
        <f>SUMIFS(Import!$J:$J,Import!$I:$I,$A10,Import!$C:$C,'BFPIaE-imports'!C$1)</f>
        <v>19613419488845.07</v>
      </c>
      <c r="D10" s="1">
        <f>SUMIFS(Import!$J:$J,Import!$I:$I,$A10,Import!$C:$C,'BFPIaE-imports'!D$1)</f>
        <v>14600489467804.004</v>
      </c>
      <c r="E10" s="1">
        <f>SUMIFS(Import!$J:$J,Import!$I:$I,$A10,Import!$C:$C,'BFPIaE-imports'!E$1)</f>
        <v>820370260778.13794</v>
      </c>
      <c r="F10" s="1">
        <f t="shared" si="2"/>
        <v>820370260778.13794</v>
      </c>
      <c r="G10" s="1">
        <f t="shared" si="2"/>
        <v>820370260778.13794</v>
      </c>
      <c r="H10" s="1">
        <f t="shared" si="2"/>
        <v>820370260778.13794</v>
      </c>
      <c r="I10" s="1">
        <f t="shared" si="2"/>
        <v>820370260778.13794</v>
      </c>
      <c r="J10" s="1">
        <f t="shared" si="2"/>
        <v>820370260778.13794</v>
      </c>
      <c r="K10" s="1">
        <f t="shared" si="2"/>
        <v>820370260778.13794</v>
      </c>
      <c r="L10" s="1">
        <f t="shared" si="2"/>
        <v>820370260778.13794</v>
      </c>
      <c r="M10" s="1">
        <f t="shared" si="2"/>
        <v>820370260778.13794</v>
      </c>
      <c r="N10" s="1">
        <f t="shared" si="2"/>
        <v>820370260778.13794</v>
      </c>
      <c r="O10" s="1">
        <f t="shared" si="2"/>
        <v>820370260778.13794</v>
      </c>
      <c r="P10" s="1">
        <f t="shared" si="2"/>
        <v>820370260778.13794</v>
      </c>
      <c r="Q10" s="1">
        <f t="shared" si="2"/>
        <v>820370260778.13794</v>
      </c>
      <c r="R10" s="1">
        <f t="shared" si="2"/>
        <v>820370260778.13794</v>
      </c>
      <c r="S10" s="1">
        <f t="shared" si="2"/>
        <v>820370260778.13794</v>
      </c>
      <c r="T10" s="1">
        <f t="shared" si="0"/>
        <v>820370260778.13794</v>
      </c>
      <c r="U10" s="1">
        <f t="shared" si="0"/>
        <v>820370260778.13794</v>
      </c>
      <c r="V10" s="1">
        <f t="shared" si="0"/>
        <v>820370260778.13794</v>
      </c>
      <c r="W10" s="1">
        <f t="shared" si="1"/>
        <v>820370260778.13794</v>
      </c>
      <c r="X10" s="1">
        <f t="shared" si="1"/>
        <v>820370260778.13794</v>
      </c>
      <c r="Y10" s="1">
        <f t="shared" si="1"/>
        <v>820370260778.13794</v>
      </c>
      <c r="Z10" s="1">
        <f t="shared" si="1"/>
        <v>820370260778.13794</v>
      </c>
      <c r="AA10" s="1">
        <f t="shared" si="1"/>
        <v>820370260778.13794</v>
      </c>
      <c r="AB10" s="1">
        <f t="shared" si="1"/>
        <v>820370260778.13794</v>
      </c>
      <c r="AC10" s="1">
        <f t="shared" si="1"/>
        <v>820370260778.13794</v>
      </c>
      <c r="AD10" s="1">
        <f t="shared" si="1"/>
        <v>820370260778.13794</v>
      </c>
      <c r="AE10" s="1">
        <f t="shared" si="1"/>
        <v>820370260778.13794</v>
      </c>
      <c r="AF10" s="1">
        <f t="shared" si="1"/>
        <v>820370260778.13794</v>
      </c>
      <c r="AG10" s="1">
        <f t="shared" si="1"/>
        <v>820370260778.13794</v>
      </c>
      <c r="AH10" s="1">
        <f t="shared" si="1"/>
        <v>820370260778.13794</v>
      </c>
      <c r="AI10" s="1">
        <f t="shared" si="1"/>
        <v>820370260778.13794</v>
      </c>
      <c r="AJ10" s="1">
        <f t="shared" si="1"/>
        <v>820370260778.13794</v>
      </c>
      <c r="AK10" s="1">
        <f t="shared" si="1"/>
        <v>820370260778.13794</v>
      </c>
      <c r="AL10" s="1">
        <f t="shared" si="1"/>
        <v>820370260778.13794</v>
      </c>
      <c r="AM10" s="1">
        <f t="shared" si="1"/>
        <v>820370260778.13794</v>
      </c>
      <c r="AN10" s="1">
        <f t="shared" si="1"/>
        <v>820370260778.13794</v>
      </c>
      <c r="AO10" s="1">
        <f t="shared" si="1"/>
        <v>820370260778.13794</v>
      </c>
      <c r="AP10" s="1">
        <f t="shared" si="1"/>
        <v>820370260778.13794</v>
      </c>
      <c r="AQ10" s="1">
        <f t="shared" si="1"/>
        <v>820370260778.13794</v>
      </c>
    </row>
    <row r="11" spans="1:43" x14ac:dyDescent="0.15">
      <c r="A11" s="1" t="s">
        <v>74</v>
      </c>
      <c r="B11" s="1">
        <f>SUMIFS(Import!$J:$J,Import!$I:$I,$A11,Import!$C:$C,'BFPIaE-imports'!B$1)</f>
        <v>742046912325828</v>
      </c>
      <c r="C11" s="1">
        <f>SUMIFS(Import!$J:$J,Import!$I:$I,$A11,Import!$C:$C,'BFPIaE-imports'!C$1)</f>
        <v>1051465952307673.5</v>
      </c>
      <c r="D11" s="1">
        <f>SUMIFS(Import!$J:$J,Import!$I:$I,$A11,Import!$C:$C,'BFPIaE-imports'!D$1)</f>
        <v>869531152884434.5</v>
      </c>
      <c r="E11" s="1">
        <f>SUMIFS(Import!$J:$J,Import!$I:$I,$A11,Import!$C:$C,'BFPIaE-imports'!E$1)</f>
        <v>607723150534925.63</v>
      </c>
      <c r="F11" s="1">
        <f t="shared" si="2"/>
        <v>607723150534925.63</v>
      </c>
      <c r="G11" s="1">
        <f t="shared" si="2"/>
        <v>607723150534925.63</v>
      </c>
      <c r="H11" s="1">
        <f t="shared" si="2"/>
        <v>607723150534925.63</v>
      </c>
      <c r="I11" s="1">
        <f t="shared" si="2"/>
        <v>607723150534925.63</v>
      </c>
      <c r="J11" s="1">
        <f t="shared" si="2"/>
        <v>607723150534925.63</v>
      </c>
      <c r="K11" s="1">
        <f t="shared" si="2"/>
        <v>607723150534925.63</v>
      </c>
      <c r="L11" s="1">
        <f t="shared" si="2"/>
        <v>607723150534925.63</v>
      </c>
      <c r="M11" s="1">
        <f t="shared" si="2"/>
        <v>607723150534925.63</v>
      </c>
      <c r="N11" s="1">
        <f t="shared" si="2"/>
        <v>607723150534925.63</v>
      </c>
      <c r="O11" s="1">
        <f t="shared" si="2"/>
        <v>607723150534925.63</v>
      </c>
      <c r="P11" s="1">
        <f t="shared" si="2"/>
        <v>607723150534925.63</v>
      </c>
      <c r="Q11" s="1">
        <f t="shared" si="2"/>
        <v>607723150534925.63</v>
      </c>
      <c r="R11" s="1">
        <f t="shared" si="2"/>
        <v>607723150534925.63</v>
      </c>
      <c r="S11" s="1">
        <f t="shared" si="2"/>
        <v>607723150534925.63</v>
      </c>
      <c r="T11" s="1">
        <f t="shared" si="0"/>
        <v>607723150534925.63</v>
      </c>
      <c r="U11" s="1">
        <f t="shared" si="0"/>
        <v>607723150534925.63</v>
      </c>
      <c r="V11" s="1">
        <f t="shared" si="0"/>
        <v>607723150534925.63</v>
      </c>
      <c r="W11" s="1">
        <f t="shared" si="1"/>
        <v>607723150534925.63</v>
      </c>
      <c r="X11" s="1">
        <f t="shared" si="1"/>
        <v>607723150534925.63</v>
      </c>
      <c r="Y11" s="1">
        <f t="shared" si="1"/>
        <v>607723150534925.63</v>
      </c>
      <c r="Z11" s="1">
        <f t="shared" si="1"/>
        <v>607723150534925.63</v>
      </c>
      <c r="AA11" s="1">
        <f t="shared" si="1"/>
        <v>607723150534925.63</v>
      </c>
      <c r="AB11" s="1">
        <f t="shared" si="1"/>
        <v>607723150534925.63</v>
      </c>
      <c r="AC11" s="1">
        <f t="shared" si="1"/>
        <v>607723150534925.63</v>
      </c>
      <c r="AD11" s="1">
        <f t="shared" si="1"/>
        <v>607723150534925.63</v>
      </c>
      <c r="AE11" s="1">
        <f t="shared" si="1"/>
        <v>607723150534925.63</v>
      </c>
      <c r="AF11" s="1">
        <f t="shared" si="1"/>
        <v>607723150534925.63</v>
      </c>
      <c r="AG11" s="1">
        <f t="shared" si="1"/>
        <v>607723150534925.63</v>
      </c>
      <c r="AH11" s="1">
        <f t="shared" si="1"/>
        <v>607723150534925.63</v>
      </c>
      <c r="AI11" s="1">
        <f t="shared" si="1"/>
        <v>607723150534925.63</v>
      </c>
      <c r="AJ11" s="1">
        <f t="shared" si="1"/>
        <v>607723150534925.63</v>
      </c>
      <c r="AK11" s="1">
        <f t="shared" si="1"/>
        <v>607723150534925.63</v>
      </c>
      <c r="AL11" s="1">
        <f t="shared" si="1"/>
        <v>607723150534925.63</v>
      </c>
      <c r="AM11" s="1">
        <f t="shared" si="1"/>
        <v>607723150534925.63</v>
      </c>
      <c r="AN11" s="1">
        <f t="shared" si="1"/>
        <v>607723150534925.63</v>
      </c>
      <c r="AO11" s="1">
        <f t="shared" si="1"/>
        <v>607723150534925.63</v>
      </c>
      <c r="AP11" s="1">
        <f t="shared" si="1"/>
        <v>607723150534925.63</v>
      </c>
      <c r="AQ11" s="1">
        <f t="shared" si="1"/>
        <v>607723150534925.63</v>
      </c>
    </row>
    <row r="12" spans="1:43" x14ac:dyDescent="0.15">
      <c r="A12" s="1" t="s">
        <v>84</v>
      </c>
      <c r="B12" s="1">
        <f>SUMIFS(Import!$J:$J,Import!$I:$I,$A12,Import!$C:$C,'BFPIaE-imports'!B$1)</f>
        <v>0</v>
      </c>
      <c r="C12" s="1">
        <f>SUMIFS(Import!$J:$J,Import!$I:$I,$A12,Import!$C:$C,'BFPIaE-imports'!C$1)</f>
        <v>0</v>
      </c>
      <c r="D12" s="1">
        <f>SUMIFS(Import!$J:$J,Import!$I:$I,$A12,Import!$C:$C,'BFPIaE-imports'!D$1)</f>
        <v>0</v>
      </c>
      <c r="E12" s="1">
        <f>SUMIFS(Import!$J:$J,Import!$I:$I,$A12,Import!$C:$C,'BFPIaE-imports'!E$1)</f>
        <v>0</v>
      </c>
      <c r="F12" s="1">
        <f t="shared" si="2"/>
        <v>0</v>
      </c>
      <c r="G12" s="1">
        <f t="shared" si="2"/>
        <v>0</v>
      </c>
      <c r="H12" s="1">
        <f t="shared" si="2"/>
        <v>0</v>
      </c>
      <c r="I12" s="1">
        <f t="shared" si="2"/>
        <v>0</v>
      </c>
      <c r="J12" s="1">
        <f t="shared" si="2"/>
        <v>0</v>
      </c>
      <c r="K12" s="1">
        <f t="shared" si="2"/>
        <v>0</v>
      </c>
      <c r="L12" s="1">
        <f t="shared" si="2"/>
        <v>0</v>
      </c>
      <c r="M12" s="1">
        <f t="shared" si="2"/>
        <v>0</v>
      </c>
      <c r="N12" s="1">
        <f t="shared" si="2"/>
        <v>0</v>
      </c>
      <c r="O12" s="1">
        <f t="shared" si="2"/>
        <v>0</v>
      </c>
      <c r="P12" s="1">
        <f t="shared" si="2"/>
        <v>0</v>
      </c>
      <c r="Q12" s="1">
        <f t="shared" si="2"/>
        <v>0</v>
      </c>
      <c r="R12" s="1">
        <f t="shared" si="2"/>
        <v>0</v>
      </c>
      <c r="S12" s="1">
        <f t="shared" si="2"/>
        <v>0</v>
      </c>
      <c r="T12" s="1">
        <f t="shared" si="0"/>
        <v>0</v>
      </c>
      <c r="U12" s="1">
        <f t="shared" si="0"/>
        <v>0</v>
      </c>
      <c r="V12" s="1">
        <f t="shared" si="0"/>
        <v>0</v>
      </c>
      <c r="W12" s="1">
        <f t="shared" si="1"/>
        <v>0</v>
      </c>
      <c r="X12" s="1">
        <f t="shared" si="1"/>
        <v>0</v>
      </c>
      <c r="Y12" s="1">
        <f t="shared" si="1"/>
        <v>0</v>
      </c>
      <c r="Z12" s="1">
        <f t="shared" si="1"/>
        <v>0</v>
      </c>
      <c r="AA12" s="1">
        <f t="shared" si="1"/>
        <v>0</v>
      </c>
      <c r="AB12" s="1">
        <f t="shared" si="1"/>
        <v>0</v>
      </c>
      <c r="AC12" s="1">
        <f t="shared" si="1"/>
        <v>0</v>
      </c>
      <c r="AD12" s="1">
        <f t="shared" si="1"/>
        <v>0</v>
      </c>
      <c r="AE12" s="1">
        <f t="shared" si="1"/>
        <v>0</v>
      </c>
      <c r="AF12" s="1">
        <f t="shared" si="1"/>
        <v>0</v>
      </c>
      <c r="AG12" s="1">
        <f t="shared" si="1"/>
        <v>0</v>
      </c>
      <c r="AH12" s="1">
        <f t="shared" si="1"/>
        <v>0</v>
      </c>
      <c r="AI12" s="1">
        <f t="shared" si="1"/>
        <v>0</v>
      </c>
      <c r="AJ12" s="1">
        <f t="shared" si="1"/>
        <v>0</v>
      </c>
      <c r="AK12" s="1">
        <f t="shared" si="1"/>
        <v>0</v>
      </c>
      <c r="AL12" s="1">
        <f t="shared" si="1"/>
        <v>0</v>
      </c>
      <c r="AM12" s="1">
        <f t="shared" si="1"/>
        <v>0</v>
      </c>
      <c r="AN12" s="1">
        <f t="shared" si="1"/>
        <v>0</v>
      </c>
      <c r="AO12" s="1">
        <f t="shared" si="1"/>
        <v>0</v>
      </c>
      <c r="AP12" s="1">
        <f t="shared" si="1"/>
        <v>0</v>
      </c>
      <c r="AQ12" s="1">
        <f t="shared" si="1"/>
        <v>0</v>
      </c>
    </row>
    <row r="13" spans="1:43" x14ac:dyDescent="0.15">
      <c r="A13" s="1" t="s">
        <v>77</v>
      </c>
      <c r="B13" s="1">
        <f>SUMIFS(Import!$J:$J,Import!$I:$I,$A13,Import!$C:$C,'BFPIaE-imports'!B$1)</f>
        <v>0</v>
      </c>
      <c r="C13" s="1">
        <f>SUMIFS(Import!$J:$J,Import!$I:$I,$A13,Import!$C:$C,'BFPIaE-imports'!C$1)</f>
        <v>3306335414218.0737</v>
      </c>
      <c r="D13" s="1">
        <f>SUMIFS(Import!$J:$J,Import!$I:$I,$A13,Import!$C:$C,'BFPIaE-imports'!D$1)</f>
        <v>6496657460037.3809</v>
      </c>
      <c r="E13" s="1">
        <f>SUMIFS(Import!$J:$J,Import!$I:$I,$A13,Import!$C:$C,'BFPIaE-imports'!E$1)</f>
        <v>11347737462745.984</v>
      </c>
      <c r="F13" s="1">
        <f t="shared" si="2"/>
        <v>11347737462745.984</v>
      </c>
      <c r="G13" s="1">
        <f t="shared" si="2"/>
        <v>11347737462745.984</v>
      </c>
      <c r="H13" s="1">
        <f t="shared" si="2"/>
        <v>11347737462745.984</v>
      </c>
      <c r="I13" s="1">
        <f t="shared" si="2"/>
        <v>11347737462745.984</v>
      </c>
      <c r="J13" s="1">
        <f t="shared" si="2"/>
        <v>11347737462745.984</v>
      </c>
      <c r="K13" s="1">
        <f t="shared" si="2"/>
        <v>11347737462745.984</v>
      </c>
      <c r="L13" s="1">
        <f t="shared" si="2"/>
        <v>11347737462745.984</v>
      </c>
      <c r="M13" s="1">
        <f t="shared" si="2"/>
        <v>11347737462745.984</v>
      </c>
      <c r="N13" s="1">
        <f t="shared" si="2"/>
        <v>11347737462745.984</v>
      </c>
      <c r="O13" s="1">
        <f t="shared" si="2"/>
        <v>11347737462745.984</v>
      </c>
      <c r="P13" s="1">
        <f t="shared" si="2"/>
        <v>11347737462745.984</v>
      </c>
      <c r="Q13" s="1">
        <f t="shared" si="2"/>
        <v>11347737462745.984</v>
      </c>
      <c r="R13" s="1">
        <f t="shared" si="2"/>
        <v>11347737462745.984</v>
      </c>
      <c r="S13" s="1">
        <f t="shared" si="2"/>
        <v>11347737462745.984</v>
      </c>
      <c r="T13" s="1">
        <f t="shared" si="0"/>
        <v>11347737462745.984</v>
      </c>
      <c r="U13" s="1">
        <f t="shared" si="0"/>
        <v>11347737462745.984</v>
      </c>
      <c r="V13" s="1">
        <f t="shared" si="0"/>
        <v>11347737462745.984</v>
      </c>
      <c r="W13" s="1">
        <f t="shared" si="1"/>
        <v>11347737462745.984</v>
      </c>
      <c r="X13" s="1">
        <f t="shared" si="1"/>
        <v>11347737462745.984</v>
      </c>
      <c r="Y13" s="1">
        <f t="shared" si="1"/>
        <v>11347737462745.984</v>
      </c>
      <c r="Z13" s="1">
        <f t="shared" si="1"/>
        <v>11347737462745.984</v>
      </c>
      <c r="AA13" s="1">
        <f t="shared" si="1"/>
        <v>11347737462745.984</v>
      </c>
      <c r="AB13" s="1">
        <f t="shared" si="1"/>
        <v>11347737462745.984</v>
      </c>
      <c r="AC13" s="1">
        <f t="shared" si="1"/>
        <v>11347737462745.984</v>
      </c>
      <c r="AD13" s="1">
        <f t="shared" si="1"/>
        <v>11347737462745.984</v>
      </c>
      <c r="AE13" s="1">
        <f t="shared" si="1"/>
        <v>11347737462745.984</v>
      </c>
      <c r="AF13" s="1">
        <f t="shared" si="1"/>
        <v>11347737462745.984</v>
      </c>
      <c r="AG13" s="1">
        <f t="shared" si="1"/>
        <v>11347737462745.984</v>
      </c>
      <c r="AH13" s="1">
        <f t="shared" si="1"/>
        <v>11347737462745.984</v>
      </c>
      <c r="AI13" s="1">
        <f t="shared" si="1"/>
        <v>11347737462745.984</v>
      </c>
      <c r="AJ13" s="1">
        <f t="shared" si="1"/>
        <v>11347737462745.984</v>
      </c>
      <c r="AK13" s="1">
        <f t="shared" si="1"/>
        <v>11347737462745.984</v>
      </c>
      <c r="AL13" s="1">
        <f t="shared" si="1"/>
        <v>11347737462745.984</v>
      </c>
      <c r="AM13" s="1">
        <f t="shared" si="1"/>
        <v>11347737462745.984</v>
      </c>
      <c r="AN13" s="1">
        <f t="shared" si="1"/>
        <v>11347737462745.984</v>
      </c>
      <c r="AO13" s="1">
        <f t="shared" si="1"/>
        <v>11347737462745.984</v>
      </c>
      <c r="AP13" s="1">
        <f t="shared" si="1"/>
        <v>11347737462745.984</v>
      </c>
      <c r="AQ13" s="1">
        <f t="shared" si="1"/>
        <v>11347737462745.984</v>
      </c>
    </row>
    <row r="14" spans="1:43" x14ac:dyDescent="0.15">
      <c r="A14" s="1" t="s">
        <v>76</v>
      </c>
      <c r="B14" s="1">
        <f>SUMIFS(Import!$J:$J,Import!$I:$I,$A14,Import!$C:$C,'BFPIaE-imports'!B$1)</f>
        <v>149717340597836.63</v>
      </c>
      <c r="C14" s="1">
        <f>SUMIFS(Import!$J:$J,Import!$I:$I,$A14,Import!$C:$C,'BFPIaE-imports'!C$1)</f>
        <v>108475755914741.39</v>
      </c>
      <c r="D14" s="1">
        <f>SUMIFS(Import!$J:$J,Import!$I:$I,$A14,Import!$C:$C,'BFPIaE-imports'!D$1)</f>
        <v>56311556796107.055</v>
      </c>
      <c r="E14" s="1">
        <f>SUMIFS(Import!$J:$J,Import!$I:$I,$A14,Import!$C:$C,'BFPIaE-imports'!E$1)</f>
        <v>46660048275823.5</v>
      </c>
      <c r="F14" s="1">
        <f t="shared" si="2"/>
        <v>46660048275823.5</v>
      </c>
      <c r="G14" s="1">
        <f t="shared" si="2"/>
        <v>46660048275823.5</v>
      </c>
      <c r="H14" s="1">
        <f t="shared" si="2"/>
        <v>46660048275823.5</v>
      </c>
      <c r="I14" s="1">
        <f t="shared" si="2"/>
        <v>46660048275823.5</v>
      </c>
      <c r="J14" s="1">
        <f t="shared" si="2"/>
        <v>46660048275823.5</v>
      </c>
      <c r="K14" s="1">
        <f t="shared" si="2"/>
        <v>46660048275823.5</v>
      </c>
      <c r="L14" s="1">
        <f t="shared" si="2"/>
        <v>46660048275823.5</v>
      </c>
      <c r="M14" s="1">
        <f t="shared" si="2"/>
        <v>46660048275823.5</v>
      </c>
      <c r="N14" s="1">
        <f t="shared" si="2"/>
        <v>46660048275823.5</v>
      </c>
      <c r="O14" s="1">
        <f t="shared" si="2"/>
        <v>46660048275823.5</v>
      </c>
      <c r="P14" s="1">
        <f t="shared" si="2"/>
        <v>46660048275823.5</v>
      </c>
      <c r="Q14" s="1">
        <f t="shared" si="2"/>
        <v>46660048275823.5</v>
      </c>
      <c r="R14" s="1">
        <f t="shared" si="2"/>
        <v>46660048275823.5</v>
      </c>
      <c r="S14" s="1">
        <f t="shared" si="2"/>
        <v>46660048275823.5</v>
      </c>
      <c r="T14" s="1">
        <f t="shared" si="0"/>
        <v>46660048275823.5</v>
      </c>
      <c r="U14" s="1">
        <f t="shared" si="0"/>
        <v>46660048275823.5</v>
      </c>
      <c r="V14" s="1">
        <f t="shared" si="0"/>
        <v>46660048275823.5</v>
      </c>
      <c r="W14" s="1">
        <f t="shared" si="1"/>
        <v>46660048275823.5</v>
      </c>
      <c r="X14" s="1">
        <f t="shared" si="1"/>
        <v>46660048275823.5</v>
      </c>
      <c r="Y14" s="1">
        <f t="shared" si="1"/>
        <v>46660048275823.5</v>
      </c>
      <c r="Z14" s="1">
        <f t="shared" si="1"/>
        <v>46660048275823.5</v>
      </c>
      <c r="AA14" s="1">
        <f t="shared" si="1"/>
        <v>46660048275823.5</v>
      </c>
      <c r="AB14" s="1">
        <f t="shared" si="1"/>
        <v>46660048275823.5</v>
      </c>
      <c r="AC14" s="1">
        <f t="shared" si="1"/>
        <v>46660048275823.5</v>
      </c>
      <c r="AD14" s="1">
        <f t="shared" si="1"/>
        <v>46660048275823.5</v>
      </c>
      <c r="AE14" s="1">
        <f t="shared" si="1"/>
        <v>46660048275823.5</v>
      </c>
      <c r="AF14" s="1">
        <f t="shared" si="1"/>
        <v>46660048275823.5</v>
      </c>
      <c r="AG14" s="1">
        <f t="shared" si="1"/>
        <v>46660048275823.5</v>
      </c>
      <c r="AH14" s="1">
        <f t="shared" si="1"/>
        <v>46660048275823.5</v>
      </c>
      <c r="AI14" s="1">
        <f t="shared" si="1"/>
        <v>46660048275823.5</v>
      </c>
      <c r="AJ14" s="1">
        <f t="shared" si="1"/>
        <v>46660048275823.5</v>
      </c>
      <c r="AK14" s="1">
        <f t="shared" si="1"/>
        <v>46660048275823.5</v>
      </c>
      <c r="AL14" s="1">
        <f t="shared" si="1"/>
        <v>46660048275823.5</v>
      </c>
      <c r="AM14" s="1">
        <f t="shared" si="1"/>
        <v>46660048275823.5</v>
      </c>
      <c r="AN14" s="1">
        <f t="shared" si="1"/>
        <v>46660048275823.5</v>
      </c>
      <c r="AO14" s="1">
        <f t="shared" si="1"/>
        <v>46660048275823.5</v>
      </c>
      <c r="AP14" s="1">
        <f t="shared" si="1"/>
        <v>46660048275823.5</v>
      </c>
      <c r="AQ14" s="1">
        <f t="shared" si="1"/>
        <v>46660048275823.5</v>
      </c>
    </row>
    <row r="15" spans="1:43" x14ac:dyDescent="0.15">
      <c r="A15" s="1" t="s">
        <v>85</v>
      </c>
      <c r="B15" s="1">
        <f>SUMIFS(Import!$J:$J,Import!$I:$I,$A15,Import!$C:$C,'BFPIaE-imports'!B$1)</f>
        <v>0</v>
      </c>
      <c r="C15" s="1">
        <f>SUMIFS(Import!$J:$J,Import!$I:$I,$A15,Import!$C:$C,'BFPIaE-imports'!C$1)</f>
        <v>0</v>
      </c>
      <c r="D15" s="1">
        <f>SUMIFS(Import!$J:$J,Import!$I:$I,$A15,Import!$C:$C,'BFPIaE-imports'!D$1)</f>
        <v>0</v>
      </c>
      <c r="E15" s="1">
        <f>SUMIFS(Import!$J:$J,Import!$I:$I,$A15,Import!$C:$C,'BFPIaE-imports'!E$1)</f>
        <v>0</v>
      </c>
      <c r="F15" s="1">
        <f t="shared" si="2"/>
        <v>0</v>
      </c>
      <c r="G15" s="1">
        <f t="shared" si="2"/>
        <v>0</v>
      </c>
      <c r="H15" s="1">
        <f t="shared" si="2"/>
        <v>0</v>
      </c>
      <c r="I15" s="1">
        <f t="shared" si="2"/>
        <v>0</v>
      </c>
      <c r="J15" s="1">
        <f t="shared" si="2"/>
        <v>0</v>
      </c>
      <c r="K15" s="1">
        <f t="shared" si="2"/>
        <v>0</v>
      </c>
      <c r="L15" s="1">
        <f t="shared" si="2"/>
        <v>0</v>
      </c>
      <c r="M15" s="1">
        <f t="shared" si="2"/>
        <v>0</v>
      </c>
      <c r="N15" s="1">
        <f t="shared" si="2"/>
        <v>0</v>
      </c>
      <c r="O15" s="1">
        <f t="shared" si="2"/>
        <v>0</v>
      </c>
      <c r="P15" s="1">
        <f t="shared" si="2"/>
        <v>0</v>
      </c>
      <c r="Q15" s="1">
        <f t="shared" si="2"/>
        <v>0</v>
      </c>
      <c r="R15" s="1">
        <f t="shared" si="2"/>
        <v>0</v>
      </c>
      <c r="S15" s="1">
        <f t="shared" si="2"/>
        <v>0</v>
      </c>
      <c r="T15" s="1">
        <f t="shared" si="0"/>
        <v>0</v>
      </c>
      <c r="U15" s="1">
        <f t="shared" si="0"/>
        <v>0</v>
      </c>
      <c r="V15" s="1">
        <f t="shared" si="0"/>
        <v>0</v>
      </c>
      <c r="W15" s="1">
        <f t="shared" si="1"/>
        <v>0</v>
      </c>
      <c r="X15" s="1">
        <f t="shared" ref="T15:AQ22" si="3">W15</f>
        <v>0</v>
      </c>
      <c r="Y15" s="1">
        <f t="shared" si="3"/>
        <v>0</v>
      </c>
      <c r="Z15" s="1">
        <f t="shared" si="3"/>
        <v>0</v>
      </c>
      <c r="AA15" s="1">
        <f t="shared" si="3"/>
        <v>0</v>
      </c>
      <c r="AB15" s="1">
        <f t="shared" si="3"/>
        <v>0</v>
      </c>
      <c r="AC15" s="1">
        <f t="shared" si="3"/>
        <v>0</v>
      </c>
      <c r="AD15" s="1">
        <f t="shared" si="3"/>
        <v>0</v>
      </c>
      <c r="AE15" s="1">
        <f t="shared" si="3"/>
        <v>0</v>
      </c>
      <c r="AF15" s="1">
        <f t="shared" si="3"/>
        <v>0</v>
      </c>
      <c r="AG15" s="1">
        <f t="shared" si="3"/>
        <v>0</v>
      </c>
      <c r="AH15" s="1">
        <f t="shared" si="3"/>
        <v>0</v>
      </c>
      <c r="AI15" s="1">
        <f t="shared" si="3"/>
        <v>0</v>
      </c>
      <c r="AJ15" s="1">
        <f t="shared" si="3"/>
        <v>0</v>
      </c>
      <c r="AK15" s="1">
        <f t="shared" si="3"/>
        <v>0</v>
      </c>
      <c r="AL15" s="1">
        <f t="shared" si="3"/>
        <v>0</v>
      </c>
      <c r="AM15" s="1">
        <f t="shared" si="3"/>
        <v>0</v>
      </c>
      <c r="AN15" s="1">
        <f t="shared" si="3"/>
        <v>0</v>
      </c>
      <c r="AO15" s="1">
        <f t="shared" si="3"/>
        <v>0</v>
      </c>
      <c r="AP15" s="1">
        <f t="shared" si="3"/>
        <v>0</v>
      </c>
      <c r="AQ15" s="1">
        <f t="shared" si="3"/>
        <v>0</v>
      </c>
    </row>
    <row r="16" spans="1:43" x14ac:dyDescent="0.15">
      <c r="A16" s="1" t="s">
        <v>86</v>
      </c>
      <c r="B16" s="1">
        <f>SUMIFS(Import!$J:$J,Import!$I:$I,$A16,Import!$C:$C,'BFPIaE-imports'!B$1)</f>
        <v>0</v>
      </c>
      <c r="C16" s="1">
        <f>SUMIFS(Import!$J:$J,Import!$I:$I,$A16,Import!$C:$C,'BFPIaE-imports'!C$1)</f>
        <v>0</v>
      </c>
      <c r="D16" s="1">
        <f>SUMIFS(Import!$J:$J,Import!$I:$I,$A16,Import!$C:$C,'BFPIaE-imports'!D$1)</f>
        <v>0</v>
      </c>
      <c r="E16" s="1">
        <f>SUMIFS(Import!$J:$J,Import!$I:$I,$A16,Import!$C:$C,'BFPIaE-imports'!E$1)</f>
        <v>0</v>
      </c>
      <c r="F16" s="1">
        <f t="shared" si="2"/>
        <v>0</v>
      </c>
      <c r="G16" s="1">
        <f t="shared" si="2"/>
        <v>0</v>
      </c>
      <c r="H16" s="1">
        <f t="shared" si="2"/>
        <v>0</v>
      </c>
      <c r="I16" s="1">
        <f t="shared" si="2"/>
        <v>0</v>
      </c>
      <c r="J16" s="1">
        <f t="shared" si="2"/>
        <v>0</v>
      </c>
      <c r="K16" s="1">
        <f t="shared" si="2"/>
        <v>0</v>
      </c>
      <c r="L16" s="1">
        <f t="shared" si="2"/>
        <v>0</v>
      </c>
      <c r="M16" s="1">
        <f t="shared" si="2"/>
        <v>0</v>
      </c>
      <c r="N16" s="1">
        <f t="shared" si="2"/>
        <v>0</v>
      </c>
      <c r="O16" s="1">
        <f t="shared" si="2"/>
        <v>0</v>
      </c>
      <c r="P16" s="1">
        <f t="shared" si="2"/>
        <v>0</v>
      </c>
      <c r="Q16" s="1">
        <f t="shared" si="2"/>
        <v>0</v>
      </c>
      <c r="R16" s="1">
        <f t="shared" si="2"/>
        <v>0</v>
      </c>
      <c r="S16" s="1">
        <f t="shared" si="2"/>
        <v>0</v>
      </c>
      <c r="T16" s="1">
        <f t="shared" si="3"/>
        <v>0</v>
      </c>
      <c r="U16" s="1">
        <f t="shared" si="3"/>
        <v>0</v>
      </c>
      <c r="V16" s="1">
        <f t="shared" si="3"/>
        <v>0</v>
      </c>
      <c r="W16" s="1">
        <f t="shared" si="3"/>
        <v>0</v>
      </c>
      <c r="X16" s="1">
        <f t="shared" si="3"/>
        <v>0</v>
      </c>
      <c r="Y16" s="1">
        <f t="shared" si="3"/>
        <v>0</v>
      </c>
      <c r="Z16" s="1">
        <f t="shared" si="3"/>
        <v>0</v>
      </c>
      <c r="AA16" s="1">
        <f t="shared" si="3"/>
        <v>0</v>
      </c>
      <c r="AB16" s="1">
        <f t="shared" si="3"/>
        <v>0</v>
      </c>
      <c r="AC16" s="1">
        <f t="shared" si="3"/>
        <v>0</v>
      </c>
      <c r="AD16" s="1">
        <f t="shared" si="3"/>
        <v>0</v>
      </c>
      <c r="AE16" s="1">
        <f t="shared" si="3"/>
        <v>0</v>
      </c>
      <c r="AF16" s="1">
        <f t="shared" si="3"/>
        <v>0</v>
      </c>
      <c r="AG16" s="1">
        <f t="shared" si="3"/>
        <v>0</v>
      </c>
      <c r="AH16" s="1">
        <f t="shared" si="3"/>
        <v>0</v>
      </c>
      <c r="AI16" s="1">
        <f t="shared" si="3"/>
        <v>0</v>
      </c>
      <c r="AJ16" s="1">
        <f t="shared" si="3"/>
        <v>0</v>
      </c>
      <c r="AK16" s="1">
        <f t="shared" si="3"/>
        <v>0</v>
      </c>
      <c r="AL16" s="1">
        <f t="shared" si="3"/>
        <v>0</v>
      </c>
      <c r="AM16" s="1">
        <f t="shared" si="3"/>
        <v>0</v>
      </c>
      <c r="AN16" s="1">
        <f t="shared" si="3"/>
        <v>0</v>
      </c>
      <c r="AO16" s="1">
        <f t="shared" si="3"/>
        <v>0</v>
      </c>
      <c r="AP16" s="1">
        <f t="shared" si="3"/>
        <v>0</v>
      </c>
      <c r="AQ16" s="1">
        <f t="shared" si="3"/>
        <v>0</v>
      </c>
    </row>
    <row r="17" spans="1:43" x14ac:dyDescent="0.15">
      <c r="A17" s="1" t="s">
        <v>87</v>
      </c>
      <c r="B17" s="1">
        <f>SUMIFS(Import!$J:$J,Import!$I:$I,$A17,Import!$C:$C,'BFPIaE-imports'!B$1)</f>
        <v>0</v>
      </c>
      <c r="C17" s="1">
        <f>SUMIFS(Import!$J:$J,Import!$I:$I,$A17,Import!$C:$C,'BFPIaE-imports'!C$1)</f>
        <v>0</v>
      </c>
      <c r="D17" s="1">
        <f>SUMIFS(Import!$J:$J,Import!$I:$I,$A17,Import!$C:$C,'BFPIaE-imports'!D$1)</f>
        <v>0</v>
      </c>
      <c r="E17" s="1">
        <f>SUMIFS(Import!$J:$J,Import!$I:$I,$A17,Import!$C:$C,'BFPIaE-imports'!E$1)</f>
        <v>0</v>
      </c>
      <c r="F17" s="1">
        <f t="shared" si="2"/>
        <v>0</v>
      </c>
      <c r="G17" s="1">
        <f t="shared" si="2"/>
        <v>0</v>
      </c>
      <c r="H17" s="1">
        <f t="shared" si="2"/>
        <v>0</v>
      </c>
      <c r="I17" s="1">
        <f t="shared" si="2"/>
        <v>0</v>
      </c>
      <c r="J17" s="1">
        <f t="shared" si="2"/>
        <v>0</v>
      </c>
      <c r="K17" s="1">
        <f t="shared" si="2"/>
        <v>0</v>
      </c>
      <c r="L17" s="1">
        <f t="shared" si="2"/>
        <v>0</v>
      </c>
      <c r="M17" s="1">
        <f t="shared" si="2"/>
        <v>0</v>
      </c>
      <c r="N17" s="1">
        <f t="shared" si="2"/>
        <v>0</v>
      </c>
      <c r="O17" s="1">
        <f t="shared" si="2"/>
        <v>0</v>
      </c>
      <c r="P17" s="1">
        <f t="shared" si="2"/>
        <v>0</v>
      </c>
      <c r="Q17" s="1">
        <f t="shared" si="2"/>
        <v>0</v>
      </c>
      <c r="R17" s="1">
        <f t="shared" si="2"/>
        <v>0</v>
      </c>
      <c r="S17" s="1">
        <f t="shared" si="2"/>
        <v>0</v>
      </c>
      <c r="T17" s="1">
        <f t="shared" si="3"/>
        <v>0</v>
      </c>
      <c r="U17" s="1">
        <f t="shared" si="3"/>
        <v>0</v>
      </c>
      <c r="V17" s="1">
        <f t="shared" si="3"/>
        <v>0</v>
      </c>
      <c r="W17" s="1">
        <f t="shared" si="3"/>
        <v>0</v>
      </c>
      <c r="X17" s="1">
        <f t="shared" si="3"/>
        <v>0</v>
      </c>
      <c r="Y17" s="1">
        <f t="shared" si="3"/>
        <v>0</v>
      </c>
      <c r="Z17" s="1">
        <f t="shared" si="3"/>
        <v>0</v>
      </c>
      <c r="AA17" s="1">
        <f t="shared" si="3"/>
        <v>0</v>
      </c>
      <c r="AB17" s="1">
        <f t="shared" si="3"/>
        <v>0</v>
      </c>
      <c r="AC17" s="1">
        <f t="shared" si="3"/>
        <v>0</v>
      </c>
      <c r="AD17" s="1">
        <f t="shared" si="3"/>
        <v>0</v>
      </c>
      <c r="AE17" s="1">
        <f t="shared" si="3"/>
        <v>0</v>
      </c>
      <c r="AF17" s="1">
        <f t="shared" si="3"/>
        <v>0</v>
      </c>
      <c r="AG17" s="1">
        <f t="shared" si="3"/>
        <v>0</v>
      </c>
      <c r="AH17" s="1">
        <f t="shared" si="3"/>
        <v>0</v>
      </c>
      <c r="AI17" s="1">
        <f t="shared" si="3"/>
        <v>0</v>
      </c>
      <c r="AJ17" s="1">
        <f t="shared" si="3"/>
        <v>0</v>
      </c>
      <c r="AK17" s="1">
        <f t="shared" si="3"/>
        <v>0</v>
      </c>
      <c r="AL17" s="1">
        <f t="shared" si="3"/>
        <v>0</v>
      </c>
      <c r="AM17" s="1">
        <f t="shared" si="3"/>
        <v>0</v>
      </c>
      <c r="AN17" s="1">
        <f t="shared" si="3"/>
        <v>0</v>
      </c>
      <c r="AO17" s="1">
        <f t="shared" si="3"/>
        <v>0</v>
      </c>
      <c r="AP17" s="1">
        <f t="shared" si="3"/>
        <v>0</v>
      </c>
      <c r="AQ17" s="1">
        <f t="shared" si="3"/>
        <v>0</v>
      </c>
    </row>
    <row r="18" spans="1:43" x14ac:dyDescent="0.15">
      <c r="A18" s="1" t="s">
        <v>88</v>
      </c>
      <c r="B18" s="1">
        <v>2.14831186350711E+16</v>
      </c>
      <c r="C18" s="1">
        <v>2.14831186350711E+16</v>
      </c>
      <c r="D18" s="1">
        <v>2.14831186350711E+16</v>
      </c>
      <c r="E18" s="1">
        <f>SUMIFS(Import!$J:$J,Import!$I:$I,$A18,Import!$C:$C,'BFPIaE-imports'!E$1)</f>
        <v>2.0144970729274664E+16</v>
      </c>
      <c r="F18" s="1">
        <f t="shared" si="2"/>
        <v>2.0144970729274664E+16</v>
      </c>
      <c r="G18" s="1">
        <f t="shared" si="2"/>
        <v>2.0144970729274664E+16</v>
      </c>
      <c r="H18" s="1">
        <f t="shared" si="2"/>
        <v>2.0144970729274664E+16</v>
      </c>
      <c r="I18" s="1">
        <f t="shared" si="2"/>
        <v>2.0144970729274664E+16</v>
      </c>
      <c r="J18" s="1">
        <f t="shared" si="2"/>
        <v>2.0144970729274664E+16</v>
      </c>
      <c r="K18" s="1">
        <f t="shared" si="2"/>
        <v>2.0144970729274664E+16</v>
      </c>
      <c r="L18" s="1">
        <f t="shared" si="2"/>
        <v>2.0144970729274664E+16</v>
      </c>
      <c r="M18" s="1">
        <f t="shared" si="2"/>
        <v>2.0144970729274664E+16</v>
      </c>
      <c r="N18" s="1">
        <f t="shared" si="2"/>
        <v>2.0144970729274664E+16</v>
      </c>
      <c r="O18" s="1">
        <f t="shared" si="2"/>
        <v>2.0144970729274664E+16</v>
      </c>
      <c r="P18" s="1">
        <f t="shared" si="2"/>
        <v>2.0144970729274664E+16</v>
      </c>
      <c r="Q18" s="1">
        <f t="shared" si="2"/>
        <v>2.0144970729274664E+16</v>
      </c>
      <c r="R18" s="1">
        <f t="shared" si="2"/>
        <v>2.0144970729274664E+16</v>
      </c>
      <c r="S18" s="1">
        <f t="shared" si="2"/>
        <v>2.0144970729274664E+16</v>
      </c>
      <c r="T18" s="1">
        <f t="shared" si="3"/>
        <v>2.0144970729274664E+16</v>
      </c>
      <c r="U18" s="1">
        <f t="shared" si="3"/>
        <v>2.0144970729274664E+16</v>
      </c>
      <c r="V18" s="1">
        <f t="shared" si="3"/>
        <v>2.0144970729274664E+16</v>
      </c>
      <c r="W18" s="1">
        <f t="shared" si="3"/>
        <v>2.0144970729274664E+16</v>
      </c>
      <c r="X18" s="1">
        <f t="shared" si="3"/>
        <v>2.0144970729274664E+16</v>
      </c>
      <c r="Y18" s="1">
        <f t="shared" si="3"/>
        <v>2.0144970729274664E+16</v>
      </c>
      <c r="Z18" s="1">
        <f t="shared" si="3"/>
        <v>2.0144970729274664E+16</v>
      </c>
      <c r="AA18" s="1">
        <f t="shared" si="3"/>
        <v>2.0144970729274664E+16</v>
      </c>
      <c r="AB18" s="1">
        <f t="shared" si="3"/>
        <v>2.0144970729274664E+16</v>
      </c>
      <c r="AC18" s="1">
        <f t="shared" si="3"/>
        <v>2.0144970729274664E+16</v>
      </c>
      <c r="AD18" s="1">
        <f t="shared" si="3"/>
        <v>2.0144970729274664E+16</v>
      </c>
      <c r="AE18" s="1">
        <f t="shared" si="3"/>
        <v>2.0144970729274664E+16</v>
      </c>
      <c r="AF18" s="1">
        <f t="shared" si="3"/>
        <v>2.0144970729274664E+16</v>
      </c>
      <c r="AG18" s="1">
        <f t="shared" si="3"/>
        <v>2.0144970729274664E+16</v>
      </c>
      <c r="AH18" s="1">
        <f t="shared" si="3"/>
        <v>2.0144970729274664E+16</v>
      </c>
      <c r="AI18" s="1">
        <f t="shared" si="3"/>
        <v>2.0144970729274664E+16</v>
      </c>
      <c r="AJ18" s="1">
        <f t="shared" si="3"/>
        <v>2.0144970729274664E+16</v>
      </c>
      <c r="AK18" s="1">
        <f t="shared" si="3"/>
        <v>2.0144970729274664E+16</v>
      </c>
      <c r="AL18" s="1">
        <f t="shared" si="3"/>
        <v>2.0144970729274664E+16</v>
      </c>
      <c r="AM18" s="1">
        <f t="shared" si="3"/>
        <v>2.0144970729274664E+16</v>
      </c>
      <c r="AN18" s="1">
        <f t="shared" si="3"/>
        <v>2.0144970729274664E+16</v>
      </c>
      <c r="AO18" s="1">
        <f t="shared" si="3"/>
        <v>2.0144970729274664E+16</v>
      </c>
      <c r="AP18" s="1">
        <f t="shared" si="3"/>
        <v>2.0144970729274664E+16</v>
      </c>
      <c r="AQ18" s="1">
        <f t="shared" si="3"/>
        <v>2.0144970729274664E+16</v>
      </c>
    </row>
    <row r="19" spans="1:43" x14ac:dyDescent="0.15">
      <c r="A19" s="1" t="s">
        <v>72</v>
      </c>
      <c r="B19" s="1">
        <f>SUMIFS(Import!$J:$J,Import!$I:$I,$A19,Import!$C:$C,'BFPIaE-imports'!B$1)</f>
        <v>590299722460470.75</v>
      </c>
      <c r="C19" s="1">
        <f>SUMIFS(Import!$J:$J,Import!$I:$I,$A19,Import!$C:$C,'BFPIaE-imports'!C$1)</f>
        <v>498299152280133.69</v>
      </c>
      <c r="D19" s="1">
        <f>SUMIFS(Import!$J:$J,Import!$I:$I,$A19,Import!$C:$C,'BFPIaE-imports'!D$1)</f>
        <v>548951479744875.19</v>
      </c>
      <c r="E19" s="1">
        <f>SUMIFS(Import!$J:$J,Import!$I:$I,$A19,Import!$C:$C,'BFPIaE-imports'!E$1)</f>
        <v>518330300196825.63</v>
      </c>
      <c r="F19" s="1">
        <f t="shared" si="2"/>
        <v>518330300196825.63</v>
      </c>
      <c r="G19" s="1">
        <f t="shared" si="2"/>
        <v>518330300196825.63</v>
      </c>
      <c r="H19" s="1">
        <f t="shared" si="2"/>
        <v>518330300196825.63</v>
      </c>
      <c r="I19" s="1">
        <f t="shared" si="2"/>
        <v>518330300196825.63</v>
      </c>
      <c r="J19" s="1">
        <f t="shared" si="2"/>
        <v>518330300196825.63</v>
      </c>
      <c r="K19" s="1">
        <f t="shared" si="2"/>
        <v>518330300196825.63</v>
      </c>
      <c r="L19" s="1">
        <f t="shared" si="2"/>
        <v>518330300196825.63</v>
      </c>
      <c r="M19" s="1">
        <f t="shared" si="2"/>
        <v>518330300196825.63</v>
      </c>
      <c r="N19" s="1">
        <f t="shared" si="2"/>
        <v>518330300196825.63</v>
      </c>
      <c r="O19" s="1">
        <f t="shared" si="2"/>
        <v>518330300196825.63</v>
      </c>
      <c r="P19" s="1">
        <f t="shared" si="2"/>
        <v>518330300196825.63</v>
      </c>
      <c r="Q19" s="1">
        <f t="shared" si="2"/>
        <v>518330300196825.63</v>
      </c>
      <c r="R19" s="1">
        <f t="shared" si="2"/>
        <v>518330300196825.63</v>
      </c>
      <c r="S19" s="1">
        <f t="shared" si="2"/>
        <v>518330300196825.63</v>
      </c>
      <c r="T19" s="1">
        <f t="shared" si="3"/>
        <v>518330300196825.63</v>
      </c>
      <c r="U19" s="1">
        <f t="shared" si="3"/>
        <v>518330300196825.63</v>
      </c>
      <c r="V19" s="1">
        <f t="shared" si="3"/>
        <v>518330300196825.63</v>
      </c>
      <c r="W19" s="1">
        <f t="shared" si="3"/>
        <v>518330300196825.63</v>
      </c>
      <c r="X19" s="1">
        <f t="shared" si="3"/>
        <v>518330300196825.63</v>
      </c>
      <c r="Y19" s="1">
        <f t="shared" si="3"/>
        <v>518330300196825.63</v>
      </c>
      <c r="Z19" s="1">
        <f t="shared" si="3"/>
        <v>518330300196825.63</v>
      </c>
      <c r="AA19" s="1">
        <f t="shared" si="3"/>
        <v>518330300196825.63</v>
      </c>
      <c r="AB19" s="1">
        <f t="shared" si="3"/>
        <v>518330300196825.63</v>
      </c>
      <c r="AC19" s="1">
        <f t="shared" si="3"/>
        <v>518330300196825.63</v>
      </c>
      <c r="AD19" s="1">
        <f t="shared" si="3"/>
        <v>518330300196825.63</v>
      </c>
      <c r="AE19" s="1">
        <f t="shared" si="3"/>
        <v>518330300196825.63</v>
      </c>
      <c r="AF19" s="1">
        <f t="shared" si="3"/>
        <v>518330300196825.63</v>
      </c>
      <c r="AG19" s="1">
        <f t="shared" si="3"/>
        <v>518330300196825.63</v>
      </c>
      <c r="AH19" s="1">
        <f t="shared" si="3"/>
        <v>518330300196825.63</v>
      </c>
      <c r="AI19" s="1">
        <f t="shared" si="3"/>
        <v>518330300196825.63</v>
      </c>
      <c r="AJ19" s="1">
        <f t="shared" si="3"/>
        <v>518330300196825.63</v>
      </c>
      <c r="AK19" s="1">
        <f t="shared" si="3"/>
        <v>518330300196825.63</v>
      </c>
      <c r="AL19" s="1">
        <f t="shared" si="3"/>
        <v>518330300196825.63</v>
      </c>
      <c r="AM19" s="1">
        <f t="shared" si="3"/>
        <v>518330300196825.63</v>
      </c>
      <c r="AN19" s="1">
        <f t="shared" si="3"/>
        <v>518330300196825.63</v>
      </c>
      <c r="AO19" s="1">
        <f t="shared" si="3"/>
        <v>518330300196825.63</v>
      </c>
      <c r="AP19" s="1">
        <f t="shared" si="3"/>
        <v>518330300196825.63</v>
      </c>
      <c r="AQ19" s="1">
        <f t="shared" si="3"/>
        <v>518330300196825.63</v>
      </c>
    </row>
    <row r="20" spans="1:43" x14ac:dyDescent="0.15">
      <c r="A20" s="1" t="s">
        <v>75</v>
      </c>
      <c r="B20" s="1">
        <f>SUMIFS(Import!$J:$J,Import!$I:$I,$A20,Import!$C:$C,'BFPIaE-imports'!B$1)</f>
        <v>424699683289873.38</v>
      </c>
      <c r="C20" s="1">
        <f>SUMIFS(Import!$J:$J,Import!$I:$I,$A20,Import!$C:$C,'BFPIaE-imports'!C$1)</f>
        <v>448675935957689.88</v>
      </c>
      <c r="D20" s="1">
        <f>SUMIFS(Import!$J:$J,Import!$I:$I,$A20,Import!$C:$C,'BFPIaE-imports'!D$1)</f>
        <v>421005233633590.19</v>
      </c>
      <c r="E20" s="1">
        <f>SUMIFS(Import!$J:$J,Import!$I:$I,$A20,Import!$C:$C,'BFPIaE-imports'!E$1)</f>
        <v>474496267896241.75</v>
      </c>
      <c r="F20" s="1">
        <f t="shared" si="2"/>
        <v>474496267896241.75</v>
      </c>
      <c r="G20" s="1">
        <f t="shared" si="2"/>
        <v>474496267896241.75</v>
      </c>
      <c r="H20" s="1">
        <f t="shared" si="2"/>
        <v>474496267896241.75</v>
      </c>
      <c r="I20" s="1">
        <f t="shared" si="2"/>
        <v>474496267896241.75</v>
      </c>
      <c r="J20" s="1">
        <f t="shared" si="2"/>
        <v>474496267896241.75</v>
      </c>
      <c r="K20" s="1">
        <f t="shared" si="2"/>
        <v>474496267896241.75</v>
      </c>
      <c r="L20" s="1">
        <f t="shared" si="2"/>
        <v>474496267896241.75</v>
      </c>
      <c r="M20" s="1">
        <f t="shared" si="2"/>
        <v>474496267896241.75</v>
      </c>
      <c r="N20" s="1">
        <f t="shared" si="2"/>
        <v>474496267896241.75</v>
      </c>
      <c r="O20" s="1">
        <f t="shared" si="2"/>
        <v>474496267896241.75</v>
      </c>
      <c r="P20" s="1">
        <f t="shared" si="2"/>
        <v>474496267896241.75</v>
      </c>
      <c r="Q20" s="1">
        <f t="shared" si="2"/>
        <v>474496267896241.75</v>
      </c>
      <c r="R20" s="1">
        <f t="shared" si="2"/>
        <v>474496267896241.75</v>
      </c>
      <c r="S20" s="1">
        <f t="shared" si="2"/>
        <v>474496267896241.75</v>
      </c>
      <c r="T20" s="1">
        <f t="shared" si="3"/>
        <v>474496267896241.75</v>
      </c>
      <c r="U20" s="1">
        <f t="shared" si="3"/>
        <v>474496267896241.75</v>
      </c>
      <c r="V20" s="1">
        <f t="shared" si="3"/>
        <v>474496267896241.75</v>
      </c>
      <c r="W20" s="1">
        <f t="shared" si="3"/>
        <v>474496267896241.75</v>
      </c>
      <c r="X20" s="1">
        <f t="shared" si="3"/>
        <v>474496267896241.75</v>
      </c>
      <c r="Y20" s="1">
        <f t="shared" si="3"/>
        <v>474496267896241.75</v>
      </c>
      <c r="Z20" s="1">
        <f t="shared" si="3"/>
        <v>474496267896241.75</v>
      </c>
      <c r="AA20" s="1">
        <f t="shared" si="3"/>
        <v>474496267896241.75</v>
      </c>
      <c r="AB20" s="1">
        <f t="shared" si="3"/>
        <v>474496267896241.75</v>
      </c>
      <c r="AC20" s="1">
        <f t="shared" si="3"/>
        <v>474496267896241.75</v>
      </c>
      <c r="AD20" s="1">
        <f t="shared" si="3"/>
        <v>474496267896241.75</v>
      </c>
      <c r="AE20" s="1">
        <f t="shared" si="3"/>
        <v>474496267896241.75</v>
      </c>
      <c r="AF20" s="1">
        <f t="shared" si="3"/>
        <v>474496267896241.75</v>
      </c>
      <c r="AG20" s="1">
        <f t="shared" si="3"/>
        <v>474496267896241.75</v>
      </c>
      <c r="AH20" s="1">
        <f t="shared" si="3"/>
        <v>474496267896241.75</v>
      </c>
      <c r="AI20" s="1">
        <f t="shared" si="3"/>
        <v>474496267896241.75</v>
      </c>
      <c r="AJ20" s="1">
        <f t="shared" si="3"/>
        <v>474496267896241.75</v>
      </c>
      <c r="AK20" s="1">
        <f t="shared" si="3"/>
        <v>474496267896241.75</v>
      </c>
      <c r="AL20" s="1">
        <f t="shared" si="3"/>
        <v>474496267896241.75</v>
      </c>
      <c r="AM20" s="1">
        <f t="shared" si="3"/>
        <v>474496267896241.75</v>
      </c>
      <c r="AN20" s="1">
        <f t="shared" si="3"/>
        <v>474496267896241.75</v>
      </c>
      <c r="AO20" s="1">
        <f t="shared" si="3"/>
        <v>474496267896241.75</v>
      </c>
      <c r="AP20" s="1">
        <f t="shared" si="3"/>
        <v>474496267896241.75</v>
      </c>
      <c r="AQ20" s="1">
        <f t="shared" si="3"/>
        <v>474496267896241.75</v>
      </c>
    </row>
    <row r="21" spans="1:43" x14ac:dyDescent="0.15">
      <c r="A21" s="1" t="s">
        <v>89</v>
      </c>
      <c r="B21" s="1">
        <f>SUMIFS(Import!$J:$J,Import!$I:$I,$A21,Import!$C:$C,'BFPIaE-imports'!B$1)</f>
        <v>0</v>
      </c>
      <c r="C21" s="1">
        <f>SUMIFS(Import!$J:$J,Import!$I:$I,$A21,Import!$C:$C,'BFPIaE-imports'!C$1)</f>
        <v>0</v>
      </c>
      <c r="D21" s="1">
        <f>SUMIFS(Import!$J:$J,Import!$I:$I,$A21,Import!$C:$C,'BFPIaE-imports'!D$1)</f>
        <v>0</v>
      </c>
      <c r="E21" s="1">
        <f>SUMIFS(Import!$J:$J,Import!$I:$I,$A21,Import!$C:$C,'BFPIaE-imports'!E$1)</f>
        <v>0</v>
      </c>
      <c r="F21" s="1">
        <f t="shared" si="2"/>
        <v>0</v>
      </c>
      <c r="G21" s="1">
        <f t="shared" si="2"/>
        <v>0</v>
      </c>
      <c r="H21" s="1">
        <f t="shared" si="2"/>
        <v>0</v>
      </c>
      <c r="I21" s="1">
        <f t="shared" si="2"/>
        <v>0</v>
      </c>
      <c r="J21" s="1">
        <f t="shared" si="2"/>
        <v>0</v>
      </c>
      <c r="K21" s="1">
        <f t="shared" si="2"/>
        <v>0</v>
      </c>
      <c r="L21" s="1">
        <f t="shared" si="2"/>
        <v>0</v>
      </c>
      <c r="M21" s="1">
        <f t="shared" si="2"/>
        <v>0</v>
      </c>
      <c r="N21" s="1">
        <f t="shared" si="2"/>
        <v>0</v>
      </c>
      <c r="O21" s="1">
        <f t="shared" si="2"/>
        <v>0</v>
      </c>
      <c r="P21" s="1">
        <f t="shared" si="2"/>
        <v>0</v>
      </c>
      <c r="Q21" s="1">
        <f t="shared" si="2"/>
        <v>0</v>
      </c>
      <c r="R21" s="1">
        <f t="shared" si="2"/>
        <v>0</v>
      </c>
      <c r="S21" s="1">
        <f t="shared" si="2"/>
        <v>0</v>
      </c>
      <c r="T21" s="1">
        <f t="shared" si="3"/>
        <v>0</v>
      </c>
      <c r="U21" s="1">
        <f t="shared" si="3"/>
        <v>0</v>
      </c>
      <c r="V21" s="1">
        <f t="shared" si="3"/>
        <v>0</v>
      </c>
      <c r="W21" s="1">
        <f t="shared" si="3"/>
        <v>0</v>
      </c>
      <c r="X21" s="1">
        <f t="shared" si="3"/>
        <v>0</v>
      </c>
      <c r="Y21" s="1">
        <f t="shared" si="3"/>
        <v>0</v>
      </c>
      <c r="Z21" s="1">
        <f t="shared" si="3"/>
        <v>0</v>
      </c>
      <c r="AA21" s="1">
        <f t="shared" si="3"/>
        <v>0</v>
      </c>
      <c r="AB21" s="1">
        <f t="shared" si="3"/>
        <v>0</v>
      </c>
      <c r="AC21" s="1">
        <f t="shared" si="3"/>
        <v>0</v>
      </c>
      <c r="AD21" s="1">
        <f t="shared" si="3"/>
        <v>0</v>
      </c>
      <c r="AE21" s="1">
        <f t="shared" si="3"/>
        <v>0</v>
      </c>
      <c r="AF21" s="1">
        <f t="shared" si="3"/>
        <v>0</v>
      </c>
      <c r="AG21" s="1">
        <f t="shared" si="3"/>
        <v>0</v>
      </c>
      <c r="AH21" s="1">
        <f t="shared" si="3"/>
        <v>0</v>
      </c>
      <c r="AI21" s="1">
        <f t="shared" si="3"/>
        <v>0</v>
      </c>
      <c r="AJ21" s="1">
        <f t="shared" si="3"/>
        <v>0</v>
      </c>
      <c r="AK21" s="1">
        <f t="shared" si="3"/>
        <v>0</v>
      </c>
      <c r="AL21" s="1">
        <f t="shared" si="3"/>
        <v>0</v>
      </c>
      <c r="AM21" s="1">
        <f t="shared" si="3"/>
        <v>0</v>
      </c>
      <c r="AN21" s="1">
        <f t="shared" si="3"/>
        <v>0</v>
      </c>
      <c r="AO21" s="1">
        <f t="shared" si="3"/>
        <v>0</v>
      </c>
      <c r="AP21" s="1">
        <f t="shared" si="3"/>
        <v>0</v>
      </c>
      <c r="AQ21" s="1">
        <f t="shared" si="3"/>
        <v>0</v>
      </c>
    </row>
    <row r="22" spans="1:43" x14ac:dyDescent="0.15">
      <c r="A22" s="1" t="s">
        <v>90</v>
      </c>
      <c r="B22" s="1">
        <f>SUMIFS(Import!$J:$J,Import!$I:$I,$A22,Import!$C:$C,'BFPIaE-imports'!B$1)</f>
        <v>4592.3260839698678</v>
      </c>
      <c r="C22" s="1">
        <f>SUMIFS(Import!$J:$J,Import!$I:$I,$A22,Import!$C:$C,'BFPIaE-imports'!C$1)</f>
        <v>292071.93894048355</v>
      </c>
      <c r="D22" s="1">
        <f>SUMIFS(Import!$J:$J,Import!$I:$I,$A22,Import!$C:$C,'BFPIaE-imports'!D$1)</f>
        <v>11021.582601527682</v>
      </c>
      <c r="E22" s="1">
        <f>SUMIFS(Import!$J:$J,Import!$I:$I,$A22,Import!$C:$C,'BFPIaE-imports'!E$1)</f>
        <v>5510.7913007638408</v>
      </c>
      <c r="F22" s="1">
        <f t="shared" si="2"/>
        <v>5510.7913007638408</v>
      </c>
      <c r="G22" s="1">
        <f t="shared" si="2"/>
        <v>5510.7913007638408</v>
      </c>
      <c r="H22" s="1">
        <f t="shared" si="2"/>
        <v>5510.7913007638408</v>
      </c>
      <c r="I22" s="1">
        <f t="shared" ref="I22:S22" si="4">H22</f>
        <v>5510.7913007638408</v>
      </c>
      <c r="J22" s="1">
        <f t="shared" si="4"/>
        <v>5510.7913007638408</v>
      </c>
      <c r="K22" s="1">
        <f t="shared" si="4"/>
        <v>5510.7913007638408</v>
      </c>
      <c r="L22" s="1">
        <f t="shared" si="4"/>
        <v>5510.7913007638408</v>
      </c>
      <c r="M22" s="1">
        <f t="shared" si="4"/>
        <v>5510.7913007638408</v>
      </c>
      <c r="N22" s="1">
        <f t="shared" si="4"/>
        <v>5510.7913007638408</v>
      </c>
      <c r="O22" s="1">
        <f t="shared" si="4"/>
        <v>5510.7913007638408</v>
      </c>
      <c r="P22" s="1">
        <f t="shared" si="4"/>
        <v>5510.7913007638408</v>
      </c>
      <c r="Q22" s="1">
        <f t="shared" si="4"/>
        <v>5510.7913007638408</v>
      </c>
      <c r="R22" s="1">
        <f t="shared" si="4"/>
        <v>5510.7913007638408</v>
      </c>
      <c r="S22" s="1">
        <f t="shared" si="4"/>
        <v>5510.7913007638408</v>
      </c>
      <c r="T22" s="1">
        <f t="shared" si="3"/>
        <v>5510.7913007638408</v>
      </c>
      <c r="U22" s="1">
        <f t="shared" si="3"/>
        <v>5510.7913007638408</v>
      </c>
      <c r="V22" s="1">
        <f t="shared" si="3"/>
        <v>5510.7913007638408</v>
      </c>
      <c r="W22" s="1">
        <f t="shared" si="3"/>
        <v>5510.7913007638408</v>
      </c>
      <c r="X22" s="1">
        <f t="shared" si="3"/>
        <v>5510.7913007638408</v>
      </c>
      <c r="Y22" s="1">
        <f t="shared" si="3"/>
        <v>5510.7913007638408</v>
      </c>
      <c r="Z22" s="1">
        <f t="shared" si="3"/>
        <v>5510.7913007638408</v>
      </c>
      <c r="AA22" s="1">
        <f t="shared" si="3"/>
        <v>5510.7913007638408</v>
      </c>
      <c r="AB22" s="1">
        <f t="shared" si="3"/>
        <v>5510.7913007638408</v>
      </c>
      <c r="AC22" s="1">
        <f t="shared" si="3"/>
        <v>5510.7913007638408</v>
      </c>
      <c r="AD22" s="1">
        <f t="shared" si="3"/>
        <v>5510.7913007638408</v>
      </c>
      <c r="AE22" s="1">
        <f t="shared" si="3"/>
        <v>5510.7913007638408</v>
      </c>
      <c r="AF22" s="1">
        <f t="shared" si="3"/>
        <v>5510.7913007638408</v>
      </c>
      <c r="AG22" s="1">
        <f t="shared" si="3"/>
        <v>5510.7913007638408</v>
      </c>
      <c r="AH22" s="1">
        <f t="shared" si="3"/>
        <v>5510.7913007638408</v>
      </c>
      <c r="AI22" s="1">
        <f t="shared" si="3"/>
        <v>5510.7913007638408</v>
      </c>
      <c r="AJ22" s="1">
        <f t="shared" si="3"/>
        <v>5510.7913007638408</v>
      </c>
      <c r="AK22" s="1">
        <f t="shared" si="3"/>
        <v>5510.7913007638408</v>
      </c>
      <c r="AL22" s="1">
        <f t="shared" si="3"/>
        <v>5510.7913007638408</v>
      </c>
      <c r="AM22" s="1">
        <f t="shared" si="3"/>
        <v>5510.7913007638408</v>
      </c>
      <c r="AN22" s="1">
        <f t="shared" si="3"/>
        <v>5510.7913007638408</v>
      </c>
      <c r="AO22" s="1">
        <f t="shared" si="3"/>
        <v>5510.7913007638408</v>
      </c>
      <c r="AP22" s="1">
        <f t="shared" si="3"/>
        <v>5510.7913007638408</v>
      </c>
      <c r="AQ22" s="1">
        <f t="shared" si="3"/>
        <v>5510.7913007638408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C2E8-37C8-48CB-A092-06B1A2ED928C}">
  <dimension ref="A1:AS22"/>
  <sheetViews>
    <sheetView tabSelected="1" workbookViewId="0">
      <selection activeCell="M34" sqref="M34"/>
    </sheetView>
  </sheetViews>
  <sheetFormatPr defaultRowHeight="13.5" x14ac:dyDescent="0.15"/>
  <cols>
    <col min="1" max="16384" width="9" style="8"/>
  </cols>
  <sheetData>
    <row r="1" spans="1:45" x14ac:dyDescent="0.15">
      <c r="A1" s="8" t="s">
        <v>78</v>
      </c>
      <c r="B1" s="8">
        <v>2017</v>
      </c>
      <c r="C1" s="8">
        <v>2018</v>
      </c>
      <c r="D1" s="8">
        <v>2019</v>
      </c>
      <c r="E1" s="8">
        <v>2020</v>
      </c>
      <c r="F1" s="8">
        <v>2021</v>
      </c>
      <c r="G1" s="8">
        <v>2022</v>
      </c>
      <c r="H1" s="8">
        <v>2023</v>
      </c>
      <c r="I1" s="8">
        <v>2024</v>
      </c>
      <c r="J1" s="8">
        <v>2025</v>
      </c>
      <c r="K1" s="8">
        <v>2026</v>
      </c>
      <c r="L1" s="8">
        <v>2027</v>
      </c>
      <c r="M1" s="8">
        <v>2028</v>
      </c>
      <c r="N1" s="8">
        <v>2029</v>
      </c>
      <c r="O1" s="8">
        <v>2030</v>
      </c>
      <c r="P1" s="8">
        <v>2031</v>
      </c>
      <c r="Q1" s="8">
        <v>2032</v>
      </c>
      <c r="R1" s="8">
        <v>2033</v>
      </c>
      <c r="S1" s="8">
        <v>2034</v>
      </c>
      <c r="T1" s="8">
        <v>2035</v>
      </c>
      <c r="U1" s="8">
        <v>2036</v>
      </c>
      <c r="V1" s="8">
        <v>2037</v>
      </c>
      <c r="W1" s="8">
        <v>2038</v>
      </c>
      <c r="X1" s="8">
        <v>2039</v>
      </c>
      <c r="Y1" s="8">
        <v>2040</v>
      </c>
      <c r="Z1" s="8">
        <v>2041</v>
      </c>
      <c r="AA1" s="8">
        <v>2042</v>
      </c>
      <c r="AB1" s="8">
        <v>2043</v>
      </c>
      <c r="AC1" s="8">
        <v>2044</v>
      </c>
      <c r="AD1" s="8">
        <v>2045</v>
      </c>
      <c r="AE1" s="8">
        <v>2046</v>
      </c>
      <c r="AF1" s="8">
        <v>2047</v>
      </c>
      <c r="AG1" s="8">
        <v>2048</v>
      </c>
      <c r="AH1" s="8">
        <v>2049</v>
      </c>
      <c r="AI1" s="8">
        <v>2050</v>
      </c>
      <c r="AJ1" s="8">
        <v>2051</v>
      </c>
      <c r="AK1" s="8">
        <v>2052</v>
      </c>
      <c r="AL1" s="8">
        <v>2053</v>
      </c>
      <c r="AM1" s="8">
        <v>2054</v>
      </c>
      <c r="AN1" s="8">
        <v>2055</v>
      </c>
      <c r="AO1" s="8">
        <v>2056</v>
      </c>
      <c r="AP1" s="8">
        <v>2057</v>
      </c>
      <c r="AQ1" s="8">
        <v>2058</v>
      </c>
      <c r="AR1" s="8">
        <v>2059</v>
      </c>
      <c r="AS1" s="8">
        <v>2060</v>
      </c>
    </row>
    <row r="2" spans="1:45" x14ac:dyDescent="0.15">
      <c r="A2" s="8" t="s">
        <v>256</v>
      </c>
      <c r="B2" s="59">
        <v>2.25353E+16</v>
      </c>
      <c r="C2" s="59">
        <v>2.25353E+16</v>
      </c>
      <c r="D2" s="59">
        <v>2.56028E+16</v>
      </c>
      <c r="E2" s="59">
        <v>2.65433E+16</v>
      </c>
      <c r="F2" s="59">
        <v>2.65433E+16</v>
      </c>
      <c r="G2" s="59">
        <v>2.65433E+16</v>
      </c>
      <c r="H2" s="59">
        <v>2.65433E+16</v>
      </c>
      <c r="I2" s="59">
        <v>2.65433E+16</v>
      </c>
      <c r="J2" s="59">
        <v>2.65433E+16</v>
      </c>
      <c r="K2" s="59">
        <v>2.65433E+16</v>
      </c>
      <c r="L2" s="59">
        <v>2.65433E+16</v>
      </c>
      <c r="M2" s="59">
        <v>2.65433E+16</v>
      </c>
      <c r="N2" s="59">
        <v>2.65433E+16</v>
      </c>
      <c r="O2" s="59">
        <v>2.65433E+16</v>
      </c>
      <c r="P2" s="59">
        <v>2.65433E+16</v>
      </c>
      <c r="Q2" s="59">
        <v>2.65433E+16</v>
      </c>
      <c r="R2" s="59">
        <v>2.65433E+16</v>
      </c>
      <c r="S2" s="59">
        <v>2.65433E+16</v>
      </c>
      <c r="T2" s="59">
        <v>2.65433E+16</v>
      </c>
      <c r="U2" s="59">
        <v>2.65433E+16</v>
      </c>
      <c r="V2" s="59">
        <v>2.65433E+16</v>
      </c>
      <c r="W2" s="59">
        <v>2.65433E+16</v>
      </c>
      <c r="X2" s="59">
        <v>2.65433E+16</v>
      </c>
      <c r="Y2" s="59">
        <v>2.65433E+16</v>
      </c>
      <c r="Z2" s="59">
        <v>2.65433E+16</v>
      </c>
      <c r="AA2" s="59">
        <v>2.65433E+16</v>
      </c>
      <c r="AB2" s="59">
        <v>2.65433E+16</v>
      </c>
      <c r="AC2" s="59">
        <v>2.65433E+16</v>
      </c>
      <c r="AD2" s="59">
        <v>2.65433E+16</v>
      </c>
      <c r="AE2" s="59">
        <v>2.65433E+16</v>
      </c>
      <c r="AF2" s="59">
        <v>2.65433E+16</v>
      </c>
      <c r="AG2" s="59">
        <v>2.65433E+16</v>
      </c>
      <c r="AH2" s="59">
        <v>2.65433E+16</v>
      </c>
      <c r="AI2" s="59">
        <v>2.65433E+16</v>
      </c>
      <c r="AJ2" s="59">
        <v>2.65433E+16</v>
      </c>
      <c r="AK2" s="59">
        <v>2.65433E+16</v>
      </c>
      <c r="AL2" s="59">
        <v>2.65433E+16</v>
      </c>
      <c r="AM2" s="59">
        <v>2.65433E+16</v>
      </c>
      <c r="AN2" s="59">
        <v>2.65433E+16</v>
      </c>
      <c r="AO2" s="59">
        <v>2.65433E+16</v>
      </c>
      <c r="AP2" s="59">
        <v>2.65433E+16</v>
      </c>
      <c r="AQ2" s="59">
        <v>2.65433E+16</v>
      </c>
      <c r="AR2" s="59">
        <v>2.65433E+16</v>
      </c>
      <c r="AS2" s="59">
        <v>2.65433E+16</v>
      </c>
    </row>
    <row r="3" spans="1:45" x14ac:dyDescent="0.15">
      <c r="A3" s="8" t="s">
        <v>255</v>
      </c>
      <c r="B3" s="59">
        <v>8.03412E+16</v>
      </c>
      <c r="C3" s="59">
        <v>8.03412E+16</v>
      </c>
      <c r="D3" s="59">
        <v>8.71722E+16</v>
      </c>
      <c r="E3" s="59">
        <v>8.87085E+16</v>
      </c>
      <c r="F3" s="59">
        <v>8.87085E+16</v>
      </c>
      <c r="G3" s="59">
        <v>8.87085E+16</v>
      </c>
      <c r="H3" s="59">
        <v>8.87085E+16</v>
      </c>
      <c r="I3" s="59">
        <v>8.87085E+16</v>
      </c>
      <c r="J3" s="59">
        <v>8.87085E+16</v>
      </c>
      <c r="K3" s="59">
        <v>8.87085E+16</v>
      </c>
      <c r="L3" s="59">
        <v>8.87085E+16</v>
      </c>
      <c r="M3" s="59">
        <v>8.87085E+16</v>
      </c>
      <c r="N3" s="59">
        <v>8.87085E+16</v>
      </c>
      <c r="O3" s="59">
        <v>8.87085E+16</v>
      </c>
      <c r="P3" s="59">
        <v>8.87085E+16</v>
      </c>
      <c r="Q3" s="59">
        <v>8.87085E+16</v>
      </c>
      <c r="R3" s="59">
        <v>8.87085E+16</v>
      </c>
      <c r="S3" s="59">
        <v>8.87085E+16</v>
      </c>
      <c r="T3" s="59">
        <v>8.87085E+16</v>
      </c>
      <c r="U3" s="59">
        <v>8.87085E+16</v>
      </c>
      <c r="V3" s="59">
        <v>8.87085E+16</v>
      </c>
      <c r="W3" s="59">
        <v>8.87085E+16</v>
      </c>
      <c r="X3" s="59">
        <v>8.87085E+16</v>
      </c>
      <c r="Y3" s="59">
        <v>8.87085E+16</v>
      </c>
      <c r="Z3" s="59">
        <v>8.87085E+16</v>
      </c>
      <c r="AA3" s="59">
        <v>8.87085E+16</v>
      </c>
      <c r="AB3" s="59">
        <v>8.87085E+16</v>
      </c>
      <c r="AC3" s="59">
        <v>8.87085E+16</v>
      </c>
      <c r="AD3" s="59">
        <v>8.87085E+16</v>
      </c>
      <c r="AE3" s="59">
        <v>8.87085E+16</v>
      </c>
      <c r="AF3" s="59">
        <v>8.87085E+16</v>
      </c>
      <c r="AG3" s="59">
        <v>8.87085E+16</v>
      </c>
      <c r="AH3" s="59">
        <v>8.87085E+16</v>
      </c>
      <c r="AI3" s="59">
        <v>8.87085E+16</v>
      </c>
      <c r="AJ3" s="59">
        <v>8.87085E+16</v>
      </c>
      <c r="AK3" s="59">
        <v>8.87085E+16</v>
      </c>
      <c r="AL3" s="59">
        <v>8.87085E+16</v>
      </c>
      <c r="AM3" s="59">
        <v>8.87085E+16</v>
      </c>
      <c r="AN3" s="59">
        <v>8.87085E+16</v>
      </c>
      <c r="AO3" s="59">
        <v>8.87085E+16</v>
      </c>
      <c r="AP3" s="59">
        <v>8.87085E+16</v>
      </c>
      <c r="AQ3" s="59">
        <v>8.87085E+16</v>
      </c>
      <c r="AR3" s="59">
        <v>8.87085E+16</v>
      </c>
      <c r="AS3" s="59">
        <v>8.87085E+16</v>
      </c>
    </row>
    <row r="4" spans="1:45" x14ac:dyDescent="0.15">
      <c r="A4" s="8" t="s">
        <v>213</v>
      </c>
      <c r="B4" s="59">
        <v>5490240000000000</v>
      </c>
      <c r="C4" s="59">
        <v>5490240000000000</v>
      </c>
      <c r="D4" s="59">
        <v>6160240000000000</v>
      </c>
      <c r="E4" s="59">
        <v>7378050000000000</v>
      </c>
      <c r="F4" s="59">
        <v>7378050000000000</v>
      </c>
      <c r="G4" s="59">
        <v>7378050000000000</v>
      </c>
      <c r="H4" s="59">
        <v>7378050000000000</v>
      </c>
      <c r="I4" s="59">
        <v>7378050000000000</v>
      </c>
      <c r="J4" s="59">
        <v>7378050000000000</v>
      </c>
      <c r="K4" s="59">
        <v>7378050000000000</v>
      </c>
      <c r="L4" s="59">
        <v>7378050000000000</v>
      </c>
      <c r="M4" s="59">
        <v>7378050000000000</v>
      </c>
      <c r="N4" s="59">
        <v>7378050000000000</v>
      </c>
      <c r="O4" s="59">
        <v>7378050000000000</v>
      </c>
      <c r="P4" s="59">
        <v>7378050000000000</v>
      </c>
      <c r="Q4" s="59">
        <v>7378050000000000</v>
      </c>
      <c r="R4" s="59">
        <v>7378050000000000</v>
      </c>
      <c r="S4" s="59">
        <v>7378050000000000</v>
      </c>
      <c r="T4" s="59">
        <v>7378050000000000</v>
      </c>
      <c r="U4" s="59">
        <v>7378050000000000</v>
      </c>
      <c r="V4" s="59">
        <v>7378050000000000</v>
      </c>
      <c r="W4" s="59">
        <v>7378050000000000</v>
      </c>
      <c r="X4" s="59">
        <v>7378050000000000</v>
      </c>
      <c r="Y4" s="59">
        <v>7378050000000000</v>
      </c>
      <c r="Z4" s="59">
        <v>7378050000000000</v>
      </c>
      <c r="AA4" s="59">
        <v>7378050000000000</v>
      </c>
      <c r="AB4" s="59">
        <v>7378050000000000</v>
      </c>
      <c r="AC4" s="59">
        <v>7378050000000000</v>
      </c>
      <c r="AD4" s="59">
        <v>7378050000000000</v>
      </c>
      <c r="AE4" s="59">
        <v>7378050000000000</v>
      </c>
      <c r="AF4" s="59">
        <v>7378050000000000</v>
      </c>
      <c r="AG4" s="59">
        <v>7378050000000000</v>
      </c>
      <c r="AH4" s="59">
        <v>7378050000000000</v>
      </c>
      <c r="AI4" s="59">
        <v>7378050000000000</v>
      </c>
      <c r="AJ4" s="59">
        <v>7378050000000000</v>
      </c>
      <c r="AK4" s="59">
        <v>7378050000000000</v>
      </c>
      <c r="AL4" s="59">
        <v>7378050000000000</v>
      </c>
      <c r="AM4" s="59">
        <v>7378050000000000</v>
      </c>
      <c r="AN4" s="59">
        <v>7378050000000000</v>
      </c>
      <c r="AO4" s="59">
        <v>7378050000000000</v>
      </c>
      <c r="AP4" s="59">
        <v>7378050000000000</v>
      </c>
      <c r="AQ4" s="59">
        <v>7378050000000000</v>
      </c>
      <c r="AR4" s="59">
        <v>7378050000000000</v>
      </c>
      <c r="AS4" s="59">
        <v>7378050000000000</v>
      </c>
    </row>
    <row r="5" spans="1:45" x14ac:dyDescent="0.15">
      <c r="A5" s="8" t="s">
        <v>79</v>
      </c>
      <c r="B5" s="59">
        <v>1020000000000000</v>
      </c>
      <c r="C5" s="59">
        <v>1270000000000000</v>
      </c>
      <c r="D5" s="59">
        <v>1420000000000000</v>
      </c>
      <c r="E5" s="59">
        <v>1590000000000000</v>
      </c>
      <c r="F5" s="59">
        <v>1610000000000000</v>
      </c>
      <c r="G5" s="59">
        <v>1640000000000000</v>
      </c>
      <c r="H5" s="59">
        <v>1670000000000000</v>
      </c>
      <c r="I5" s="59">
        <v>1700000000000000</v>
      </c>
      <c r="J5" s="59">
        <v>1730000000000000</v>
      </c>
      <c r="K5" s="59">
        <v>1760000000000000</v>
      </c>
      <c r="L5" s="59">
        <v>1790000000000000</v>
      </c>
      <c r="M5" s="59">
        <v>1820000000000000</v>
      </c>
      <c r="N5" s="59">
        <v>1850000000000000</v>
      </c>
      <c r="O5" s="59">
        <v>1880000000000000</v>
      </c>
      <c r="P5" s="59">
        <v>2880000000000000</v>
      </c>
      <c r="Q5" s="59">
        <v>2930000000000000</v>
      </c>
      <c r="R5" s="59">
        <v>2980000000000000</v>
      </c>
      <c r="S5" s="59">
        <v>3030000000000000</v>
      </c>
      <c r="T5" s="59">
        <v>3080000000000000</v>
      </c>
      <c r="U5" s="59">
        <v>3130000000000000</v>
      </c>
      <c r="V5" s="59">
        <v>3190000000000000</v>
      </c>
      <c r="W5" s="59">
        <v>3240000000000000</v>
      </c>
      <c r="X5" s="59">
        <v>3300000000000000</v>
      </c>
      <c r="Y5" s="59">
        <v>3360000000000000</v>
      </c>
      <c r="Z5" s="59">
        <v>4480000000000000</v>
      </c>
      <c r="AA5" s="59">
        <v>4480000000000000</v>
      </c>
      <c r="AB5" s="59">
        <v>4480000000000000</v>
      </c>
      <c r="AC5" s="59">
        <v>4480000000000000</v>
      </c>
      <c r="AD5" s="59">
        <v>4480000000000000</v>
      </c>
      <c r="AE5" s="59">
        <v>4480000000000000</v>
      </c>
      <c r="AF5" s="59">
        <v>4480000000000000</v>
      </c>
      <c r="AG5" s="59">
        <v>4480000000000000</v>
      </c>
      <c r="AH5" s="59">
        <v>4480000000000000</v>
      </c>
      <c r="AI5" s="59">
        <v>4480000000000000</v>
      </c>
      <c r="AJ5" s="59">
        <v>4476760000000000</v>
      </c>
      <c r="AK5" s="59">
        <v>4476760000000000</v>
      </c>
      <c r="AL5" s="59">
        <v>4476760000000000</v>
      </c>
      <c r="AM5" s="59">
        <v>4476760000000000</v>
      </c>
      <c r="AN5" s="59">
        <v>4476760000000000</v>
      </c>
      <c r="AO5" s="59">
        <v>4476760000000000</v>
      </c>
      <c r="AP5" s="59">
        <v>4476760000000000</v>
      </c>
      <c r="AQ5" s="59">
        <v>4476760000000000</v>
      </c>
      <c r="AR5" s="59">
        <v>4476760000000000</v>
      </c>
      <c r="AS5" s="59">
        <v>4476760000000000</v>
      </c>
    </row>
    <row r="6" spans="1:45" x14ac:dyDescent="0.15">
      <c r="A6" s="8" t="s">
        <v>80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</row>
    <row r="7" spans="1:45" x14ac:dyDescent="0.15">
      <c r="A7" s="8" t="s">
        <v>81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</row>
    <row r="8" spans="1:45" x14ac:dyDescent="0.15">
      <c r="A8" s="8" t="s">
        <v>82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</row>
    <row r="9" spans="1:45" x14ac:dyDescent="0.15">
      <c r="A9" s="8" t="s">
        <v>83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</row>
    <row r="10" spans="1:45" x14ac:dyDescent="0.15">
      <c r="A10" s="8" t="s">
        <v>73</v>
      </c>
      <c r="B10" s="59">
        <v>5819930000000000</v>
      </c>
      <c r="C10" s="59">
        <v>5819930000000000</v>
      </c>
      <c r="D10" s="59">
        <v>5819930000000000</v>
      </c>
      <c r="E10" s="59">
        <v>5819930000000000</v>
      </c>
      <c r="F10" s="59">
        <v>5819930000000000</v>
      </c>
      <c r="G10" s="59">
        <v>5819930000000000</v>
      </c>
      <c r="H10" s="59">
        <v>5819930000000000</v>
      </c>
      <c r="I10" s="59">
        <v>5819930000000000</v>
      </c>
      <c r="J10" s="59">
        <v>5819930000000000</v>
      </c>
      <c r="K10" s="59">
        <v>5819930000000000</v>
      </c>
      <c r="L10" s="59">
        <v>5819930000000000</v>
      </c>
      <c r="M10" s="59">
        <v>5819930000000000</v>
      </c>
      <c r="N10" s="59">
        <v>5819930000000000</v>
      </c>
      <c r="O10" s="59">
        <v>5819930000000000</v>
      </c>
      <c r="P10" s="59">
        <v>5819930000000000</v>
      </c>
      <c r="Q10" s="59">
        <v>5819930000000000</v>
      </c>
      <c r="R10" s="59">
        <v>5819930000000000</v>
      </c>
      <c r="S10" s="59">
        <v>5819930000000000</v>
      </c>
      <c r="T10" s="59">
        <v>5819930000000000</v>
      </c>
      <c r="U10" s="59">
        <v>5819930000000000</v>
      </c>
      <c r="V10" s="59">
        <v>5819930000000000</v>
      </c>
      <c r="W10" s="59">
        <v>5819930000000000</v>
      </c>
      <c r="X10" s="59">
        <v>5819930000000000</v>
      </c>
      <c r="Y10" s="59">
        <v>5819930000000000</v>
      </c>
      <c r="Z10" s="59">
        <v>5819930000000000</v>
      </c>
      <c r="AA10" s="59">
        <v>5819930000000000</v>
      </c>
      <c r="AB10" s="59">
        <v>5819930000000000</v>
      </c>
      <c r="AC10" s="59">
        <v>5819930000000000</v>
      </c>
      <c r="AD10" s="59">
        <v>5819930000000000</v>
      </c>
      <c r="AE10" s="59">
        <v>5819930000000000</v>
      </c>
      <c r="AF10" s="59">
        <v>5819930000000000</v>
      </c>
      <c r="AG10" s="59">
        <v>5819930000000000</v>
      </c>
      <c r="AH10" s="59">
        <v>5819930000000000</v>
      </c>
      <c r="AI10" s="59">
        <v>5819930000000000</v>
      </c>
      <c r="AJ10" s="59">
        <v>5819930000000000</v>
      </c>
      <c r="AK10" s="59">
        <v>5819930000000000</v>
      </c>
      <c r="AL10" s="59">
        <v>5819930000000000</v>
      </c>
      <c r="AM10" s="59">
        <v>5819930000000000</v>
      </c>
      <c r="AN10" s="59">
        <v>5819930000000000</v>
      </c>
      <c r="AO10" s="59">
        <v>5819930000000000</v>
      </c>
      <c r="AP10" s="59">
        <v>5819930000000000</v>
      </c>
      <c r="AQ10" s="59">
        <v>5819930000000000</v>
      </c>
      <c r="AR10" s="59">
        <v>5819930000000000</v>
      </c>
      <c r="AS10" s="59">
        <v>5819930000000000</v>
      </c>
    </row>
    <row r="11" spans="1:45" x14ac:dyDescent="0.15">
      <c r="A11" s="8" t="s">
        <v>74</v>
      </c>
      <c r="B11" s="59">
        <v>2016870000000000</v>
      </c>
      <c r="C11" s="59">
        <v>1.9557E+17</v>
      </c>
      <c r="D11" s="59">
        <v>2.44177E+17</v>
      </c>
      <c r="E11" s="59">
        <v>2.67401E+17</v>
      </c>
      <c r="F11" s="59">
        <v>2.67401E+17</v>
      </c>
      <c r="G11" s="59">
        <v>2.67401E+17</v>
      </c>
      <c r="H11" s="59">
        <v>2.67401E+17</v>
      </c>
      <c r="I11" s="59">
        <v>2.67401E+17</v>
      </c>
      <c r="J11" s="59">
        <v>2.67401E+17</v>
      </c>
      <c r="K11" s="59">
        <v>2.67401E+17</v>
      </c>
      <c r="L11" s="59">
        <v>2.67401E+17</v>
      </c>
      <c r="M11" s="59">
        <v>2.67401E+17</v>
      </c>
      <c r="N11" s="59">
        <v>2.67401E+17</v>
      </c>
      <c r="O11" s="59">
        <v>2.67401E+17</v>
      </c>
      <c r="P11" s="59">
        <v>2.67401E+17</v>
      </c>
      <c r="Q11" s="59">
        <v>2.67401E+17</v>
      </c>
      <c r="R11" s="59">
        <v>2.67401E+17</v>
      </c>
      <c r="S11" s="59">
        <v>2.67401E+17</v>
      </c>
      <c r="T11" s="59">
        <v>2.67401E+17</v>
      </c>
      <c r="U11" s="59">
        <v>2.67401E+17</v>
      </c>
      <c r="V11" s="59">
        <v>2.67401E+17</v>
      </c>
      <c r="W11" s="59">
        <v>2.67401E+17</v>
      </c>
      <c r="X11" s="59">
        <v>2.67401E+17</v>
      </c>
      <c r="Y11" s="59">
        <v>2.67401E+17</v>
      </c>
      <c r="Z11" s="59">
        <v>2.67401E+17</v>
      </c>
      <c r="AA11" s="59">
        <v>2.67401E+17</v>
      </c>
      <c r="AB11" s="59">
        <v>2.67401E+17</v>
      </c>
      <c r="AC11" s="59">
        <v>2.67401E+17</v>
      </c>
      <c r="AD11" s="59">
        <v>2.67401E+17</v>
      </c>
      <c r="AE11" s="59">
        <v>2.67401E+17</v>
      </c>
      <c r="AF11" s="59">
        <v>2.67401E+17</v>
      </c>
      <c r="AG11" s="59">
        <v>2.67401E+17</v>
      </c>
      <c r="AH11" s="59">
        <v>2.67401E+17</v>
      </c>
      <c r="AI11" s="59">
        <v>2.67401E+17</v>
      </c>
      <c r="AJ11" s="59">
        <v>2.67401E+17</v>
      </c>
      <c r="AK11" s="59">
        <v>2.67401E+17</v>
      </c>
      <c r="AL11" s="59">
        <v>2.67401E+17</v>
      </c>
      <c r="AM11" s="59">
        <v>2.67401E+17</v>
      </c>
      <c r="AN11" s="59">
        <v>2.67401E+17</v>
      </c>
      <c r="AO11" s="59">
        <v>2.67401E+17</v>
      </c>
      <c r="AP11" s="59">
        <v>2.67401E+17</v>
      </c>
      <c r="AQ11" s="59">
        <v>2.67401E+17</v>
      </c>
      <c r="AR11" s="59">
        <v>2.67401E+17</v>
      </c>
      <c r="AS11" s="59">
        <v>2.67401E+17</v>
      </c>
    </row>
    <row r="12" spans="1:45" x14ac:dyDescent="0.15">
      <c r="A12" s="8" t="s">
        <v>84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</row>
    <row r="13" spans="1:45" x14ac:dyDescent="0.15">
      <c r="A13" s="8" t="s">
        <v>77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</row>
    <row r="14" spans="1:45" x14ac:dyDescent="0.15">
      <c r="A14" s="8" t="s">
        <v>76</v>
      </c>
      <c r="B14" s="59">
        <v>1685730000000000</v>
      </c>
      <c r="C14" s="59">
        <v>1685730000000000</v>
      </c>
      <c r="D14" s="59">
        <v>1685730000000000</v>
      </c>
      <c r="E14" s="59">
        <v>1685730000000000</v>
      </c>
      <c r="F14" s="59">
        <v>1685730000000000</v>
      </c>
      <c r="G14" s="59">
        <v>1685730000000000</v>
      </c>
      <c r="H14" s="59">
        <v>1685730000000000</v>
      </c>
      <c r="I14" s="59">
        <v>1685730000000000</v>
      </c>
      <c r="J14" s="59">
        <v>1685730000000000</v>
      </c>
      <c r="K14" s="59">
        <v>1685730000000000</v>
      </c>
      <c r="L14" s="59">
        <v>1685730000000000</v>
      </c>
      <c r="M14" s="59">
        <v>1685730000000000</v>
      </c>
      <c r="N14" s="59">
        <v>1685730000000000</v>
      </c>
      <c r="O14" s="59">
        <v>1685730000000000</v>
      </c>
      <c r="P14" s="59">
        <v>1685730000000000</v>
      </c>
      <c r="Q14" s="59">
        <v>1685730000000000</v>
      </c>
      <c r="R14" s="59">
        <v>1685730000000000</v>
      </c>
      <c r="S14" s="59">
        <v>1685730000000000</v>
      </c>
      <c r="T14" s="59">
        <v>1685730000000000</v>
      </c>
      <c r="U14" s="59">
        <v>1685730000000000</v>
      </c>
      <c r="V14" s="59">
        <v>1685730000000000</v>
      </c>
      <c r="W14" s="59">
        <v>1685730000000000</v>
      </c>
      <c r="X14" s="59">
        <v>1685730000000000</v>
      </c>
      <c r="Y14" s="59">
        <v>1685730000000000</v>
      </c>
      <c r="Z14" s="59">
        <v>1685730000000000</v>
      </c>
      <c r="AA14" s="59">
        <v>1685730000000000</v>
      </c>
      <c r="AB14" s="59">
        <v>1685730000000000</v>
      </c>
      <c r="AC14" s="59">
        <v>1685730000000000</v>
      </c>
      <c r="AD14" s="59">
        <v>1685730000000000</v>
      </c>
      <c r="AE14" s="59">
        <v>1685730000000000</v>
      </c>
      <c r="AF14" s="59">
        <v>1685730000000000</v>
      </c>
      <c r="AG14" s="59">
        <v>1685730000000000</v>
      </c>
      <c r="AH14" s="59">
        <v>1685730000000000</v>
      </c>
      <c r="AI14" s="59">
        <v>1685730000000000</v>
      </c>
      <c r="AJ14" s="59">
        <v>1685730000000000</v>
      </c>
      <c r="AK14" s="59">
        <v>1685730000000000</v>
      </c>
      <c r="AL14" s="59">
        <v>1685730000000000</v>
      </c>
      <c r="AM14" s="59">
        <v>1685730000000000</v>
      </c>
      <c r="AN14" s="59">
        <v>1685730000000000</v>
      </c>
      <c r="AO14" s="59">
        <v>1685730000000000</v>
      </c>
      <c r="AP14" s="59">
        <v>1685730000000000</v>
      </c>
      <c r="AQ14" s="59">
        <v>1685730000000000</v>
      </c>
      <c r="AR14" s="59">
        <v>1685730000000000</v>
      </c>
      <c r="AS14" s="59">
        <v>1685730000000000</v>
      </c>
    </row>
    <row r="15" spans="1:45" x14ac:dyDescent="0.15">
      <c r="A15" s="8" t="s">
        <v>85</v>
      </c>
      <c r="B15" s="59">
        <v>5023510000000000</v>
      </c>
      <c r="C15" s="59">
        <v>1.9557E+17</v>
      </c>
      <c r="D15" s="59">
        <v>2.44177E+17</v>
      </c>
      <c r="E15" s="59">
        <v>2.67401E+17</v>
      </c>
      <c r="F15" s="59">
        <v>2.67401E+17</v>
      </c>
      <c r="G15" s="59">
        <v>2.67401E+17</v>
      </c>
      <c r="H15" s="59">
        <v>2.67401E+17</v>
      </c>
      <c r="I15" s="59">
        <v>2.67401E+17</v>
      </c>
      <c r="J15" s="59">
        <v>2.67401E+17</v>
      </c>
      <c r="K15" s="59">
        <v>2.67401E+17</v>
      </c>
      <c r="L15" s="59">
        <v>2.67401E+17</v>
      </c>
      <c r="M15" s="59">
        <v>2.67401E+17</v>
      </c>
      <c r="N15" s="59">
        <v>2.67401E+17</v>
      </c>
      <c r="O15" s="59">
        <v>2.67401E+17</v>
      </c>
      <c r="P15" s="59">
        <v>2.67401E+17</v>
      </c>
      <c r="Q15" s="59">
        <v>2.67401E+17</v>
      </c>
      <c r="R15" s="59">
        <v>2.67401E+17</v>
      </c>
      <c r="S15" s="59">
        <v>2.67401E+17</v>
      </c>
      <c r="T15" s="59">
        <v>2.67401E+17</v>
      </c>
      <c r="U15" s="59">
        <v>2.67401E+17</v>
      </c>
      <c r="V15" s="59">
        <v>2.67401E+17</v>
      </c>
      <c r="W15" s="59">
        <v>2.67401E+17</v>
      </c>
      <c r="X15" s="59">
        <v>2.67401E+17</v>
      </c>
      <c r="Y15" s="59">
        <v>2.67401E+17</v>
      </c>
      <c r="Z15" s="59">
        <v>2.67401E+17</v>
      </c>
      <c r="AA15" s="59">
        <v>2.67401E+17</v>
      </c>
      <c r="AB15" s="59">
        <v>2.67401E+17</v>
      </c>
      <c r="AC15" s="59">
        <v>2.67401E+17</v>
      </c>
      <c r="AD15" s="59">
        <v>2.67401E+17</v>
      </c>
      <c r="AE15" s="59">
        <v>2.67401E+17</v>
      </c>
      <c r="AF15" s="59">
        <v>2.67401E+17</v>
      </c>
      <c r="AG15" s="59">
        <v>2.67401E+17</v>
      </c>
      <c r="AH15" s="59">
        <v>2.67401E+17</v>
      </c>
      <c r="AI15" s="59">
        <v>2.67401E+17</v>
      </c>
      <c r="AJ15" s="59">
        <v>2.67401E+17</v>
      </c>
      <c r="AK15" s="59">
        <v>2.67401E+17</v>
      </c>
      <c r="AL15" s="59">
        <v>2.67401E+17</v>
      </c>
      <c r="AM15" s="59">
        <v>2.67401E+17</v>
      </c>
      <c r="AN15" s="59">
        <v>2.67401E+17</v>
      </c>
      <c r="AO15" s="59">
        <v>2.67401E+17</v>
      </c>
      <c r="AP15" s="59">
        <v>2.67401E+17</v>
      </c>
      <c r="AQ15" s="59">
        <v>2.67401E+17</v>
      </c>
      <c r="AR15" s="59">
        <v>2.67401E+17</v>
      </c>
      <c r="AS15" s="59">
        <v>2.67401E+17</v>
      </c>
    </row>
    <row r="16" spans="1:45" x14ac:dyDescent="0.15">
      <c r="A16" s="8" t="s">
        <v>86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</row>
    <row r="17" spans="1:45" x14ac:dyDescent="0.15">
      <c r="A17" s="8" t="s">
        <v>87</v>
      </c>
      <c r="B17" s="59">
        <v>1926060000000000</v>
      </c>
      <c r="C17" s="59">
        <v>1926060000000000</v>
      </c>
      <c r="D17" s="59">
        <v>1926060000000000</v>
      </c>
      <c r="E17" s="59">
        <v>2026120000000000</v>
      </c>
      <c r="F17" s="59">
        <v>2026120000000000</v>
      </c>
      <c r="G17" s="59">
        <v>2026120000000000</v>
      </c>
      <c r="H17" s="59">
        <v>2026120000000000</v>
      </c>
      <c r="I17" s="59">
        <v>2026120000000000</v>
      </c>
      <c r="J17" s="59">
        <v>2026120000000000</v>
      </c>
      <c r="K17" s="59">
        <v>2026120000000000</v>
      </c>
      <c r="L17" s="59">
        <v>2026120000000000</v>
      </c>
      <c r="M17" s="59">
        <v>2026120000000000</v>
      </c>
      <c r="N17" s="59">
        <v>2026120000000000</v>
      </c>
      <c r="O17" s="59">
        <v>2026120000000000</v>
      </c>
      <c r="P17" s="59">
        <v>2026120000000000</v>
      </c>
      <c r="Q17" s="59">
        <v>2026120000000000</v>
      </c>
      <c r="R17" s="59">
        <v>2026120000000000</v>
      </c>
      <c r="S17" s="59">
        <v>2026120000000000</v>
      </c>
      <c r="T17" s="59">
        <v>2026120000000000</v>
      </c>
      <c r="U17" s="59">
        <v>2026120000000000</v>
      </c>
      <c r="V17" s="59">
        <v>2026120000000000</v>
      </c>
      <c r="W17" s="59">
        <v>2026120000000000</v>
      </c>
      <c r="X17" s="59">
        <v>2026120000000000</v>
      </c>
      <c r="Y17" s="59">
        <v>2026120000000000</v>
      </c>
      <c r="Z17" s="59">
        <v>2026120000000000</v>
      </c>
      <c r="AA17" s="59">
        <v>2026120000000000</v>
      </c>
      <c r="AB17" s="59">
        <v>2026120000000000</v>
      </c>
      <c r="AC17" s="59">
        <v>2026120000000000</v>
      </c>
      <c r="AD17" s="59">
        <v>2026120000000000</v>
      </c>
      <c r="AE17" s="59">
        <v>2026120000000000</v>
      </c>
      <c r="AF17" s="59">
        <v>2026120000000000</v>
      </c>
      <c r="AG17" s="59">
        <v>2026120000000000</v>
      </c>
      <c r="AH17" s="59">
        <v>2026120000000000</v>
      </c>
      <c r="AI17" s="59">
        <v>2026120000000000</v>
      </c>
      <c r="AJ17" s="59">
        <v>2026120000000000</v>
      </c>
      <c r="AK17" s="59">
        <v>2026120000000000</v>
      </c>
      <c r="AL17" s="59">
        <v>2026120000000000</v>
      </c>
      <c r="AM17" s="59">
        <v>2026120000000000</v>
      </c>
      <c r="AN17" s="59">
        <v>2026120000000000</v>
      </c>
      <c r="AO17" s="59">
        <v>2026120000000000</v>
      </c>
      <c r="AP17" s="59">
        <v>2026120000000000</v>
      </c>
      <c r="AQ17" s="59">
        <v>2026120000000000</v>
      </c>
      <c r="AR17" s="59">
        <v>2026120000000000</v>
      </c>
      <c r="AS17" s="59">
        <v>2026120000000000</v>
      </c>
    </row>
    <row r="18" spans="1:45" x14ac:dyDescent="0.15">
      <c r="A18" s="8" t="s">
        <v>88</v>
      </c>
      <c r="B18" s="59">
        <v>7719440000000000</v>
      </c>
      <c r="C18" s="59">
        <v>7719440000000000</v>
      </c>
      <c r="D18" s="59">
        <v>7719440000000000</v>
      </c>
      <c r="E18" s="59">
        <v>7719440000000000</v>
      </c>
      <c r="F18" s="59">
        <v>7719440000000000</v>
      </c>
      <c r="G18" s="59">
        <v>7719440000000000</v>
      </c>
      <c r="H18" s="59">
        <v>7719440000000000</v>
      </c>
      <c r="I18" s="59">
        <v>7719440000000000</v>
      </c>
      <c r="J18" s="59">
        <v>7719440000000000</v>
      </c>
      <c r="K18" s="59">
        <v>7719440000000000</v>
      </c>
      <c r="L18" s="59">
        <v>7719440000000000</v>
      </c>
      <c r="M18" s="59">
        <v>7719440000000000</v>
      </c>
      <c r="N18" s="59">
        <v>7719440000000000</v>
      </c>
      <c r="O18" s="59">
        <v>7719440000000000</v>
      </c>
      <c r="P18" s="59">
        <v>7719440000000000</v>
      </c>
      <c r="Q18" s="59">
        <v>7719440000000000</v>
      </c>
      <c r="R18" s="59">
        <v>7719440000000000</v>
      </c>
      <c r="S18" s="59">
        <v>7719440000000000</v>
      </c>
      <c r="T18" s="59">
        <v>7719440000000000</v>
      </c>
      <c r="U18" s="59">
        <v>7719440000000000</v>
      </c>
      <c r="V18" s="59">
        <v>7719440000000000</v>
      </c>
      <c r="W18" s="59">
        <v>7719440000000000</v>
      </c>
      <c r="X18" s="59">
        <v>7719440000000000</v>
      </c>
      <c r="Y18" s="59">
        <v>7719440000000000</v>
      </c>
      <c r="Z18" s="59">
        <v>7719440000000000</v>
      </c>
      <c r="AA18" s="59">
        <v>7719440000000000</v>
      </c>
      <c r="AB18" s="59">
        <v>7719440000000000</v>
      </c>
      <c r="AC18" s="59">
        <v>7719440000000000</v>
      </c>
      <c r="AD18" s="59">
        <v>7719440000000000</v>
      </c>
      <c r="AE18" s="59">
        <v>7719440000000000</v>
      </c>
      <c r="AF18" s="59">
        <v>7719440000000000</v>
      </c>
      <c r="AG18" s="59">
        <v>7719440000000000</v>
      </c>
      <c r="AH18" s="59">
        <v>7719440000000000</v>
      </c>
      <c r="AI18" s="59">
        <v>7719440000000000</v>
      </c>
      <c r="AJ18" s="59">
        <v>7719440000000000</v>
      </c>
      <c r="AK18" s="59">
        <v>7719440000000000</v>
      </c>
      <c r="AL18" s="59">
        <v>7719440000000000</v>
      </c>
      <c r="AM18" s="59">
        <v>7719440000000000</v>
      </c>
      <c r="AN18" s="59">
        <v>7719440000000000</v>
      </c>
      <c r="AO18" s="59">
        <v>7719440000000000</v>
      </c>
      <c r="AP18" s="59">
        <v>7719440000000000</v>
      </c>
      <c r="AQ18" s="59">
        <v>7719440000000000</v>
      </c>
      <c r="AR18" s="59">
        <v>7719440000000000</v>
      </c>
      <c r="AS18" s="59">
        <v>7719440000000000</v>
      </c>
    </row>
    <row r="19" spans="1:45" x14ac:dyDescent="0.15">
      <c r="A19" s="8" t="s">
        <v>72</v>
      </c>
      <c r="B19" s="59">
        <v>1.02389E+16</v>
      </c>
      <c r="C19" s="59">
        <v>1.02389E+16</v>
      </c>
      <c r="D19" s="59">
        <v>1.02389E+16</v>
      </c>
      <c r="E19" s="59">
        <v>1.02389E+16</v>
      </c>
      <c r="F19" s="59">
        <v>1.02389E+16</v>
      </c>
      <c r="G19" s="59">
        <v>1.02389E+16</v>
      </c>
      <c r="H19" s="59">
        <v>1.02389E+16</v>
      </c>
      <c r="I19" s="59">
        <v>1.02389E+16</v>
      </c>
      <c r="J19" s="59">
        <v>1.02389E+16</v>
      </c>
      <c r="K19" s="59">
        <v>1.02389E+16</v>
      </c>
      <c r="L19" s="59">
        <v>1.02389E+16</v>
      </c>
      <c r="M19" s="59">
        <v>1.02389E+16</v>
      </c>
      <c r="N19" s="59">
        <v>1.02389E+16</v>
      </c>
      <c r="O19" s="59">
        <v>1.02389E+16</v>
      </c>
      <c r="P19" s="59">
        <v>1.02389E+16</v>
      </c>
      <c r="Q19" s="59">
        <v>1.02389E+16</v>
      </c>
      <c r="R19" s="59">
        <v>1.02389E+16</v>
      </c>
      <c r="S19" s="59">
        <v>1.02389E+16</v>
      </c>
      <c r="T19" s="59">
        <v>1.02389E+16</v>
      </c>
      <c r="U19" s="59">
        <v>1.02389E+16</v>
      </c>
      <c r="V19" s="59">
        <v>1.02389E+16</v>
      </c>
      <c r="W19" s="59">
        <v>1.02389E+16</v>
      </c>
      <c r="X19" s="59">
        <v>1.02389E+16</v>
      </c>
      <c r="Y19" s="59">
        <v>1.02389E+16</v>
      </c>
      <c r="Z19" s="59">
        <v>1.02389E+16</v>
      </c>
      <c r="AA19" s="59">
        <v>1.02389E+16</v>
      </c>
      <c r="AB19" s="59">
        <v>1.02389E+16</v>
      </c>
      <c r="AC19" s="59">
        <v>1.02389E+16</v>
      </c>
      <c r="AD19" s="59">
        <v>1.02389E+16</v>
      </c>
      <c r="AE19" s="59">
        <v>1.02389E+16</v>
      </c>
      <c r="AF19" s="59">
        <v>1.02389E+16</v>
      </c>
      <c r="AG19" s="59">
        <v>1.02389E+16</v>
      </c>
      <c r="AH19" s="59">
        <v>1.02389E+16</v>
      </c>
      <c r="AI19" s="59">
        <v>1.02389E+16</v>
      </c>
      <c r="AJ19" s="59">
        <v>1.02389E+16</v>
      </c>
      <c r="AK19" s="59">
        <v>1.02389E+16</v>
      </c>
      <c r="AL19" s="59">
        <v>1.02389E+16</v>
      </c>
      <c r="AM19" s="59">
        <v>1.02389E+16</v>
      </c>
      <c r="AN19" s="59">
        <v>1.02389E+16</v>
      </c>
      <c r="AO19" s="59">
        <v>1.02389E+16</v>
      </c>
      <c r="AP19" s="59">
        <v>1.02389E+16</v>
      </c>
      <c r="AQ19" s="59">
        <v>1.02389E+16</v>
      </c>
      <c r="AR19" s="59">
        <v>1.02389E+16</v>
      </c>
      <c r="AS19" s="59">
        <v>1.02389E+16</v>
      </c>
    </row>
    <row r="20" spans="1:45" x14ac:dyDescent="0.15">
      <c r="A20" s="8" t="s">
        <v>75</v>
      </c>
      <c r="B20" s="59">
        <v>1.33214E+16</v>
      </c>
      <c r="C20" s="59">
        <v>1.33214E+16</v>
      </c>
      <c r="D20" s="59">
        <v>1.33214E+16</v>
      </c>
      <c r="E20" s="59">
        <v>1.33214E+16</v>
      </c>
      <c r="F20" s="59">
        <v>1.33214E+16</v>
      </c>
      <c r="G20" s="59">
        <v>1.33214E+16</v>
      </c>
      <c r="H20" s="59">
        <v>1.33214E+16</v>
      </c>
      <c r="I20" s="59">
        <v>1.33214E+16</v>
      </c>
      <c r="J20" s="59">
        <v>1.33214E+16</v>
      </c>
      <c r="K20" s="59">
        <v>1.33214E+16</v>
      </c>
      <c r="L20" s="59">
        <v>1.33214E+16</v>
      </c>
      <c r="M20" s="59">
        <v>1.33214E+16</v>
      </c>
      <c r="N20" s="59">
        <v>1.33214E+16</v>
      </c>
      <c r="O20" s="59">
        <v>1.33214E+16</v>
      </c>
      <c r="P20" s="59">
        <v>1.33214E+16</v>
      </c>
      <c r="Q20" s="59">
        <v>1.33214E+16</v>
      </c>
      <c r="R20" s="59">
        <v>1.33214E+16</v>
      </c>
      <c r="S20" s="59">
        <v>1.33214E+16</v>
      </c>
      <c r="T20" s="59">
        <v>1.33214E+16</v>
      </c>
      <c r="U20" s="59">
        <v>1.33214E+16</v>
      </c>
      <c r="V20" s="59">
        <v>1.33214E+16</v>
      </c>
      <c r="W20" s="59">
        <v>1.33214E+16</v>
      </c>
      <c r="X20" s="59">
        <v>1.33214E+16</v>
      </c>
      <c r="Y20" s="59">
        <v>1.33214E+16</v>
      </c>
      <c r="Z20" s="59">
        <v>1.33214E+16</v>
      </c>
      <c r="AA20" s="59">
        <v>1.33214E+16</v>
      </c>
      <c r="AB20" s="59">
        <v>1.33214E+16</v>
      </c>
      <c r="AC20" s="59">
        <v>1.33214E+16</v>
      </c>
      <c r="AD20" s="59">
        <v>1.33214E+16</v>
      </c>
      <c r="AE20" s="59">
        <v>1.33214E+16</v>
      </c>
      <c r="AF20" s="59">
        <v>1.33214E+16</v>
      </c>
      <c r="AG20" s="59">
        <v>1.33214E+16</v>
      </c>
      <c r="AH20" s="59">
        <v>1.33214E+16</v>
      </c>
      <c r="AI20" s="59">
        <v>1.33214E+16</v>
      </c>
      <c r="AJ20" s="59">
        <v>1.33214E+16</v>
      </c>
      <c r="AK20" s="59">
        <v>1.33214E+16</v>
      </c>
      <c r="AL20" s="59">
        <v>1.33214E+16</v>
      </c>
      <c r="AM20" s="59">
        <v>1.33214E+16</v>
      </c>
      <c r="AN20" s="59">
        <v>1.33214E+16</v>
      </c>
      <c r="AO20" s="59">
        <v>1.33214E+16</v>
      </c>
      <c r="AP20" s="59">
        <v>1.33214E+16</v>
      </c>
      <c r="AQ20" s="59">
        <v>1.33214E+16</v>
      </c>
      <c r="AR20" s="59">
        <v>1.33214E+16</v>
      </c>
      <c r="AS20" s="59">
        <v>1.33214E+16</v>
      </c>
    </row>
    <row r="21" spans="1:45" x14ac:dyDescent="0.15">
      <c r="A21" s="8" t="s">
        <v>89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</row>
    <row r="22" spans="1:45" x14ac:dyDescent="0.15">
      <c r="A22" s="8" t="s">
        <v>90</v>
      </c>
      <c r="B22" s="59">
        <v>22961600000000</v>
      </c>
      <c r="C22" s="59">
        <v>22961600000000</v>
      </c>
      <c r="D22" s="59">
        <v>22961600000000</v>
      </c>
      <c r="E22" s="59">
        <v>22961600000000</v>
      </c>
      <c r="F22" s="59">
        <v>22961600000000</v>
      </c>
      <c r="G22" s="59">
        <v>22961600000000</v>
      </c>
      <c r="H22" s="59">
        <v>22961600000000</v>
      </c>
      <c r="I22" s="59">
        <v>22961600000000</v>
      </c>
      <c r="J22" s="59">
        <v>22961600000000</v>
      </c>
      <c r="K22" s="59">
        <v>22961600000000</v>
      </c>
      <c r="L22" s="59">
        <v>22961600000000</v>
      </c>
      <c r="M22" s="59">
        <v>22961600000000</v>
      </c>
      <c r="N22" s="59">
        <v>22961600000000</v>
      </c>
      <c r="O22" s="59">
        <v>22961600000000</v>
      </c>
      <c r="P22" s="59">
        <v>22961600000000</v>
      </c>
      <c r="Q22" s="59">
        <v>22961600000000</v>
      </c>
      <c r="R22" s="59">
        <v>22961600000000</v>
      </c>
      <c r="S22" s="59">
        <v>22961600000000</v>
      </c>
      <c r="T22" s="59">
        <v>22961600000000</v>
      </c>
      <c r="U22" s="59">
        <v>22961600000000</v>
      </c>
      <c r="V22" s="59">
        <v>22961600000000</v>
      </c>
      <c r="W22" s="59">
        <v>22961600000000</v>
      </c>
      <c r="X22" s="59">
        <v>22961600000000</v>
      </c>
      <c r="Y22" s="59">
        <v>22961600000000</v>
      </c>
      <c r="Z22" s="59">
        <v>22961600000000</v>
      </c>
      <c r="AA22" s="59">
        <v>22961600000000</v>
      </c>
      <c r="AB22" s="59">
        <v>22961600000000</v>
      </c>
      <c r="AC22" s="59">
        <v>22961600000000</v>
      </c>
      <c r="AD22" s="59">
        <v>22961600000000</v>
      </c>
      <c r="AE22" s="59">
        <v>22961600000000</v>
      </c>
      <c r="AF22" s="59">
        <v>22961600000000</v>
      </c>
      <c r="AG22" s="59">
        <v>22961600000000</v>
      </c>
      <c r="AH22" s="59">
        <v>22961600000000</v>
      </c>
      <c r="AI22" s="59">
        <v>22961600000000</v>
      </c>
      <c r="AJ22" s="59">
        <v>22961600000000</v>
      </c>
      <c r="AK22" s="59">
        <v>22961600000000</v>
      </c>
      <c r="AL22" s="59">
        <v>22961600000000</v>
      </c>
      <c r="AM22" s="59">
        <v>22961600000000</v>
      </c>
      <c r="AN22" s="59">
        <v>22961600000000</v>
      </c>
      <c r="AO22" s="59">
        <v>22961600000000</v>
      </c>
      <c r="AP22" s="59">
        <v>22961600000000</v>
      </c>
      <c r="AQ22" s="59">
        <v>22961600000000</v>
      </c>
      <c r="AR22" s="59">
        <v>22961600000000</v>
      </c>
      <c r="AS22" s="59">
        <v>22961600000000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8A00CD-BC41-4A5C-B5A4-DF5163FB3D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人民币兑美元汇率</vt:lpstr>
      <vt:lpstr>能源品种参考表</vt:lpstr>
      <vt:lpstr>Energy Heat Value Conversion</vt:lpstr>
      <vt:lpstr>Fuel Code Switch</vt:lpstr>
      <vt:lpstr>Export</vt:lpstr>
      <vt:lpstr>Import</vt:lpstr>
      <vt:lpstr>BFPIaE-exports</vt:lpstr>
      <vt:lpstr>BFPIaE-imports</vt:lpstr>
      <vt:lpstr>BFPIaE-production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zhlx2</dc:creator>
  <cp:lastModifiedBy>admin</cp:lastModifiedBy>
  <dcterms:created xsi:type="dcterms:W3CDTF">2023-01-12T02:44:00Z</dcterms:created>
  <dcterms:modified xsi:type="dcterms:W3CDTF">2023-03-10T06:22:07Z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341ECF4B64BD4EE7B0A474D5755112C4</vt:lpwstr>
  </property>
  <property fmtid="{D5CDD505-2E9C-101B-9397-08002B2CF9AE}" pid="3" name="KSOProductBuildVer">
    <vt:lpwstr>2052-11.1.0.13703</vt:lpwstr>
  </property>
</Properties>
</file>