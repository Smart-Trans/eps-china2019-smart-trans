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G:\EPS China 3.3.1\InputData\indst\BSoAIGtAP\"/>
    </mc:Choice>
  </mc:AlternateContent>
  <xr:revisionPtr revIDLastSave="0" documentId="13_ncr:1_{3A6E56EA-250D-4F2A-8DF2-332A72D80611}" xr6:coauthVersionLast="47" xr6:coauthVersionMax="47" xr10:uidLastSave="{00000000-0000-0000-0000-000000000000}"/>
  <bookViews>
    <workbookView xWindow="-120" yWindow="-120" windowWidth="29040" windowHeight="15840" activeTab="6" xr2:uid="{00000000-000D-0000-FFFF-FFFF00000000}"/>
  </bookViews>
  <sheets>
    <sheet name="2002" sheetId="7" r:id="rId1"/>
    <sheet name="2007" sheetId="6" r:id="rId2"/>
    <sheet name="2012" sheetId="5" r:id="rId3"/>
    <sheet name="2017" sheetId="4" r:id="rId4"/>
    <sheet name="2018" sheetId="2" r:id="rId5"/>
    <sheet name="2020" sheetId="11" r:id="rId6"/>
    <sheet name="Extrapolation" sheetId="8" r:id="rId7"/>
    <sheet name="Deflator" sheetId="9" r:id="rId8"/>
    <sheet name="BSoAIGtAP" sheetId="10" r:id="rId9"/>
  </sheets>
  <externalReferences>
    <externalReference r:id="rId10"/>
    <externalReference r:id="rId11"/>
    <externalReference r:id="rId12"/>
  </externalReferences>
  <definedNames>
    <definedName name="_8jjf" hidden="1">#REF!</definedName>
    <definedName name="_Fill" hidden="1">[1]eqpmad2!#REF!</definedName>
    <definedName name="_xlnm._FilterDatabase" hidden="1">#REF!</definedName>
    <definedName name="_Key1" hidden="1">#REF!</definedName>
    <definedName name="_Order1" hidden="1">255</definedName>
    <definedName name="_Order2" hidden="1">255</definedName>
    <definedName name="_s444" hidden="1">#REF!</definedName>
    <definedName name="_Sort" hidden="1">#REF!</definedName>
    <definedName name="ccc" hidden="1">[2]eqpmad2!#REF!</definedName>
    <definedName name="ccj" hidden="1">#REF!</definedName>
    <definedName name="chenjie1" hidden="1">#REF!</definedName>
    <definedName name="chenjie11" hidden="1">#REF!</definedName>
    <definedName name="chenjie11111" hidden="1">#REF!</definedName>
    <definedName name="d4444444" hidden="1">#REF!</definedName>
    <definedName name="ddd" hidden="1">#REF!</definedName>
    <definedName name="dollars_2020_2012">[3]About!$A$103</definedName>
    <definedName name="dss" hidden="1">#REF!</definedName>
    <definedName name="ffr" hidden="1">[1]eqpmad2!#REF!</definedName>
    <definedName name="frff" hidden="1">#REF!</definedName>
    <definedName name="ggff" hidden="1">#REF!</definedName>
    <definedName name="kkkksd" hidden="1">#REF!</definedName>
    <definedName name="lignite_multiplier">'[3]Hard Coal and Lig Multipliers'!$N$15</definedName>
    <definedName name="nonlignite_multiplier">'[3]Hard Coal and Lig Multipliers'!$N$16</definedName>
    <definedName name="ttt" hidden="1">#REF!</definedName>
    <definedName name="www" hidden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" i="8" l="1"/>
  <c r="I22" i="8"/>
  <c r="B27" i="8"/>
  <c r="F9" i="8"/>
  <c r="M9" i="8" s="1"/>
  <c r="F15" i="8"/>
  <c r="G15" i="8"/>
  <c r="E13" i="8"/>
  <c r="G3" i="8"/>
  <c r="G24" i="9" l="1"/>
  <c r="G23" i="9"/>
  <c r="H16" i="9"/>
  <c r="I15" i="9"/>
  <c r="H15" i="9"/>
  <c r="I14" i="9"/>
  <c r="I13" i="9"/>
  <c r="H13" i="9"/>
  <c r="H12" i="9" s="1"/>
  <c r="G5" i="8"/>
  <c r="E5" i="8"/>
  <c r="D5" i="8"/>
  <c r="B30" i="11"/>
  <c r="B29" i="11"/>
  <c r="B28" i="11"/>
  <c r="G4" i="8" s="1"/>
  <c r="K25" i="11"/>
  <c r="K23" i="11"/>
  <c r="J23" i="11"/>
  <c r="I23" i="11"/>
  <c r="H23" i="11"/>
  <c r="C23" i="11"/>
  <c r="B23" i="11"/>
  <c r="M22" i="11"/>
  <c r="L22" i="11"/>
  <c r="I22" i="11"/>
  <c r="H22" i="11"/>
  <c r="C22" i="11"/>
  <c r="B22" i="11"/>
  <c r="M21" i="11"/>
  <c r="L21" i="11"/>
  <c r="K21" i="11"/>
  <c r="J21" i="11"/>
  <c r="C21" i="11"/>
  <c r="I26" i="11" s="1"/>
  <c r="B21" i="11"/>
  <c r="M20" i="11"/>
  <c r="L20" i="11"/>
  <c r="K20" i="11"/>
  <c r="K26" i="11" s="1"/>
  <c r="J20" i="11"/>
  <c r="I20" i="11"/>
  <c r="H20" i="11"/>
  <c r="C20" i="11"/>
  <c r="C26" i="11" s="1"/>
  <c r="B20" i="11"/>
  <c r="M19" i="11"/>
  <c r="L19" i="11"/>
  <c r="K19" i="11"/>
  <c r="J19" i="11"/>
  <c r="I19" i="11"/>
  <c r="H19" i="11"/>
  <c r="C19" i="11"/>
  <c r="C25" i="11" s="1"/>
  <c r="B19" i="11"/>
  <c r="M18" i="11"/>
  <c r="L18" i="11"/>
  <c r="K18" i="11"/>
  <c r="J18" i="11"/>
  <c r="I18" i="11"/>
  <c r="H18" i="11"/>
  <c r="L16" i="11"/>
  <c r="J16" i="11"/>
  <c r="H16" i="11"/>
  <c r="F16" i="11"/>
  <c r="D16" i="11"/>
  <c r="B16" i="11"/>
  <c r="B30" i="2"/>
  <c r="F6" i="8" s="1"/>
  <c r="B29" i="2"/>
  <c r="B28" i="2"/>
  <c r="K23" i="2"/>
  <c r="J23" i="2"/>
  <c r="I23" i="2"/>
  <c r="H23" i="2"/>
  <c r="C23" i="2"/>
  <c r="M26" i="2" s="1"/>
  <c r="B23" i="2"/>
  <c r="M22" i="2"/>
  <c r="L22" i="2"/>
  <c r="I22" i="2"/>
  <c r="H22" i="2"/>
  <c r="C22" i="2"/>
  <c r="K26" i="2" s="1"/>
  <c r="B22" i="2"/>
  <c r="M21" i="2"/>
  <c r="L21" i="2"/>
  <c r="K21" i="2"/>
  <c r="J21" i="2"/>
  <c r="C21" i="2"/>
  <c r="I26" i="2" s="1"/>
  <c r="B21" i="2"/>
  <c r="M20" i="2"/>
  <c r="L20" i="2"/>
  <c r="K20" i="2"/>
  <c r="J20" i="2"/>
  <c r="I20" i="2"/>
  <c r="H20" i="2"/>
  <c r="C20" i="2"/>
  <c r="C26" i="2" s="1"/>
  <c r="F13" i="8" s="1"/>
  <c r="M13" i="8" s="1"/>
  <c r="B20" i="2"/>
  <c r="M19" i="2"/>
  <c r="L19" i="2"/>
  <c r="K19" i="2"/>
  <c r="J19" i="2"/>
  <c r="I19" i="2"/>
  <c r="H19" i="2"/>
  <c r="C19" i="2"/>
  <c r="C25" i="2" s="1"/>
  <c r="B19" i="2"/>
  <c r="M18" i="2"/>
  <c r="L18" i="2"/>
  <c r="K18" i="2"/>
  <c r="J18" i="2"/>
  <c r="I18" i="2"/>
  <c r="H18" i="2"/>
  <c r="L16" i="2"/>
  <c r="J16" i="2"/>
  <c r="H16" i="2"/>
  <c r="F16" i="2"/>
  <c r="D16" i="2"/>
  <c r="B16" i="2"/>
  <c r="B30" i="4"/>
  <c r="B29" i="4"/>
  <c r="B28" i="4"/>
  <c r="E4" i="8" s="1"/>
  <c r="K26" i="4"/>
  <c r="I26" i="4"/>
  <c r="C26" i="4"/>
  <c r="C25" i="4"/>
  <c r="K23" i="4"/>
  <c r="J23" i="4"/>
  <c r="I23" i="4"/>
  <c r="H23" i="4"/>
  <c r="C23" i="4"/>
  <c r="B23" i="4"/>
  <c r="M22" i="4"/>
  <c r="L22" i="4"/>
  <c r="I22" i="4"/>
  <c r="H22" i="4"/>
  <c r="C22" i="4"/>
  <c r="K25" i="4" s="1"/>
  <c r="B22" i="4"/>
  <c r="M21" i="4"/>
  <c r="L21" i="4"/>
  <c r="K21" i="4"/>
  <c r="J21" i="4"/>
  <c r="C21" i="4"/>
  <c r="I25" i="4" s="1"/>
  <c r="B21" i="4"/>
  <c r="M20" i="4"/>
  <c r="L20" i="4"/>
  <c r="K20" i="4"/>
  <c r="J20" i="4"/>
  <c r="I20" i="4"/>
  <c r="H20" i="4"/>
  <c r="C20" i="4"/>
  <c r="B20" i="4"/>
  <c r="M19" i="4"/>
  <c r="L19" i="4"/>
  <c r="K19" i="4"/>
  <c r="J19" i="4"/>
  <c r="I19" i="4"/>
  <c r="H19" i="4"/>
  <c r="C19" i="4"/>
  <c r="B19" i="4"/>
  <c r="M18" i="4"/>
  <c r="L18" i="4"/>
  <c r="K18" i="4"/>
  <c r="J18" i="4"/>
  <c r="I18" i="4"/>
  <c r="H18" i="4"/>
  <c r="L16" i="4"/>
  <c r="J16" i="4"/>
  <c r="H16" i="4"/>
  <c r="F16" i="4"/>
  <c r="D16" i="4"/>
  <c r="B16" i="4"/>
  <c r="B30" i="5"/>
  <c r="B29" i="5"/>
  <c r="B28" i="5"/>
  <c r="D4" i="8" s="1"/>
  <c r="I26" i="5"/>
  <c r="M25" i="5"/>
  <c r="K23" i="5"/>
  <c r="J23" i="5"/>
  <c r="I23" i="5"/>
  <c r="H23" i="5"/>
  <c r="C23" i="5"/>
  <c r="M26" i="5" s="1"/>
  <c r="B23" i="5"/>
  <c r="M22" i="5"/>
  <c r="L22" i="5"/>
  <c r="I22" i="5"/>
  <c r="H22" i="5"/>
  <c r="C22" i="5"/>
  <c r="K26" i="5" s="1"/>
  <c r="B22" i="5"/>
  <c r="M21" i="5"/>
  <c r="L21" i="5"/>
  <c r="K21" i="5"/>
  <c r="J21" i="5"/>
  <c r="C21" i="5"/>
  <c r="B21" i="5"/>
  <c r="M20" i="5"/>
  <c r="L20" i="5"/>
  <c r="K20" i="5"/>
  <c r="J20" i="5"/>
  <c r="I20" i="5"/>
  <c r="H20" i="5"/>
  <c r="C20" i="5"/>
  <c r="C26" i="5" s="1"/>
  <c r="B20" i="5"/>
  <c r="M19" i="5"/>
  <c r="L19" i="5"/>
  <c r="K19" i="5"/>
  <c r="K25" i="5" s="1"/>
  <c r="J19" i="5"/>
  <c r="I19" i="5"/>
  <c r="I25" i="5" s="1"/>
  <c r="H19" i="5"/>
  <c r="C19" i="5"/>
  <c r="C25" i="5" s="1"/>
  <c r="B19" i="5"/>
  <c r="M18" i="5"/>
  <c r="L18" i="5"/>
  <c r="K18" i="5"/>
  <c r="J18" i="5"/>
  <c r="I18" i="5"/>
  <c r="H18" i="5"/>
  <c r="L16" i="5"/>
  <c r="J16" i="5"/>
  <c r="H16" i="5"/>
  <c r="F16" i="5"/>
  <c r="D16" i="5"/>
  <c r="B16" i="5"/>
  <c r="B30" i="6"/>
  <c r="C6" i="8" s="1"/>
  <c r="B29" i="6"/>
  <c r="C5" i="8" s="1"/>
  <c r="B28" i="6"/>
  <c r="K26" i="6"/>
  <c r="M25" i="6"/>
  <c r="K25" i="6"/>
  <c r="C25" i="6"/>
  <c r="K23" i="6"/>
  <c r="J23" i="6"/>
  <c r="I23" i="6"/>
  <c r="H23" i="6"/>
  <c r="C23" i="6"/>
  <c r="M26" i="6" s="1"/>
  <c r="B23" i="6"/>
  <c r="M22" i="6"/>
  <c r="L22" i="6"/>
  <c r="I22" i="6"/>
  <c r="H22" i="6"/>
  <c r="C22" i="6"/>
  <c r="B22" i="6"/>
  <c r="M21" i="6"/>
  <c r="L21" i="6"/>
  <c r="K21" i="6"/>
  <c r="J21" i="6"/>
  <c r="C21" i="6"/>
  <c r="B21" i="6"/>
  <c r="M20" i="6"/>
  <c r="L20" i="6"/>
  <c r="K20" i="6"/>
  <c r="J20" i="6"/>
  <c r="I20" i="6"/>
  <c r="H20" i="6"/>
  <c r="C20" i="6"/>
  <c r="C26" i="6" s="1"/>
  <c r="B20" i="6"/>
  <c r="M19" i="6"/>
  <c r="L19" i="6"/>
  <c r="K19" i="6"/>
  <c r="J19" i="6"/>
  <c r="I19" i="6"/>
  <c r="H19" i="6"/>
  <c r="C19" i="6"/>
  <c r="B19" i="6"/>
  <c r="M18" i="6"/>
  <c r="L18" i="6"/>
  <c r="K18" i="6"/>
  <c r="J18" i="6"/>
  <c r="I18" i="6"/>
  <c r="H18" i="6"/>
  <c r="L16" i="6"/>
  <c r="J16" i="6"/>
  <c r="H16" i="6"/>
  <c r="F16" i="6"/>
  <c r="D16" i="6"/>
  <c r="B16" i="6"/>
  <c r="B30" i="7"/>
  <c r="B29" i="7"/>
  <c r="B5" i="8" s="1"/>
  <c r="B28" i="7"/>
  <c r="K23" i="7"/>
  <c r="J23" i="7"/>
  <c r="I23" i="7"/>
  <c r="H23" i="7"/>
  <c r="C23" i="7"/>
  <c r="B23" i="7"/>
  <c r="M22" i="7"/>
  <c r="L22" i="7"/>
  <c r="I22" i="7"/>
  <c r="H22" i="7"/>
  <c r="C22" i="7"/>
  <c r="K26" i="7" s="1"/>
  <c r="B22" i="7"/>
  <c r="M21" i="7"/>
  <c r="L21" i="7"/>
  <c r="K21" i="7"/>
  <c r="J21" i="7"/>
  <c r="C21" i="7"/>
  <c r="I26" i="7" s="1"/>
  <c r="B21" i="7"/>
  <c r="M20" i="7"/>
  <c r="L20" i="7"/>
  <c r="K20" i="7"/>
  <c r="J20" i="7"/>
  <c r="I20" i="7"/>
  <c r="H20" i="7"/>
  <c r="C20" i="7"/>
  <c r="C26" i="7" s="1"/>
  <c r="B20" i="7"/>
  <c r="M19" i="7"/>
  <c r="L19" i="7"/>
  <c r="K19" i="7"/>
  <c r="J19" i="7"/>
  <c r="I19" i="7"/>
  <c r="H19" i="7"/>
  <c r="C19" i="7"/>
  <c r="C25" i="7" s="1"/>
  <c r="B19" i="7"/>
  <c r="M18" i="7"/>
  <c r="L18" i="7"/>
  <c r="K18" i="7"/>
  <c r="J18" i="7"/>
  <c r="I18" i="7"/>
  <c r="H18" i="7"/>
  <c r="L16" i="7"/>
  <c r="J16" i="7"/>
  <c r="H16" i="7"/>
  <c r="F16" i="7"/>
  <c r="D16" i="7"/>
  <c r="B16" i="7"/>
  <c r="C30" i="6" l="1"/>
  <c r="D30" i="6" s="1"/>
  <c r="D12" i="8"/>
  <c r="K12" i="8" s="1"/>
  <c r="M25" i="4"/>
  <c r="G6" i="8"/>
  <c r="I12" i="9"/>
  <c r="H11" i="9"/>
  <c r="B13" i="8"/>
  <c r="I13" i="8" s="1"/>
  <c r="J5" i="8"/>
  <c r="B6" i="8"/>
  <c r="D30" i="7"/>
  <c r="D9" i="8"/>
  <c r="K9" i="8" s="1"/>
  <c r="K5" i="8"/>
  <c r="J6" i="8"/>
  <c r="M6" i="8"/>
  <c r="C13" i="8"/>
  <c r="J13" i="8" s="1"/>
  <c r="G8" i="8"/>
  <c r="O3" i="8"/>
  <c r="N3" i="8" s="1"/>
  <c r="O4" i="8"/>
  <c r="D18" i="8"/>
  <c r="D8" i="8"/>
  <c r="D19" i="8"/>
  <c r="H17" i="9"/>
  <c r="I16" i="9"/>
  <c r="C29" i="6"/>
  <c r="M26" i="7"/>
  <c r="C30" i="7" s="1"/>
  <c r="E12" i="8"/>
  <c r="L12" i="8" s="1"/>
  <c r="D30" i="5"/>
  <c r="L13" i="8"/>
  <c r="M26" i="11"/>
  <c r="G13" i="8" s="1"/>
  <c r="M25" i="11"/>
  <c r="L5" i="8"/>
  <c r="K4" i="8"/>
  <c r="D13" i="8"/>
  <c r="K13" i="8" s="1"/>
  <c r="C30" i="5"/>
  <c r="L4" i="8"/>
  <c r="F4" i="8"/>
  <c r="C30" i="2"/>
  <c r="D30" i="2" s="1"/>
  <c r="C29" i="11"/>
  <c r="D29" i="11" s="1"/>
  <c r="I5" i="8"/>
  <c r="I26" i="6"/>
  <c r="I25" i="6"/>
  <c r="C12" i="8" s="1"/>
  <c r="J12" i="8" s="1"/>
  <c r="F5" i="8"/>
  <c r="M26" i="4"/>
  <c r="C30" i="4" s="1"/>
  <c r="D30" i="4" s="1"/>
  <c r="C30" i="11"/>
  <c r="D30" i="11" s="1"/>
  <c r="G9" i="8"/>
  <c r="O9" i="8" s="1"/>
  <c r="I25" i="7"/>
  <c r="B12" i="8" s="1"/>
  <c r="I12" i="8" s="1"/>
  <c r="C29" i="4"/>
  <c r="D29" i="4" s="1"/>
  <c r="D6" i="8"/>
  <c r="K25" i="7"/>
  <c r="I25" i="11"/>
  <c r="G12" i="8" s="1"/>
  <c r="E6" i="8"/>
  <c r="E8" i="8" s="1"/>
  <c r="M25" i="7"/>
  <c r="C29" i="5"/>
  <c r="D29" i="5" s="1"/>
  <c r="I25" i="2"/>
  <c r="F12" i="8" s="1"/>
  <c r="M12" i="8" s="1"/>
  <c r="B4" i="8"/>
  <c r="K25" i="2"/>
  <c r="C29" i="2" s="1"/>
  <c r="D29" i="2" s="1"/>
  <c r="C4" i="8"/>
  <c r="C10" i="8" s="1"/>
  <c r="J10" i="8" s="1"/>
  <c r="O5" i="8"/>
  <c r="M25" i="2"/>
  <c r="D29" i="6"/>
  <c r="O13" i="8" l="1"/>
  <c r="G19" i="8"/>
  <c r="O12" i="8"/>
  <c r="O18" i="8" s="1"/>
  <c r="G18" i="8"/>
  <c r="E16" i="8"/>
  <c r="E15" i="8"/>
  <c r="L8" i="8"/>
  <c r="D16" i="8"/>
  <c r="D15" i="8"/>
  <c r="K8" i="8"/>
  <c r="B23" i="8"/>
  <c r="I6" i="8"/>
  <c r="B10" i="8"/>
  <c r="I10" i="8" s="1"/>
  <c r="C9" i="8"/>
  <c r="J9" i="8" s="1"/>
  <c r="O19" i="8"/>
  <c r="L19" i="8"/>
  <c r="L18" i="8"/>
  <c r="G16" i="8"/>
  <c r="O8" i="8"/>
  <c r="N8" i="8" s="1"/>
  <c r="D27" i="8"/>
  <c r="D28" i="8"/>
  <c r="F18" i="8"/>
  <c r="F8" i="8"/>
  <c r="F3" i="8"/>
  <c r="M3" i="8" s="1"/>
  <c r="F19" i="8"/>
  <c r="M4" i="8"/>
  <c r="E3" i="8"/>
  <c r="L3" i="8" s="1"/>
  <c r="F10" i="8"/>
  <c r="M10" i="8" s="1"/>
  <c r="K19" i="8"/>
  <c r="K18" i="8"/>
  <c r="C29" i="7"/>
  <c r="D29" i="7" s="1"/>
  <c r="E19" i="8"/>
  <c r="E18" i="8"/>
  <c r="G23" i="8"/>
  <c r="O6" i="8"/>
  <c r="G10" i="8"/>
  <c r="O10" i="8" s="1"/>
  <c r="D23" i="8"/>
  <c r="K6" i="8"/>
  <c r="K23" i="8" s="1"/>
  <c r="D10" i="8"/>
  <c r="K10" i="8" s="1"/>
  <c r="F22" i="8"/>
  <c r="M5" i="8"/>
  <c r="L22" i="8"/>
  <c r="I11" i="9"/>
  <c r="H10" i="9"/>
  <c r="I4" i="8"/>
  <c r="B18" i="8"/>
  <c r="B8" i="8"/>
  <c r="B3" i="8"/>
  <c r="I3" i="8" s="1"/>
  <c r="B19" i="8"/>
  <c r="C18" i="8"/>
  <c r="C8" i="8"/>
  <c r="C3" i="8"/>
  <c r="J3" i="8" s="1"/>
  <c r="J4" i="8"/>
  <c r="C19" i="8"/>
  <c r="E23" i="8"/>
  <c r="L6" i="8"/>
  <c r="E10" i="8"/>
  <c r="L10" i="8" s="1"/>
  <c r="H18" i="9"/>
  <c r="I17" i="9"/>
  <c r="B9" i="8"/>
  <c r="I9" i="8" s="1"/>
  <c r="D29" i="8"/>
  <c r="D30" i="8"/>
  <c r="D3" i="8"/>
  <c r="K3" i="8" s="1"/>
  <c r="D22" i="8"/>
  <c r="D24" i="8" s="1"/>
  <c r="E9" i="8"/>
  <c r="L9" i="8" s="1"/>
  <c r="L23" i="8" l="1"/>
  <c r="L24" i="8" s="1"/>
  <c r="O27" i="8"/>
  <c r="O28" i="8"/>
  <c r="O22" i="8"/>
  <c r="O30" i="8"/>
  <c r="O29" i="8"/>
  <c r="N10" i="8"/>
  <c r="K16" i="8"/>
  <c r="K15" i="8"/>
  <c r="M19" i="8"/>
  <c r="M18" i="8"/>
  <c r="M22" i="8" s="1"/>
  <c r="F27" i="8"/>
  <c r="F28" i="8"/>
  <c r="L16" i="8"/>
  <c r="L15" i="8"/>
  <c r="C29" i="8"/>
  <c r="C30" i="8"/>
  <c r="C23" i="8"/>
  <c r="F16" i="8"/>
  <c r="M8" i="8"/>
  <c r="K22" i="8"/>
  <c r="K24" i="8" s="1"/>
  <c r="B29" i="8"/>
  <c r="B30" i="8"/>
  <c r="E27" i="8"/>
  <c r="E28" i="8"/>
  <c r="E22" i="8"/>
  <c r="E24" i="8" s="1"/>
  <c r="O15" i="8"/>
  <c r="O16" i="8"/>
  <c r="C27" i="8"/>
  <c r="C28" i="8"/>
  <c r="C22" i="8"/>
  <c r="C24" i="8" s="1"/>
  <c r="E29" i="8"/>
  <c r="E30" i="8"/>
  <c r="J19" i="8"/>
  <c r="J18" i="8"/>
  <c r="O23" i="8"/>
  <c r="N9" i="8"/>
  <c r="P9" i="8" s="1"/>
  <c r="P5" i="8" s="1"/>
  <c r="B28" i="8"/>
  <c r="B22" i="8"/>
  <c r="B24" i="8" s="1"/>
  <c r="G27" i="8"/>
  <c r="G28" i="8"/>
  <c r="G22" i="8"/>
  <c r="G24" i="8" s="1"/>
  <c r="J8" i="8"/>
  <c r="C16" i="8"/>
  <c r="C15" i="8"/>
  <c r="P3" i="8"/>
  <c r="Q3" i="8" s="1"/>
  <c r="I8" i="8"/>
  <c r="B16" i="8"/>
  <c r="B15" i="8"/>
  <c r="I19" i="8"/>
  <c r="I23" i="8" s="1"/>
  <c r="I18" i="8"/>
  <c r="K27" i="8"/>
  <c r="K28" i="8"/>
  <c r="L27" i="8"/>
  <c r="L28" i="8"/>
  <c r="H19" i="9"/>
  <c r="I18" i="9"/>
  <c r="K29" i="8"/>
  <c r="K30" i="8"/>
  <c r="L29" i="8"/>
  <c r="L30" i="8"/>
  <c r="G29" i="8"/>
  <c r="G30" i="8"/>
  <c r="F29" i="8"/>
  <c r="F30" i="8"/>
  <c r="F23" i="8"/>
  <c r="F24" i="8" s="1"/>
  <c r="I10" i="9"/>
  <c r="H9" i="9"/>
  <c r="R3" i="8" l="1"/>
  <c r="J16" i="8"/>
  <c r="J15" i="8"/>
  <c r="M15" i="8"/>
  <c r="M16" i="8"/>
  <c r="Q9" i="8"/>
  <c r="R9" i="8" s="1"/>
  <c r="S9" i="8" s="1"/>
  <c r="J27" i="8"/>
  <c r="J28" i="8"/>
  <c r="J22" i="8"/>
  <c r="I27" i="8"/>
  <c r="I28" i="8"/>
  <c r="I24" i="8"/>
  <c r="J29" i="8"/>
  <c r="J30" i="8"/>
  <c r="J23" i="8"/>
  <c r="S3" i="8"/>
  <c r="I29" i="8"/>
  <c r="I30" i="8"/>
  <c r="I16" i="8"/>
  <c r="I15" i="8"/>
  <c r="I9" i="9"/>
  <c r="H8" i="9"/>
  <c r="AG28" i="8"/>
  <c r="AV28" i="8"/>
  <c r="AQ28" i="8"/>
  <c r="AA28" i="8"/>
  <c r="AP28" i="8"/>
  <c r="AW30" i="8"/>
  <c r="AG30" i="8"/>
  <c r="Q30" i="8"/>
  <c r="AV30" i="8"/>
  <c r="AF30" i="8"/>
  <c r="P30" i="8"/>
  <c r="AU30" i="8"/>
  <c r="AE30" i="8"/>
  <c r="AT30" i="8"/>
  <c r="AD30" i="8"/>
  <c r="N30" i="8"/>
  <c r="AS30" i="8"/>
  <c r="AC30" i="8"/>
  <c r="AY30" i="8"/>
  <c r="AR30" i="8"/>
  <c r="AQ30" i="8"/>
  <c r="AA30" i="8"/>
  <c r="AP30" i="8"/>
  <c r="Z30" i="8"/>
  <c r="AO30" i="8"/>
  <c r="Y30" i="8"/>
  <c r="AN30" i="8"/>
  <c r="X30" i="8"/>
  <c r="BC30" i="8"/>
  <c r="AM30" i="8"/>
  <c r="W30" i="8"/>
  <c r="BB30" i="8"/>
  <c r="AL30" i="8"/>
  <c r="V30" i="8"/>
  <c r="BA30" i="8"/>
  <c r="U30" i="8"/>
  <c r="AZ30" i="8"/>
  <c r="AJ30" i="8"/>
  <c r="T30" i="8"/>
  <c r="AI30" i="8"/>
  <c r="AH30" i="8"/>
  <c r="S30" i="8"/>
  <c r="R30" i="8"/>
  <c r="AX30" i="8"/>
  <c r="O24" i="8"/>
  <c r="D2" i="10" s="1"/>
  <c r="H20" i="9"/>
  <c r="I19" i="9"/>
  <c r="N6" i="8"/>
  <c r="N5" i="8"/>
  <c r="N4" i="8"/>
  <c r="M27" i="8"/>
  <c r="M28" i="8"/>
  <c r="AF28" i="8" s="1"/>
  <c r="M29" i="8"/>
  <c r="M30" i="8"/>
  <c r="AB30" i="8" s="1"/>
  <c r="M23" i="8"/>
  <c r="M24" i="8" s="1"/>
  <c r="B2" i="10" s="1"/>
  <c r="Q5" i="8" l="1"/>
  <c r="AI28" i="8"/>
  <c r="AW28" i="8"/>
  <c r="AY28" i="8"/>
  <c r="R28" i="8"/>
  <c r="AZ28" i="8"/>
  <c r="U28" i="8"/>
  <c r="BA28" i="8"/>
  <c r="AO28" i="8"/>
  <c r="AJ28" i="8"/>
  <c r="Z28" i="8"/>
  <c r="Q28" i="8"/>
  <c r="Q18" i="8" s="1"/>
  <c r="AK28" i="8"/>
  <c r="AB28" i="8"/>
  <c r="AH28" i="8"/>
  <c r="Q10" i="8"/>
  <c r="AR28" i="8"/>
  <c r="AX28" i="8"/>
  <c r="N19" i="8"/>
  <c r="N13" i="8" s="1"/>
  <c r="N16" i="8" s="1"/>
  <c r="V28" i="8"/>
  <c r="AC28" i="8"/>
  <c r="AL28" i="8"/>
  <c r="AS28" i="8"/>
  <c r="BB28" i="8"/>
  <c r="N28" i="8"/>
  <c r="N18" i="8" s="1"/>
  <c r="T3" i="8"/>
  <c r="W28" i="8"/>
  <c r="AD28" i="8"/>
  <c r="R5" i="8"/>
  <c r="AM28" i="8"/>
  <c r="AT28" i="8"/>
  <c r="P6" i="8"/>
  <c r="I8" i="9"/>
  <c r="H7" i="9"/>
  <c r="BC28" i="8"/>
  <c r="AE28" i="8"/>
  <c r="T9" i="8"/>
  <c r="H21" i="9"/>
  <c r="I20" i="9"/>
  <c r="X28" i="8"/>
  <c r="AU28" i="8"/>
  <c r="AK30" i="8"/>
  <c r="S28" i="8"/>
  <c r="AN28" i="8"/>
  <c r="P28" i="8"/>
  <c r="P18" i="8" s="1"/>
  <c r="P8" i="8"/>
  <c r="J24" i="8"/>
  <c r="T28" i="8"/>
  <c r="Y28" i="8"/>
  <c r="S5" i="8"/>
  <c r="N23" i="8" l="1"/>
  <c r="N12" i="8"/>
  <c r="N15" i="8" s="1"/>
  <c r="N22" i="8"/>
  <c r="U9" i="8"/>
  <c r="Q6" i="8"/>
  <c r="H6" i="9"/>
  <c r="I7" i="9"/>
  <c r="Q8" i="8"/>
  <c r="R8" i="8" s="1"/>
  <c r="H22" i="9"/>
  <c r="I21" i="9"/>
  <c r="R10" i="8"/>
  <c r="R18" i="8"/>
  <c r="T5" i="8"/>
  <c r="U3" i="8"/>
  <c r="V3" i="8" s="1"/>
  <c r="P4" i="8"/>
  <c r="P22" i="8" s="1"/>
  <c r="S18" i="8"/>
  <c r="P19" i="8"/>
  <c r="N24" i="8" l="1"/>
  <c r="C2" i="10" s="1"/>
  <c r="P23" i="8"/>
  <c r="P13" i="8"/>
  <c r="P16" i="8" s="1"/>
  <c r="R4" i="8"/>
  <c r="R12" i="8" s="1"/>
  <c r="R15" i="8" s="1"/>
  <c r="I22" i="9"/>
  <c r="H23" i="9"/>
  <c r="Q19" i="8"/>
  <c r="W3" i="8"/>
  <c r="X3" i="8" s="1"/>
  <c r="P24" i="8"/>
  <c r="E2" i="10" s="1"/>
  <c r="Q4" i="8"/>
  <c r="S8" i="8"/>
  <c r="U5" i="8"/>
  <c r="R6" i="8"/>
  <c r="R22" i="8" s="1"/>
  <c r="S10" i="8"/>
  <c r="S6" i="8" s="1"/>
  <c r="V9" i="8"/>
  <c r="W9" i="8" s="1"/>
  <c r="T18" i="8"/>
  <c r="I6" i="9"/>
  <c r="H5" i="9"/>
  <c r="P12" i="8"/>
  <c r="P15" i="8" s="1"/>
  <c r="T8" i="8" l="1"/>
  <c r="U8" i="8" s="1"/>
  <c r="U4" i="8" s="1"/>
  <c r="Q13" i="8"/>
  <c r="Q16" i="8" s="1"/>
  <c r="Y3" i="8"/>
  <c r="S19" i="8"/>
  <c r="R19" i="8"/>
  <c r="R13" i="8" s="1"/>
  <c r="R16" i="8" s="1"/>
  <c r="H24" i="9"/>
  <c r="I24" i="9" s="1"/>
  <c r="I23" i="9"/>
  <c r="X9" i="8"/>
  <c r="T10" i="8"/>
  <c r="S4" i="8"/>
  <c r="V5" i="8"/>
  <c r="W5" i="8"/>
  <c r="I5" i="9"/>
  <c r="H4" i="9"/>
  <c r="U18" i="8"/>
  <c r="Q12" i="8"/>
  <c r="Q15" i="8" s="1"/>
  <c r="Q22" i="8"/>
  <c r="Q23" i="8"/>
  <c r="T4" i="8" l="1"/>
  <c r="T12" i="8" s="1"/>
  <c r="T15" i="8" s="1"/>
  <c r="V8" i="8"/>
  <c r="W8" i="8" s="1"/>
  <c r="Q24" i="8"/>
  <c r="F2" i="10" s="1"/>
  <c r="S13" i="8"/>
  <c r="S16" i="8" s="1"/>
  <c r="U12" i="8"/>
  <c r="U15" i="8" s="1"/>
  <c r="Z3" i="8"/>
  <c r="W18" i="8"/>
  <c r="S23" i="8"/>
  <c r="V18" i="8"/>
  <c r="I4" i="9"/>
  <c r="H3" i="9"/>
  <c r="Y9" i="8"/>
  <c r="X5" i="8"/>
  <c r="T6" i="8"/>
  <c r="U10" i="8"/>
  <c r="U6" i="8" s="1"/>
  <c r="U22" i="8" s="1"/>
  <c r="S22" i="8"/>
  <c r="S12" i="8"/>
  <c r="S15" i="8" s="1"/>
  <c r="R23" i="8"/>
  <c r="R24" i="8" s="1"/>
  <c r="G2" i="10" s="1"/>
  <c r="V4" i="8" l="1"/>
  <c r="Z9" i="8"/>
  <c r="AA9" i="8" s="1"/>
  <c r="AB9" i="8" s="1"/>
  <c r="AC9" i="8" s="1"/>
  <c r="AD9" i="8" s="1"/>
  <c r="AE9" i="8" s="1"/>
  <c r="AF9" i="8" s="1"/>
  <c r="AG9" i="8" s="1"/>
  <c r="AH9" i="8" s="1"/>
  <c r="AI9" i="8" s="1"/>
  <c r="AJ9" i="8" s="1"/>
  <c r="AK9" i="8" s="1"/>
  <c r="AL9" i="8" s="1"/>
  <c r="AM9" i="8" s="1"/>
  <c r="AN9" i="8" s="1"/>
  <c r="AO9" i="8" s="1"/>
  <c r="AP9" i="8" s="1"/>
  <c r="AQ9" i="8" s="1"/>
  <c r="AR9" i="8" s="1"/>
  <c r="AS9" i="8" s="1"/>
  <c r="AT9" i="8" s="1"/>
  <c r="AU9" i="8" s="1"/>
  <c r="AV9" i="8" s="1"/>
  <c r="AW9" i="8" s="1"/>
  <c r="AX9" i="8" s="1"/>
  <c r="AY9" i="8" s="1"/>
  <c r="AZ9" i="8" s="1"/>
  <c r="BA9" i="8" s="1"/>
  <c r="BB9" i="8" s="1"/>
  <c r="BC9" i="8" s="1"/>
  <c r="I3" i="9"/>
  <c r="H2" i="9"/>
  <c r="I2" i="9" s="1"/>
  <c r="Y5" i="8"/>
  <c r="V12" i="8"/>
  <c r="V15" i="8" s="1"/>
  <c r="U19" i="8"/>
  <c r="U13" i="8" s="1"/>
  <c r="U16" i="8" s="1"/>
  <c r="AA3" i="8"/>
  <c r="X18" i="8"/>
  <c r="V10" i="8"/>
  <c r="T19" i="8"/>
  <c r="T13" i="8" s="1"/>
  <c r="T16" i="8" s="1"/>
  <c r="T22" i="8"/>
  <c r="S24" i="8"/>
  <c r="H2" i="10" s="1"/>
  <c r="X8" i="8"/>
  <c r="W4" i="8"/>
  <c r="W12" i="8" s="1"/>
  <c r="W15" i="8" s="1"/>
  <c r="Z5" i="8" l="1"/>
  <c r="U23" i="8"/>
  <c r="U24" i="8" s="1"/>
  <c r="J2" i="10" s="1"/>
  <c r="Y8" i="8"/>
  <c r="X4" i="8"/>
  <c r="X12" i="8" s="1"/>
  <c r="X15" i="8" s="1"/>
  <c r="Y18" i="8"/>
  <c r="AA5" i="8"/>
  <c r="AB3" i="8"/>
  <c r="T23" i="8"/>
  <c r="T24" i="8" s="1"/>
  <c r="I2" i="10" s="1"/>
  <c r="V6" i="8"/>
  <c r="W10" i="8"/>
  <c r="AB5" i="8" l="1"/>
  <c r="AC3" i="8"/>
  <c r="AA18" i="8"/>
  <c r="Z18" i="8"/>
  <c r="Y4" i="8"/>
  <c r="Z8" i="8"/>
  <c r="V19" i="8"/>
  <c r="V13" i="8" s="1"/>
  <c r="V16" i="8" s="1"/>
  <c r="V22" i="8"/>
  <c r="X10" i="8"/>
  <c r="W6" i="8"/>
  <c r="AA8" i="8" l="1"/>
  <c r="Z4" i="8"/>
  <c r="Z12" i="8"/>
  <c r="Z15" i="8" s="1"/>
  <c r="V23" i="8"/>
  <c r="V24" i="8" s="1"/>
  <c r="K2" i="10" s="1"/>
  <c r="Y12" i="8"/>
  <c r="Y15" i="8" s="1"/>
  <c r="AC5" i="8"/>
  <c r="AD3" i="8"/>
  <c r="W19" i="8"/>
  <c r="W13" i="8" s="1"/>
  <c r="W16" i="8" s="1"/>
  <c r="W22" i="8"/>
  <c r="AB18" i="8"/>
  <c r="X6" i="8"/>
  <c r="Y10" i="8"/>
  <c r="W23" i="8" l="1"/>
  <c r="AD5" i="8"/>
  <c r="AE3" i="8"/>
  <c r="AC18" i="8"/>
  <c r="AB8" i="8"/>
  <c r="AA4" i="8"/>
  <c r="W24" i="8"/>
  <c r="L2" i="10" s="1"/>
  <c r="Z10" i="8"/>
  <c r="Y6" i="8"/>
  <c r="X19" i="8"/>
  <c r="X13" i="8" s="1"/>
  <c r="X16" i="8" s="1"/>
  <c r="X22" i="8"/>
  <c r="X23" i="8" l="1"/>
  <c r="Y19" i="8"/>
  <c r="Y13" i="8" s="1"/>
  <c r="Y16" i="8" s="1"/>
  <c r="Y22" i="8"/>
  <c r="AE5" i="8"/>
  <c r="AF3" i="8"/>
  <c r="AA10" i="8"/>
  <c r="Z6" i="8"/>
  <c r="AA12" i="8"/>
  <c r="AA15" i="8" s="1"/>
  <c r="AD18" i="8"/>
  <c r="AC8" i="8"/>
  <c r="AB4" i="8"/>
  <c r="X24" i="8"/>
  <c r="M2" i="10" s="1"/>
  <c r="AB12" i="8" l="1"/>
  <c r="AB15" i="8" s="1"/>
  <c r="AD8" i="8"/>
  <c r="AC4" i="8"/>
  <c r="Z19" i="8"/>
  <c r="Z13" i="8" s="1"/>
  <c r="Z16" i="8" s="1"/>
  <c r="Z22" i="8"/>
  <c r="AE18" i="8"/>
  <c r="AB10" i="8"/>
  <c r="AA6" i="8"/>
  <c r="AF5" i="8"/>
  <c r="AG3" i="8"/>
  <c r="Y23" i="8"/>
  <c r="Y24" i="8" s="1"/>
  <c r="N2" i="10" s="1"/>
  <c r="Z23" i="8" l="1"/>
  <c r="Z24" i="8" s="1"/>
  <c r="O2" i="10" s="1"/>
  <c r="AF18" i="8"/>
  <c r="AA19" i="8"/>
  <c r="AA13" i="8" s="1"/>
  <c r="AA16" i="8" s="1"/>
  <c r="AA22" i="8"/>
  <c r="AC12" i="8"/>
  <c r="AC15" i="8" s="1"/>
  <c r="AE8" i="8"/>
  <c r="AD4" i="8"/>
  <c r="AC10" i="8"/>
  <c r="AB6" i="8"/>
  <c r="AG5" i="8"/>
  <c r="AH3" i="8"/>
  <c r="AA23" i="8" l="1"/>
  <c r="AA24" i="8"/>
  <c r="P2" i="10" s="1"/>
  <c r="AD10" i="8"/>
  <c r="AC6" i="8"/>
  <c r="AD12" i="8"/>
  <c r="AD15" i="8" s="1"/>
  <c r="AG18" i="8"/>
  <c r="AB19" i="8"/>
  <c r="AB13" i="8" s="1"/>
  <c r="AB16" i="8" s="1"/>
  <c r="AB22" i="8"/>
  <c r="AF8" i="8"/>
  <c r="AE4" i="8"/>
  <c r="AH5" i="8"/>
  <c r="AI3" i="8"/>
  <c r="AB23" i="8" l="1"/>
  <c r="AB24" i="8" s="1"/>
  <c r="Q2" i="10" s="1"/>
  <c r="AH18" i="8"/>
  <c r="AG8" i="8"/>
  <c r="AF4" i="8"/>
  <c r="AC19" i="8"/>
  <c r="AC13" i="8" s="1"/>
  <c r="AC16" i="8" s="1"/>
  <c r="AC22" i="8"/>
  <c r="AE12" i="8"/>
  <c r="AE15" i="8" s="1"/>
  <c r="AI5" i="8"/>
  <c r="AJ3" i="8"/>
  <c r="AE10" i="8"/>
  <c r="AD6" i="8"/>
  <c r="AJ5" i="8" l="1"/>
  <c r="AK3" i="8"/>
  <c r="AI18" i="8"/>
  <c r="AC23" i="8"/>
  <c r="AC24" i="8" s="1"/>
  <c r="R2" i="10" s="1"/>
  <c r="AF12" i="8"/>
  <c r="AF15" i="8" s="1"/>
  <c r="AH8" i="8"/>
  <c r="AG4" i="8"/>
  <c r="AD19" i="8"/>
  <c r="AD13" i="8" s="1"/>
  <c r="AD16" i="8" s="1"/>
  <c r="AD22" i="8"/>
  <c r="AF10" i="8"/>
  <c r="AE6" i="8"/>
  <c r="AI8" i="8" l="1"/>
  <c r="AH4" i="8"/>
  <c r="AD23" i="8"/>
  <c r="AD24" i="8" s="1"/>
  <c r="S2" i="10" s="1"/>
  <c r="AK5" i="8"/>
  <c r="AL3" i="8"/>
  <c r="AG12" i="8"/>
  <c r="AG15" i="8" s="1"/>
  <c r="AE19" i="8"/>
  <c r="AE13" i="8" s="1"/>
  <c r="AE16" i="8" s="1"/>
  <c r="AE22" i="8"/>
  <c r="AG10" i="8"/>
  <c r="AF6" i="8"/>
  <c r="AJ18" i="8"/>
  <c r="AE23" i="8" l="1"/>
  <c r="AF19" i="8"/>
  <c r="AF13" i="8" s="1"/>
  <c r="AF16" i="8" s="1"/>
  <c r="AF22" i="8"/>
  <c r="AH10" i="8"/>
  <c r="AG6" i="8"/>
  <c r="AL5" i="8"/>
  <c r="AM3" i="8"/>
  <c r="AK18" i="8"/>
  <c r="AH12" i="8"/>
  <c r="AH15" i="8" s="1"/>
  <c r="AJ8" i="8"/>
  <c r="AI4" i="8"/>
  <c r="AE24" i="8"/>
  <c r="T2" i="10" s="1"/>
  <c r="AF23" i="8" l="1"/>
  <c r="AG19" i="8"/>
  <c r="AG13" i="8" s="1"/>
  <c r="AG16" i="8" s="1"/>
  <c r="AG23" i="8"/>
  <c r="AG22" i="8"/>
  <c r="AI10" i="8"/>
  <c r="AH6" i="8"/>
  <c r="AM5" i="8"/>
  <c r="AN3" i="8"/>
  <c r="AL18" i="8"/>
  <c r="AF24" i="8"/>
  <c r="U2" i="10" s="1"/>
  <c r="AI12" i="8"/>
  <c r="AI15" i="8" s="1"/>
  <c r="AK8" i="8"/>
  <c r="AJ4" i="8"/>
  <c r="AH19" i="8" l="1"/>
  <c r="AH13" i="8" s="1"/>
  <c r="AH16" i="8" s="1"/>
  <c r="AH22" i="8"/>
  <c r="AJ10" i="8"/>
  <c r="AI6" i="8"/>
  <c r="AM18" i="8"/>
  <c r="AG24" i="8"/>
  <c r="V2" i="10" s="1"/>
  <c r="AN5" i="8"/>
  <c r="AO3" i="8"/>
  <c r="AJ12" i="8"/>
  <c r="AJ15" i="8" s="1"/>
  <c r="AL8" i="8"/>
  <c r="AK4" i="8"/>
  <c r="AO5" i="8" l="1"/>
  <c r="AP3" i="8"/>
  <c r="AN18" i="8"/>
  <c r="AK12" i="8"/>
  <c r="AK15" i="8" s="1"/>
  <c r="AM8" i="8"/>
  <c r="AL4" i="8"/>
  <c r="AK10" i="8"/>
  <c r="AJ6" i="8"/>
  <c r="AI19" i="8"/>
  <c r="AI13" i="8" s="1"/>
  <c r="AI16" i="8" s="1"/>
  <c r="AI22" i="8"/>
  <c r="AH23" i="8"/>
  <c r="AH24" i="8" s="1"/>
  <c r="W2" i="10" s="1"/>
  <c r="AI23" i="8" l="1"/>
  <c r="AL10" i="8"/>
  <c r="AK6" i="8"/>
  <c r="AP5" i="8"/>
  <c r="AQ3" i="8"/>
  <c r="AJ19" i="8"/>
  <c r="AJ13" i="8" s="1"/>
  <c r="AJ16" i="8" s="1"/>
  <c r="AJ22" i="8"/>
  <c r="AO18" i="8"/>
  <c r="AN8" i="8"/>
  <c r="AM4" i="8"/>
  <c r="AL12" i="8"/>
  <c r="AL15" i="8" s="1"/>
  <c r="AI24" i="8"/>
  <c r="X2" i="10" s="1"/>
  <c r="AM12" i="8" l="1"/>
  <c r="AM15" i="8" s="1"/>
  <c r="AJ23" i="8"/>
  <c r="AJ24" i="8" s="1"/>
  <c r="Y2" i="10" s="1"/>
  <c r="AP18" i="8"/>
  <c r="AQ5" i="8"/>
  <c r="AR3" i="8"/>
  <c r="AO8" i="8"/>
  <c r="AN4" i="8"/>
  <c r="AK19" i="8"/>
  <c r="AK13" i="8" s="1"/>
  <c r="AK16" i="8" s="1"/>
  <c r="AK22" i="8"/>
  <c r="AM10" i="8"/>
  <c r="AL6" i="8"/>
  <c r="AQ18" i="8" l="1"/>
  <c r="AN10" i="8"/>
  <c r="AM6" i="8"/>
  <c r="AN12" i="8"/>
  <c r="AN15" i="8" s="1"/>
  <c r="AR5" i="8"/>
  <c r="AS3" i="8"/>
  <c r="AL19" i="8"/>
  <c r="AL13" i="8" s="1"/>
  <c r="AL16" i="8" s="1"/>
  <c r="AL22" i="8"/>
  <c r="AP8" i="8"/>
  <c r="AO4" i="8"/>
  <c r="AK23" i="8"/>
  <c r="AK24" i="8" s="1"/>
  <c r="Z2" i="10" s="1"/>
  <c r="AR18" i="8" l="1"/>
  <c r="AL23" i="8"/>
  <c r="AL24" i="8" s="1"/>
  <c r="AA2" i="10" s="1"/>
  <c r="AS5" i="8"/>
  <c r="AT3" i="8"/>
  <c r="AM19" i="8"/>
  <c r="AM13" i="8" s="1"/>
  <c r="AM16" i="8" s="1"/>
  <c r="AM22" i="8"/>
  <c r="AO10" i="8"/>
  <c r="AN6" i="8"/>
  <c r="AO12" i="8"/>
  <c r="AO15" i="8" s="1"/>
  <c r="AQ8" i="8"/>
  <c r="AP4" i="8"/>
  <c r="AN19" i="8" l="1"/>
  <c r="AN13" i="8" s="1"/>
  <c r="AN16" i="8" s="1"/>
  <c r="AN22" i="8"/>
  <c r="AP12" i="8"/>
  <c r="AP15" i="8" s="1"/>
  <c r="AP10" i="8"/>
  <c r="AO6" i="8"/>
  <c r="AM23" i="8"/>
  <c r="AM24" i="8" s="1"/>
  <c r="AB2" i="10" s="1"/>
  <c r="AS18" i="8"/>
  <c r="AT5" i="8"/>
  <c r="AU3" i="8"/>
  <c r="AR8" i="8"/>
  <c r="AQ4" i="8"/>
  <c r="AQ10" i="8" l="1"/>
  <c r="AP6" i="8"/>
  <c r="AU5" i="8"/>
  <c r="AV3" i="8"/>
  <c r="AQ12" i="8"/>
  <c r="AQ15" i="8" s="1"/>
  <c r="AO19" i="8"/>
  <c r="AO13" i="8" s="1"/>
  <c r="AO16" i="8" s="1"/>
  <c r="AO22" i="8"/>
  <c r="AT18" i="8"/>
  <c r="AS8" i="8"/>
  <c r="AR4" i="8"/>
  <c r="AN23" i="8"/>
  <c r="AN24" i="8" s="1"/>
  <c r="AC2" i="10" s="1"/>
  <c r="AO23" i="8" l="1"/>
  <c r="AO24" i="8"/>
  <c r="AD2" i="10" s="1"/>
  <c r="AV5" i="8"/>
  <c r="AW3" i="8"/>
  <c r="AU18" i="8"/>
  <c r="AR12" i="8"/>
  <c r="AR15" i="8" s="1"/>
  <c r="AT8" i="8"/>
  <c r="AS4" i="8"/>
  <c r="AP19" i="8"/>
  <c r="AP13" i="8" s="1"/>
  <c r="AP16" i="8" s="1"/>
  <c r="AP23" i="8"/>
  <c r="AP22" i="8"/>
  <c r="AR10" i="8"/>
  <c r="AQ6" i="8"/>
  <c r="AU8" i="8" l="1"/>
  <c r="AT4" i="8"/>
  <c r="AP24" i="8"/>
  <c r="AE2" i="10" s="1"/>
  <c r="AS12" i="8"/>
  <c r="AS15" i="8" s="1"/>
  <c r="AW5" i="8"/>
  <c r="AX3" i="8"/>
  <c r="AQ19" i="8"/>
  <c r="AQ13" i="8" s="1"/>
  <c r="AQ16" i="8" s="1"/>
  <c r="AQ22" i="8"/>
  <c r="AV18" i="8"/>
  <c r="AS10" i="8"/>
  <c r="AR6" i="8"/>
  <c r="AX5" i="8" l="1"/>
  <c r="AY3" i="8"/>
  <c r="AW18" i="8"/>
  <c r="AT12" i="8"/>
  <c r="AT15" i="8" s="1"/>
  <c r="AV8" i="8"/>
  <c r="AU4" i="8"/>
  <c r="AQ23" i="8"/>
  <c r="AQ24" i="8" s="1"/>
  <c r="AF2" i="10" s="1"/>
  <c r="AR19" i="8"/>
  <c r="AR13" i="8" s="1"/>
  <c r="AR16" i="8" s="1"/>
  <c r="AR22" i="8"/>
  <c r="AT10" i="8"/>
  <c r="AS6" i="8"/>
  <c r="AW8" i="8" l="1"/>
  <c r="AV4" i="8"/>
  <c r="AS19" i="8"/>
  <c r="AS13" i="8" s="1"/>
  <c r="AS16" i="8" s="1"/>
  <c r="AS22" i="8"/>
  <c r="AY5" i="8"/>
  <c r="AZ3" i="8"/>
  <c r="AU12" i="8"/>
  <c r="AU15" i="8" s="1"/>
  <c r="AX18" i="8"/>
  <c r="AU10" i="8"/>
  <c r="AT6" i="8"/>
  <c r="AR23" i="8"/>
  <c r="AR24" i="8" s="1"/>
  <c r="AG2" i="10" s="1"/>
  <c r="AX8" i="8" l="1"/>
  <c r="AW4" i="8"/>
  <c r="AZ5" i="8"/>
  <c r="BA3" i="8"/>
  <c r="AY18" i="8"/>
  <c r="AS23" i="8"/>
  <c r="AS24" i="8" s="1"/>
  <c r="AH2" i="10" s="1"/>
  <c r="AV12" i="8"/>
  <c r="AV15" i="8" s="1"/>
  <c r="AT19" i="8"/>
  <c r="AT13" i="8" s="1"/>
  <c r="AT16" i="8" s="1"/>
  <c r="AT22" i="8"/>
  <c r="AV10" i="8"/>
  <c r="AU6" i="8"/>
  <c r="AZ18" i="8" l="1"/>
  <c r="AY8" i="8"/>
  <c r="AX4" i="8"/>
  <c r="AW10" i="8"/>
  <c r="AV6" i="8"/>
  <c r="BA5" i="8"/>
  <c r="BB3" i="8"/>
  <c r="AW12" i="8"/>
  <c r="AW15" i="8" s="1"/>
  <c r="AU19" i="8"/>
  <c r="AU13" i="8" s="1"/>
  <c r="AU16" i="8" s="1"/>
  <c r="AU22" i="8"/>
  <c r="AT23" i="8"/>
  <c r="AT24" i="8" s="1"/>
  <c r="AI2" i="10" s="1"/>
  <c r="BA18" i="8" l="1"/>
  <c r="AV19" i="8"/>
  <c r="AV13" i="8" s="1"/>
  <c r="AV16" i="8" s="1"/>
  <c r="AV23" i="8"/>
  <c r="AV22" i="8"/>
  <c r="BB5" i="8"/>
  <c r="BC3" i="8"/>
  <c r="AX12" i="8"/>
  <c r="AX15" i="8" s="1"/>
  <c r="AZ8" i="8"/>
  <c r="AY4" i="8"/>
  <c r="AX10" i="8"/>
  <c r="AW6" i="8"/>
  <c r="AU23" i="8"/>
  <c r="AU24" i="8" s="1"/>
  <c r="AJ2" i="10" s="1"/>
  <c r="AV24" i="8" l="1"/>
  <c r="AK2" i="10" s="1"/>
  <c r="AY12" i="8"/>
  <c r="AY15" i="8" s="1"/>
  <c r="BA8" i="8"/>
  <c r="AZ4" i="8"/>
  <c r="BC5" i="8"/>
  <c r="BB18" i="8"/>
  <c r="AW19" i="8"/>
  <c r="AW13" i="8" s="1"/>
  <c r="AW16" i="8" s="1"/>
  <c r="AW22" i="8"/>
  <c r="AY10" i="8"/>
  <c r="AX6" i="8"/>
  <c r="BC18" i="8" l="1"/>
  <c r="AX19" i="8"/>
  <c r="AX13" i="8" s="1"/>
  <c r="AX16" i="8" s="1"/>
  <c r="AX23" i="8"/>
  <c r="AX22" i="8"/>
  <c r="AW23" i="8"/>
  <c r="AW24" i="8" s="1"/>
  <c r="AL2" i="10" s="1"/>
  <c r="AZ10" i="8"/>
  <c r="AY6" i="8"/>
  <c r="AZ12" i="8"/>
  <c r="AZ15" i="8" s="1"/>
  <c r="BB8" i="8"/>
  <c r="BA4" i="8"/>
  <c r="BA12" i="8" l="1"/>
  <c r="BA15" i="8" s="1"/>
  <c r="BA10" i="8"/>
  <c r="AZ6" i="8"/>
  <c r="AX24" i="8"/>
  <c r="AM2" i="10" s="1"/>
  <c r="BC8" i="8"/>
  <c r="BB4" i="8"/>
  <c r="AY19" i="8"/>
  <c r="AY13" i="8" s="1"/>
  <c r="AY16" i="8" s="1"/>
  <c r="AY22" i="8"/>
  <c r="AY23" i="8" l="1"/>
  <c r="AY24" i="8"/>
  <c r="AN2" i="10" s="1"/>
  <c r="BB12" i="8"/>
  <c r="BB15" i="8" s="1"/>
  <c r="BC4" i="8"/>
  <c r="AZ19" i="8"/>
  <c r="AZ13" i="8" s="1"/>
  <c r="AZ16" i="8" s="1"/>
  <c r="AZ22" i="8"/>
  <c r="BB10" i="8"/>
  <c r="BA6" i="8"/>
  <c r="BC10" i="8" l="1"/>
  <c r="BC6" i="8" s="1"/>
  <c r="BC22" i="8" s="1"/>
  <c r="BB6" i="8"/>
  <c r="BA19" i="8"/>
  <c r="BA13" i="8" s="1"/>
  <c r="BA16" i="8" s="1"/>
  <c r="BA22" i="8"/>
  <c r="AZ23" i="8"/>
  <c r="AZ24" i="8" s="1"/>
  <c r="AO2" i="10" s="1"/>
  <c r="BC12" i="8"/>
  <c r="BC15" i="8" s="1"/>
  <c r="BA23" i="8" l="1"/>
  <c r="BA24" i="8" s="1"/>
  <c r="AP2" i="10" s="1"/>
  <c r="BB19" i="8"/>
  <c r="BB13" i="8" s="1"/>
  <c r="BB16" i="8" s="1"/>
  <c r="BB22" i="8"/>
  <c r="BC19" i="8"/>
  <c r="BC13" i="8" s="1"/>
  <c r="BC16" i="8" s="1"/>
  <c r="BC23" i="8" l="1"/>
  <c r="BC24" i="8" s="1"/>
  <c r="AR2" i="10" s="1"/>
  <c r="BB23" i="8"/>
  <c r="BB24" i="8" s="1"/>
  <c r="AQ2" i="10" s="1"/>
</calcChain>
</file>

<file path=xl/sharedStrings.xml><?xml version="1.0" encoding="utf-8"?>
<sst xmlns="http://schemas.openxmlformats.org/spreadsheetml/2006/main" count="301" uniqueCount="46">
  <si>
    <t>农产品</t>
  </si>
  <si>
    <t>畜牧产品</t>
  </si>
  <si>
    <t>渔产品</t>
  </si>
  <si>
    <t>农、林、牧、渔服务产品</t>
  </si>
  <si>
    <t>谷物磨制品</t>
  </si>
  <si>
    <t>饲料加工品</t>
  </si>
  <si>
    <t>投入</t>
  </si>
  <si>
    <t>产出</t>
  </si>
  <si>
    <t>进口</t>
  </si>
  <si>
    <t>增加值合计</t>
  </si>
  <si>
    <t>最终使用合计</t>
  </si>
  <si>
    <t>中间投入合计</t>
  </si>
  <si>
    <t>中间使用合计</t>
  </si>
  <si>
    <t>产值增加率</t>
  </si>
  <si>
    <t>农产品进</t>
  </si>
  <si>
    <t>经大农业服务产品进</t>
  </si>
  <si>
    <t>经谷物磨制品进</t>
  </si>
  <si>
    <t>经饲料加工品进</t>
  </si>
  <si>
    <t>农产品产值</t>
  </si>
  <si>
    <t>畜牧业产值</t>
  </si>
  <si>
    <t>渔产品产值</t>
  </si>
  <si>
    <t>当年RMB</t>
  </si>
  <si>
    <t>2012 USD</t>
  </si>
  <si>
    <t>畜牧产品产值</t>
  </si>
  <si>
    <t>农产品占比</t>
  </si>
  <si>
    <t>畜牧产品占比</t>
  </si>
  <si>
    <t>渔产品占比</t>
  </si>
  <si>
    <t>农产品投入畜牧业比例</t>
  </si>
  <si>
    <t>农产品投入渔业比例</t>
  </si>
  <si>
    <t>农产品投入畜牧业占一产比例</t>
  </si>
  <si>
    <t>农产品投入渔业占一产比例</t>
  </si>
  <si>
    <t>农产品投入畜牧业产值</t>
  </si>
  <si>
    <t>农产品投入渔业产值</t>
  </si>
  <si>
    <t>一产中投入畜牧业比例</t>
  </si>
  <si>
    <t>一产中投入渔业比例</t>
  </si>
  <si>
    <t>一产中投入动物养殖比例</t>
  </si>
  <si>
    <t>人民币年份</t>
  </si>
  <si>
    <t>当年人民币相对2012美元</t>
  </si>
  <si>
    <t>2012美元相对当年人民币价格</t>
  </si>
  <si>
    <t>deflator</t>
  </si>
  <si>
    <t>Year</t>
  </si>
  <si>
    <t>Inflation, GDP deflator (annual %)</t>
  </si>
  <si>
    <t>Convert from 2012 USD</t>
  </si>
  <si>
    <t>Convert to 2012 USD</t>
  </si>
  <si>
    <t>(dimensionless)</t>
  </si>
  <si>
    <t>Animal related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</si>
</sst>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00_ "/>
    <numFmt numFmtId="177" formatCode="0.0000"/>
    <numFmt numFmtId="178" formatCode="0.0000_);[Red]\(0.0000\)"/>
    <numFmt numFmtId="179" formatCode="0_ "/>
  </numFmts>
  <fonts count="4" x14ac:knownFonts="1">
    <font>
      <sz val="11"/>
      <color theme="1"/>
      <name val="等线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5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2" fillId="0" borderId="0"/>
  </cellStyleXfs>
  <cellXfs count="26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77" fontId="0" fillId="0" borderId="0" xfId="0" applyNumberFormat="1">
      <alignment vertical="center"/>
    </xf>
    <xf numFmtId="178" fontId="0" fillId="0" borderId="0" xfId="0" applyNumberFormat="1" applyAlignment="1">
      <alignment horizontal="center" vertical="center" wrapText="1"/>
    </xf>
    <xf numFmtId="0" fontId="0" fillId="0" borderId="0" xfId="0" applyAlignment="1"/>
    <xf numFmtId="177" fontId="0" fillId="0" borderId="0" xfId="0" applyNumberFormat="1" applyAlignment="1"/>
    <xf numFmtId="10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7" fontId="1" fillId="0" borderId="0" xfId="0" applyNumberFormat="1" applyFont="1" applyAlignment="1"/>
    <xf numFmtId="179" fontId="0" fillId="0" borderId="0" xfId="0" applyNumberFormat="1">
      <alignment vertical="center"/>
    </xf>
    <xf numFmtId="179" fontId="0" fillId="2" borderId="0" xfId="0" applyNumberFormat="1" applyFill="1">
      <alignment vertical="center"/>
    </xf>
    <xf numFmtId="10" fontId="0" fillId="2" borderId="0" xfId="0" applyNumberFormat="1" applyFill="1">
      <alignment vertical="center"/>
    </xf>
    <xf numFmtId="9" fontId="0" fillId="0" borderId="0" xfId="0" applyNumberFormat="1">
      <alignment vertical="center"/>
    </xf>
    <xf numFmtId="10" fontId="0" fillId="0" borderId="0" xfId="0" applyNumberFormat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179" fontId="0" fillId="0" borderId="3" xfId="0" applyNumberFormat="1" applyBorder="1">
      <alignment vertical="center"/>
    </xf>
    <xf numFmtId="179" fontId="0" fillId="0" borderId="4" xfId="0" applyNumberFormat="1" applyBorder="1">
      <alignment vertical="center"/>
    </xf>
    <xf numFmtId="10" fontId="0" fillId="0" borderId="3" xfId="0" applyNumberFormat="1" applyBorder="1">
      <alignment vertical="center"/>
    </xf>
    <xf numFmtId="10" fontId="0" fillId="0" borderId="4" xfId="0" applyNumberFormat="1" applyBorder="1">
      <alignment vertical="center"/>
    </xf>
    <xf numFmtId="0" fontId="0" fillId="0" borderId="5" xfId="0" applyBorder="1">
      <alignment vertical="center"/>
    </xf>
    <xf numFmtId="0" fontId="0" fillId="0" borderId="0" xfId="0" applyAlignment="1">
      <alignment horizontal="center" vertical="center"/>
    </xf>
  </cellXfs>
  <cellStyles count="5">
    <cellStyle name="百分比 2" xfId="1" xr:uid="{00000000-0005-0000-0000-00000D000000}"/>
    <cellStyle name="常规" xfId="0" builtinId="0"/>
    <cellStyle name="常规 2" xfId="2" xr:uid="{00000000-0005-0000-0000-000032000000}"/>
    <cellStyle name="常规 3" xfId="3" xr:uid="{00000000-0005-0000-0000-000033000000}"/>
    <cellStyle name="常规 5" xfId="4" xr:uid="{00000000-0005-0000-0000-00003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Extrapolation!$B$2:$G$2</c:f>
              <c:numCache>
                <c:formatCode>General</c:formatCode>
                <c:ptCount val="6"/>
                <c:pt idx="0">
                  <c:v>2002</c:v>
                </c:pt>
                <c:pt idx="1">
                  <c:v>2007</c:v>
                </c:pt>
                <c:pt idx="2">
                  <c:v>2012</c:v>
                </c:pt>
                <c:pt idx="3">
                  <c:v>2017</c:v>
                </c:pt>
                <c:pt idx="4">
                  <c:v>2018</c:v>
                </c:pt>
                <c:pt idx="5">
                  <c:v>2020</c:v>
                </c:pt>
              </c:numCache>
            </c:numRef>
          </c:xVal>
          <c:yVal>
            <c:numRef>
              <c:f>Extrapolation!$B$12:$G$12</c:f>
              <c:numCache>
                <c:formatCode>0.00%</c:formatCode>
                <c:ptCount val="6"/>
                <c:pt idx="0">
                  <c:v>0.16746415981446552</c:v>
                </c:pt>
                <c:pt idx="1">
                  <c:v>0.16142339009231155</c:v>
                </c:pt>
                <c:pt idx="2">
                  <c:v>0.13049730630944134</c:v>
                </c:pt>
                <c:pt idx="3">
                  <c:v>0.10313877669824474</c:v>
                </c:pt>
                <c:pt idx="4">
                  <c:v>8.9475434620045119E-2</c:v>
                </c:pt>
                <c:pt idx="5">
                  <c:v>9.5124922378448634E-2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9CE-4CCC-B174-6927612AD3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588752"/>
        <c:axId val="1944589168"/>
      </c:scatterChart>
      <c:valAx>
        <c:axId val="1944588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44589168"/>
        <c:crosses val="autoZero"/>
        <c:crossBetween val="midCat"/>
      </c:valAx>
      <c:valAx>
        <c:axId val="1944589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44588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农牧渔产值</a:t>
            </a:r>
            <a:endParaRPr lang="en-US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Extrapolation!$A$4</c:f>
              <c:strCache>
                <c:ptCount val="1"/>
                <c:pt idx="0">
                  <c:v>农产品产值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Extrapolation!$I$2:$BC$2</c:f>
              <c:numCache>
                <c:formatCode>General</c:formatCode>
                <c:ptCount val="47"/>
                <c:pt idx="0">
                  <c:v>2002</c:v>
                </c:pt>
                <c:pt idx="1">
                  <c:v>2007</c:v>
                </c:pt>
                <c:pt idx="2">
                  <c:v>2012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2026</c:v>
                </c:pt>
                <c:pt idx="13">
                  <c:v>2027</c:v>
                </c:pt>
                <c:pt idx="14">
                  <c:v>2028</c:v>
                </c:pt>
                <c:pt idx="15">
                  <c:v>2029</c:v>
                </c:pt>
                <c:pt idx="16">
                  <c:v>2030</c:v>
                </c:pt>
                <c:pt idx="17">
                  <c:v>2031</c:v>
                </c:pt>
                <c:pt idx="18">
                  <c:v>2032</c:v>
                </c:pt>
                <c:pt idx="19">
                  <c:v>2033</c:v>
                </c:pt>
                <c:pt idx="20">
                  <c:v>2034</c:v>
                </c:pt>
                <c:pt idx="21">
                  <c:v>2035</c:v>
                </c:pt>
                <c:pt idx="22">
                  <c:v>2036</c:v>
                </c:pt>
                <c:pt idx="23">
                  <c:v>2037</c:v>
                </c:pt>
                <c:pt idx="24">
                  <c:v>2038</c:v>
                </c:pt>
                <c:pt idx="25">
                  <c:v>2039</c:v>
                </c:pt>
                <c:pt idx="26">
                  <c:v>2040</c:v>
                </c:pt>
                <c:pt idx="27">
                  <c:v>2041</c:v>
                </c:pt>
                <c:pt idx="28">
                  <c:v>2042</c:v>
                </c:pt>
                <c:pt idx="29">
                  <c:v>2043</c:v>
                </c:pt>
                <c:pt idx="30">
                  <c:v>2044</c:v>
                </c:pt>
                <c:pt idx="31">
                  <c:v>2045</c:v>
                </c:pt>
                <c:pt idx="32">
                  <c:v>2046</c:v>
                </c:pt>
                <c:pt idx="33">
                  <c:v>2047</c:v>
                </c:pt>
                <c:pt idx="34">
                  <c:v>2048</c:v>
                </c:pt>
                <c:pt idx="35">
                  <c:v>2049</c:v>
                </c:pt>
                <c:pt idx="36">
                  <c:v>2050</c:v>
                </c:pt>
                <c:pt idx="37">
                  <c:v>2051</c:v>
                </c:pt>
                <c:pt idx="38">
                  <c:v>2052</c:v>
                </c:pt>
                <c:pt idx="39">
                  <c:v>2053</c:v>
                </c:pt>
                <c:pt idx="40">
                  <c:v>2054</c:v>
                </c:pt>
                <c:pt idx="41">
                  <c:v>2055</c:v>
                </c:pt>
                <c:pt idx="42">
                  <c:v>2056</c:v>
                </c:pt>
                <c:pt idx="43">
                  <c:v>2057</c:v>
                </c:pt>
                <c:pt idx="44">
                  <c:v>2058</c:v>
                </c:pt>
                <c:pt idx="45">
                  <c:v>2059</c:v>
                </c:pt>
                <c:pt idx="46">
                  <c:v>2060</c:v>
                </c:pt>
              </c:numCache>
            </c:numRef>
          </c:xVal>
          <c:yVal>
            <c:numRef>
              <c:f>Extrapolation!$I$4:$BC$4</c:f>
              <c:numCache>
                <c:formatCode>0_ </c:formatCode>
                <c:ptCount val="47"/>
                <c:pt idx="0">
                  <c:v>3553.6117766399698</c:v>
                </c:pt>
                <c:pt idx="1">
                  <c:v>4724.2787876179691</c:v>
                </c:pt>
                <c:pt idx="2">
                  <c:v>7386.0847011966489</c:v>
                </c:pt>
                <c:pt idx="3">
                  <c:v>8517.959588362366</c:v>
                </c:pt>
                <c:pt idx="4">
                  <c:v>8440.4339083195337</c:v>
                </c:pt>
                <c:pt idx="5">
                  <c:v>9100.4521495102108</c:v>
                </c:pt>
                <c:pt idx="6">
                  <c:v>9744.1493531420747</c:v>
                </c:pt>
                <c:pt idx="7">
                  <c:v>9623.4444635062864</c:v>
                </c:pt>
                <c:pt idx="8">
                  <c:v>9890.329608699958</c:v>
                </c:pt>
                <c:pt idx="9">
                  <c:v>10159.230839680815</c:v>
                </c:pt>
                <c:pt idx="10">
                  <c:v>10430.148156448729</c:v>
                </c:pt>
                <c:pt idx="11">
                  <c:v>10703.081559003846</c:v>
                </c:pt>
                <c:pt idx="12">
                  <c:v>10978.031047346034</c:v>
                </c:pt>
                <c:pt idx="13">
                  <c:v>11254.996621475335</c:v>
                </c:pt>
                <c:pt idx="14">
                  <c:v>11533.978281391835</c:v>
                </c:pt>
                <c:pt idx="15">
                  <c:v>11814.976027095467</c:v>
                </c:pt>
                <c:pt idx="16">
                  <c:v>12097.989858586172</c:v>
                </c:pt>
                <c:pt idx="17">
                  <c:v>12383.019775863988</c:v>
                </c:pt>
                <c:pt idx="18">
                  <c:v>12670.065778928987</c:v>
                </c:pt>
                <c:pt idx="19">
                  <c:v>12959.127867781061</c:v>
                </c:pt>
                <c:pt idx="20">
                  <c:v>13250.206042420281</c:v>
                </c:pt>
                <c:pt idx="21">
                  <c:v>13543.30030284663</c:v>
                </c:pt>
                <c:pt idx="22">
                  <c:v>13838.410649060163</c:v>
                </c:pt>
                <c:pt idx="23">
                  <c:v>14135.537081060731</c:v>
                </c:pt>
                <c:pt idx="24">
                  <c:v>14434.679598848543</c:v>
                </c:pt>
                <c:pt idx="25">
                  <c:v>14735.838202423387</c:v>
                </c:pt>
                <c:pt idx="26">
                  <c:v>15039.012891785456</c:v>
                </c:pt>
                <c:pt idx="27">
                  <c:v>15344.203666934636</c:v>
                </c:pt>
                <c:pt idx="28">
                  <c:v>15651.41052787079</c:v>
                </c:pt>
                <c:pt idx="29">
                  <c:v>15960.633474594226</c:v>
                </c:pt>
                <c:pt idx="30">
                  <c:v>16271.872507104714</c:v>
                </c:pt>
                <c:pt idx="31">
                  <c:v>16585.127625402409</c:v>
                </c:pt>
                <c:pt idx="32">
                  <c:v>16900.398829487178</c:v>
                </c:pt>
                <c:pt idx="33">
                  <c:v>17217.686119359128</c:v>
                </c:pt>
                <c:pt idx="34">
                  <c:v>17536.989495018155</c:v>
                </c:pt>
                <c:pt idx="35">
                  <c:v>17858.308956464265</c:v>
                </c:pt>
                <c:pt idx="36">
                  <c:v>18181.644503697626</c:v>
                </c:pt>
                <c:pt idx="37">
                  <c:v>18506.99613671796</c:v>
                </c:pt>
                <c:pt idx="38">
                  <c:v>18834.363855525611</c:v>
                </c:pt>
                <c:pt idx="39">
                  <c:v>19163.747660120258</c:v>
                </c:pt>
                <c:pt idx="40">
                  <c:v>19495.147550502032</c:v>
                </c:pt>
                <c:pt idx="41">
                  <c:v>19828.563526671016</c:v>
                </c:pt>
                <c:pt idx="42">
                  <c:v>20163.995588627018</c:v>
                </c:pt>
                <c:pt idx="43">
                  <c:v>20501.443736370344</c:v>
                </c:pt>
                <c:pt idx="44">
                  <c:v>20840.907969900607</c:v>
                </c:pt>
                <c:pt idx="45">
                  <c:v>21182.388289218023</c:v>
                </c:pt>
                <c:pt idx="46">
                  <c:v>21525.884694322569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5E-41CF-9490-9DAB34471324}"/>
            </c:ext>
          </c:extLst>
        </c:ser>
        <c:ser>
          <c:idx val="1"/>
          <c:order val="1"/>
          <c:tx>
            <c:strRef>
              <c:f>Extrapolation!$A$5</c:f>
              <c:strCache>
                <c:ptCount val="1"/>
                <c:pt idx="0">
                  <c:v>畜牧产品产值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Extrapolation!$I$2:$BC$2</c:f>
              <c:numCache>
                <c:formatCode>General</c:formatCode>
                <c:ptCount val="47"/>
                <c:pt idx="0">
                  <c:v>2002</c:v>
                </c:pt>
                <c:pt idx="1">
                  <c:v>2007</c:v>
                </c:pt>
                <c:pt idx="2">
                  <c:v>2012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2026</c:v>
                </c:pt>
                <c:pt idx="13">
                  <c:v>2027</c:v>
                </c:pt>
                <c:pt idx="14">
                  <c:v>2028</c:v>
                </c:pt>
                <c:pt idx="15">
                  <c:v>2029</c:v>
                </c:pt>
                <c:pt idx="16">
                  <c:v>2030</c:v>
                </c:pt>
                <c:pt idx="17">
                  <c:v>2031</c:v>
                </c:pt>
                <c:pt idx="18">
                  <c:v>2032</c:v>
                </c:pt>
                <c:pt idx="19">
                  <c:v>2033</c:v>
                </c:pt>
                <c:pt idx="20">
                  <c:v>2034</c:v>
                </c:pt>
                <c:pt idx="21">
                  <c:v>2035</c:v>
                </c:pt>
                <c:pt idx="22">
                  <c:v>2036</c:v>
                </c:pt>
                <c:pt idx="23">
                  <c:v>2037</c:v>
                </c:pt>
                <c:pt idx="24">
                  <c:v>2038</c:v>
                </c:pt>
                <c:pt idx="25">
                  <c:v>2039</c:v>
                </c:pt>
                <c:pt idx="26">
                  <c:v>2040</c:v>
                </c:pt>
                <c:pt idx="27">
                  <c:v>2041</c:v>
                </c:pt>
                <c:pt idx="28">
                  <c:v>2042</c:v>
                </c:pt>
                <c:pt idx="29">
                  <c:v>2043</c:v>
                </c:pt>
                <c:pt idx="30">
                  <c:v>2044</c:v>
                </c:pt>
                <c:pt idx="31">
                  <c:v>2045</c:v>
                </c:pt>
                <c:pt idx="32">
                  <c:v>2046</c:v>
                </c:pt>
                <c:pt idx="33">
                  <c:v>2047</c:v>
                </c:pt>
                <c:pt idx="34">
                  <c:v>2048</c:v>
                </c:pt>
                <c:pt idx="35">
                  <c:v>2049</c:v>
                </c:pt>
                <c:pt idx="36">
                  <c:v>2050</c:v>
                </c:pt>
                <c:pt idx="37">
                  <c:v>2051</c:v>
                </c:pt>
                <c:pt idx="38">
                  <c:v>2052</c:v>
                </c:pt>
                <c:pt idx="39">
                  <c:v>2053</c:v>
                </c:pt>
                <c:pt idx="40">
                  <c:v>2054</c:v>
                </c:pt>
                <c:pt idx="41">
                  <c:v>2055</c:v>
                </c:pt>
                <c:pt idx="42">
                  <c:v>2056</c:v>
                </c:pt>
                <c:pt idx="43">
                  <c:v>2057</c:v>
                </c:pt>
                <c:pt idx="44">
                  <c:v>2058</c:v>
                </c:pt>
                <c:pt idx="45">
                  <c:v>2059</c:v>
                </c:pt>
                <c:pt idx="46">
                  <c:v>2060</c:v>
                </c:pt>
              </c:numCache>
            </c:numRef>
          </c:xVal>
          <c:yVal>
            <c:numRef>
              <c:f>Extrapolation!$I$5:$BC$5</c:f>
              <c:numCache>
                <c:formatCode>0_ </c:formatCode>
                <c:ptCount val="47"/>
                <c:pt idx="0">
                  <c:v>2096.6165576717249</c:v>
                </c:pt>
                <c:pt idx="1">
                  <c:v>2992.4862151333809</c:v>
                </c:pt>
                <c:pt idx="2">
                  <c:v>4275.3081534094563</c:v>
                </c:pt>
                <c:pt idx="3">
                  <c:v>4268.1436394412767</c:v>
                </c:pt>
                <c:pt idx="4">
                  <c:v>3861.8455262952084</c:v>
                </c:pt>
                <c:pt idx="5">
                  <c:v>4398.4956645501115</c:v>
                </c:pt>
                <c:pt idx="6">
                  <c:v>5022.7683916258929</c:v>
                </c:pt>
                <c:pt idx="7">
                  <c:v>4613.9345540616241</c:v>
                </c:pt>
                <c:pt idx="8">
                  <c:v>4670.5192505517816</c:v>
                </c:pt>
                <c:pt idx="9">
                  <c:v>4724.8486925786374</c:v>
                </c:pt>
                <c:pt idx="10">
                  <c:v>4776.9228801421104</c:v>
                </c:pt>
                <c:pt idx="11">
                  <c:v>4826.7418132422954</c:v>
                </c:pt>
                <c:pt idx="12">
                  <c:v>4874.3054918790986</c:v>
                </c:pt>
                <c:pt idx="13">
                  <c:v>4919.6139160525818</c:v>
                </c:pt>
                <c:pt idx="14">
                  <c:v>4962.667085762746</c:v>
                </c:pt>
                <c:pt idx="15">
                  <c:v>5003.4650010095902</c:v>
                </c:pt>
                <c:pt idx="16">
                  <c:v>5042.0076617930699</c:v>
                </c:pt>
                <c:pt idx="17">
                  <c:v>5078.2950681131979</c:v>
                </c:pt>
                <c:pt idx="18">
                  <c:v>5112.3272199700377</c:v>
                </c:pt>
                <c:pt idx="19">
                  <c:v>5144.1041173634949</c:v>
                </c:pt>
                <c:pt idx="20">
                  <c:v>5173.6257602936357</c:v>
                </c:pt>
                <c:pt idx="21">
                  <c:v>5200.8921487604421</c:v>
                </c:pt>
                <c:pt idx="22">
                  <c:v>5225.903282763923</c:v>
                </c:pt>
                <c:pt idx="23">
                  <c:v>5248.6591623040595</c:v>
                </c:pt>
                <c:pt idx="24">
                  <c:v>5269.1597873808696</c:v>
                </c:pt>
                <c:pt idx="25">
                  <c:v>5287.4051579943371</c:v>
                </c:pt>
                <c:pt idx="26">
                  <c:v>5303.3952741444755</c:v>
                </c:pt>
                <c:pt idx="27">
                  <c:v>5317.1301358313003</c:v>
                </c:pt>
                <c:pt idx="28">
                  <c:v>5328.609743054737</c:v>
                </c:pt>
                <c:pt idx="29">
                  <c:v>5337.8340958148701</c:v>
                </c:pt>
                <c:pt idx="30">
                  <c:v>5344.8031941116642</c:v>
                </c:pt>
                <c:pt idx="31">
                  <c:v>5349.5170379451256</c:v>
                </c:pt>
                <c:pt idx="32">
                  <c:v>5351.9756273152498</c:v>
                </c:pt>
                <c:pt idx="33">
                  <c:v>5352.1789622220413</c:v>
                </c:pt>
                <c:pt idx="34">
                  <c:v>5350.1270426654964</c:v>
                </c:pt>
                <c:pt idx="35">
                  <c:v>5345.8198686456162</c:v>
                </c:pt>
                <c:pt idx="36">
                  <c:v>5339.2574401624015</c:v>
                </c:pt>
                <c:pt idx="37">
                  <c:v>5330.439757215805</c:v>
                </c:pt>
                <c:pt idx="38">
                  <c:v>5319.3668198059668</c:v>
                </c:pt>
                <c:pt idx="39">
                  <c:v>5306.0386279327477</c:v>
                </c:pt>
                <c:pt idx="40">
                  <c:v>5290.4551815961695</c:v>
                </c:pt>
                <c:pt idx="41">
                  <c:v>5272.6164807963032</c:v>
                </c:pt>
                <c:pt idx="42">
                  <c:v>5252.5225255330588</c:v>
                </c:pt>
                <c:pt idx="43">
                  <c:v>5230.1733158065181</c:v>
                </c:pt>
                <c:pt idx="44">
                  <c:v>5205.5688516166256</c:v>
                </c:pt>
                <c:pt idx="45">
                  <c:v>5178.7091329633722</c:v>
                </c:pt>
                <c:pt idx="46">
                  <c:v>5149.5941598468371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5E-41CF-9490-9DAB34471324}"/>
            </c:ext>
          </c:extLst>
        </c:ser>
        <c:ser>
          <c:idx val="2"/>
          <c:order val="2"/>
          <c:tx>
            <c:strRef>
              <c:f>Extrapolation!$A$6</c:f>
              <c:strCache>
                <c:ptCount val="1"/>
                <c:pt idx="0">
                  <c:v>渔产品产值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Extrapolation!$I$2:$BC$2</c:f>
              <c:numCache>
                <c:formatCode>General</c:formatCode>
                <c:ptCount val="47"/>
                <c:pt idx="0">
                  <c:v>2002</c:v>
                </c:pt>
                <c:pt idx="1">
                  <c:v>2007</c:v>
                </c:pt>
                <c:pt idx="2">
                  <c:v>2012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2026</c:v>
                </c:pt>
                <c:pt idx="13">
                  <c:v>2027</c:v>
                </c:pt>
                <c:pt idx="14">
                  <c:v>2028</c:v>
                </c:pt>
                <c:pt idx="15">
                  <c:v>2029</c:v>
                </c:pt>
                <c:pt idx="16">
                  <c:v>2030</c:v>
                </c:pt>
                <c:pt idx="17">
                  <c:v>2031</c:v>
                </c:pt>
                <c:pt idx="18">
                  <c:v>2032</c:v>
                </c:pt>
                <c:pt idx="19">
                  <c:v>2033</c:v>
                </c:pt>
                <c:pt idx="20">
                  <c:v>2034</c:v>
                </c:pt>
                <c:pt idx="21">
                  <c:v>2035</c:v>
                </c:pt>
                <c:pt idx="22">
                  <c:v>2036</c:v>
                </c:pt>
                <c:pt idx="23">
                  <c:v>2037</c:v>
                </c:pt>
                <c:pt idx="24">
                  <c:v>2038</c:v>
                </c:pt>
                <c:pt idx="25">
                  <c:v>2039</c:v>
                </c:pt>
                <c:pt idx="26">
                  <c:v>2040</c:v>
                </c:pt>
                <c:pt idx="27">
                  <c:v>2041</c:v>
                </c:pt>
                <c:pt idx="28">
                  <c:v>2042</c:v>
                </c:pt>
                <c:pt idx="29">
                  <c:v>2043</c:v>
                </c:pt>
                <c:pt idx="30">
                  <c:v>2044</c:v>
                </c:pt>
                <c:pt idx="31">
                  <c:v>2045</c:v>
                </c:pt>
                <c:pt idx="32">
                  <c:v>2046</c:v>
                </c:pt>
                <c:pt idx="33">
                  <c:v>2047</c:v>
                </c:pt>
                <c:pt idx="34">
                  <c:v>2048</c:v>
                </c:pt>
                <c:pt idx="35">
                  <c:v>2049</c:v>
                </c:pt>
                <c:pt idx="36">
                  <c:v>2050</c:v>
                </c:pt>
                <c:pt idx="37">
                  <c:v>2051</c:v>
                </c:pt>
                <c:pt idx="38">
                  <c:v>2052</c:v>
                </c:pt>
                <c:pt idx="39">
                  <c:v>2053</c:v>
                </c:pt>
                <c:pt idx="40">
                  <c:v>2054</c:v>
                </c:pt>
                <c:pt idx="41">
                  <c:v>2055</c:v>
                </c:pt>
                <c:pt idx="42">
                  <c:v>2056</c:v>
                </c:pt>
                <c:pt idx="43">
                  <c:v>2057</c:v>
                </c:pt>
                <c:pt idx="44">
                  <c:v>2058</c:v>
                </c:pt>
                <c:pt idx="45">
                  <c:v>2059</c:v>
                </c:pt>
                <c:pt idx="46">
                  <c:v>2060</c:v>
                </c:pt>
              </c:numCache>
            </c:numRef>
          </c:xVal>
          <c:yVal>
            <c:numRef>
              <c:f>Extrapolation!$I$6:$BC$6</c:f>
              <c:numCache>
                <c:formatCode>0_ </c:formatCode>
                <c:ptCount val="47"/>
                <c:pt idx="0">
                  <c:v>739.81542996076075</c:v>
                </c:pt>
                <c:pt idx="1">
                  <c:v>863.34754796266623</c:v>
                </c:pt>
                <c:pt idx="2">
                  <c:v>1355.5051660217096</c:v>
                </c:pt>
                <c:pt idx="3">
                  <c:v>1687.0160259154186</c:v>
                </c:pt>
                <c:pt idx="4">
                  <c:v>1708.5718204937687</c:v>
                </c:pt>
                <c:pt idx="5">
                  <c:v>1773.0964554852801</c:v>
                </c:pt>
                <c:pt idx="6">
                  <c:v>1763.5502373290346</c:v>
                </c:pt>
                <c:pt idx="7">
                  <c:v>1833.6174690795638</c:v>
                </c:pt>
                <c:pt idx="8">
                  <c:v>1881.2861108642994</c:v>
                </c:pt>
                <c:pt idx="9">
                  <c:v>1929.1952181470442</c:v>
                </c:pt>
                <c:pt idx="10">
                  <c:v>1977.3447909277672</c:v>
                </c:pt>
                <c:pt idx="11">
                  <c:v>2025.7348292065053</c:v>
                </c:pt>
                <c:pt idx="12">
                  <c:v>2074.3653329832177</c:v>
                </c:pt>
                <c:pt idx="13">
                  <c:v>2123.2363022579316</c:v>
                </c:pt>
                <c:pt idx="14">
                  <c:v>2172.3477370306523</c:v>
                </c:pt>
                <c:pt idx="15">
                  <c:v>2221.699637301369</c:v>
                </c:pt>
                <c:pt idx="16">
                  <c:v>2271.2920030700698</c:v>
                </c:pt>
                <c:pt idx="17">
                  <c:v>2321.1248343367661</c:v>
                </c:pt>
                <c:pt idx="18">
                  <c:v>2371.1981311014697</c:v>
                </c:pt>
                <c:pt idx="19">
                  <c:v>2421.5118933641552</c:v>
                </c:pt>
                <c:pt idx="20">
                  <c:v>2472.0661211248362</c:v>
                </c:pt>
                <c:pt idx="21">
                  <c:v>2522.8608143835104</c:v>
                </c:pt>
                <c:pt idx="22">
                  <c:v>2573.8959731401987</c:v>
                </c:pt>
                <c:pt idx="23">
                  <c:v>2625.1715973948685</c:v>
                </c:pt>
                <c:pt idx="24">
                  <c:v>2676.6876871475461</c:v>
                </c:pt>
                <c:pt idx="25">
                  <c:v>2728.4442423982046</c:v>
                </c:pt>
                <c:pt idx="26">
                  <c:v>2780.4412631468731</c:v>
                </c:pt>
                <c:pt idx="27">
                  <c:v>2832.6787493935371</c:v>
                </c:pt>
                <c:pt idx="28">
                  <c:v>2885.1567011381717</c:v>
                </c:pt>
                <c:pt idx="29">
                  <c:v>2937.8751183808267</c:v>
                </c:pt>
                <c:pt idx="30">
                  <c:v>2990.8340011214636</c:v>
                </c:pt>
                <c:pt idx="31">
                  <c:v>3044.0333493601102</c:v>
                </c:pt>
                <c:pt idx="32">
                  <c:v>3097.4731630967408</c:v>
                </c:pt>
                <c:pt idx="33">
                  <c:v>3151.1534423313788</c:v>
                </c:pt>
                <c:pt idx="34">
                  <c:v>3205.0741870639977</c:v>
                </c:pt>
                <c:pt idx="35">
                  <c:v>3259.2353972946125</c:v>
                </c:pt>
                <c:pt idx="36">
                  <c:v>3313.6370730232402</c:v>
                </c:pt>
                <c:pt idx="37">
                  <c:v>3368.2792142498315</c:v>
                </c:pt>
                <c:pt idx="38">
                  <c:v>3423.161820974462</c:v>
                </c:pt>
                <c:pt idx="39">
                  <c:v>3478.2848931970589</c:v>
                </c:pt>
                <c:pt idx="40">
                  <c:v>3533.6484309176517</c:v>
                </c:pt>
                <c:pt idx="41">
                  <c:v>3589.2524341362578</c:v>
                </c:pt>
                <c:pt idx="42">
                  <c:v>3645.0969028528302</c:v>
                </c:pt>
                <c:pt idx="43">
                  <c:v>3701.1818370674387</c:v>
                </c:pt>
                <c:pt idx="44">
                  <c:v>3757.5072367800103</c:v>
                </c:pt>
                <c:pt idx="45">
                  <c:v>3814.0731019905843</c:v>
                </c:pt>
                <c:pt idx="46">
                  <c:v>3870.8794326991506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45E-41CF-9490-9DAB344713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4308080"/>
        <c:axId val="1334308496"/>
      </c:scatterChart>
      <c:valAx>
        <c:axId val="1334308080"/>
        <c:scaling>
          <c:orientation val="minMax"/>
          <c:max val="2060"/>
          <c:min val="2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34308496"/>
        <c:crosses val="autoZero"/>
        <c:crossBetween val="midCat"/>
      </c:valAx>
      <c:valAx>
        <c:axId val="133430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343080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9409667541557303"/>
          <c:w val="1"/>
          <c:h val="7.81255468066491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一产中投入动物养殖的比例</a:t>
            </a:r>
            <a:endParaRPr lang="en-US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Extrapolation!$A$22</c:f>
              <c:strCache>
                <c:ptCount val="1"/>
                <c:pt idx="0">
                  <c:v>一产中投入畜牧业比例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Extrapolation!$I$2:$BC$2</c:f>
              <c:numCache>
                <c:formatCode>General</c:formatCode>
                <c:ptCount val="47"/>
                <c:pt idx="0">
                  <c:v>2002</c:v>
                </c:pt>
                <c:pt idx="1">
                  <c:v>2007</c:v>
                </c:pt>
                <c:pt idx="2">
                  <c:v>2012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2026</c:v>
                </c:pt>
                <c:pt idx="13">
                  <c:v>2027</c:v>
                </c:pt>
                <c:pt idx="14">
                  <c:v>2028</c:v>
                </c:pt>
                <c:pt idx="15">
                  <c:v>2029</c:v>
                </c:pt>
                <c:pt idx="16">
                  <c:v>2030</c:v>
                </c:pt>
                <c:pt idx="17">
                  <c:v>2031</c:v>
                </c:pt>
                <c:pt idx="18">
                  <c:v>2032</c:v>
                </c:pt>
                <c:pt idx="19">
                  <c:v>2033</c:v>
                </c:pt>
                <c:pt idx="20">
                  <c:v>2034</c:v>
                </c:pt>
                <c:pt idx="21">
                  <c:v>2035</c:v>
                </c:pt>
                <c:pt idx="22">
                  <c:v>2036</c:v>
                </c:pt>
                <c:pt idx="23">
                  <c:v>2037</c:v>
                </c:pt>
                <c:pt idx="24">
                  <c:v>2038</c:v>
                </c:pt>
                <c:pt idx="25">
                  <c:v>2039</c:v>
                </c:pt>
                <c:pt idx="26">
                  <c:v>2040</c:v>
                </c:pt>
                <c:pt idx="27">
                  <c:v>2041</c:v>
                </c:pt>
                <c:pt idx="28">
                  <c:v>2042</c:v>
                </c:pt>
                <c:pt idx="29">
                  <c:v>2043</c:v>
                </c:pt>
                <c:pt idx="30">
                  <c:v>2044</c:v>
                </c:pt>
                <c:pt idx="31">
                  <c:v>2045</c:v>
                </c:pt>
                <c:pt idx="32">
                  <c:v>2046</c:v>
                </c:pt>
                <c:pt idx="33">
                  <c:v>2047</c:v>
                </c:pt>
                <c:pt idx="34">
                  <c:v>2048</c:v>
                </c:pt>
                <c:pt idx="35">
                  <c:v>2049</c:v>
                </c:pt>
                <c:pt idx="36">
                  <c:v>2050</c:v>
                </c:pt>
                <c:pt idx="37">
                  <c:v>2051</c:v>
                </c:pt>
                <c:pt idx="38">
                  <c:v>2052</c:v>
                </c:pt>
                <c:pt idx="39">
                  <c:v>2053</c:v>
                </c:pt>
                <c:pt idx="40">
                  <c:v>2054</c:v>
                </c:pt>
                <c:pt idx="41">
                  <c:v>2055</c:v>
                </c:pt>
                <c:pt idx="42">
                  <c:v>2056</c:v>
                </c:pt>
                <c:pt idx="43">
                  <c:v>2057</c:v>
                </c:pt>
                <c:pt idx="44">
                  <c:v>2058</c:v>
                </c:pt>
                <c:pt idx="45">
                  <c:v>2059</c:v>
                </c:pt>
                <c:pt idx="46">
                  <c:v>2060</c:v>
                </c:pt>
              </c:numCache>
            </c:numRef>
          </c:xVal>
          <c:yVal>
            <c:numRef>
              <c:f>Extrapolation!$I$22:$BC$22</c:f>
              <c:numCache>
                <c:formatCode>0.00%</c:formatCode>
                <c:ptCount val="47"/>
                <c:pt idx="0">
                  <c:v>0.42123642144726314</c:v>
                </c:pt>
                <c:pt idx="1">
                  <c:v>0.43765105534185317</c:v>
                </c:pt>
                <c:pt idx="2">
                  <c:v>0.4024900788795075</c:v>
                </c:pt>
                <c:pt idx="3">
                  <c:v>0.35560237438294778</c:v>
                </c:pt>
                <c:pt idx="4">
                  <c:v>0.32953436836612154</c:v>
                </c:pt>
                <c:pt idx="5">
                  <c:v>0.3481883528927413</c:v>
                </c:pt>
                <c:pt idx="6">
                  <c:v>0.35992204509462317</c:v>
                </c:pt>
                <c:pt idx="7">
                  <c:v>0.34708501949961917</c:v>
                </c:pt>
                <c:pt idx="8">
                  <c:v>0.34341100080500109</c:v>
                </c:pt>
                <c:pt idx="9">
                  <c:v>0.33973699494898646</c:v>
                </c:pt>
                <c:pt idx="10">
                  <c:v>0.33606300193150695</c:v>
                </c:pt>
                <c:pt idx="11">
                  <c:v>0.33238902175249652</c:v>
                </c:pt>
                <c:pt idx="12">
                  <c:v>0.32871505441188631</c:v>
                </c:pt>
                <c:pt idx="13">
                  <c:v>0.32504109990961105</c:v>
                </c:pt>
                <c:pt idx="14">
                  <c:v>0.32136715824560158</c:v>
                </c:pt>
                <c:pt idx="15">
                  <c:v>0.31769322941979222</c:v>
                </c:pt>
                <c:pt idx="16">
                  <c:v>0.31401931343211464</c:v>
                </c:pt>
                <c:pt idx="17">
                  <c:v>0.31034541028250123</c:v>
                </c:pt>
                <c:pt idx="18">
                  <c:v>0.30667151997088632</c:v>
                </c:pt>
                <c:pt idx="19">
                  <c:v>0.30299764249720051</c:v>
                </c:pt>
                <c:pt idx="20">
                  <c:v>0.29932377786137809</c:v>
                </c:pt>
                <c:pt idx="21">
                  <c:v>0.29564992606335128</c:v>
                </c:pt>
                <c:pt idx="22">
                  <c:v>0.29197608710305217</c:v>
                </c:pt>
                <c:pt idx="23">
                  <c:v>0.28830226098041506</c:v>
                </c:pt>
                <c:pt idx="24">
                  <c:v>0.28462844769537038</c:v>
                </c:pt>
                <c:pt idx="25">
                  <c:v>0.28095464724785318</c:v>
                </c:pt>
                <c:pt idx="26">
                  <c:v>0.27728085963779397</c:v>
                </c:pt>
                <c:pt idx="27">
                  <c:v>0.27360708486512775</c:v>
                </c:pt>
                <c:pt idx="28">
                  <c:v>0.26993332292978606</c:v>
                </c:pt>
                <c:pt idx="29">
                  <c:v>0.26625957383170074</c:v>
                </c:pt>
                <c:pt idx="30">
                  <c:v>0.26258583757080628</c:v>
                </c:pt>
                <c:pt idx="31">
                  <c:v>0.25891211414703363</c:v>
                </c:pt>
                <c:pt idx="32">
                  <c:v>0.25523840356031702</c:v>
                </c:pt>
                <c:pt idx="33">
                  <c:v>0.25156470581058793</c:v>
                </c:pt>
                <c:pt idx="34">
                  <c:v>0.24789102089778034</c:v>
                </c:pt>
                <c:pt idx="35">
                  <c:v>0.24421734882182666</c:v>
                </c:pt>
                <c:pt idx="36">
                  <c:v>0.24054368958265798</c:v>
                </c:pt>
                <c:pt idx="37">
                  <c:v>0.23687004318020827</c:v>
                </c:pt>
                <c:pt idx="38">
                  <c:v>0.23319640961441163</c:v>
                </c:pt>
                <c:pt idx="39">
                  <c:v>0.22952278888519917</c:v>
                </c:pt>
                <c:pt idx="40">
                  <c:v>0.22584918099250295</c:v>
                </c:pt>
                <c:pt idx="41">
                  <c:v>0.22217558593625747</c:v>
                </c:pt>
                <c:pt idx="42">
                  <c:v>0.21850200371639414</c:v>
                </c:pt>
                <c:pt idx="43">
                  <c:v>0.21482843433284571</c:v>
                </c:pt>
                <c:pt idx="44">
                  <c:v>0.21115487778554637</c:v>
                </c:pt>
                <c:pt idx="45">
                  <c:v>0.20748133407442665</c:v>
                </c:pt>
                <c:pt idx="46">
                  <c:v>0.20380780319942216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69-4E84-94D3-532ACE0C56B8}"/>
            </c:ext>
          </c:extLst>
        </c:ser>
        <c:ser>
          <c:idx val="1"/>
          <c:order val="1"/>
          <c:tx>
            <c:strRef>
              <c:f>Extrapolation!$A$23</c:f>
              <c:strCache>
                <c:ptCount val="1"/>
                <c:pt idx="0">
                  <c:v>一产中投入渔业比例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Extrapolation!$I$2:$BC$2</c:f>
              <c:numCache>
                <c:formatCode>General</c:formatCode>
                <c:ptCount val="47"/>
                <c:pt idx="0">
                  <c:v>2002</c:v>
                </c:pt>
                <c:pt idx="1">
                  <c:v>2007</c:v>
                </c:pt>
                <c:pt idx="2">
                  <c:v>2012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2026</c:v>
                </c:pt>
                <c:pt idx="13">
                  <c:v>2027</c:v>
                </c:pt>
                <c:pt idx="14">
                  <c:v>2028</c:v>
                </c:pt>
                <c:pt idx="15">
                  <c:v>2029</c:v>
                </c:pt>
                <c:pt idx="16">
                  <c:v>2030</c:v>
                </c:pt>
                <c:pt idx="17">
                  <c:v>2031</c:v>
                </c:pt>
                <c:pt idx="18">
                  <c:v>2032</c:v>
                </c:pt>
                <c:pt idx="19">
                  <c:v>2033</c:v>
                </c:pt>
                <c:pt idx="20">
                  <c:v>2034</c:v>
                </c:pt>
                <c:pt idx="21">
                  <c:v>2035</c:v>
                </c:pt>
                <c:pt idx="22">
                  <c:v>2036</c:v>
                </c:pt>
                <c:pt idx="23">
                  <c:v>2037</c:v>
                </c:pt>
                <c:pt idx="24">
                  <c:v>2038</c:v>
                </c:pt>
                <c:pt idx="25">
                  <c:v>2039</c:v>
                </c:pt>
                <c:pt idx="26">
                  <c:v>2040</c:v>
                </c:pt>
                <c:pt idx="27">
                  <c:v>2041</c:v>
                </c:pt>
                <c:pt idx="28">
                  <c:v>2042</c:v>
                </c:pt>
                <c:pt idx="29">
                  <c:v>2043</c:v>
                </c:pt>
                <c:pt idx="30">
                  <c:v>2044</c:v>
                </c:pt>
                <c:pt idx="31">
                  <c:v>2045</c:v>
                </c:pt>
                <c:pt idx="32">
                  <c:v>2046</c:v>
                </c:pt>
                <c:pt idx="33">
                  <c:v>2047</c:v>
                </c:pt>
                <c:pt idx="34">
                  <c:v>2048</c:v>
                </c:pt>
                <c:pt idx="35">
                  <c:v>2049</c:v>
                </c:pt>
                <c:pt idx="36">
                  <c:v>2050</c:v>
                </c:pt>
                <c:pt idx="37">
                  <c:v>2051</c:v>
                </c:pt>
                <c:pt idx="38">
                  <c:v>2052</c:v>
                </c:pt>
                <c:pt idx="39">
                  <c:v>2053</c:v>
                </c:pt>
                <c:pt idx="40">
                  <c:v>2054</c:v>
                </c:pt>
                <c:pt idx="41">
                  <c:v>2055</c:v>
                </c:pt>
                <c:pt idx="42">
                  <c:v>2056</c:v>
                </c:pt>
                <c:pt idx="43">
                  <c:v>2057</c:v>
                </c:pt>
                <c:pt idx="44">
                  <c:v>2058</c:v>
                </c:pt>
                <c:pt idx="45">
                  <c:v>2059</c:v>
                </c:pt>
                <c:pt idx="46">
                  <c:v>2060</c:v>
                </c:pt>
              </c:numCache>
            </c:numRef>
          </c:xVal>
          <c:yVal>
            <c:numRef>
              <c:f>Extrapolation!$I$23:$BC$23</c:f>
              <c:numCache>
                <c:formatCode>0.00%</c:formatCode>
                <c:ptCount val="47"/>
                <c:pt idx="0">
                  <c:v>0.12505012145255762</c:v>
                </c:pt>
                <c:pt idx="1">
                  <c:v>0.10964663818608578</c:v>
                </c:pt>
                <c:pt idx="2">
                  <c:v>0.11519114830475119</c:v>
                </c:pt>
                <c:pt idx="3">
                  <c:v>0.12690345164832481</c:v>
                </c:pt>
                <c:pt idx="4">
                  <c:v>0.13314912673655083</c:v>
                </c:pt>
                <c:pt idx="5">
                  <c:v>0.12719871868023111</c:v>
                </c:pt>
                <c:pt idx="6">
                  <c:v>0.11717095973409705</c:v>
                </c:pt>
                <c:pt idx="7">
                  <c:v>0.12500099814861812</c:v>
                </c:pt>
                <c:pt idx="8">
                  <c:v>0.12535572975754986</c:v>
                </c:pt>
                <c:pt idx="9">
                  <c:v>0.12571046012689674</c:v>
                </c:pt>
                <c:pt idx="10">
                  <c:v>0.12606518925666507</c:v>
                </c:pt>
                <c:pt idx="11">
                  <c:v>0.12641991714686163</c:v>
                </c:pt>
                <c:pt idx="12">
                  <c:v>0.12677464379749226</c:v>
                </c:pt>
                <c:pt idx="13">
                  <c:v>0.12712936920856427</c:v>
                </c:pt>
                <c:pt idx="14">
                  <c:v>0.12748409338008379</c:v>
                </c:pt>
                <c:pt idx="15">
                  <c:v>0.12783881631205726</c:v>
                </c:pt>
                <c:pt idx="16">
                  <c:v>0.12819353800449124</c:v>
                </c:pt>
                <c:pt idx="17">
                  <c:v>0.12854825845739243</c:v>
                </c:pt>
                <c:pt idx="18">
                  <c:v>0.12890297767076703</c:v>
                </c:pt>
                <c:pt idx="19">
                  <c:v>0.12925769564462161</c:v>
                </c:pt>
                <c:pt idx="20">
                  <c:v>0.12961241237896254</c:v>
                </c:pt>
                <c:pt idx="21">
                  <c:v>0.12996712787379633</c:v>
                </c:pt>
                <c:pt idx="22">
                  <c:v>0.13032184212913006</c:v>
                </c:pt>
                <c:pt idx="23">
                  <c:v>0.13067655514496979</c:v>
                </c:pt>
                <c:pt idx="24">
                  <c:v>0.1310312669213218</c:v>
                </c:pt>
                <c:pt idx="25">
                  <c:v>0.1313859774581928</c:v>
                </c:pt>
                <c:pt idx="26">
                  <c:v>0.13174068675558928</c:v>
                </c:pt>
                <c:pt idx="27">
                  <c:v>0.13209539481351773</c:v>
                </c:pt>
                <c:pt idx="28">
                  <c:v>0.13245010163198484</c:v>
                </c:pt>
                <c:pt idx="29">
                  <c:v>0.13280480721099688</c:v>
                </c:pt>
                <c:pt idx="30">
                  <c:v>0.13315951155056027</c:v>
                </c:pt>
                <c:pt idx="31">
                  <c:v>0.13351421465068175</c:v>
                </c:pt>
                <c:pt idx="32">
                  <c:v>0.13386891651136759</c:v>
                </c:pt>
                <c:pt idx="33">
                  <c:v>0.13422361713262451</c:v>
                </c:pt>
                <c:pt idx="34">
                  <c:v>0.13457831651445865</c:v>
                </c:pt>
                <c:pt idx="35">
                  <c:v>0.13493301465687699</c:v>
                </c:pt>
                <c:pt idx="36">
                  <c:v>0.13528771155988578</c:v>
                </c:pt>
                <c:pt idx="37">
                  <c:v>0.13564240722349138</c:v>
                </c:pt>
                <c:pt idx="38">
                  <c:v>0.1359971016477006</c:v>
                </c:pt>
                <c:pt idx="39">
                  <c:v>0.13635179483251961</c:v>
                </c:pt>
                <c:pt idx="40">
                  <c:v>0.13670648677795516</c:v>
                </c:pt>
                <c:pt idx="41">
                  <c:v>0.13706117748401367</c:v>
                </c:pt>
                <c:pt idx="42">
                  <c:v>0.13741586695070135</c:v>
                </c:pt>
                <c:pt idx="43">
                  <c:v>0.13777055517802517</c:v>
                </c:pt>
                <c:pt idx="44">
                  <c:v>0.13812524216599134</c:v>
                </c:pt>
                <c:pt idx="45">
                  <c:v>0.13847992791460667</c:v>
                </c:pt>
                <c:pt idx="46">
                  <c:v>0.13883461242387701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69-4E84-94D3-532ACE0C56B8}"/>
            </c:ext>
          </c:extLst>
        </c:ser>
        <c:ser>
          <c:idx val="2"/>
          <c:order val="2"/>
          <c:tx>
            <c:strRef>
              <c:f>Extrapolation!$A$24</c:f>
              <c:strCache>
                <c:ptCount val="1"/>
                <c:pt idx="0">
                  <c:v>一产中投入动物养殖比例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Extrapolation!$I$2:$BC$2</c:f>
              <c:numCache>
                <c:formatCode>General</c:formatCode>
                <c:ptCount val="47"/>
                <c:pt idx="0">
                  <c:v>2002</c:v>
                </c:pt>
                <c:pt idx="1">
                  <c:v>2007</c:v>
                </c:pt>
                <c:pt idx="2">
                  <c:v>2012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2026</c:v>
                </c:pt>
                <c:pt idx="13">
                  <c:v>2027</c:v>
                </c:pt>
                <c:pt idx="14">
                  <c:v>2028</c:v>
                </c:pt>
                <c:pt idx="15">
                  <c:v>2029</c:v>
                </c:pt>
                <c:pt idx="16">
                  <c:v>2030</c:v>
                </c:pt>
                <c:pt idx="17">
                  <c:v>2031</c:v>
                </c:pt>
                <c:pt idx="18">
                  <c:v>2032</c:v>
                </c:pt>
                <c:pt idx="19">
                  <c:v>2033</c:v>
                </c:pt>
                <c:pt idx="20">
                  <c:v>2034</c:v>
                </c:pt>
                <c:pt idx="21">
                  <c:v>2035</c:v>
                </c:pt>
                <c:pt idx="22">
                  <c:v>2036</c:v>
                </c:pt>
                <c:pt idx="23">
                  <c:v>2037</c:v>
                </c:pt>
                <c:pt idx="24">
                  <c:v>2038</c:v>
                </c:pt>
                <c:pt idx="25">
                  <c:v>2039</c:v>
                </c:pt>
                <c:pt idx="26">
                  <c:v>2040</c:v>
                </c:pt>
                <c:pt idx="27">
                  <c:v>2041</c:v>
                </c:pt>
                <c:pt idx="28">
                  <c:v>2042</c:v>
                </c:pt>
                <c:pt idx="29">
                  <c:v>2043</c:v>
                </c:pt>
                <c:pt idx="30">
                  <c:v>2044</c:v>
                </c:pt>
                <c:pt idx="31">
                  <c:v>2045</c:v>
                </c:pt>
                <c:pt idx="32">
                  <c:v>2046</c:v>
                </c:pt>
                <c:pt idx="33">
                  <c:v>2047</c:v>
                </c:pt>
                <c:pt idx="34">
                  <c:v>2048</c:v>
                </c:pt>
                <c:pt idx="35">
                  <c:v>2049</c:v>
                </c:pt>
                <c:pt idx="36">
                  <c:v>2050</c:v>
                </c:pt>
                <c:pt idx="37">
                  <c:v>2051</c:v>
                </c:pt>
                <c:pt idx="38">
                  <c:v>2052</c:v>
                </c:pt>
                <c:pt idx="39">
                  <c:v>2053</c:v>
                </c:pt>
                <c:pt idx="40">
                  <c:v>2054</c:v>
                </c:pt>
                <c:pt idx="41">
                  <c:v>2055</c:v>
                </c:pt>
                <c:pt idx="42">
                  <c:v>2056</c:v>
                </c:pt>
                <c:pt idx="43">
                  <c:v>2057</c:v>
                </c:pt>
                <c:pt idx="44">
                  <c:v>2058</c:v>
                </c:pt>
                <c:pt idx="45">
                  <c:v>2059</c:v>
                </c:pt>
                <c:pt idx="46">
                  <c:v>2060</c:v>
                </c:pt>
              </c:numCache>
            </c:numRef>
          </c:xVal>
          <c:yVal>
            <c:numRef>
              <c:f>Extrapolation!$I$24:$BC$24</c:f>
              <c:numCache>
                <c:formatCode>0.00%</c:formatCode>
                <c:ptCount val="47"/>
                <c:pt idx="0">
                  <c:v>0.5462865428998207</c:v>
                </c:pt>
                <c:pt idx="1">
                  <c:v>0.547297693527939</c:v>
                </c:pt>
                <c:pt idx="2">
                  <c:v>0.51768122718425869</c:v>
                </c:pt>
                <c:pt idx="3">
                  <c:v>0.48250582603127257</c:v>
                </c:pt>
                <c:pt idx="4">
                  <c:v>0.46268349510267237</c:v>
                </c:pt>
                <c:pt idx="5">
                  <c:v>0.47538707157297244</c:v>
                </c:pt>
                <c:pt idx="6">
                  <c:v>0.47709300482872019</c:v>
                </c:pt>
                <c:pt idx="7">
                  <c:v>0.47208601764823732</c:v>
                </c:pt>
                <c:pt idx="8">
                  <c:v>0.46876673056255092</c:v>
                </c:pt>
                <c:pt idx="9">
                  <c:v>0.4654474550758832</c:v>
                </c:pt>
                <c:pt idx="10">
                  <c:v>0.46212819118817205</c:v>
                </c:pt>
                <c:pt idx="11">
                  <c:v>0.45880893889935814</c:v>
                </c:pt>
                <c:pt idx="12">
                  <c:v>0.45548969820937857</c:v>
                </c:pt>
                <c:pt idx="13">
                  <c:v>0.45217046911817532</c:v>
                </c:pt>
                <c:pt idx="14">
                  <c:v>0.4488512516256854</c:v>
                </c:pt>
                <c:pt idx="15">
                  <c:v>0.44553204573184946</c:v>
                </c:pt>
                <c:pt idx="16">
                  <c:v>0.44221285143660588</c:v>
                </c:pt>
                <c:pt idx="17">
                  <c:v>0.43889366873989366</c:v>
                </c:pt>
                <c:pt idx="18">
                  <c:v>0.43557449764165335</c:v>
                </c:pt>
                <c:pt idx="19">
                  <c:v>0.43225533814182215</c:v>
                </c:pt>
                <c:pt idx="20">
                  <c:v>0.42893619024034063</c:v>
                </c:pt>
                <c:pt idx="21">
                  <c:v>0.4256170539371476</c:v>
                </c:pt>
                <c:pt idx="22">
                  <c:v>0.42229792923218223</c:v>
                </c:pt>
                <c:pt idx="23">
                  <c:v>0.41897881612538485</c:v>
                </c:pt>
                <c:pt idx="24">
                  <c:v>0.41565971461669216</c:v>
                </c:pt>
                <c:pt idx="25">
                  <c:v>0.41234062470604599</c:v>
                </c:pt>
                <c:pt idx="26">
                  <c:v>0.40902154639338328</c:v>
                </c:pt>
                <c:pt idx="27">
                  <c:v>0.40570247967864548</c:v>
                </c:pt>
                <c:pt idx="28">
                  <c:v>0.4023834245617709</c:v>
                </c:pt>
                <c:pt idx="29">
                  <c:v>0.39906438104269759</c:v>
                </c:pt>
                <c:pt idx="30">
                  <c:v>0.39574534912136655</c:v>
                </c:pt>
                <c:pt idx="31">
                  <c:v>0.39242632879771538</c:v>
                </c:pt>
                <c:pt idx="32">
                  <c:v>0.38910732007168458</c:v>
                </c:pt>
                <c:pt idx="33">
                  <c:v>0.38578832294321241</c:v>
                </c:pt>
                <c:pt idx="34">
                  <c:v>0.38246933741223899</c:v>
                </c:pt>
                <c:pt idx="35">
                  <c:v>0.37915036347870368</c:v>
                </c:pt>
                <c:pt idx="36">
                  <c:v>0.37583140114254376</c:v>
                </c:pt>
                <c:pt idx="37">
                  <c:v>0.37251245040369962</c:v>
                </c:pt>
                <c:pt idx="38">
                  <c:v>0.3691935112621122</c:v>
                </c:pt>
                <c:pt idx="39">
                  <c:v>0.36587458371771875</c:v>
                </c:pt>
                <c:pt idx="40">
                  <c:v>0.36255566777045811</c:v>
                </c:pt>
                <c:pt idx="41">
                  <c:v>0.35923676342027111</c:v>
                </c:pt>
                <c:pt idx="42">
                  <c:v>0.35591787066709546</c:v>
                </c:pt>
                <c:pt idx="43">
                  <c:v>0.35259898951087087</c:v>
                </c:pt>
                <c:pt idx="44">
                  <c:v>0.34928011995153774</c:v>
                </c:pt>
                <c:pt idx="45">
                  <c:v>0.34596126198903332</c:v>
                </c:pt>
                <c:pt idx="46">
                  <c:v>0.34264241562329917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569-4E84-94D3-532ACE0C5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4308080"/>
        <c:axId val="1334308496"/>
      </c:scatterChart>
      <c:valAx>
        <c:axId val="1334308080"/>
        <c:scaling>
          <c:orientation val="minMax"/>
          <c:max val="2060"/>
          <c:min val="2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34308496"/>
        <c:crosses val="autoZero"/>
        <c:crossBetween val="midCat"/>
      </c:valAx>
      <c:valAx>
        <c:axId val="133430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343080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9409667541557303"/>
          <c:w val="1"/>
          <c:h val="7.81255468066491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31</xdr:row>
      <xdr:rowOff>0</xdr:rowOff>
    </xdr:from>
    <xdr:to>
      <xdr:col>6</xdr:col>
      <xdr:colOff>571500</xdr:colOff>
      <xdr:row>46</xdr:row>
      <xdr:rowOff>28575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31</xdr:row>
      <xdr:rowOff>0</xdr:rowOff>
    </xdr:from>
    <xdr:to>
      <xdr:col>13</xdr:col>
      <xdr:colOff>457200</xdr:colOff>
      <xdr:row>46</xdr:row>
      <xdr:rowOff>28575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53D57E8A-AE08-42A8-A705-D608987101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0</xdr:colOff>
      <xdr:row>31</xdr:row>
      <xdr:rowOff>0</xdr:rowOff>
    </xdr:from>
    <xdr:to>
      <xdr:col>20</xdr:col>
      <xdr:colOff>457200</xdr:colOff>
      <xdr:row>46</xdr:row>
      <xdr:rowOff>28575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DC9D4D5E-66A3-4A2B-BD30-A2EFF1D4A8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S01\jhc\unzipped\Eastern%20Airline%20FE\Spares\FILES\SMCTS2\SMCTSSP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TS01\jhc\unzipped\Eastern%20Airline%20FE\Spares\FILES\SMCTS2\SMCTSSP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gramming\EPS\Existing%20Models\EPS%20US%203.3.1\InputData\fuels\BFPaT\BAU%20Fuel%20Prices%20and%20Tax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qpmad2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qpmad2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AEO Table 2"/>
      <sheetName val="Gas Futures"/>
      <sheetName val="Henry Hub Historicals"/>
      <sheetName val="NG Sector Price Historicals"/>
      <sheetName val="Historical Monthly Gas Cons"/>
      <sheetName val="NG Calcs"/>
      <sheetName val="AEO Table 3"/>
      <sheetName val="AEO Table 12"/>
      <sheetName val="AEO Table 57"/>
      <sheetName val="Hard Coal and Lig Multipliers"/>
      <sheetName val="Hydrogen"/>
      <sheetName val="Other Fuels"/>
      <sheetName val="Tax Percentages"/>
      <sheetName val="Pretax &gt;"/>
      <sheetName val="BFPaT-pretax-electricity"/>
      <sheetName val="BFPaT-pretax-coal"/>
      <sheetName val="BFPaT-pretax-natgas"/>
      <sheetName val="BFPaT-pretax-nuclear"/>
      <sheetName val="BFPaT-pretax-hydro"/>
      <sheetName val="BFPaT-pretax-wind"/>
      <sheetName val="BFPaT-pretax-solar"/>
      <sheetName val="BFPaT-pretax-biomass"/>
      <sheetName val="BFPaT-pretax-petgas"/>
      <sheetName val="BFPaT-pretax-petdies"/>
      <sheetName val="BFPaT-pretax-biogas"/>
      <sheetName val="BFPaT-pretax-biodies"/>
      <sheetName val="BFPaT-pretax-jetkerosene"/>
      <sheetName val="BFPaT-pretax-heat"/>
      <sheetName val="BFPaT-pretax-geothermal"/>
      <sheetName val="BFPaT-pretax-lignite"/>
      <sheetName val="BFPaT-pretax-crude"/>
      <sheetName val="BFPaT-pretax-heavyfueloil"/>
      <sheetName val="BFPaT-pretax-lpgpropbut"/>
      <sheetName val="BFPaT-pretax-msw"/>
      <sheetName val="BFPaT-pretax-hydrogen"/>
      <sheetName val="Summary_pretax"/>
      <sheetName val="Fuel Tax &gt;"/>
      <sheetName val="BFPaT-fueltax-electricity"/>
      <sheetName val="BFPaT-fueltax-coal"/>
      <sheetName val="BFPaT-fueltax-natgas"/>
      <sheetName val="BFPaT-fueltax-nuclear"/>
      <sheetName val="BFPaT-fueltax-hydro"/>
      <sheetName val="BFPaT-fueltax-wind"/>
      <sheetName val="BFPaT-fueltax-solar"/>
      <sheetName val="BFPaT-fueltax-biomass"/>
      <sheetName val="BFPaT-fueltax-petgas"/>
      <sheetName val="BFPaT-fueltax-petdies"/>
      <sheetName val="BFPaT-fueltax-biogas"/>
      <sheetName val="BFPaT-fueltax-biodies"/>
      <sheetName val="BFPaT-fueltax-jetkerosene"/>
      <sheetName val="BFPaT-fueltax-heat"/>
      <sheetName val="BFPaT-fueltax-geothermal"/>
      <sheetName val="BFPaT-fueltax-lignite"/>
      <sheetName val="BFPaT-fueltax-crude"/>
      <sheetName val="BFPaT-fueltax-heavyfueloil"/>
      <sheetName val="BFPaT-fueltax-lpgpropbut"/>
      <sheetName val="BFPaT-fueltax-msw"/>
      <sheetName val="BFPaT-fueltax-hydrogen"/>
      <sheetName val="Summary_ta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"/>
  <sheetViews>
    <sheetView workbookViewId="0">
      <selection activeCell="B19" sqref="B19"/>
    </sheetView>
  </sheetViews>
  <sheetFormatPr defaultColWidth="9" defaultRowHeight="14.25" x14ac:dyDescent="0.2"/>
  <cols>
    <col min="1" max="1" width="23.5" customWidth="1"/>
    <col min="2" max="13" width="9.75" customWidth="1"/>
  </cols>
  <sheetData>
    <row r="1" spans="1:14" x14ac:dyDescent="0.2">
      <c r="B1" s="11"/>
    </row>
    <row r="2" spans="1:14" x14ac:dyDescent="0.2">
      <c r="A2" s="16"/>
      <c r="B2" s="16" t="s">
        <v>0</v>
      </c>
      <c r="C2" s="17"/>
      <c r="D2" s="16" t="s">
        <v>1</v>
      </c>
      <c r="E2" s="17"/>
      <c r="F2" s="16" t="s">
        <v>2</v>
      </c>
      <c r="G2" s="17"/>
      <c r="H2" s="16" t="s">
        <v>3</v>
      </c>
      <c r="I2" s="17"/>
      <c r="J2" s="16" t="s">
        <v>4</v>
      </c>
      <c r="K2" s="17"/>
      <c r="L2" s="24" t="s">
        <v>5</v>
      </c>
      <c r="M2" s="24"/>
    </row>
    <row r="3" spans="1:14" x14ac:dyDescent="0.2">
      <c r="A3" s="18"/>
      <c r="B3" s="18" t="s">
        <v>6</v>
      </c>
      <c r="C3" s="19" t="s">
        <v>7</v>
      </c>
      <c r="D3" s="18" t="s">
        <v>6</v>
      </c>
      <c r="E3" s="19" t="s">
        <v>7</v>
      </c>
      <c r="F3" s="18" t="s">
        <v>6</v>
      </c>
      <c r="G3" s="19" t="s">
        <v>7</v>
      </c>
      <c r="H3" s="18" t="s">
        <v>6</v>
      </c>
      <c r="I3" s="19" t="s">
        <v>7</v>
      </c>
      <c r="J3" s="18" t="s">
        <v>6</v>
      </c>
      <c r="K3" s="19" t="s">
        <v>7</v>
      </c>
      <c r="L3" t="s">
        <v>6</v>
      </c>
      <c r="M3" t="s">
        <v>7</v>
      </c>
    </row>
    <row r="4" spans="1:14" x14ac:dyDescent="0.2">
      <c r="A4" s="18" t="s">
        <v>8</v>
      </c>
      <c r="B4" s="20">
        <v>3454981.4800225901</v>
      </c>
      <c r="C4" s="21">
        <v>0</v>
      </c>
      <c r="D4" s="20">
        <v>750282.14551937603</v>
      </c>
      <c r="E4" s="21">
        <v>0</v>
      </c>
      <c r="F4" s="20">
        <v>106422.28232021601</v>
      </c>
      <c r="G4" s="21">
        <v>0</v>
      </c>
      <c r="H4" s="20">
        <v>34154.777502580597</v>
      </c>
      <c r="I4" s="21">
        <v>0</v>
      </c>
      <c r="J4" s="20">
        <v>10968.672251434</v>
      </c>
      <c r="K4" s="21">
        <v>0</v>
      </c>
      <c r="L4" s="11">
        <v>21116.416590264002</v>
      </c>
      <c r="M4" s="11">
        <v>0</v>
      </c>
      <c r="N4" s="11"/>
    </row>
    <row r="5" spans="1:14" x14ac:dyDescent="0.2">
      <c r="A5" s="18" t="s">
        <v>9</v>
      </c>
      <c r="B5" s="20">
        <v>92351711</v>
      </c>
      <c r="C5" s="21">
        <v>0</v>
      </c>
      <c r="D5" s="20">
        <v>38671281</v>
      </c>
      <c r="E5" s="21">
        <v>0</v>
      </c>
      <c r="F5" s="20">
        <v>16352886.9</v>
      </c>
      <c r="G5" s="21">
        <v>0</v>
      </c>
      <c r="H5" s="20">
        <v>3587776.5</v>
      </c>
      <c r="I5" s="21">
        <v>0</v>
      </c>
      <c r="J5" s="20">
        <v>2913789.2</v>
      </c>
      <c r="K5" s="21">
        <v>0</v>
      </c>
      <c r="L5" s="11">
        <v>2270054.7000000002</v>
      </c>
      <c r="M5" s="11">
        <v>0</v>
      </c>
      <c r="N5" s="11"/>
    </row>
    <row r="6" spans="1:14" x14ac:dyDescent="0.2">
      <c r="A6" s="18" t="s">
        <v>10</v>
      </c>
      <c r="B6" s="20">
        <v>0</v>
      </c>
      <c r="C6" s="21">
        <v>53801761.4225794</v>
      </c>
      <c r="D6" s="20">
        <v>0</v>
      </c>
      <c r="E6" s="21">
        <v>49023183.391860001</v>
      </c>
      <c r="F6" s="20">
        <v>0</v>
      </c>
      <c r="G6" s="21">
        <v>14103147.8562403</v>
      </c>
      <c r="H6" s="20">
        <v>0</v>
      </c>
      <c r="I6" s="21">
        <v>1668084.4731842999</v>
      </c>
      <c r="J6" s="20">
        <v>0</v>
      </c>
      <c r="K6" s="21">
        <v>7111344.4932465404</v>
      </c>
      <c r="L6" s="11">
        <v>0</v>
      </c>
      <c r="M6" s="11">
        <v>143884.77718224001</v>
      </c>
      <c r="N6" s="11"/>
    </row>
    <row r="7" spans="1:14" x14ac:dyDescent="0.2">
      <c r="A7" s="18" t="s">
        <v>11</v>
      </c>
      <c r="B7" s="20">
        <v>48904495</v>
      </c>
      <c r="C7" s="21">
        <v>0</v>
      </c>
      <c r="D7" s="20">
        <v>45888953</v>
      </c>
      <c r="E7" s="21">
        <v>0</v>
      </c>
      <c r="F7" s="20">
        <v>13358113.1</v>
      </c>
      <c r="G7" s="21">
        <v>0</v>
      </c>
      <c r="H7" s="20">
        <v>2960906.5</v>
      </c>
      <c r="I7" s="21">
        <v>0</v>
      </c>
      <c r="J7" s="20">
        <v>11594020.4</v>
      </c>
      <c r="K7" s="21">
        <v>0</v>
      </c>
      <c r="L7" s="11">
        <v>10260874</v>
      </c>
      <c r="M7" s="11">
        <v>0</v>
      </c>
      <c r="N7" s="11"/>
    </row>
    <row r="8" spans="1:14" x14ac:dyDescent="0.2">
      <c r="A8" s="18" t="s">
        <v>12</v>
      </c>
      <c r="B8" s="20">
        <v>0</v>
      </c>
      <c r="C8" s="21">
        <v>87827945.509157002</v>
      </c>
      <c r="D8" s="20">
        <v>0</v>
      </c>
      <c r="E8" s="21">
        <v>33249627.224038899</v>
      </c>
      <c r="F8" s="20">
        <v>0</v>
      </c>
      <c r="G8" s="21">
        <v>14769442.5797731</v>
      </c>
      <c r="H8" s="20">
        <v>0</v>
      </c>
      <c r="I8" s="21">
        <v>4885982.5547912596</v>
      </c>
      <c r="J8" s="20">
        <v>0</v>
      </c>
      <c r="K8" s="21">
        <v>7005392.7226566998</v>
      </c>
      <c r="L8" s="11">
        <v>0</v>
      </c>
      <c r="M8" s="11">
        <v>12314911.9823706</v>
      </c>
      <c r="N8" s="11"/>
    </row>
    <row r="9" spans="1:14" x14ac:dyDescent="0.2">
      <c r="A9" s="18" t="s">
        <v>0</v>
      </c>
      <c r="B9" s="20">
        <v>9982713.1684057806</v>
      </c>
      <c r="C9" s="21">
        <v>9982713.1684057806</v>
      </c>
      <c r="D9" s="20">
        <v>16692984.4964418</v>
      </c>
      <c r="E9" s="21">
        <v>870757.31841258297</v>
      </c>
      <c r="F9" s="20">
        <v>1344515.9577423199</v>
      </c>
      <c r="G9" s="21">
        <v>1157.92607209325</v>
      </c>
      <c r="H9" s="20">
        <v>444494.49616807402</v>
      </c>
      <c r="I9" s="21">
        <v>1647582.4586372401</v>
      </c>
      <c r="J9" s="20">
        <v>9190021.6382477805</v>
      </c>
      <c r="K9" s="21">
        <v>759873.03145855095</v>
      </c>
      <c r="L9" s="11">
        <v>4835130.3051955998</v>
      </c>
      <c r="M9" s="11">
        <v>343443.26262337598</v>
      </c>
      <c r="N9" s="11"/>
    </row>
    <row r="10" spans="1:14" x14ac:dyDescent="0.2">
      <c r="A10" s="18" t="s">
        <v>1</v>
      </c>
      <c r="B10" s="20">
        <v>870757.31841258297</v>
      </c>
      <c r="C10" s="21">
        <v>16692984.4964418</v>
      </c>
      <c r="D10" s="20">
        <v>7886955.1579056699</v>
      </c>
      <c r="E10" s="21">
        <v>7886955.1579056699</v>
      </c>
      <c r="F10" s="20">
        <v>0</v>
      </c>
      <c r="G10" s="21">
        <v>0</v>
      </c>
      <c r="H10" s="20">
        <v>123041.527783418</v>
      </c>
      <c r="I10" s="21">
        <v>574692.80607822002</v>
      </c>
      <c r="J10" s="20">
        <v>30.528515454496102</v>
      </c>
      <c r="K10" s="21">
        <v>2387732.9961096002</v>
      </c>
      <c r="L10" s="11">
        <v>25178.006978465801</v>
      </c>
      <c r="M10" s="11">
        <v>9314575.1560200192</v>
      </c>
      <c r="N10" s="11"/>
    </row>
    <row r="11" spans="1:14" x14ac:dyDescent="0.2">
      <c r="A11" s="18" t="s">
        <v>2</v>
      </c>
      <c r="B11" s="20">
        <v>1157.92607209325</v>
      </c>
      <c r="C11" s="21">
        <v>1344515.9577423199</v>
      </c>
      <c r="D11" s="20">
        <v>0</v>
      </c>
      <c r="E11" s="21">
        <v>0</v>
      </c>
      <c r="F11" s="20">
        <v>2549435.1629699701</v>
      </c>
      <c r="G11" s="21">
        <v>2549435.1629699701</v>
      </c>
      <c r="H11" s="20">
        <v>41022.305487907601</v>
      </c>
      <c r="I11" s="21">
        <v>345160.14077160502</v>
      </c>
      <c r="J11" s="20">
        <v>0</v>
      </c>
      <c r="K11" s="21">
        <v>129313.396011074</v>
      </c>
      <c r="L11" s="11">
        <v>437664.06830617797</v>
      </c>
      <c r="M11" s="11">
        <v>1846891.8356263801</v>
      </c>
      <c r="N11" s="11"/>
    </row>
    <row r="12" spans="1:14" x14ac:dyDescent="0.2">
      <c r="A12" s="18" t="s">
        <v>3</v>
      </c>
      <c r="B12" s="20">
        <v>1647582.4586372401</v>
      </c>
      <c r="C12" s="21">
        <v>444494.49616807402</v>
      </c>
      <c r="D12" s="20">
        <v>574692.80607822002</v>
      </c>
      <c r="E12" s="21">
        <v>123041.527783418</v>
      </c>
      <c r="F12" s="20">
        <v>345160.14077160502</v>
      </c>
      <c r="G12" s="21">
        <v>41022.305487907601</v>
      </c>
      <c r="H12" s="20">
        <v>124329.747461943</v>
      </c>
      <c r="I12" s="21">
        <v>124329.747461943</v>
      </c>
      <c r="J12" s="20">
        <v>0</v>
      </c>
      <c r="K12" s="21">
        <v>49619.465806991699</v>
      </c>
      <c r="L12" s="11">
        <v>0</v>
      </c>
      <c r="M12" s="11">
        <v>253711.86364540801</v>
      </c>
      <c r="N12" s="11"/>
    </row>
    <row r="13" spans="1:14" x14ac:dyDescent="0.2">
      <c r="A13" s="18" t="s">
        <v>4</v>
      </c>
      <c r="B13" s="20">
        <v>759873.03145855095</v>
      </c>
      <c r="C13" s="21">
        <v>9190021.6382477805</v>
      </c>
      <c r="D13" s="20">
        <v>2387732.9961096002</v>
      </c>
      <c r="E13" s="21">
        <v>30.528515454496102</v>
      </c>
      <c r="F13" s="20">
        <v>129313.396011074</v>
      </c>
      <c r="G13" s="21">
        <v>0</v>
      </c>
      <c r="H13" s="20">
        <v>49619.465806991699</v>
      </c>
      <c r="I13" s="21">
        <v>0</v>
      </c>
      <c r="J13" s="20">
        <v>158406.18734154399</v>
      </c>
      <c r="K13" s="21">
        <v>158406.18734154399</v>
      </c>
      <c r="L13" s="11">
        <v>625472.93187660305</v>
      </c>
      <c r="M13" s="11">
        <v>4266.0843956069903</v>
      </c>
      <c r="N13" s="11"/>
    </row>
    <row r="14" spans="1:14" x14ac:dyDescent="0.2">
      <c r="A14" s="18" t="s">
        <v>5</v>
      </c>
      <c r="B14" s="20">
        <v>343443.26262337598</v>
      </c>
      <c r="C14" s="21">
        <v>4835130.3051955998</v>
      </c>
      <c r="D14" s="20">
        <v>9314575.1560200192</v>
      </c>
      <c r="E14" s="21">
        <v>25178.006978465801</v>
      </c>
      <c r="F14" s="20">
        <v>1846891.8356263801</v>
      </c>
      <c r="G14" s="21">
        <v>437664.06830617797</v>
      </c>
      <c r="H14" s="20">
        <v>253711.86364540801</v>
      </c>
      <c r="I14" s="21">
        <v>0</v>
      </c>
      <c r="J14" s="20">
        <v>4266.0843956069903</v>
      </c>
      <c r="K14" s="21">
        <v>625472.93187660305</v>
      </c>
      <c r="L14" s="11">
        <v>421212.82197583403</v>
      </c>
      <c r="M14" s="11">
        <v>421212.82197583403</v>
      </c>
      <c r="N14" s="11"/>
    </row>
    <row r="16" spans="1:14" x14ac:dyDescent="0.2">
      <c r="A16" t="s">
        <v>13</v>
      </c>
      <c r="B16" s="14">
        <f>B5/B7+1</f>
        <v>2.8884094601119998</v>
      </c>
      <c r="C16" s="14"/>
      <c r="D16" s="14">
        <f>D5/D7+1</f>
        <v>1.8427143892343762</v>
      </c>
      <c r="E16" s="14"/>
      <c r="F16" s="14">
        <f>F5/F7+1</f>
        <v>2.2241913792450223</v>
      </c>
      <c r="H16" s="14">
        <f>H5/H7+1</f>
        <v>2.2117155675128544</v>
      </c>
      <c r="I16" s="14"/>
      <c r="J16" s="14">
        <f>J5/J7+1</f>
        <v>1.2513182743752977</v>
      </c>
      <c r="K16" s="14"/>
      <c r="L16" s="14">
        <f>L5/L7+1</f>
        <v>1.2212340488734195</v>
      </c>
      <c r="M16" s="14"/>
    </row>
    <row r="18" spans="1:13" x14ac:dyDescent="0.2">
      <c r="A18" t="s">
        <v>0</v>
      </c>
      <c r="B18" s="15"/>
      <c r="C18" s="15"/>
      <c r="H18" s="15">
        <f>H9/(H$7-H$12)</f>
        <v>0.15670102907328626</v>
      </c>
      <c r="I18" s="15">
        <f>I9/(I$6+I$8-I$12)</f>
        <v>0.25624413358699921</v>
      </c>
      <c r="J18" s="15">
        <f>J9/(J$7-J$13)</f>
        <v>0.80363166047303736</v>
      </c>
      <c r="K18" s="15">
        <f>K9/(K$6+K$8-K$13)</f>
        <v>5.4438673929117318E-2</v>
      </c>
      <c r="L18" s="15">
        <f>L9/(L$7-L$14)</f>
        <v>0.491391951177582</v>
      </c>
      <c r="M18" s="15">
        <f>M9/(M$6+M$8-M$14)</f>
        <v>2.8530913213512032E-2</v>
      </c>
    </row>
    <row r="19" spans="1:13" x14ac:dyDescent="0.2">
      <c r="A19" t="s">
        <v>1</v>
      </c>
      <c r="B19" s="15">
        <f>B10/(B$7-B$9)</f>
        <v>2.2371979838439918E-2</v>
      </c>
      <c r="C19" s="15">
        <f>C10/(C$6+C$8-C$9)</f>
        <v>0.12680110665080388</v>
      </c>
      <c r="H19" s="15">
        <f>H10/(H$7-H$12)</f>
        <v>4.3376766616071746E-2</v>
      </c>
      <c r="I19" s="15">
        <f>I10/(I$6+I$8-I$12)</f>
        <v>8.938044915457459E-2</v>
      </c>
      <c r="J19" s="15">
        <f>J10/(J$7-J$13)</f>
        <v>2.6695999783468638E-6</v>
      </c>
      <c r="K19" s="15">
        <f>K10/(K$6+K$8-K$13)</f>
        <v>0.17106149662332792</v>
      </c>
      <c r="L19" s="15">
        <f>L10/(L$7-L$14)</f>
        <v>2.5588286550657043E-3</v>
      </c>
      <c r="M19" s="15">
        <f>M10/(M$6+M$8-M$14)</f>
        <v>0.77379108667672647</v>
      </c>
    </row>
    <row r="20" spans="1:13" x14ac:dyDescent="0.2">
      <c r="A20" t="s">
        <v>2</v>
      </c>
      <c r="B20" s="15">
        <f>B11/(B$7-B$9)</f>
        <v>2.9750078686102686E-5</v>
      </c>
      <c r="C20" s="15">
        <f>C11/(C$6+C$8-C$9)</f>
        <v>1.0213039578856116E-2</v>
      </c>
      <c r="H20" s="15">
        <f>H11/(H$7-H$12)</f>
        <v>1.4461905693615539E-2</v>
      </c>
      <c r="I20" s="15">
        <f>I11/(I$6+I$8-I$12)</f>
        <v>5.3681841996510493E-2</v>
      </c>
      <c r="J20" s="15">
        <f>J11/(J$7-J$13)</f>
        <v>0</v>
      </c>
      <c r="K20" s="15">
        <f>K11/(K$6+K$8-K$13)</f>
        <v>9.2642448260090299E-3</v>
      </c>
      <c r="L20" s="15">
        <f>L11/(L$7-L$14)</f>
        <v>4.4479587293478562E-2</v>
      </c>
      <c r="M20" s="15">
        <f>M11/(M$6+M$8-M$14)</f>
        <v>0.1534271200270553</v>
      </c>
    </row>
    <row r="21" spans="1:13" x14ac:dyDescent="0.2">
      <c r="A21" t="s">
        <v>3</v>
      </c>
      <c r="B21" s="15">
        <f>B12/(B$7-B$9)</f>
        <v>4.2330602071764291E-2</v>
      </c>
      <c r="C21" s="15">
        <f>C12/(C$6+C$8-C$9)</f>
        <v>3.3764120506022898E-3</v>
      </c>
      <c r="H21" s="15"/>
      <c r="I21" s="15"/>
      <c r="J21" s="15">
        <f>J12/(J$7-J$13)</f>
        <v>0</v>
      </c>
      <c r="K21" s="15">
        <f>K12/(K$6+K$8-K$13)</f>
        <v>3.5548279880638868E-3</v>
      </c>
      <c r="L21" s="15">
        <f>L12/(L$7-L$14)</f>
        <v>0</v>
      </c>
      <c r="M21" s="15">
        <f>M12/(M$6+M$8-M$14)</f>
        <v>2.1076643366399372E-2</v>
      </c>
    </row>
    <row r="22" spans="1:13" x14ac:dyDescent="0.2">
      <c r="A22" t="s">
        <v>4</v>
      </c>
      <c r="B22" s="15">
        <f>B13/(B$7-B$9)</f>
        <v>1.9523079255373003E-2</v>
      </c>
      <c r="C22" s="15">
        <f>C13/(C$6+C$8-C$9)</f>
        <v>6.9808063029294931E-2</v>
      </c>
      <c r="H22" s="15">
        <f>H13/(H$7-H$12)</f>
        <v>1.7492728078869771E-2</v>
      </c>
      <c r="I22" s="15">
        <f>I13/(I$6+I$8-I$12)</f>
        <v>0</v>
      </c>
      <c r="J22" s="15"/>
      <c r="K22" s="15"/>
      <c r="L22" s="15">
        <f>L13/(L$7-L$14)</f>
        <v>6.3566511138973991E-2</v>
      </c>
      <c r="M22" s="15">
        <f>M13/(M$6+M$8-M$14)</f>
        <v>3.54397063208823E-4</v>
      </c>
    </row>
    <row r="23" spans="1:13" x14ac:dyDescent="0.2">
      <c r="A23" t="s">
        <v>5</v>
      </c>
      <c r="B23" s="15">
        <f>B14/(B$7-B$9)</f>
        <v>8.8239347342672428E-3</v>
      </c>
      <c r="C23" s="15">
        <f>C14/(C$6+C$8-C$9)</f>
        <v>3.6727996340637996E-2</v>
      </c>
      <c r="H23" s="15">
        <f>H14/(H$7-H$12)</f>
        <v>8.9442975029107405E-2</v>
      </c>
      <c r="I23" s="15">
        <f>I14/(I$6+I$8-I$12)</f>
        <v>0</v>
      </c>
      <c r="J23" s="15">
        <f>J14/(J$7-J$13)</f>
        <v>3.7305249340124832E-4</v>
      </c>
      <c r="K23" s="15">
        <f>K14/(K$6+K$8-K$13)</f>
        <v>4.4810008488604634E-2</v>
      </c>
      <c r="L23" s="15"/>
      <c r="M23" s="15"/>
    </row>
    <row r="24" spans="1:13" x14ac:dyDescent="0.2">
      <c r="B24" t="s">
        <v>14</v>
      </c>
      <c r="H24" t="s">
        <v>15</v>
      </c>
      <c r="J24" t="s">
        <v>16</v>
      </c>
      <c r="L24" t="s">
        <v>17</v>
      </c>
    </row>
    <row r="25" spans="1:13" s="15" customFormat="1" x14ac:dyDescent="0.2">
      <c r="A25" s="15" t="s">
        <v>1</v>
      </c>
      <c r="C25" s="15">
        <f>C19</f>
        <v>0.12680110665080388</v>
      </c>
      <c r="I25" s="15">
        <f>C21*I19</f>
        <v>3.0178522561375088E-4</v>
      </c>
      <c r="K25" s="15">
        <f>C22*K19</f>
        <v>1.1941471738166797E-2</v>
      </c>
      <c r="M25" s="15">
        <f>C23*M19</f>
        <v>2.8419796199881109E-2</v>
      </c>
    </row>
    <row r="26" spans="1:13" s="15" customFormat="1" x14ac:dyDescent="0.2">
      <c r="A26" s="15" t="s">
        <v>2</v>
      </c>
      <c r="C26" s="15">
        <f>C20</f>
        <v>1.0213039578856116E-2</v>
      </c>
      <c r="I26" s="15">
        <f>C21*I20</f>
        <v>1.8125201821554612E-4</v>
      </c>
      <c r="K26" s="15">
        <f>C22*K20</f>
        <v>6.4671898673285776E-4</v>
      </c>
      <c r="M26" s="15">
        <f>C23*M20</f>
        <v>5.6350707029083139E-3</v>
      </c>
    </row>
    <row r="28" spans="1:13" x14ac:dyDescent="0.2">
      <c r="A28" t="s">
        <v>18</v>
      </c>
      <c r="B28" s="11">
        <f>(C6+C8-B4)/10000</f>
        <v>13817.472545171384</v>
      </c>
    </row>
    <row r="29" spans="1:13" x14ac:dyDescent="0.2">
      <c r="A29" t="s">
        <v>19</v>
      </c>
      <c r="B29" s="11">
        <f>(E6+E8-D4)/10000</f>
        <v>8152.252847037953</v>
      </c>
      <c r="C29" s="11">
        <f>B28*(C25+I25+K25+M25)</f>
        <v>2313.9314305365701</v>
      </c>
      <c r="D29" s="15">
        <f>(B29+C29)/SUM(B28:B30)</f>
        <v>0.42123642144726303</v>
      </c>
    </row>
    <row r="30" spans="1:13" x14ac:dyDescent="0.2">
      <c r="A30" t="s">
        <v>20</v>
      </c>
      <c r="B30" s="11">
        <f>(G6+G8-F4)/10000</f>
        <v>2876.6168153693184</v>
      </c>
      <c r="C30" s="11">
        <f>B28*(C26+I26+K26+M26)</f>
        <v>230.42129534020091</v>
      </c>
      <c r="D30" s="15">
        <f>(B30+C30)/SUM(B28:B30)</f>
        <v>0.12505012145255762</v>
      </c>
    </row>
  </sheetData>
  <phoneticPr fontId="3" type="noConversion"/>
  <pageMargins left="0.7" right="0.7" top="0.75" bottom="0.75" header="0.3" footer="0.3"/>
  <pageSetup paperSize="9" orientation="portrait" horizontalDpi="1200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0"/>
  <sheetViews>
    <sheetView workbookViewId="0">
      <selection activeCell="C24" sqref="C24"/>
    </sheetView>
  </sheetViews>
  <sheetFormatPr defaultColWidth="9" defaultRowHeight="14.25" x14ac:dyDescent="0.2"/>
  <cols>
    <col min="1" max="1" width="23.5" customWidth="1"/>
    <col min="2" max="13" width="11.875" customWidth="1"/>
  </cols>
  <sheetData>
    <row r="1" spans="1:14" x14ac:dyDescent="0.2">
      <c r="B1" s="11"/>
    </row>
    <row r="2" spans="1:14" x14ac:dyDescent="0.2">
      <c r="A2" s="16"/>
      <c r="B2" s="16" t="s">
        <v>0</v>
      </c>
      <c r="C2" s="17"/>
      <c r="D2" s="16" t="s">
        <v>1</v>
      </c>
      <c r="E2" s="17"/>
      <c r="F2" s="16" t="s">
        <v>2</v>
      </c>
      <c r="G2" s="17"/>
      <c r="H2" s="16" t="s">
        <v>3</v>
      </c>
      <c r="I2" s="17"/>
      <c r="J2" s="16" t="s">
        <v>4</v>
      </c>
      <c r="K2" s="17"/>
      <c r="L2" s="24" t="s">
        <v>5</v>
      </c>
      <c r="M2" s="24"/>
    </row>
    <row r="3" spans="1:14" x14ac:dyDescent="0.2">
      <c r="A3" s="18"/>
      <c r="B3" s="18" t="s">
        <v>6</v>
      </c>
      <c r="C3" s="19" t="s">
        <v>7</v>
      </c>
      <c r="D3" s="18" t="s">
        <v>6</v>
      </c>
      <c r="E3" s="19" t="s">
        <v>7</v>
      </c>
      <c r="F3" s="18" t="s">
        <v>6</v>
      </c>
      <c r="G3" s="19" t="s">
        <v>7</v>
      </c>
      <c r="H3" s="18" t="s">
        <v>6</v>
      </c>
      <c r="I3" s="19" t="s">
        <v>7</v>
      </c>
      <c r="J3" s="18" t="s">
        <v>6</v>
      </c>
      <c r="K3" s="19" t="s">
        <v>7</v>
      </c>
      <c r="L3" t="s">
        <v>6</v>
      </c>
      <c r="M3" t="s">
        <v>7</v>
      </c>
    </row>
    <row r="4" spans="1:14" x14ac:dyDescent="0.2">
      <c r="A4" s="18" t="s">
        <v>8</v>
      </c>
      <c r="B4" s="20">
        <v>14901515.941983299</v>
      </c>
      <c r="C4" s="21">
        <v>0</v>
      </c>
      <c r="D4" s="20">
        <v>1625679.56927691</v>
      </c>
      <c r="E4" s="21">
        <v>0</v>
      </c>
      <c r="F4" s="20">
        <v>150754.81722162</v>
      </c>
      <c r="G4" s="21">
        <v>0</v>
      </c>
      <c r="H4" s="20">
        <v>36252.6633942111</v>
      </c>
      <c r="I4" s="21">
        <v>0</v>
      </c>
      <c r="J4" s="20">
        <v>417734.27077609801</v>
      </c>
      <c r="K4" s="21">
        <v>0</v>
      </c>
      <c r="L4" s="11">
        <v>114507.791447963</v>
      </c>
      <c r="M4" s="11">
        <v>0</v>
      </c>
      <c r="N4" s="11"/>
    </row>
    <row r="5" spans="1:14" x14ac:dyDescent="0.2">
      <c r="A5" s="18" t="s">
        <v>9</v>
      </c>
      <c r="B5" s="20">
        <v>160007767</v>
      </c>
      <c r="C5" s="21">
        <v>0</v>
      </c>
      <c r="D5" s="20">
        <v>78019433</v>
      </c>
      <c r="E5" s="21">
        <v>0</v>
      </c>
      <c r="F5" s="20">
        <v>27307478</v>
      </c>
      <c r="G5" s="21">
        <v>0</v>
      </c>
      <c r="H5" s="20">
        <v>8505542.9000000004</v>
      </c>
      <c r="I5" s="21">
        <v>0</v>
      </c>
      <c r="J5" s="20">
        <v>7638150</v>
      </c>
      <c r="K5" s="21">
        <v>0</v>
      </c>
      <c r="L5" s="11">
        <v>6891064</v>
      </c>
      <c r="M5" s="11">
        <v>0</v>
      </c>
      <c r="N5" s="11"/>
    </row>
    <row r="6" spans="1:14" x14ac:dyDescent="0.2">
      <c r="A6" s="18" t="s">
        <v>10</v>
      </c>
      <c r="B6" s="20">
        <v>0</v>
      </c>
      <c r="C6" s="21">
        <v>57849929.652792998</v>
      </c>
      <c r="D6" s="20">
        <v>0</v>
      </c>
      <c r="E6" s="21">
        <v>63792695.299589403</v>
      </c>
      <c r="F6" s="20">
        <v>0</v>
      </c>
      <c r="G6" s="21">
        <v>16550334.1369096</v>
      </c>
      <c r="H6" s="20">
        <v>0</v>
      </c>
      <c r="I6" s="21">
        <v>3416852.0966799501</v>
      </c>
      <c r="J6" s="20">
        <v>0</v>
      </c>
      <c r="K6" s="21">
        <v>12423917.1237537</v>
      </c>
      <c r="L6" s="11">
        <v>0</v>
      </c>
      <c r="M6" s="11">
        <v>675310.99060888705</v>
      </c>
      <c r="N6" s="11"/>
    </row>
    <row r="7" spans="1:14" x14ac:dyDescent="0.2">
      <c r="A7" s="18" t="s">
        <v>11</v>
      </c>
      <c r="B7" s="20">
        <v>86582232</v>
      </c>
      <c r="C7" s="21">
        <v>0</v>
      </c>
      <c r="D7" s="20">
        <v>83230567</v>
      </c>
      <c r="E7" s="21">
        <v>0</v>
      </c>
      <c r="F7" s="20">
        <v>17272522</v>
      </c>
      <c r="G7" s="21">
        <v>0</v>
      </c>
      <c r="H7" s="20">
        <v>9384457.4000000004</v>
      </c>
      <c r="I7" s="21">
        <v>0</v>
      </c>
      <c r="J7" s="20">
        <v>32171108</v>
      </c>
      <c r="K7" s="21">
        <v>0</v>
      </c>
      <c r="L7" s="11">
        <v>34346016</v>
      </c>
      <c r="M7" s="11">
        <v>0</v>
      </c>
      <c r="N7" s="11"/>
    </row>
    <row r="8" spans="1:14" x14ac:dyDescent="0.2">
      <c r="A8" s="18" t="s">
        <v>12</v>
      </c>
      <c r="B8" s="20">
        <v>0</v>
      </c>
      <c r="C8" s="21">
        <v>191591932.171471</v>
      </c>
      <c r="D8" s="20">
        <v>0</v>
      </c>
      <c r="E8" s="21">
        <v>86397195.548849702</v>
      </c>
      <c r="F8" s="20">
        <v>0</v>
      </c>
      <c r="G8" s="21">
        <v>26461953.9679951</v>
      </c>
      <c r="H8" s="20">
        <v>0</v>
      </c>
      <c r="I8" s="21">
        <v>13823483.407159099</v>
      </c>
      <c r="J8" s="20">
        <v>0</v>
      </c>
      <c r="K8" s="21">
        <v>25978472.270636201</v>
      </c>
      <c r="L8" s="11">
        <v>0</v>
      </c>
      <c r="M8" s="11">
        <v>38863830.820939302</v>
      </c>
      <c r="N8" s="11"/>
    </row>
    <row r="9" spans="1:14" x14ac:dyDescent="0.2">
      <c r="A9" s="18" t="s">
        <v>0</v>
      </c>
      <c r="B9" s="20">
        <v>21086504.762368001</v>
      </c>
      <c r="C9" s="21">
        <v>21086504.762368001</v>
      </c>
      <c r="D9" s="20">
        <v>19772186.074849602</v>
      </c>
      <c r="E9" s="21">
        <v>399618.935235543</v>
      </c>
      <c r="F9" s="20">
        <v>1375380.9866190599</v>
      </c>
      <c r="G9" s="21">
        <v>243.75020092845901</v>
      </c>
      <c r="H9" s="20">
        <v>1415443.09722213</v>
      </c>
      <c r="I9" s="21">
        <v>4135684.1079191598</v>
      </c>
      <c r="J9" s="20">
        <v>25657772.741961099</v>
      </c>
      <c r="K9" s="21">
        <v>1311841.6639302401</v>
      </c>
      <c r="L9" s="11">
        <v>15055461.8720439</v>
      </c>
      <c r="M9" s="11">
        <v>1011122.1024771699</v>
      </c>
      <c r="N9" s="11"/>
    </row>
    <row r="10" spans="1:14" x14ac:dyDescent="0.2">
      <c r="A10" s="18" t="s">
        <v>1</v>
      </c>
      <c r="B10" s="20">
        <v>399618.935235543</v>
      </c>
      <c r="C10" s="21">
        <v>19772186.074849602</v>
      </c>
      <c r="D10" s="20">
        <v>13231699.4183747</v>
      </c>
      <c r="E10" s="21">
        <v>13231699.4183747</v>
      </c>
      <c r="F10" s="20">
        <v>44152.406018294903</v>
      </c>
      <c r="G10" s="21">
        <v>9003.7873865035308</v>
      </c>
      <c r="H10" s="20">
        <v>539959.90176207398</v>
      </c>
      <c r="I10" s="21">
        <v>1128987.0734906101</v>
      </c>
      <c r="J10" s="20">
        <v>324.34295782802099</v>
      </c>
      <c r="K10" s="21">
        <v>7260392.0914705601</v>
      </c>
      <c r="L10" s="11">
        <v>947135.88902791601</v>
      </c>
      <c r="M10" s="11">
        <v>30170236.349209301</v>
      </c>
      <c r="N10" s="11"/>
    </row>
    <row r="11" spans="1:14" x14ac:dyDescent="0.2">
      <c r="A11" s="18" t="s">
        <v>2</v>
      </c>
      <c r="B11" s="20">
        <v>243.75020092845901</v>
      </c>
      <c r="C11" s="21">
        <v>1375380.9866190599</v>
      </c>
      <c r="D11" s="20">
        <v>9003.7873865035308</v>
      </c>
      <c r="E11" s="21">
        <v>44152.406018294903</v>
      </c>
      <c r="F11" s="20">
        <v>1597427.1869331701</v>
      </c>
      <c r="G11" s="21">
        <v>1597427.1869331701</v>
      </c>
      <c r="H11" s="20">
        <v>59696.081286753797</v>
      </c>
      <c r="I11" s="21">
        <v>937362.41242995497</v>
      </c>
      <c r="J11" s="20">
        <v>0</v>
      </c>
      <c r="K11" s="21">
        <v>492829.66804983403</v>
      </c>
      <c r="L11" s="11">
        <v>1642050.9640445199</v>
      </c>
      <c r="M11" s="11">
        <v>4905616.9014502503</v>
      </c>
      <c r="N11" s="11"/>
    </row>
    <row r="12" spans="1:14" x14ac:dyDescent="0.2">
      <c r="A12" s="18" t="s">
        <v>3</v>
      </c>
      <c r="B12" s="20">
        <v>4135684.1079191598</v>
      </c>
      <c r="C12" s="21">
        <v>1415443.09722213</v>
      </c>
      <c r="D12" s="20">
        <v>1128987.0734906101</v>
      </c>
      <c r="E12" s="21">
        <v>539959.90176207398</v>
      </c>
      <c r="F12" s="20">
        <v>937362.41242995497</v>
      </c>
      <c r="G12" s="21">
        <v>59696.081286753797</v>
      </c>
      <c r="H12" s="20">
        <v>737071.22619784996</v>
      </c>
      <c r="I12" s="21">
        <v>737071.22619784996</v>
      </c>
      <c r="J12" s="20">
        <v>0</v>
      </c>
      <c r="K12" s="21">
        <v>154215.94360360401</v>
      </c>
      <c r="L12" s="11">
        <v>0</v>
      </c>
      <c r="M12" s="11">
        <v>426220.83497361699</v>
      </c>
      <c r="N12" s="11"/>
    </row>
    <row r="13" spans="1:14" x14ac:dyDescent="0.2">
      <c r="A13" s="18" t="s">
        <v>4</v>
      </c>
      <c r="B13" s="20">
        <v>1311841.6639302401</v>
      </c>
      <c r="C13" s="21">
        <v>25657772.741961099</v>
      </c>
      <c r="D13" s="20">
        <v>7260392.0914705601</v>
      </c>
      <c r="E13" s="21">
        <v>324.34295782802099</v>
      </c>
      <c r="F13" s="20">
        <v>492829.66804983403</v>
      </c>
      <c r="G13" s="21">
        <v>0</v>
      </c>
      <c r="H13" s="20">
        <v>154215.94360360401</v>
      </c>
      <c r="I13" s="21">
        <v>0</v>
      </c>
      <c r="J13" s="20">
        <v>1329037.7957331699</v>
      </c>
      <c r="K13" s="21">
        <v>1329037.7957331699</v>
      </c>
      <c r="L13" s="11">
        <v>2691016.7457892601</v>
      </c>
      <c r="M13" s="11">
        <v>0</v>
      </c>
      <c r="N13" s="11"/>
    </row>
    <row r="14" spans="1:14" x14ac:dyDescent="0.2">
      <c r="A14" s="18" t="s">
        <v>5</v>
      </c>
      <c r="B14" s="20">
        <v>1011122.1024771699</v>
      </c>
      <c r="C14" s="21">
        <v>15055461.8720439</v>
      </c>
      <c r="D14" s="20">
        <v>30170236.349209301</v>
      </c>
      <c r="E14" s="21">
        <v>947135.88902791601</v>
      </c>
      <c r="F14" s="20">
        <v>4905616.9014502503</v>
      </c>
      <c r="G14" s="21">
        <v>1642050.9640445199</v>
      </c>
      <c r="H14" s="20">
        <v>426220.83497361699</v>
      </c>
      <c r="I14" s="21">
        <v>0</v>
      </c>
      <c r="J14" s="20">
        <v>0</v>
      </c>
      <c r="K14" s="21">
        <v>2691016.7457892601</v>
      </c>
      <c r="L14" s="11">
        <v>1586006.41044757</v>
      </c>
      <c r="M14" s="11">
        <v>1586006.41044757</v>
      </c>
      <c r="N14" s="11"/>
    </row>
    <row r="16" spans="1:14" x14ac:dyDescent="0.2">
      <c r="A16" t="s">
        <v>13</v>
      </c>
      <c r="B16" s="14">
        <f>B5/B7+1</f>
        <v>2.8480439150610026</v>
      </c>
      <c r="C16" s="14"/>
      <c r="D16" s="14">
        <f>D5/D7+1</f>
        <v>1.9373891805879442</v>
      </c>
      <c r="E16" s="14"/>
      <c r="F16" s="14">
        <f>F5/F7+1</f>
        <v>2.5809780413074592</v>
      </c>
      <c r="H16" s="14">
        <f>H5/H7+1</f>
        <v>1.9063435995777445</v>
      </c>
      <c r="I16" s="14"/>
      <c r="J16" s="14">
        <f>J5/J7+1</f>
        <v>1.2374226588652153</v>
      </c>
      <c r="K16" s="14"/>
      <c r="L16" s="14">
        <f>L5/L7+1</f>
        <v>1.2006364872129565</v>
      </c>
      <c r="M16" s="14"/>
    </row>
    <row r="18" spans="1:13" x14ac:dyDescent="0.2">
      <c r="A18" t="s">
        <v>0</v>
      </c>
      <c r="B18" s="15"/>
      <c r="C18" s="15"/>
      <c r="H18" s="15">
        <f>H9/(H$7-H$12)</f>
        <v>0.16368450174115179</v>
      </c>
      <c r="I18" s="15">
        <f>I9/(I$6+I$8-I$12)</f>
        <v>0.25059794464554686</v>
      </c>
      <c r="J18" s="15">
        <f>J9/(J$7-J$13)</f>
        <v>0.83190825298139315</v>
      </c>
      <c r="K18" s="15">
        <f>K9/(K$6+K$8-K$13)</f>
        <v>3.538503014595993E-2</v>
      </c>
      <c r="L18" s="15">
        <f>L9/(L$7-L$14)</f>
        <v>0.45956829868710641</v>
      </c>
      <c r="M18" s="15">
        <f>M9/(M$6+M$8-M$14)</f>
        <v>2.6641332574800867E-2</v>
      </c>
    </row>
    <row r="19" spans="1:13" x14ac:dyDescent="0.2">
      <c r="A19" t="s">
        <v>1</v>
      </c>
      <c r="B19" s="15">
        <f>B10/(B$7-B$9)</f>
        <v>6.1014504623430341E-3</v>
      </c>
      <c r="C19" s="15">
        <f>C10/(C$6+C$8-C$9)</f>
        <v>8.6585164146117791E-2</v>
      </c>
      <c r="H19" s="15">
        <f>H10/(H$7-H$12)</f>
        <v>6.2441978525015977E-2</v>
      </c>
      <c r="I19" s="15">
        <f>I10/(I$6+I$8-I$12)</f>
        <v>6.8409925121309126E-2</v>
      </c>
      <c r="J19" s="15">
        <f>J10/(J$7-J$13)</f>
        <v>1.051625120103481E-5</v>
      </c>
      <c r="K19" s="15">
        <f>K10/(K$6+K$8-K$13)</f>
        <v>0.19583856809249542</v>
      </c>
      <c r="L19" s="15">
        <f>L10/(L$7-L$14)</f>
        <v>2.8911343460960689E-2</v>
      </c>
      <c r="M19" s="15">
        <f>M10/(M$6+M$8-M$14)</f>
        <v>0.7949339634357161</v>
      </c>
    </row>
    <row r="20" spans="1:13" x14ac:dyDescent="0.2">
      <c r="A20" t="s">
        <v>2</v>
      </c>
      <c r="B20" s="15">
        <f>B11/(B$7-B$9)</f>
        <v>3.7216198858909229E-6</v>
      </c>
      <c r="C20" s="15">
        <f>C11/(C$6+C$8-C$9)</f>
        <v>6.0229854219984915E-3</v>
      </c>
      <c r="H20" s="15">
        <f>H11/(H$7-H$12)</f>
        <v>6.9033671085035114E-3</v>
      </c>
      <c r="I20" s="15">
        <f>I11/(I$6+I$8-I$12)</f>
        <v>5.6798606424784924E-2</v>
      </c>
      <c r="J20" s="15">
        <f>J11/(J$7-J$13)</f>
        <v>0</v>
      </c>
      <c r="K20" s="15">
        <f>K11/(K$6+K$8-K$13)</f>
        <v>1.3293366981896792E-2</v>
      </c>
      <c r="L20" s="15">
        <f>L11/(L$7-L$14)</f>
        <v>5.0123641128853341E-2</v>
      </c>
      <c r="M20" s="15">
        <f>M11/(M$6+M$8-M$14)</f>
        <v>0.12925458857631009</v>
      </c>
    </row>
    <row r="21" spans="1:13" x14ac:dyDescent="0.2">
      <c r="A21" t="s">
        <v>3</v>
      </c>
      <c r="B21" s="15">
        <f>B12/(B$7-B$9)</f>
        <v>6.3144334483286907E-2</v>
      </c>
      <c r="C21" s="15">
        <f>C12/(C$6+C$8-C$9)</f>
        <v>6.1984229992838417E-3</v>
      </c>
      <c r="H21" s="15"/>
      <c r="I21" s="15"/>
      <c r="J21" s="15">
        <f>J12/(J$7-J$13)</f>
        <v>0</v>
      </c>
      <c r="K21" s="15">
        <f>K12/(K$6+K$8-K$13)</f>
        <v>4.1597518690269075E-3</v>
      </c>
      <c r="L21" s="15">
        <f>L12/(L$7-L$14)</f>
        <v>0</v>
      </c>
      <c r="M21" s="15">
        <f>M12/(M$6+M$8-M$14)</f>
        <v>1.1230187716223751E-2</v>
      </c>
    </row>
    <row r="22" spans="1:13" x14ac:dyDescent="0.2">
      <c r="A22" t="s">
        <v>4</v>
      </c>
      <c r="B22" s="15">
        <f>B13/(B$7-B$9)</f>
        <v>2.002942358622278E-2</v>
      </c>
      <c r="C22" s="15">
        <f>C13/(C$6+C$8-C$9)</f>
        <v>0.11235897012482404</v>
      </c>
      <c r="H22" s="15">
        <f>H13/(H$7-H$12)</f>
        <v>1.7833821747294205E-2</v>
      </c>
      <c r="I22" s="15">
        <f>I13/(I$6+I$8-I$12)</f>
        <v>0</v>
      </c>
      <c r="J22" s="15"/>
      <c r="K22" s="15"/>
      <c r="L22" s="15">
        <f>L13/(L$7-L$14)</f>
        <v>8.2143344263472334E-2</v>
      </c>
      <c r="M22" s="15">
        <f>M13/(M$6+M$8-M$14)</f>
        <v>0</v>
      </c>
    </row>
    <row r="23" spans="1:13" x14ac:dyDescent="0.2">
      <c r="A23" t="s">
        <v>5</v>
      </c>
      <c r="B23" s="15">
        <f>B14/(B$7-B$9)</f>
        <v>1.5437985730101302E-2</v>
      </c>
      <c r="C23" s="15">
        <f>C14/(C$6+C$8-C$9)</f>
        <v>6.5929970138441291E-2</v>
      </c>
      <c r="H23" s="15">
        <f>H14/(H$7-H$12)</f>
        <v>4.9288978936187937E-2</v>
      </c>
      <c r="I23" s="15">
        <f>I14/(I$6+I$8-I$12)</f>
        <v>0</v>
      </c>
      <c r="J23" s="15">
        <f>J14/(J$7-J$13)</f>
        <v>0</v>
      </c>
      <c r="K23" s="15">
        <f>K14/(K$6+K$8-K$13)</f>
        <v>7.258628178324085E-2</v>
      </c>
      <c r="L23" s="15"/>
      <c r="M23" s="15"/>
    </row>
    <row r="24" spans="1:13" x14ac:dyDescent="0.2">
      <c r="B24" t="s">
        <v>14</v>
      </c>
      <c r="H24" t="s">
        <v>15</v>
      </c>
      <c r="J24" t="s">
        <v>16</v>
      </c>
      <c r="L24" t="s">
        <v>17</v>
      </c>
    </row>
    <row r="25" spans="1:13" s="15" customFormat="1" x14ac:dyDescent="0.2">
      <c r="A25" s="15" t="s">
        <v>1</v>
      </c>
      <c r="C25" s="15">
        <f>C19</f>
        <v>8.6585164146117791E-2</v>
      </c>
      <c r="I25" s="15">
        <f>C21*I19</f>
        <v>4.2403365325120794E-4</v>
      </c>
      <c r="K25" s="15">
        <f>C22*K19</f>
        <v>2.2004219821593011E-2</v>
      </c>
      <c r="M25" s="15">
        <f>C23*M19</f>
        <v>5.2409972471349542E-2</v>
      </c>
    </row>
    <row r="26" spans="1:13" s="15" customFormat="1" x14ac:dyDescent="0.2">
      <c r="A26" s="15" t="s">
        <v>2</v>
      </c>
      <c r="C26" s="15">
        <f>C20</f>
        <v>6.0229854219984915E-3</v>
      </c>
      <c r="I26" s="15">
        <f>C21*I20</f>
        <v>3.5206178839065785E-4</v>
      </c>
      <c r="K26" s="15">
        <f>C22*K20</f>
        <v>1.4936290235772641E-3</v>
      </c>
      <c r="M26" s="15">
        <f>C23*M20</f>
        <v>8.5217511650926385E-3</v>
      </c>
    </row>
    <row r="28" spans="1:13" x14ac:dyDescent="0.2">
      <c r="A28" t="s">
        <v>18</v>
      </c>
      <c r="B28" s="11">
        <f>(C6+C8-B4)/10000</f>
        <v>23454.034588228067</v>
      </c>
    </row>
    <row r="29" spans="1:13" x14ac:dyDescent="0.2">
      <c r="A29" t="s">
        <v>19</v>
      </c>
      <c r="B29" s="11">
        <f>(E6+E8-D4)/10000</f>
        <v>14856.421127916219</v>
      </c>
      <c r="C29" s="11">
        <f>B28*(C25+I25+K25+M25)</f>
        <v>3786.0297745741068</v>
      </c>
      <c r="D29" s="15">
        <f>(B29+C29)/SUM(B28:B30)</f>
        <v>0.43765105534185328</v>
      </c>
    </row>
    <row r="30" spans="1:13" x14ac:dyDescent="0.2">
      <c r="A30" t="s">
        <v>20</v>
      </c>
      <c r="B30" s="11">
        <f>(G6+G8-F4)/10000</f>
        <v>4286.1533287683078</v>
      </c>
      <c r="C30" s="11">
        <f>B28*(C26+I26+K26+M26)</f>
        <v>384.421651133372</v>
      </c>
      <c r="D30" s="15">
        <f>(B30+C30)/SUM(B28:B30)</f>
        <v>0.10964663818608576</v>
      </c>
    </row>
  </sheetData>
  <phoneticPr fontId="3" type="noConversion"/>
  <pageMargins left="0.7" right="0.7" top="0.75" bottom="0.75" header="0.3" footer="0.3"/>
  <pageSetup paperSize="9" orientation="portrait" horizontalDpi="1200" verticalDpi="12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0"/>
  <sheetViews>
    <sheetView workbookViewId="0">
      <selection activeCell="F34" sqref="F34"/>
    </sheetView>
  </sheetViews>
  <sheetFormatPr defaultColWidth="9" defaultRowHeight="14.25" x14ac:dyDescent="0.2"/>
  <cols>
    <col min="1" max="1" width="23.5" customWidth="1"/>
    <col min="3" max="3" width="9" customWidth="1"/>
    <col min="8" max="13" width="9" customWidth="1"/>
  </cols>
  <sheetData>
    <row r="1" spans="1:14" x14ac:dyDescent="0.2">
      <c r="B1" s="11"/>
    </row>
    <row r="2" spans="1:14" x14ac:dyDescent="0.2">
      <c r="A2" s="16"/>
      <c r="B2" s="16" t="s">
        <v>0</v>
      </c>
      <c r="C2" s="17"/>
      <c r="D2" s="16" t="s">
        <v>1</v>
      </c>
      <c r="E2" s="17"/>
      <c r="F2" s="16" t="s">
        <v>2</v>
      </c>
      <c r="G2" s="17"/>
      <c r="H2" s="16" t="s">
        <v>3</v>
      </c>
      <c r="I2" s="17"/>
      <c r="J2" s="16" t="s">
        <v>4</v>
      </c>
      <c r="K2" s="17"/>
      <c r="L2" s="24" t="s">
        <v>5</v>
      </c>
      <c r="M2" s="24"/>
    </row>
    <row r="3" spans="1:14" x14ac:dyDescent="0.2">
      <c r="A3" s="18"/>
      <c r="B3" s="18" t="s">
        <v>6</v>
      </c>
      <c r="C3" s="19" t="s">
        <v>7</v>
      </c>
      <c r="D3" s="18" t="s">
        <v>6</v>
      </c>
      <c r="E3" s="19" t="s">
        <v>7</v>
      </c>
      <c r="F3" s="18" t="s">
        <v>6</v>
      </c>
      <c r="G3" s="19" t="s">
        <v>7</v>
      </c>
      <c r="H3" s="18" t="s">
        <v>6</v>
      </c>
      <c r="I3" s="19" t="s">
        <v>7</v>
      </c>
      <c r="J3" s="18" t="s">
        <v>6</v>
      </c>
      <c r="K3" s="19" t="s">
        <v>7</v>
      </c>
      <c r="L3" t="s">
        <v>6</v>
      </c>
      <c r="M3" t="s">
        <v>7</v>
      </c>
    </row>
    <row r="4" spans="1:14" x14ac:dyDescent="0.2">
      <c r="A4" s="18" t="s">
        <v>8</v>
      </c>
      <c r="B4" s="20">
        <v>38414554.663506202</v>
      </c>
      <c r="C4" s="21">
        <v>0</v>
      </c>
      <c r="D4" s="20">
        <v>2217769.48717188</v>
      </c>
      <c r="E4" s="21">
        <v>0</v>
      </c>
      <c r="F4" s="20">
        <v>744551.43734687497</v>
      </c>
      <c r="G4" s="21">
        <v>0</v>
      </c>
      <c r="H4" s="20">
        <v>0</v>
      </c>
      <c r="I4" s="21">
        <v>0</v>
      </c>
      <c r="J4" s="20">
        <v>735645.57960000006</v>
      </c>
      <c r="K4" s="21">
        <v>0</v>
      </c>
      <c r="L4" s="11">
        <v>98554.783056250002</v>
      </c>
      <c r="M4" s="11">
        <v>0</v>
      </c>
      <c r="N4" s="11"/>
    </row>
    <row r="5" spans="1:14" x14ac:dyDescent="0.2">
      <c r="A5" s="18" t="s">
        <v>9</v>
      </c>
      <c r="B5" s="20">
        <v>302161387</v>
      </c>
      <c r="C5" s="21">
        <v>0</v>
      </c>
      <c r="D5" s="20">
        <v>131283561</v>
      </c>
      <c r="E5" s="21">
        <v>0</v>
      </c>
      <c r="F5" s="20">
        <v>52669046</v>
      </c>
      <c r="G5" s="21">
        <v>0</v>
      </c>
      <c r="H5" s="20">
        <v>14661302.300000001</v>
      </c>
      <c r="I5" s="21">
        <v>0</v>
      </c>
      <c r="J5" s="20">
        <v>15346753</v>
      </c>
      <c r="K5" s="21">
        <v>0</v>
      </c>
      <c r="L5" s="11">
        <v>15720099</v>
      </c>
      <c r="M5" s="11">
        <v>0</v>
      </c>
      <c r="N5" s="11"/>
    </row>
    <row r="6" spans="1:14" x14ac:dyDescent="0.2">
      <c r="A6" s="18" t="s">
        <v>10</v>
      </c>
      <c r="B6" s="20">
        <v>0</v>
      </c>
      <c r="C6" s="21">
        <v>116775522.096551</v>
      </c>
      <c r="D6" s="20">
        <v>0</v>
      </c>
      <c r="E6" s="21">
        <v>123452463.70414799</v>
      </c>
      <c r="F6" s="20">
        <v>0</v>
      </c>
      <c r="G6" s="21">
        <v>40328493.878813297</v>
      </c>
      <c r="H6" s="20">
        <v>0</v>
      </c>
      <c r="I6" s="21">
        <v>6076074.4995963397</v>
      </c>
      <c r="J6" s="20">
        <v>0</v>
      </c>
      <c r="K6" s="21">
        <v>32594718.113682602</v>
      </c>
      <c r="L6" s="11">
        <v>0</v>
      </c>
      <c r="M6" s="11">
        <v>3465749.1337920702</v>
      </c>
      <c r="N6" s="11"/>
    </row>
    <row r="7" spans="1:14" x14ac:dyDescent="0.2">
      <c r="A7" s="18" t="s">
        <v>11</v>
      </c>
      <c r="B7" s="20">
        <v>167243192</v>
      </c>
      <c r="C7" s="21">
        <v>0</v>
      </c>
      <c r="D7" s="20">
        <v>140610351</v>
      </c>
      <c r="E7" s="21">
        <v>0</v>
      </c>
      <c r="F7" s="20">
        <v>34391084</v>
      </c>
      <c r="G7" s="21">
        <v>0</v>
      </c>
      <c r="H7" s="20">
        <v>16722786.800000001</v>
      </c>
      <c r="I7" s="21">
        <v>0</v>
      </c>
      <c r="J7" s="20">
        <v>79799682</v>
      </c>
      <c r="K7" s="21">
        <v>0</v>
      </c>
      <c r="L7" s="11">
        <v>74656623</v>
      </c>
      <c r="M7" s="11">
        <v>0</v>
      </c>
      <c r="N7" s="11"/>
    </row>
    <row r="8" spans="1:14" x14ac:dyDescent="0.2">
      <c r="A8" s="18" t="s">
        <v>12</v>
      </c>
      <c r="B8" s="20">
        <v>0</v>
      </c>
      <c r="C8" s="21">
        <v>387894117.42602199</v>
      </c>
      <c r="D8" s="20">
        <v>0</v>
      </c>
      <c r="E8" s="21">
        <v>148649046.15546101</v>
      </c>
      <c r="F8" s="20">
        <v>0</v>
      </c>
      <c r="G8" s="21">
        <v>45983878.911565296</v>
      </c>
      <c r="H8" s="20">
        <v>0</v>
      </c>
      <c r="I8" s="21">
        <v>25387225.340767398</v>
      </c>
      <c r="J8" s="20">
        <v>0</v>
      </c>
      <c r="K8" s="21">
        <v>62008633.056241602</v>
      </c>
      <c r="L8" s="11">
        <v>0</v>
      </c>
      <c r="M8" s="11">
        <v>86471961.629548505</v>
      </c>
      <c r="N8" s="11"/>
    </row>
    <row r="9" spans="1:14" x14ac:dyDescent="0.2">
      <c r="A9" s="18" t="s">
        <v>0</v>
      </c>
      <c r="B9" s="20">
        <v>49655846.347711399</v>
      </c>
      <c r="C9" s="21">
        <v>49655846.347711399</v>
      </c>
      <c r="D9" s="20">
        <v>27705438.735172</v>
      </c>
      <c r="E9" s="21">
        <v>90131.545640750701</v>
      </c>
      <c r="F9" s="20">
        <v>2556357.7276825202</v>
      </c>
      <c r="G9" s="21">
        <v>88.732461357274104</v>
      </c>
      <c r="H9" s="20">
        <v>2794168.7896809098</v>
      </c>
      <c r="I9" s="21">
        <v>4325208.7486194698</v>
      </c>
      <c r="J9" s="20">
        <v>63821535.181254901</v>
      </c>
      <c r="K9" s="21">
        <v>763499.69886107498</v>
      </c>
      <c r="L9" s="11">
        <v>32200535.5496043</v>
      </c>
      <c r="M9" s="11">
        <v>482769.51575353602</v>
      </c>
      <c r="N9" s="11"/>
    </row>
    <row r="10" spans="1:14" x14ac:dyDescent="0.2">
      <c r="A10" s="18" t="s">
        <v>1</v>
      </c>
      <c r="B10" s="20">
        <v>90131.545640750701</v>
      </c>
      <c r="C10" s="21">
        <v>27705438.735172</v>
      </c>
      <c r="D10" s="20">
        <v>21543221.5773031</v>
      </c>
      <c r="E10" s="21">
        <v>21543221.5773031</v>
      </c>
      <c r="F10" s="20">
        <v>75154.713972845202</v>
      </c>
      <c r="G10" s="21">
        <v>2335.7738665357901</v>
      </c>
      <c r="H10" s="20">
        <v>1148693.7165480901</v>
      </c>
      <c r="I10" s="21">
        <v>317638.94511824998</v>
      </c>
      <c r="J10" s="20">
        <v>0</v>
      </c>
      <c r="K10" s="21">
        <v>9728724.7612274792</v>
      </c>
      <c r="L10" s="11">
        <v>2484557.0376081299</v>
      </c>
      <c r="M10" s="11">
        <v>64576120.969619602</v>
      </c>
      <c r="N10" s="11"/>
    </row>
    <row r="11" spans="1:14" x14ac:dyDescent="0.2">
      <c r="A11" s="18" t="s">
        <v>2</v>
      </c>
      <c r="B11" s="20">
        <v>88.732461357274104</v>
      </c>
      <c r="C11" s="21">
        <v>2556357.7276825202</v>
      </c>
      <c r="D11" s="20">
        <v>2335.7738665357901</v>
      </c>
      <c r="E11" s="21">
        <v>75154.713972845202</v>
      </c>
      <c r="F11" s="20">
        <v>3565838.6723997099</v>
      </c>
      <c r="G11" s="21">
        <v>3565838.6723997099</v>
      </c>
      <c r="H11" s="20">
        <v>258478.06387292399</v>
      </c>
      <c r="I11" s="21">
        <v>2397351.0626670802</v>
      </c>
      <c r="J11" s="20">
        <v>0</v>
      </c>
      <c r="K11" s="21">
        <v>990380.55479294795</v>
      </c>
      <c r="L11" s="11">
        <v>4638148.7387308003</v>
      </c>
      <c r="M11" s="11">
        <v>14074019.0512149</v>
      </c>
      <c r="N11" s="11"/>
    </row>
    <row r="12" spans="1:14" x14ac:dyDescent="0.2">
      <c r="A12" s="18" t="s">
        <v>3</v>
      </c>
      <c r="B12" s="20">
        <v>4325208.7486194698</v>
      </c>
      <c r="C12" s="21">
        <v>2794168.7896809098</v>
      </c>
      <c r="D12" s="20">
        <v>317638.94511824998</v>
      </c>
      <c r="E12" s="21">
        <v>1148693.7165480901</v>
      </c>
      <c r="F12" s="20">
        <v>2397351.0626670802</v>
      </c>
      <c r="G12" s="21">
        <v>258478.06387292399</v>
      </c>
      <c r="H12" s="20">
        <v>1777012.60704565</v>
      </c>
      <c r="I12" s="21">
        <v>1777012.60704565</v>
      </c>
      <c r="J12" s="20">
        <v>0</v>
      </c>
      <c r="K12" s="21">
        <v>488431.61571106297</v>
      </c>
      <c r="L12" s="11">
        <v>191608.10765108201</v>
      </c>
      <c r="M12" s="11">
        <v>1356374.4724131799</v>
      </c>
      <c r="N12" s="11"/>
    </row>
    <row r="13" spans="1:14" x14ac:dyDescent="0.2">
      <c r="A13" s="18" t="s">
        <v>4</v>
      </c>
      <c r="B13" s="20">
        <v>763499.69886107498</v>
      </c>
      <c r="C13" s="21">
        <v>63821535.181254901</v>
      </c>
      <c r="D13" s="20">
        <v>9728724.7612274792</v>
      </c>
      <c r="E13" s="21">
        <v>0</v>
      </c>
      <c r="F13" s="20">
        <v>990380.55479294795</v>
      </c>
      <c r="G13" s="21">
        <v>0</v>
      </c>
      <c r="H13" s="20">
        <v>488431.61571106297</v>
      </c>
      <c r="I13" s="21">
        <v>0</v>
      </c>
      <c r="J13" s="20">
        <v>5782065.1561684301</v>
      </c>
      <c r="K13" s="21">
        <v>5782065.1561684301</v>
      </c>
      <c r="L13" s="11">
        <v>6751114.87631281</v>
      </c>
      <c r="M13" s="11">
        <v>0</v>
      </c>
      <c r="N13" s="11"/>
    </row>
    <row r="14" spans="1:14" x14ac:dyDescent="0.2">
      <c r="A14" s="18" t="s">
        <v>5</v>
      </c>
      <c r="B14" s="20">
        <v>482769.51575353602</v>
      </c>
      <c r="C14" s="21">
        <v>32200535.5496043</v>
      </c>
      <c r="D14" s="20">
        <v>64576120.969619602</v>
      </c>
      <c r="E14" s="21">
        <v>2484557.0376081299</v>
      </c>
      <c r="F14" s="20">
        <v>14074019.0512149</v>
      </c>
      <c r="G14" s="21">
        <v>4638148.7387308003</v>
      </c>
      <c r="H14" s="20">
        <v>1356374.4724131799</v>
      </c>
      <c r="I14" s="21">
        <v>191608.10765108201</v>
      </c>
      <c r="J14" s="20">
        <v>0</v>
      </c>
      <c r="K14" s="21">
        <v>6751114.87631281</v>
      </c>
      <c r="L14" s="11">
        <v>5589070.7833073698</v>
      </c>
      <c r="M14" s="11">
        <v>5589070.7833073698</v>
      </c>
      <c r="N14" s="11"/>
    </row>
    <row r="16" spans="1:14" x14ac:dyDescent="0.2">
      <c r="A16" t="s">
        <v>13</v>
      </c>
      <c r="B16" s="14">
        <f>B5/B7+1</f>
        <v>2.8067186077146866</v>
      </c>
      <c r="C16" s="14"/>
      <c r="D16" s="14">
        <f>D5/D7+1</f>
        <v>1.9336692502815813</v>
      </c>
      <c r="E16" s="14"/>
      <c r="F16" s="14">
        <f>F5/F7+1</f>
        <v>2.5314738552585316</v>
      </c>
      <c r="H16" s="14">
        <f>H5/H7+1</f>
        <v>1.8767260191345621</v>
      </c>
      <c r="I16" s="14"/>
      <c r="J16" s="14">
        <f>J5/J7+1</f>
        <v>1.1923159668731511</v>
      </c>
      <c r="K16" s="14"/>
      <c r="L16" s="14">
        <f>L5/L7+1</f>
        <v>1.2105653640401066</v>
      </c>
      <c r="M16" s="14"/>
    </row>
    <row r="18" spans="1:13" x14ac:dyDescent="0.2">
      <c r="A18" t="s">
        <v>0</v>
      </c>
      <c r="B18" s="15"/>
      <c r="C18" s="15"/>
      <c r="H18" s="15">
        <f>H9/(H$7-H$12)</f>
        <v>0.1869537672393124</v>
      </c>
      <c r="I18" s="15">
        <f>I9/(I$6+I$8-I$12)</f>
        <v>0.14569719394768632</v>
      </c>
      <c r="J18" s="15">
        <f>J9/(J$7-J$13)</f>
        <v>0.86224790668295637</v>
      </c>
      <c r="K18" s="15">
        <f>K9/(K$6+K$8-K$13)</f>
        <v>8.5959090790785411E-3</v>
      </c>
      <c r="L18" s="15">
        <f>L9/(L$7-L$14)</f>
        <v>0.46621799261943292</v>
      </c>
      <c r="M18" s="15">
        <f>M9/(M$6+M$8-M$14)</f>
        <v>5.7235008871253405E-3</v>
      </c>
    </row>
    <row r="19" spans="1:13" x14ac:dyDescent="0.2">
      <c r="A19" t="s">
        <v>1</v>
      </c>
      <c r="B19" s="15">
        <f>B10/(B$7-B$9)</f>
        <v>7.6650718783357848E-4</v>
      </c>
      <c r="C19" s="15">
        <f>C10/(C$6+C$8-C$9)</f>
        <v>6.0889228306370946E-2</v>
      </c>
      <c r="H19" s="15">
        <f>H10/(H$7-H$12)</f>
        <v>7.6857424829126664E-2</v>
      </c>
      <c r="I19" s="15">
        <f>I10/(I$6+I$8-I$12)</f>
        <v>1.0699854199407978E-2</v>
      </c>
      <c r="J19" s="15">
        <f>J10/(J$7-J$13)</f>
        <v>0</v>
      </c>
      <c r="K19" s="15">
        <f>K10/(K$6+K$8-K$13)</f>
        <v>0.10953145577875094</v>
      </c>
      <c r="L19" s="15">
        <f>L10/(L$7-L$14)</f>
        <v>3.5972854949500421E-2</v>
      </c>
      <c r="M19" s="15">
        <f>M10/(M$6+M$8-M$14)</f>
        <v>0.76558579942611871</v>
      </c>
    </row>
    <row r="20" spans="1:13" x14ac:dyDescent="0.2">
      <c r="A20" t="s">
        <v>2</v>
      </c>
      <c r="B20" s="15">
        <f>B11/(B$7-B$9)</f>
        <v>7.5460893232219254E-7</v>
      </c>
      <c r="C20" s="15">
        <f>C11/(C$6+C$8-C$9)</f>
        <v>5.6181983184411134E-3</v>
      </c>
      <c r="H20" s="15">
        <f>H11/(H$7-H$12)</f>
        <v>1.7294391079103431E-2</v>
      </c>
      <c r="I20" s="15">
        <f>I11/(I$6+I$8-I$12)</f>
        <v>8.0756176878071809E-2</v>
      </c>
      <c r="J20" s="15">
        <f>J11/(J$7-J$13)</f>
        <v>0</v>
      </c>
      <c r="K20" s="15">
        <f>K11/(K$6+K$8-K$13)</f>
        <v>1.1150261375854967E-2</v>
      </c>
      <c r="L20" s="15">
        <f>L11/(L$7-L$14)</f>
        <v>6.7153802181653496E-2</v>
      </c>
      <c r="M20" s="15">
        <f>M11/(M$6+M$8-M$14)</f>
        <v>0.16685531686754482</v>
      </c>
    </row>
    <row r="21" spans="1:13" x14ac:dyDescent="0.2">
      <c r="A21" t="s">
        <v>3</v>
      </c>
      <c r="B21" s="15">
        <f>B12/(B$7-B$9)</f>
        <v>3.6782943986245924E-2</v>
      </c>
      <c r="C21" s="15">
        <f>C12/(C$6+C$8-C$9)</f>
        <v>6.1408441493269452E-3</v>
      </c>
      <c r="H21" s="15"/>
      <c r="I21" s="15"/>
      <c r="J21" s="15">
        <f>J12/(J$7-J$13)</f>
        <v>0</v>
      </c>
      <c r="K21" s="15">
        <f>K12/(K$6+K$8-K$13)</f>
        <v>5.4990378729195552E-3</v>
      </c>
      <c r="L21" s="15">
        <f>L12/(L$7-L$14)</f>
        <v>2.7742130928562589E-3</v>
      </c>
      <c r="M21" s="15">
        <f>M12/(M$6+M$8-M$14)</f>
        <v>1.6080573115752162E-2</v>
      </c>
    </row>
    <row r="22" spans="1:13" x14ac:dyDescent="0.2">
      <c r="A22" t="s">
        <v>4</v>
      </c>
      <c r="B22" s="15">
        <f>B13/(B$7-B$9)</f>
        <v>6.4930430619531123E-3</v>
      </c>
      <c r="C22" s="15">
        <f>C13/(C$6+C$8-C$9)</f>
        <v>0.14026285826620713</v>
      </c>
      <c r="H22" s="15">
        <f>H13/(H$7-H$12)</f>
        <v>3.2680248570951684E-2</v>
      </c>
      <c r="I22" s="15">
        <f>I13/(I$6+I$8-I$12)</f>
        <v>0</v>
      </c>
      <c r="J22" s="15"/>
      <c r="K22" s="15"/>
      <c r="L22" s="15">
        <f>L13/(L$7-L$14)</f>
        <v>9.7746548989196172E-2</v>
      </c>
      <c r="M22" s="15">
        <f>M13/(M$6+M$8-M$14)</f>
        <v>0</v>
      </c>
    </row>
    <row r="23" spans="1:13" x14ac:dyDescent="0.2">
      <c r="A23" t="s">
        <v>5</v>
      </c>
      <c r="B23" s="15">
        <f>B14/(B$7-B$9)</f>
        <v>4.1056247428282681E-3</v>
      </c>
      <c r="C23" s="15">
        <f>C14/(C$6+C$8-C$9)</f>
        <v>7.0768262484802627E-2</v>
      </c>
      <c r="H23" s="15">
        <f>H14/(H$7-H$12)</f>
        <v>9.075304195700977E-2</v>
      </c>
      <c r="I23" s="15">
        <f>I14/(I$6+I$8-I$12)</f>
        <v>6.4544315072190203E-3</v>
      </c>
      <c r="J23" s="15">
        <f>J14/(J$7-J$13)</f>
        <v>0</v>
      </c>
      <c r="K23" s="15">
        <f>K14/(K$6+K$8-K$13)</f>
        <v>7.6007848786013563E-2</v>
      </c>
      <c r="L23" s="15"/>
      <c r="M23" s="15"/>
    </row>
    <row r="24" spans="1:13" x14ac:dyDescent="0.2">
      <c r="B24" t="s">
        <v>14</v>
      </c>
      <c r="H24" t="s">
        <v>15</v>
      </c>
      <c r="J24" t="s">
        <v>16</v>
      </c>
      <c r="L24" t="s">
        <v>17</v>
      </c>
    </row>
    <row r="25" spans="1:13" s="15" customFormat="1" x14ac:dyDescent="0.2">
      <c r="A25" s="15" t="s">
        <v>1</v>
      </c>
      <c r="C25" s="15">
        <f>C19</f>
        <v>6.0889228306370946E-2</v>
      </c>
      <c r="I25" s="15">
        <f>C21*I19</f>
        <v>6.5706137059085826E-5</v>
      </c>
      <c r="K25" s="15">
        <f>C22*K19</f>
        <v>1.5363195057586277E-2</v>
      </c>
      <c r="M25" s="15">
        <f>C23*M19</f>
        <v>5.4179176808425024E-2</v>
      </c>
    </row>
    <row r="26" spans="1:13" s="15" customFormat="1" x14ac:dyDescent="0.2">
      <c r="A26" s="15" t="s">
        <v>2</v>
      </c>
      <c r="C26" s="15">
        <f>C20</f>
        <v>5.6181983184411134E-3</v>
      </c>
      <c r="I26" s="15">
        <f>C21*I20</f>
        <v>4.9591109630371915E-4</v>
      </c>
      <c r="K26" s="15">
        <f>C22*K20</f>
        <v>1.5639675309927089E-3</v>
      </c>
      <c r="M26" s="15">
        <f>C23*M20</f>
        <v>1.1808060861067327E-2</v>
      </c>
    </row>
    <row r="28" spans="1:13" x14ac:dyDescent="0.2">
      <c r="A28" t="s">
        <v>18</v>
      </c>
      <c r="B28" s="11">
        <f>(C6+C8-B4)/10000</f>
        <v>46625.508485906677</v>
      </c>
    </row>
    <row r="29" spans="1:13" x14ac:dyDescent="0.2">
      <c r="A29" t="s">
        <v>19</v>
      </c>
      <c r="B29" s="11">
        <f>(E6+E8-D4)/10000</f>
        <v>26988.374037243713</v>
      </c>
      <c r="C29" s="11">
        <f>B28*(C25+I25+K25+M25)</f>
        <v>6084.5032627188202</v>
      </c>
      <c r="D29" s="15">
        <f>(B29+C29)/SUM(B28:B30)</f>
        <v>0.40249007887950755</v>
      </c>
    </row>
    <row r="30" spans="1:13" x14ac:dyDescent="0.2">
      <c r="A30" t="s">
        <v>20</v>
      </c>
      <c r="B30" s="11">
        <f>(G6+G8-F4)/10000</f>
        <v>8556.7821353031723</v>
      </c>
      <c r="C30" s="11">
        <f>B28*(C26+I26+K26+M26)</f>
        <v>908.55108366872719</v>
      </c>
      <c r="D30" s="15">
        <f>(B30+C30)/SUM(B28:B30)</f>
        <v>0.11519114830475118</v>
      </c>
    </row>
  </sheetData>
  <phoneticPr fontId="3" type="noConversion"/>
  <pageMargins left="0.7" right="0.7" top="0.75" bottom="0.75" header="0.3" footer="0.3"/>
  <pageSetup paperSize="9" orientation="portrait" horizontalDpi="1200" verticalDpi="12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0"/>
  <sheetViews>
    <sheetView topLeftCell="B1" workbookViewId="0">
      <selection activeCell="B4" sqref="B4"/>
    </sheetView>
  </sheetViews>
  <sheetFormatPr defaultColWidth="9" defaultRowHeight="14.25" x14ac:dyDescent="0.2"/>
  <cols>
    <col min="1" max="1" width="23.5" customWidth="1"/>
    <col min="2" max="13" width="11" customWidth="1"/>
  </cols>
  <sheetData>
    <row r="1" spans="1:14" x14ac:dyDescent="0.2">
      <c r="B1" s="11"/>
    </row>
    <row r="2" spans="1:14" x14ac:dyDescent="0.2">
      <c r="A2" s="16"/>
      <c r="B2" s="16" t="s">
        <v>0</v>
      </c>
      <c r="C2" s="17"/>
      <c r="D2" s="16" t="s">
        <v>1</v>
      </c>
      <c r="E2" s="17"/>
      <c r="F2" s="16" t="s">
        <v>2</v>
      </c>
      <c r="G2" s="17"/>
      <c r="H2" s="16" t="s">
        <v>3</v>
      </c>
      <c r="I2" s="17"/>
      <c r="J2" s="16" t="s">
        <v>4</v>
      </c>
      <c r="K2" s="17"/>
      <c r="L2" s="24" t="s">
        <v>5</v>
      </c>
      <c r="M2" s="24"/>
    </row>
    <row r="3" spans="1:14" x14ac:dyDescent="0.2">
      <c r="A3" s="18"/>
      <c r="B3" s="18" t="s">
        <v>6</v>
      </c>
      <c r="C3" s="19" t="s">
        <v>7</v>
      </c>
      <c r="D3" s="18" t="s">
        <v>6</v>
      </c>
      <c r="E3" s="19" t="s">
        <v>7</v>
      </c>
      <c r="F3" s="18" t="s">
        <v>6</v>
      </c>
      <c r="G3" s="19" t="s">
        <v>7</v>
      </c>
      <c r="H3" s="18" t="s">
        <v>6</v>
      </c>
      <c r="I3" s="19" t="s">
        <v>7</v>
      </c>
      <c r="J3" s="18" t="s">
        <v>6</v>
      </c>
      <c r="K3" s="19" t="s">
        <v>7</v>
      </c>
      <c r="L3" t="s">
        <v>6</v>
      </c>
      <c r="M3" t="s">
        <v>7</v>
      </c>
    </row>
    <row r="4" spans="1:14" x14ac:dyDescent="0.2">
      <c r="A4" s="18" t="s">
        <v>8</v>
      </c>
      <c r="B4" s="20">
        <v>43448810.883854203</v>
      </c>
      <c r="C4" s="21">
        <v>0</v>
      </c>
      <c r="D4" s="20">
        <v>2813344.0247455998</v>
      </c>
      <c r="E4" s="21">
        <v>0</v>
      </c>
      <c r="F4" s="20">
        <v>3603541.8993418198</v>
      </c>
      <c r="G4" s="21">
        <v>0</v>
      </c>
      <c r="H4" s="20">
        <v>0</v>
      </c>
      <c r="I4" s="21">
        <v>0</v>
      </c>
      <c r="J4" s="20">
        <v>1671868.85505942</v>
      </c>
      <c r="K4" s="21">
        <v>0</v>
      </c>
      <c r="L4" s="11">
        <v>1783684.3828</v>
      </c>
      <c r="M4" s="11">
        <v>0</v>
      </c>
      <c r="N4" s="11"/>
    </row>
    <row r="5" spans="1:14" x14ac:dyDescent="0.2">
      <c r="A5" s="18" t="s">
        <v>9</v>
      </c>
      <c r="B5" s="20">
        <v>380285478</v>
      </c>
      <c r="C5" s="21">
        <v>0</v>
      </c>
      <c r="D5" s="20">
        <v>144376200.59999999</v>
      </c>
      <c r="E5" s="21">
        <v>0</v>
      </c>
      <c r="F5" s="20">
        <v>70553959.599999994</v>
      </c>
      <c r="G5" s="21">
        <v>0</v>
      </c>
      <c r="H5" s="20">
        <v>25604962.935699999</v>
      </c>
      <c r="I5" s="21">
        <v>0</v>
      </c>
      <c r="J5" s="20">
        <v>23811839</v>
      </c>
      <c r="K5" s="21">
        <v>0</v>
      </c>
      <c r="L5" s="11">
        <v>13982800</v>
      </c>
      <c r="M5" s="11">
        <v>0</v>
      </c>
      <c r="N5" s="11"/>
    </row>
    <row r="6" spans="1:14" x14ac:dyDescent="0.2">
      <c r="A6" s="18" t="s">
        <v>10</v>
      </c>
      <c r="B6" s="20">
        <v>0</v>
      </c>
      <c r="C6" s="21">
        <v>121792354.45306399</v>
      </c>
      <c r="D6" s="20">
        <v>0</v>
      </c>
      <c r="E6" s="21">
        <v>122475652.473859</v>
      </c>
      <c r="F6" s="20">
        <v>0</v>
      </c>
      <c r="G6" s="21">
        <v>52018475.3298508</v>
      </c>
      <c r="H6" s="20">
        <v>0</v>
      </c>
      <c r="I6" s="21">
        <v>12379032.8592395</v>
      </c>
      <c r="J6" s="20">
        <v>0</v>
      </c>
      <c r="K6" s="21">
        <v>57766337.203869499</v>
      </c>
      <c r="L6" s="11">
        <v>0</v>
      </c>
      <c r="M6" s="11">
        <v>1733637.0075317</v>
      </c>
      <c r="N6" s="11"/>
    </row>
    <row r="7" spans="1:14" x14ac:dyDescent="0.2">
      <c r="A7" s="18" t="s">
        <v>11</v>
      </c>
      <c r="B7" s="20">
        <v>206332747</v>
      </c>
      <c r="C7" s="21">
        <v>0</v>
      </c>
      <c r="D7" s="20">
        <v>149564011.40000001</v>
      </c>
      <c r="E7" s="21">
        <v>0</v>
      </c>
      <c r="F7" s="20">
        <v>45628130.399999999</v>
      </c>
      <c r="G7" s="21">
        <v>0</v>
      </c>
      <c r="H7" s="20">
        <v>27926363.534499999</v>
      </c>
      <c r="I7" s="21">
        <v>0</v>
      </c>
      <c r="J7" s="20">
        <v>117189987</v>
      </c>
      <c r="K7" s="21">
        <v>0</v>
      </c>
      <c r="L7" s="11">
        <v>75887115</v>
      </c>
      <c r="M7" s="11">
        <v>0</v>
      </c>
      <c r="N7" s="11"/>
    </row>
    <row r="8" spans="1:14" x14ac:dyDescent="0.2">
      <c r="A8" s="18" t="s">
        <v>12</v>
      </c>
      <c r="B8" s="20">
        <v>0</v>
      </c>
      <c r="C8" s="21">
        <v>508274681.78141201</v>
      </c>
      <c r="D8" s="20">
        <v>0</v>
      </c>
      <c r="E8" s="21">
        <v>174277903.562617</v>
      </c>
      <c r="F8" s="20">
        <v>0</v>
      </c>
      <c r="G8" s="21">
        <v>67767156.540033504</v>
      </c>
      <c r="H8" s="20">
        <v>0</v>
      </c>
      <c r="I8" s="21">
        <v>41152293.610919699</v>
      </c>
      <c r="J8" s="20">
        <v>0</v>
      </c>
      <c r="K8" s="21">
        <v>84907357.849899799</v>
      </c>
      <c r="L8" s="11">
        <v>0</v>
      </c>
      <c r="M8" s="11">
        <v>89919962.017138198</v>
      </c>
      <c r="N8" s="11"/>
    </row>
    <row r="9" spans="1:14" x14ac:dyDescent="0.2">
      <c r="A9" s="18" t="s">
        <v>0</v>
      </c>
      <c r="B9" s="20">
        <v>59652963.840228498</v>
      </c>
      <c r="C9" s="21">
        <v>59652963.840228498</v>
      </c>
      <c r="D9" s="20">
        <v>25613830.327565499</v>
      </c>
      <c r="E9" s="21">
        <v>101.200697071671</v>
      </c>
      <c r="F9" s="20">
        <v>881242.20878431899</v>
      </c>
      <c r="G9" s="21">
        <v>0</v>
      </c>
      <c r="H9" s="20">
        <v>4571652.3240026599</v>
      </c>
      <c r="I9" s="21">
        <v>9924391.9897011891</v>
      </c>
      <c r="J9" s="20">
        <v>92418089.231804997</v>
      </c>
      <c r="K9" s="21">
        <v>799899.21641109802</v>
      </c>
      <c r="L9" s="11">
        <v>38085935.8281947</v>
      </c>
      <c r="M9" s="11">
        <v>695115.33693856501</v>
      </c>
      <c r="N9" s="11"/>
    </row>
    <row r="10" spans="1:14" x14ac:dyDescent="0.2">
      <c r="A10" s="18" t="s">
        <v>1</v>
      </c>
      <c r="B10" s="20">
        <v>101.200697071671</v>
      </c>
      <c r="C10" s="21">
        <v>25613830.327565499</v>
      </c>
      <c r="D10" s="20">
        <v>22869421.6491239</v>
      </c>
      <c r="E10" s="21">
        <v>22869421.6491239</v>
      </c>
      <c r="F10" s="20">
        <v>0</v>
      </c>
      <c r="G10" s="21">
        <v>0</v>
      </c>
      <c r="H10" s="20">
        <v>1277962.65098408</v>
      </c>
      <c r="I10" s="21">
        <v>963372.57806905406</v>
      </c>
      <c r="J10" s="20">
        <v>0</v>
      </c>
      <c r="K10" s="21">
        <v>8694433.4447017107</v>
      </c>
      <c r="L10" s="11">
        <v>2042.62264874779</v>
      </c>
      <c r="M10" s="11">
        <v>60872864.5902768</v>
      </c>
      <c r="N10" s="11"/>
    </row>
    <row r="11" spans="1:14" x14ac:dyDescent="0.2">
      <c r="A11" s="18" t="s">
        <v>2</v>
      </c>
      <c r="B11" s="20">
        <v>0</v>
      </c>
      <c r="C11" s="21">
        <v>881242.20878431899</v>
      </c>
      <c r="D11" s="20">
        <v>0</v>
      </c>
      <c r="E11" s="21">
        <v>0</v>
      </c>
      <c r="F11" s="20">
        <v>3616525.14850487</v>
      </c>
      <c r="G11" s="21">
        <v>3616525.14850487</v>
      </c>
      <c r="H11" s="20">
        <v>586648.86436969298</v>
      </c>
      <c r="I11" s="21">
        <v>4066665.6847201199</v>
      </c>
      <c r="J11" s="20">
        <v>0</v>
      </c>
      <c r="K11" s="21">
        <v>1296806.4628560301</v>
      </c>
      <c r="L11" s="11">
        <v>4694443.2572486103</v>
      </c>
      <c r="M11" s="11">
        <v>17641116.708508901</v>
      </c>
      <c r="N11" s="11"/>
    </row>
    <row r="12" spans="1:14" x14ac:dyDescent="0.2">
      <c r="A12" s="18" t="s">
        <v>3</v>
      </c>
      <c r="B12" s="20">
        <v>9924391.9897011891</v>
      </c>
      <c r="C12" s="21">
        <v>4571652.3240026599</v>
      </c>
      <c r="D12" s="20">
        <v>963372.57806905406</v>
      </c>
      <c r="E12" s="21">
        <v>1277962.65098408</v>
      </c>
      <c r="F12" s="20">
        <v>4066665.6847201199</v>
      </c>
      <c r="G12" s="21">
        <v>586648.86436969298</v>
      </c>
      <c r="H12" s="20">
        <v>4212075.3559913402</v>
      </c>
      <c r="I12" s="21">
        <v>4212075.3559913402</v>
      </c>
      <c r="J12" s="20">
        <v>0</v>
      </c>
      <c r="K12" s="21">
        <v>832895.755479165</v>
      </c>
      <c r="L12" s="11">
        <v>83325.643494110394</v>
      </c>
      <c r="M12" s="11">
        <v>3123076.27217256</v>
      </c>
      <c r="N12" s="11"/>
    </row>
    <row r="13" spans="1:14" x14ac:dyDescent="0.2">
      <c r="A13" s="18" t="s">
        <v>4</v>
      </c>
      <c r="B13" s="20">
        <v>799899.21641109802</v>
      </c>
      <c r="C13" s="21">
        <v>92418089.231804997</v>
      </c>
      <c r="D13" s="20">
        <v>8694433.4447017107</v>
      </c>
      <c r="E13" s="21">
        <v>0</v>
      </c>
      <c r="F13" s="20">
        <v>1296806.4628560301</v>
      </c>
      <c r="G13" s="21">
        <v>0</v>
      </c>
      <c r="H13" s="20">
        <v>832895.755479165</v>
      </c>
      <c r="I13" s="21">
        <v>0</v>
      </c>
      <c r="J13" s="20">
        <v>7486667.2920365799</v>
      </c>
      <c r="K13" s="21">
        <v>7486667.2920365799</v>
      </c>
      <c r="L13" s="11">
        <v>6774966.8582621999</v>
      </c>
      <c r="M13" s="11">
        <v>0</v>
      </c>
      <c r="N13" s="11"/>
    </row>
    <row r="14" spans="1:14" x14ac:dyDescent="0.2">
      <c r="A14" s="18" t="s">
        <v>5</v>
      </c>
      <c r="B14" s="20">
        <v>695115.33693856501</v>
      </c>
      <c r="C14" s="21">
        <v>38085935.8281947</v>
      </c>
      <c r="D14" s="20">
        <v>60872864.5902768</v>
      </c>
      <c r="E14" s="21">
        <v>2042.62264874779</v>
      </c>
      <c r="F14" s="20">
        <v>17641116.708508901</v>
      </c>
      <c r="G14" s="21">
        <v>4694443.2572486103</v>
      </c>
      <c r="H14" s="20">
        <v>3123076.27217256</v>
      </c>
      <c r="I14" s="21">
        <v>83325.643494110394</v>
      </c>
      <c r="J14" s="20">
        <v>0</v>
      </c>
      <c r="K14" s="21">
        <v>6774966.8582621999</v>
      </c>
      <c r="L14" s="11">
        <v>6370935.4979875302</v>
      </c>
      <c r="M14" s="11">
        <v>6370935.4979875302</v>
      </c>
      <c r="N14" s="11"/>
    </row>
    <row r="16" spans="1:14" x14ac:dyDescent="0.2">
      <c r="A16" t="s">
        <v>13</v>
      </c>
      <c r="B16" s="14">
        <f>B5/B7+1</f>
        <v>2.8430689433897762</v>
      </c>
      <c r="C16" s="14"/>
      <c r="D16" s="14">
        <f>D5/D7+1</f>
        <v>1.9653137760117605</v>
      </c>
      <c r="E16" s="14"/>
      <c r="F16" s="14">
        <f>F5/F7+1</f>
        <v>2.5462820628740905</v>
      </c>
      <c r="H16" s="14">
        <f>H5/H7+1</f>
        <v>1.916874225463256</v>
      </c>
      <c r="I16" s="14"/>
      <c r="J16" s="14">
        <f>J5/J7+1</f>
        <v>1.2031900472862072</v>
      </c>
      <c r="K16" s="14"/>
      <c r="L16" s="14">
        <f>L5/L7+1</f>
        <v>1.1842578941102189</v>
      </c>
      <c r="M16" s="14"/>
    </row>
    <row r="18" spans="1:13" x14ac:dyDescent="0.2">
      <c r="A18" t="s">
        <v>0</v>
      </c>
      <c r="B18" s="15"/>
      <c r="C18" s="15"/>
      <c r="H18" s="15">
        <f>H9/(H$7-H$12)</f>
        <v>0.19278049965445607</v>
      </c>
      <c r="I18" s="15">
        <f>I9/(I$6+I$8-I$12)</f>
        <v>0.2012275483812086</v>
      </c>
      <c r="J18" s="15">
        <f>J9/(J$7-J$13)</f>
        <v>0.84243657783399162</v>
      </c>
      <c r="K18" s="15">
        <f>K9/(K$6+K$8-K$13)</f>
        <v>5.9169820481660513E-3</v>
      </c>
      <c r="L18" s="15">
        <f>L9/(L$7-L$14)</f>
        <v>0.5478715329442424</v>
      </c>
      <c r="M18" s="15">
        <f>M9/(M$6+M$8-M$14)</f>
        <v>8.1507226462396356E-3</v>
      </c>
    </row>
    <row r="19" spans="1:13" x14ac:dyDescent="0.2">
      <c r="A19" t="s">
        <v>1</v>
      </c>
      <c r="B19" s="15">
        <f>B10/(B$7-B$9)</f>
        <v>6.899430507163878E-7</v>
      </c>
      <c r="C19" s="15">
        <f>C10/(C$6+C$8-C$9)</f>
        <v>4.4903924301962585E-2</v>
      </c>
      <c r="H19" s="15">
        <f>H10/(H$7-H$12)</f>
        <v>5.3889985706686662E-2</v>
      </c>
      <c r="I19" s="15">
        <f>I10/(I$6+I$8-I$12)</f>
        <v>1.9533398344572746E-2</v>
      </c>
      <c r="J19" s="15">
        <f>J10/(J$7-J$13)</f>
        <v>0</v>
      </c>
      <c r="K19" s="15">
        <f>K10/(K$6+K$8-K$13)</f>
        <v>6.4314110522687581E-2</v>
      </c>
      <c r="L19" s="15">
        <f>L10/(L$7-L$14)</f>
        <v>2.9383413521576752E-5</v>
      </c>
      <c r="M19" s="15">
        <f>M10/(M$6+M$8-M$14)</f>
        <v>0.71377771369947318</v>
      </c>
    </row>
    <row r="20" spans="1:13" x14ac:dyDescent="0.2">
      <c r="A20" t="s">
        <v>2</v>
      </c>
      <c r="B20" s="15">
        <f>B11/(B$7-B$9)</f>
        <v>0</v>
      </c>
      <c r="C20" s="15">
        <f>C11/(C$6+C$8-C$9)</f>
        <v>1.5449166691933213E-3</v>
      </c>
      <c r="H20" s="15">
        <f>H11/(H$7-H$12)</f>
        <v>2.4738202553401967E-2</v>
      </c>
      <c r="I20" s="15">
        <f>I11/(I$6+I$8-I$12)</f>
        <v>8.2455949610960241E-2</v>
      </c>
      <c r="J20" s="15">
        <f>J11/(J$7-J$13)</f>
        <v>0</v>
      </c>
      <c r="K20" s="15">
        <f>K11/(K$6+K$8-K$13)</f>
        <v>9.5926841822549201E-3</v>
      </c>
      <c r="L20" s="15">
        <f>L11/(L$7-L$14)</f>
        <v>6.7530225206244354E-2</v>
      </c>
      <c r="M20" s="15">
        <f>M11/(M$6+M$8-M$14)</f>
        <v>0.20685466399615354</v>
      </c>
    </row>
    <row r="21" spans="1:13" x14ac:dyDescent="0.2">
      <c r="A21" t="s">
        <v>3</v>
      </c>
      <c r="B21" s="15">
        <f>B12/(B$7-B$9)</f>
        <v>6.7660258120855063E-2</v>
      </c>
      <c r="C21" s="15">
        <f>C12/(C$6+C$8-C$9)</f>
        <v>8.0146205103490426E-3</v>
      </c>
      <c r="H21" s="15"/>
      <c r="I21" s="15"/>
      <c r="J21" s="15">
        <f>J12/(J$7-J$13)</f>
        <v>0</v>
      </c>
      <c r="K21" s="15">
        <f>K12/(K$6+K$8-K$13)</f>
        <v>6.1610627089689757E-3</v>
      </c>
      <c r="L21" s="15">
        <f>L12/(L$7-L$14)</f>
        <v>1.1986510779364412E-3</v>
      </c>
      <c r="M21" s="15">
        <f>M12/(M$6+M$8-M$14)</f>
        <v>3.6620294712013113E-2</v>
      </c>
    </row>
    <row r="22" spans="1:13" x14ac:dyDescent="0.2">
      <c r="A22" t="s">
        <v>4</v>
      </c>
      <c r="B22" s="15">
        <f>B13/(B$7-B$9)</f>
        <v>5.4533705953178618E-3</v>
      </c>
      <c r="C22" s="15">
        <f>C13/(C$6+C$8-C$9)</f>
        <v>0.16201930089818908</v>
      </c>
      <c r="H22" s="15">
        <f>H13/(H$7-H$12)</f>
        <v>3.5122106521164154E-2</v>
      </c>
      <c r="I22" s="15">
        <f>I13/(I$6+I$8-I$12)</f>
        <v>0</v>
      </c>
      <c r="J22" s="15"/>
      <c r="K22" s="15"/>
      <c r="L22" s="15">
        <f>L13/(L$7-L$14)</f>
        <v>9.7458849246254475E-2</v>
      </c>
      <c r="M22" s="15">
        <f>M13/(M$6+M$8-M$14)</f>
        <v>0</v>
      </c>
    </row>
    <row r="23" spans="1:13" x14ac:dyDescent="0.2">
      <c r="A23" t="s">
        <v>5</v>
      </c>
      <c r="B23" s="15">
        <f>B14/(B$7-B$9)</f>
        <v>4.7389989401702892E-3</v>
      </c>
      <c r="C23" s="15">
        <f>C14/(C$6+C$8-C$9)</f>
        <v>6.6768927471114736E-2</v>
      </c>
      <c r="H23" s="15">
        <f>H14/(H$7-H$12)</f>
        <v>0.13169597369584482</v>
      </c>
      <c r="I23" s="15">
        <f>I14/(I$6+I$8-I$12)</f>
        <v>1.6895155869504591E-3</v>
      </c>
      <c r="J23" s="15">
        <f>J14/(J$7-J$13)</f>
        <v>0</v>
      </c>
      <c r="K23" s="15">
        <f>K14/(K$6+K$8-K$13)</f>
        <v>5.0115510122784021E-2</v>
      </c>
      <c r="L23" s="15"/>
      <c r="M23" s="15"/>
    </row>
    <row r="24" spans="1:13" x14ac:dyDescent="0.2">
      <c r="B24" t="s">
        <v>14</v>
      </c>
      <c r="H24" t="s">
        <v>15</v>
      </c>
      <c r="J24" t="s">
        <v>16</v>
      </c>
      <c r="L24" t="s">
        <v>17</v>
      </c>
    </row>
    <row r="25" spans="1:13" s="15" customFormat="1" x14ac:dyDescent="0.2">
      <c r="A25" s="15" t="s">
        <v>1</v>
      </c>
      <c r="C25" s="15">
        <f>C19</f>
        <v>4.4903924301962585E-2</v>
      </c>
      <c r="I25" s="15">
        <f>C21*I19</f>
        <v>1.5655277500923077E-4</v>
      </c>
      <c r="K25" s="15">
        <f>C22*K19</f>
        <v>1.0420127224774709E-2</v>
      </c>
      <c r="M25" s="15">
        <f>C23*M19</f>
        <v>4.7658172396498222E-2</v>
      </c>
    </row>
    <row r="26" spans="1:13" s="15" customFormat="1" x14ac:dyDescent="0.2">
      <c r="A26" s="15" t="s">
        <v>2</v>
      </c>
      <c r="C26" s="15">
        <f>C20</f>
        <v>1.5449166691933213E-3</v>
      </c>
      <c r="I26" s="15">
        <f>C21*I20</f>
        <v>6.6085314495230914E-4</v>
      </c>
      <c r="K26" s="15">
        <f>C22*K20</f>
        <v>1.5541999849460588E-3</v>
      </c>
      <c r="M26" s="15">
        <f>C23*M20</f>
        <v>1.3811464057420985E-2</v>
      </c>
    </row>
    <row r="28" spans="1:13" x14ac:dyDescent="0.2">
      <c r="A28" t="s">
        <v>18</v>
      </c>
      <c r="B28" s="11">
        <f>(C6+C8-B4)/10000</f>
        <v>58661.82253506218</v>
      </c>
    </row>
    <row r="29" spans="1:13" x14ac:dyDescent="0.2">
      <c r="A29" t="s">
        <v>19</v>
      </c>
      <c r="B29" s="11">
        <f>(E6+E8-D4)/10000</f>
        <v>29394.021201173044</v>
      </c>
      <c r="C29" s="11">
        <f>B28*(C25+I25+K25+M25)</f>
        <v>6050.3086151558391</v>
      </c>
      <c r="D29" s="15">
        <f>(B29+C29)/SUM(B28:B30)</f>
        <v>0.35560237438294784</v>
      </c>
    </row>
    <row r="30" spans="1:13" x14ac:dyDescent="0.2">
      <c r="A30" t="s">
        <v>20</v>
      </c>
      <c r="B30" s="11">
        <f>(G6+G8-F4)/10000</f>
        <v>11618.208997054249</v>
      </c>
      <c r="C30" s="11">
        <f>B28*(C26+I26+K26+M26)</f>
        <v>1030.7723345773297</v>
      </c>
      <c r="D30" s="15">
        <f>(B30+C30)/SUM(B28:B30)</f>
        <v>0.12690345164832484</v>
      </c>
    </row>
  </sheetData>
  <phoneticPr fontId="3" type="noConversion"/>
  <pageMargins left="0.7" right="0.7" top="0.75" bottom="0.75" header="0.3" footer="0.3"/>
  <pageSetup paperSize="9" orientation="portrait" horizontalDpi="1200" verticalDpi="12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0"/>
  <sheetViews>
    <sheetView workbookViewId="0">
      <selection activeCell="I27" sqref="I27"/>
    </sheetView>
  </sheetViews>
  <sheetFormatPr defaultColWidth="9" defaultRowHeight="14.25" x14ac:dyDescent="0.2"/>
  <cols>
    <col min="1" max="1" width="23.5" customWidth="1"/>
    <col min="2" max="13" width="11.125" customWidth="1"/>
  </cols>
  <sheetData>
    <row r="1" spans="1:14" x14ac:dyDescent="0.2">
      <c r="B1" s="11"/>
    </row>
    <row r="2" spans="1:14" x14ac:dyDescent="0.2">
      <c r="A2" s="16"/>
      <c r="B2" s="16" t="s">
        <v>0</v>
      </c>
      <c r="C2" s="17"/>
      <c r="D2" s="16" t="s">
        <v>1</v>
      </c>
      <c r="E2" s="17"/>
      <c r="F2" s="16" t="s">
        <v>2</v>
      </c>
      <c r="G2" s="17"/>
      <c r="H2" s="16" t="s">
        <v>3</v>
      </c>
      <c r="I2" s="17"/>
      <c r="J2" s="16" t="s">
        <v>4</v>
      </c>
      <c r="K2" s="17"/>
      <c r="L2" s="24" t="s">
        <v>5</v>
      </c>
      <c r="M2" s="24"/>
    </row>
    <row r="3" spans="1:14" x14ac:dyDescent="0.2">
      <c r="A3" s="18"/>
      <c r="B3" s="18" t="s">
        <v>6</v>
      </c>
      <c r="C3" s="19" t="s">
        <v>7</v>
      </c>
      <c r="D3" s="18" t="s">
        <v>6</v>
      </c>
      <c r="E3" s="19" t="s">
        <v>7</v>
      </c>
      <c r="F3" s="18" t="s">
        <v>6</v>
      </c>
      <c r="G3" s="19" t="s">
        <v>7</v>
      </c>
      <c r="H3" s="18" t="s">
        <v>6</v>
      </c>
      <c r="I3" s="19" t="s">
        <v>7</v>
      </c>
      <c r="J3" s="18" t="s">
        <v>6</v>
      </c>
      <c r="K3" s="19" t="s">
        <v>7</v>
      </c>
      <c r="L3" t="s">
        <v>6</v>
      </c>
      <c r="M3" t="s">
        <v>7</v>
      </c>
    </row>
    <row r="4" spans="1:14" x14ac:dyDescent="0.2">
      <c r="A4" s="18" t="s">
        <v>8</v>
      </c>
      <c r="B4" s="20">
        <v>41959296.448924899</v>
      </c>
      <c r="C4" s="21">
        <v>0</v>
      </c>
      <c r="D4" s="20">
        <v>2968537.9595576199</v>
      </c>
      <c r="E4" s="21">
        <v>0</v>
      </c>
      <c r="F4" s="20">
        <v>4228576.3464299999</v>
      </c>
      <c r="G4" s="21">
        <v>0</v>
      </c>
      <c r="H4" s="20">
        <v>0</v>
      </c>
      <c r="I4" s="21">
        <v>0</v>
      </c>
      <c r="J4" s="20">
        <v>1477751.2412346599</v>
      </c>
      <c r="K4" s="21">
        <v>0</v>
      </c>
      <c r="L4" s="11">
        <v>2025290.6523</v>
      </c>
      <c r="M4" s="11">
        <v>0</v>
      </c>
      <c r="N4" s="11"/>
    </row>
    <row r="5" spans="1:14" x14ac:dyDescent="0.2">
      <c r="A5" s="18" t="s">
        <v>9</v>
      </c>
      <c r="B5" s="20">
        <v>401199460</v>
      </c>
      <c r="C5" s="21">
        <v>0</v>
      </c>
      <c r="D5" s="20">
        <v>142810009.90000001</v>
      </c>
      <c r="E5" s="21">
        <v>0</v>
      </c>
      <c r="F5" s="20">
        <v>73787637.200000003</v>
      </c>
      <c r="G5" s="21">
        <v>0</v>
      </c>
      <c r="H5" s="20">
        <v>28132947</v>
      </c>
      <c r="I5" s="21">
        <v>0</v>
      </c>
      <c r="J5" s="20">
        <v>20177290</v>
      </c>
      <c r="K5" s="21">
        <v>0</v>
      </c>
      <c r="L5" s="11">
        <v>12003411</v>
      </c>
      <c r="M5" s="11">
        <v>0</v>
      </c>
      <c r="N5" s="11"/>
    </row>
    <row r="6" spans="1:14" x14ac:dyDescent="0.2">
      <c r="A6" s="18" t="s">
        <v>10</v>
      </c>
      <c r="B6" s="20">
        <v>0</v>
      </c>
      <c r="C6" s="21">
        <v>149598535.02473399</v>
      </c>
      <c r="D6" s="20">
        <v>0</v>
      </c>
      <c r="E6" s="21">
        <v>112140530.68695299</v>
      </c>
      <c r="F6" s="20">
        <v>0</v>
      </c>
      <c r="G6" s="21">
        <v>54160442.372200899</v>
      </c>
      <c r="H6" s="20">
        <v>0</v>
      </c>
      <c r="I6" s="21">
        <v>17683471.527169399</v>
      </c>
      <c r="J6" s="20">
        <v>0</v>
      </c>
      <c r="K6" s="21">
        <v>53661241.107331</v>
      </c>
      <c r="L6" s="11">
        <v>0</v>
      </c>
      <c r="M6" s="11">
        <v>2064896.32915445</v>
      </c>
      <c r="N6" s="11"/>
    </row>
    <row r="7" spans="1:14" x14ac:dyDescent="0.2">
      <c r="A7" s="18" t="s">
        <v>11</v>
      </c>
      <c r="B7" s="20">
        <v>200423000</v>
      </c>
      <c r="C7" s="21">
        <v>0</v>
      </c>
      <c r="D7" s="20">
        <v>132457000</v>
      </c>
      <c r="E7" s="21">
        <v>0</v>
      </c>
      <c r="F7" s="20">
        <v>47997000</v>
      </c>
      <c r="G7" s="21">
        <v>0</v>
      </c>
      <c r="H7" s="20">
        <v>30521053</v>
      </c>
      <c r="I7" s="21">
        <v>0</v>
      </c>
      <c r="J7" s="20">
        <v>108450303</v>
      </c>
      <c r="K7" s="21">
        <v>0</v>
      </c>
      <c r="L7" s="11">
        <v>72344566</v>
      </c>
      <c r="M7" s="11">
        <v>0</v>
      </c>
      <c r="N7" s="11"/>
    </row>
    <row r="8" spans="1:14" x14ac:dyDescent="0.2">
      <c r="A8" s="18" t="s">
        <v>12</v>
      </c>
      <c r="B8" s="20">
        <v>0</v>
      </c>
      <c r="C8" s="21">
        <v>493983220.95791203</v>
      </c>
      <c r="D8" s="20">
        <v>0</v>
      </c>
      <c r="E8" s="21">
        <v>166095017.13319099</v>
      </c>
      <c r="F8" s="20">
        <v>0</v>
      </c>
      <c r="G8" s="21">
        <v>71852771.126861393</v>
      </c>
      <c r="H8" s="20">
        <v>0</v>
      </c>
      <c r="I8" s="21">
        <v>40970528.472830601</v>
      </c>
      <c r="J8" s="20">
        <v>0</v>
      </c>
      <c r="K8" s="21">
        <v>76444102.897913903</v>
      </c>
      <c r="L8" s="11">
        <v>0</v>
      </c>
      <c r="M8" s="11">
        <v>84308371.633935794</v>
      </c>
      <c r="N8" s="11"/>
    </row>
    <row r="9" spans="1:14" x14ac:dyDescent="0.2">
      <c r="A9" s="18" t="s">
        <v>0</v>
      </c>
      <c r="B9" s="20">
        <v>59643958.640318401</v>
      </c>
      <c r="C9" s="21">
        <v>59643958.640318401</v>
      </c>
      <c r="D9" s="20">
        <v>22251368.372105598</v>
      </c>
      <c r="E9" s="21">
        <v>93.7429538693099</v>
      </c>
      <c r="F9" s="20">
        <v>904767.30013539596</v>
      </c>
      <c r="G9" s="21">
        <v>0</v>
      </c>
      <c r="H9" s="20">
        <v>4870188.7457871204</v>
      </c>
      <c r="I9" s="21">
        <v>9363332.0480748396</v>
      </c>
      <c r="J9" s="20">
        <v>85319553.200254098</v>
      </c>
      <c r="K9" s="21">
        <v>755167.054272354</v>
      </c>
      <c r="L9" s="11">
        <v>36463598.000728898</v>
      </c>
      <c r="M9" s="11">
        <v>679892.93360691599</v>
      </c>
      <c r="N9" s="11"/>
    </row>
    <row r="10" spans="1:14" x14ac:dyDescent="0.2">
      <c r="A10" s="18" t="s">
        <v>1</v>
      </c>
      <c r="B10" s="20">
        <v>93.7429538693099</v>
      </c>
      <c r="C10" s="21">
        <v>22251368.372105598</v>
      </c>
      <c r="D10" s="20">
        <v>19105284.7010522</v>
      </c>
      <c r="E10" s="21">
        <v>19105284.7010522</v>
      </c>
      <c r="F10" s="20">
        <v>0</v>
      </c>
      <c r="G10" s="21">
        <v>0</v>
      </c>
      <c r="H10" s="20">
        <v>1313842.32555062</v>
      </c>
      <c r="I10" s="21">
        <v>889535.73349664605</v>
      </c>
      <c r="J10" s="20">
        <v>0</v>
      </c>
      <c r="K10" s="21">
        <v>8033256.8674446801</v>
      </c>
      <c r="L10" s="11">
        <v>1842.2898362369899</v>
      </c>
      <c r="M10" s="11">
        <v>53135356.470224202</v>
      </c>
      <c r="N10" s="11"/>
    </row>
    <row r="11" spans="1:14" x14ac:dyDescent="0.2">
      <c r="A11" s="18" t="s">
        <v>2</v>
      </c>
      <c r="B11" s="20">
        <v>0</v>
      </c>
      <c r="C11" s="21">
        <v>904767.30013539596</v>
      </c>
      <c r="D11" s="20">
        <v>0</v>
      </c>
      <c r="E11" s="21">
        <v>0</v>
      </c>
      <c r="F11" s="20">
        <v>3626400.98029747</v>
      </c>
      <c r="G11" s="21">
        <v>3626400.98029747</v>
      </c>
      <c r="H11" s="20">
        <v>603314.17884545901</v>
      </c>
      <c r="I11" s="21">
        <v>4103967.8592738202</v>
      </c>
      <c r="J11" s="20">
        <v>0</v>
      </c>
      <c r="K11" s="21">
        <v>1309549.4245004801</v>
      </c>
      <c r="L11" s="11">
        <v>4235396.9329202296</v>
      </c>
      <c r="M11" s="11">
        <v>18924457.7721969</v>
      </c>
      <c r="N11" s="11"/>
    </row>
    <row r="12" spans="1:14" x14ac:dyDescent="0.2">
      <c r="A12" s="18" t="s">
        <v>3</v>
      </c>
      <c r="B12" s="20">
        <v>9363332.0480748396</v>
      </c>
      <c r="C12" s="21">
        <v>4870188.7457871204</v>
      </c>
      <c r="D12" s="20">
        <v>889535.73349664605</v>
      </c>
      <c r="E12" s="21">
        <v>1313842.32555062</v>
      </c>
      <c r="F12" s="20">
        <v>4103967.8592738202</v>
      </c>
      <c r="G12" s="21">
        <v>603314.17884545901</v>
      </c>
      <c r="H12" s="20">
        <v>4551298.2303444901</v>
      </c>
      <c r="I12" s="21">
        <v>4551298.2303444901</v>
      </c>
      <c r="J12" s="20">
        <v>0</v>
      </c>
      <c r="K12" s="21">
        <v>872706.81832738803</v>
      </c>
      <c r="L12" s="11">
        <v>76545.537046544894</v>
      </c>
      <c r="M12" s="11">
        <v>3547235.3451036699</v>
      </c>
      <c r="N12" s="11"/>
    </row>
    <row r="13" spans="1:14" x14ac:dyDescent="0.2">
      <c r="A13" s="18" t="s">
        <v>4</v>
      </c>
      <c r="B13" s="20">
        <v>755167.054272354</v>
      </c>
      <c r="C13" s="21">
        <v>85319553.200254098</v>
      </c>
      <c r="D13" s="20">
        <v>8033256.8674446801</v>
      </c>
      <c r="E13" s="21">
        <v>0</v>
      </c>
      <c r="F13" s="20">
        <v>1309549.4245004801</v>
      </c>
      <c r="G13" s="21">
        <v>0</v>
      </c>
      <c r="H13" s="20">
        <v>872706.81832738803</v>
      </c>
      <c r="I13" s="21">
        <v>0</v>
      </c>
      <c r="J13" s="20">
        <v>6400328.4259492401</v>
      </c>
      <c r="K13" s="21">
        <v>6400328.4259492401</v>
      </c>
      <c r="L13" s="11">
        <v>5572329.7012321996</v>
      </c>
      <c r="M13" s="11">
        <v>0</v>
      </c>
      <c r="N13" s="11"/>
    </row>
    <row r="14" spans="1:14" x14ac:dyDescent="0.2">
      <c r="A14" s="18" t="s">
        <v>5</v>
      </c>
      <c r="B14" s="20">
        <v>679892.93360691599</v>
      </c>
      <c r="C14" s="21">
        <v>36463598.000728898</v>
      </c>
      <c r="D14" s="20">
        <v>53135356.470224202</v>
      </c>
      <c r="E14" s="21">
        <v>1842.2898362369899</v>
      </c>
      <c r="F14" s="20">
        <v>18924457.7721969</v>
      </c>
      <c r="G14" s="21">
        <v>4235396.9329202296</v>
      </c>
      <c r="H14" s="20">
        <v>3547235.3451036699</v>
      </c>
      <c r="I14" s="21">
        <v>76545.537046544894</v>
      </c>
      <c r="J14" s="20">
        <v>0</v>
      </c>
      <c r="K14" s="21">
        <v>5572329.7012321996</v>
      </c>
      <c r="L14" s="11">
        <v>6889403.4277639799</v>
      </c>
      <c r="M14" s="11">
        <v>6889403.4277639799</v>
      </c>
      <c r="N14" s="11"/>
    </row>
    <row r="16" spans="1:14" x14ac:dyDescent="0.2">
      <c r="A16" t="s">
        <v>13</v>
      </c>
      <c r="B16" s="14">
        <f>B5/B7+1</f>
        <v>3.0017635700493455</v>
      </c>
      <c r="C16" s="14"/>
      <c r="D16" s="14">
        <f>D5/D7+1</f>
        <v>2.0781612893240826</v>
      </c>
      <c r="E16" s="14"/>
      <c r="F16" s="14">
        <f>F5/F7+1</f>
        <v>2.5373385253244995</v>
      </c>
      <c r="H16" s="14">
        <f>H5/H7+1</f>
        <v>1.921755451884311</v>
      </c>
      <c r="I16" s="14"/>
      <c r="J16" s="14">
        <f>J5/J7+1</f>
        <v>1.1860510246799403</v>
      </c>
      <c r="K16" s="14"/>
      <c r="L16" s="14">
        <f>L5/L7+1</f>
        <v>1.1659200084219179</v>
      </c>
      <c r="M16" s="14"/>
    </row>
    <row r="18" spans="1:13" x14ac:dyDescent="0.2">
      <c r="A18" t="s">
        <v>0</v>
      </c>
      <c r="B18" s="15"/>
      <c r="C18" s="15"/>
      <c r="H18" s="15">
        <f>H9/(H$7-H$12)</f>
        <v>0.18753310491317063</v>
      </c>
      <c r="I18" s="15">
        <f>I9/(I$6+I$8-I$12)</f>
        <v>0.17306588657881844</v>
      </c>
      <c r="J18" s="15">
        <f>J9/(J$7-J$13)</f>
        <v>0.83605658459369314</v>
      </c>
      <c r="K18" s="15">
        <f>K9/(K$6+K$8-K$13)</f>
        <v>6.1045791129486363E-3</v>
      </c>
      <c r="L18" s="15">
        <f>L9/(L$7-L$14)</f>
        <v>0.55707749500259574</v>
      </c>
      <c r="M18" s="15">
        <f>M9/(M$6+M$8-M$14)</f>
        <v>8.5538484770671976E-3</v>
      </c>
    </row>
    <row r="19" spans="1:13" x14ac:dyDescent="0.2">
      <c r="A19" t="s">
        <v>1</v>
      </c>
      <c r="B19" s="15">
        <f>B10/(B$7-B$9)</f>
        <v>6.6588714459137808E-7</v>
      </c>
      <c r="C19" s="15">
        <f>C10/(C$6+C$8-C$9)</f>
        <v>3.8105716864669681E-2</v>
      </c>
      <c r="H19" s="15">
        <f>H10/(H$7-H$12)</f>
        <v>5.059124882787825E-2</v>
      </c>
      <c r="I19" s="15">
        <f>I10/(I$6+I$8-I$12)</f>
        <v>1.6441613900981901E-2</v>
      </c>
      <c r="J19" s="15">
        <f>J10/(J$7-J$13)</f>
        <v>0</v>
      </c>
      <c r="K19" s="15">
        <f>K10/(K$6+K$8-K$13)</f>
        <v>6.4938812948091937E-2</v>
      </c>
      <c r="L19" s="15">
        <f>L10/(L$7-L$14)</f>
        <v>2.8145829356146621E-5</v>
      </c>
      <c r="M19" s="15">
        <f>M10/(M$6+M$8-M$14)</f>
        <v>0.6685049447565351</v>
      </c>
    </row>
    <row r="20" spans="1:13" x14ac:dyDescent="0.2">
      <c r="A20" t="s">
        <v>2</v>
      </c>
      <c r="B20" s="15">
        <f>B11/(B$7-B$9)</f>
        <v>0</v>
      </c>
      <c r="C20" s="15">
        <f>C11/(C$6+C$8-C$9)</f>
        <v>1.5494241069053205E-3</v>
      </c>
      <c r="H20" s="15">
        <f>H11/(H$7-H$12)</f>
        <v>2.3231416091398924E-2</v>
      </c>
      <c r="I20" s="15">
        <f>I11/(I$6+I$8-I$12)</f>
        <v>7.5855137082555188E-2</v>
      </c>
      <c r="J20" s="15">
        <f>J11/(J$7-J$13)</f>
        <v>0</v>
      </c>
      <c r="K20" s="15">
        <f>K11/(K$6+K$8-K$13)</f>
        <v>1.0586065717449031E-2</v>
      </c>
      <c r="L20" s="15">
        <f>L11/(L$7-L$14)</f>
        <v>6.4706843073624107E-2</v>
      </c>
      <c r="M20" s="15">
        <f>M11/(M$6+M$8-M$14)</f>
        <v>0.23809181753846415</v>
      </c>
    </row>
    <row r="21" spans="1:13" x14ac:dyDescent="0.2">
      <c r="A21" t="s">
        <v>3</v>
      </c>
      <c r="B21" s="15">
        <f>B12/(B$7-B$9)</f>
        <v>6.6510838244395451E-2</v>
      </c>
      <c r="C21" s="15">
        <f>C12/(C$6+C$8-C$9)</f>
        <v>8.3402526227156042E-3</v>
      </c>
      <c r="H21" s="15"/>
      <c r="I21" s="15"/>
      <c r="J21" s="15">
        <f>J12/(J$7-J$13)</f>
        <v>0</v>
      </c>
      <c r="K21" s="15">
        <f>K12/(K$6+K$8-K$13)</f>
        <v>7.0547407818559926E-3</v>
      </c>
      <c r="L21" s="15">
        <f>L12/(L$7-L$14)</f>
        <v>1.1694346792290003E-3</v>
      </c>
      <c r="M21" s="15">
        <f>M12/(M$6+M$8-M$14)</f>
        <v>4.4628370372292565E-2</v>
      </c>
    </row>
    <row r="22" spans="1:13" x14ac:dyDescent="0.2">
      <c r="A22" t="s">
        <v>4</v>
      </c>
      <c r="B22" s="15">
        <f>B13/(B$7-B$9)</f>
        <v>5.3642008567379683E-3</v>
      </c>
      <c r="C22" s="15">
        <f>C13/(C$6+C$8-C$9)</f>
        <v>0.14611068779683117</v>
      </c>
      <c r="H22" s="15">
        <f>H13/(H$7-H$12)</f>
        <v>3.3604738514785924E-2</v>
      </c>
      <c r="I22" s="15">
        <f>I13/(I$6+I$8-I$12)</f>
        <v>0</v>
      </c>
      <c r="J22" s="15"/>
      <c r="K22" s="15"/>
      <c r="L22" s="15">
        <f>L13/(L$7-L$14)</f>
        <v>8.5132012239410484E-2</v>
      </c>
      <c r="M22" s="15">
        <f>M13/(M$6+M$8-M$14)</f>
        <v>0</v>
      </c>
    </row>
    <row r="23" spans="1:13" x14ac:dyDescent="0.2">
      <c r="A23" t="s">
        <v>5</v>
      </c>
      <c r="B23" s="15">
        <f>B14/(B$7-B$9)</f>
        <v>4.8295039307011071E-3</v>
      </c>
      <c r="C23" s="15">
        <f>C14/(C$6+C$8-C$9)</f>
        <v>6.2444318841296864E-2</v>
      </c>
      <c r="H23" s="15">
        <f>H14/(H$7-H$12)</f>
        <v>0.13659102200104156</v>
      </c>
      <c r="I23" s="15">
        <f>I14/(I$6+I$8-I$12)</f>
        <v>1.4148191225724859E-3</v>
      </c>
      <c r="J23" s="15">
        <f>J14/(J$7-J$13)</f>
        <v>0</v>
      </c>
      <c r="K23" s="15">
        <f>K14/(K$6+K$8-K$13)</f>
        <v>4.5045301317312415E-2</v>
      </c>
      <c r="L23" s="15"/>
      <c r="M23" s="15"/>
    </row>
    <row r="24" spans="1:13" x14ac:dyDescent="0.2">
      <c r="B24" t="s">
        <v>14</v>
      </c>
      <c r="H24" t="s">
        <v>15</v>
      </c>
      <c r="J24" t="s">
        <v>16</v>
      </c>
      <c r="L24" t="s">
        <v>17</v>
      </c>
    </row>
    <row r="25" spans="1:13" s="15" customFormat="1" x14ac:dyDescent="0.2">
      <c r="A25" s="15" t="s">
        <v>1</v>
      </c>
      <c r="C25" s="15">
        <f>C19</f>
        <v>3.8105716864669681E-2</v>
      </c>
      <c r="I25" s="15">
        <f>C21*I19</f>
        <v>1.3712721345934164E-4</v>
      </c>
      <c r="K25" s="15">
        <f>C22*K19</f>
        <v>9.4882546245554783E-3</v>
      </c>
      <c r="M25" s="15">
        <f>C23*M19</f>
        <v>4.1744335917360625E-2</v>
      </c>
    </row>
    <row r="26" spans="1:13" s="15" customFormat="1" x14ac:dyDescent="0.2">
      <c r="A26" s="15" t="s">
        <v>2</v>
      </c>
      <c r="C26" s="15">
        <f>C20</f>
        <v>1.5494241069053205E-3</v>
      </c>
      <c r="I26" s="15">
        <f>C21*I20</f>
        <v>6.326510059992326E-4</v>
      </c>
      <c r="K26" s="15">
        <f>C22*K20</f>
        <v>1.546737343038933E-3</v>
      </c>
      <c r="M26" s="15">
        <f>C23*M20</f>
        <v>1.4867481367875732E-2</v>
      </c>
    </row>
    <row r="28" spans="1:13" x14ac:dyDescent="0.2">
      <c r="A28" t="s">
        <v>18</v>
      </c>
      <c r="B28" s="11">
        <f>(C6+C8-B4)/10000</f>
        <v>60162.245953372112</v>
      </c>
    </row>
    <row r="29" spans="1:13" x14ac:dyDescent="0.2">
      <c r="A29" t="s">
        <v>19</v>
      </c>
      <c r="B29" s="11">
        <f>(E6+E8-D4)/10000</f>
        <v>27526.70098605864</v>
      </c>
      <c r="C29" s="11">
        <f>B28*(C25+I25+K25+M25)</f>
        <v>5383.0431043960207</v>
      </c>
      <c r="D29" s="15">
        <f>(B29+C29)/SUM(B28:B30)</f>
        <v>0.32953436836612154</v>
      </c>
    </row>
    <row r="30" spans="1:13" x14ac:dyDescent="0.2">
      <c r="A30" t="s">
        <v>20</v>
      </c>
      <c r="B30" s="11">
        <f>(G6+G8-F4)/10000</f>
        <v>12178.463715263229</v>
      </c>
      <c r="C30" s="11">
        <f>B28*(C26+I26+K26+M26)</f>
        <v>1118.7948028497865</v>
      </c>
      <c r="D30" s="15">
        <f>(B30+C30)/SUM(B28:B30)</f>
        <v>0.13314912673655083</v>
      </c>
    </row>
  </sheetData>
  <phoneticPr fontId="3" type="noConversion"/>
  <pageMargins left="0.7" right="0.7" top="0.75" bottom="0.75" header="0.3" footer="0.3"/>
  <pageSetup paperSize="9" orientation="portrait" horizontalDpi="1200" verticalDpi="12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30"/>
  <sheetViews>
    <sheetView workbookViewId="0">
      <selection activeCell="A38" sqref="A38"/>
    </sheetView>
  </sheetViews>
  <sheetFormatPr defaultColWidth="9" defaultRowHeight="14.25" x14ac:dyDescent="0.2"/>
  <cols>
    <col min="1" max="1" width="24.75" customWidth="1"/>
    <col min="2" max="2" width="12" customWidth="1"/>
    <col min="4" max="4" width="12.625"/>
    <col min="6" max="6" width="12.625"/>
    <col min="8" max="8" width="12.625"/>
    <col min="10" max="10" width="10.5" customWidth="1"/>
    <col min="12" max="12" width="12.625"/>
  </cols>
  <sheetData>
    <row r="2" spans="1:14" x14ac:dyDescent="0.2">
      <c r="A2" s="16"/>
      <c r="B2" s="16" t="s">
        <v>0</v>
      </c>
      <c r="C2" s="17"/>
      <c r="D2" s="16" t="s">
        <v>1</v>
      </c>
      <c r="E2" s="17"/>
      <c r="F2" s="16" t="s">
        <v>2</v>
      </c>
      <c r="G2" s="17"/>
      <c r="H2" s="16" t="s">
        <v>3</v>
      </c>
      <c r="I2" s="17"/>
      <c r="J2" s="16" t="s">
        <v>4</v>
      </c>
      <c r="K2" s="17"/>
      <c r="L2" s="24" t="s">
        <v>5</v>
      </c>
      <c r="M2" s="24"/>
      <c r="N2" s="16"/>
    </row>
    <row r="3" spans="1:14" x14ac:dyDescent="0.2">
      <c r="A3" s="18"/>
      <c r="B3" s="18" t="s">
        <v>6</v>
      </c>
      <c r="C3" s="19" t="s">
        <v>7</v>
      </c>
      <c r="D3" s="18" t="s">
        <v>6</v>
      </c>
      <c r="E3" s="19" t="s">
        <v>7</v>
      </c>
      <c r="F3" s="18" t="s">
        <v>6</v>
      </c>
      <c r="G3" s="19" t="s">
        <v>7</v>
      </c>
      <c r="H3" s="18" t="s">
        <v>6</v>
      </c>
      <c r="I3" s="19" t="s">
        <v>7</v>
      </c>
      <c r="J3" s="18" t="s">
        <v>6</v>
      </c>
      <c r="K3" s="19" t="s">
        <v>7</v>
      </c>
      <c r="L3" t="s">
        <v>6</v>
      </c>
      <c r="M3" t="s">
        <v>7</v>
      </c>
      <c r="N3" s="18"/>
    </row>
    <row r="4" spans="1:14" x14ac:dyDescent="0.2">
      <c r="A4" s="18" t="s">
        <v>8</v>
      </c>
      <c r="B4" s="20">
        <v>49535073.517303601</v>
      </c>
      <c r="C4" s="21">
        <v>0</v>
      </c>
      <c r="D4" s="20">
        <v>2317884.34199167</v>
      </c>
      <c r="E4" s="21">
        <v>0</v>
      </c>
      <c r="F4" s="20">
        <v>4284899.41788413</v>
      </c>
      <c r="G4" s="21">
        <v>0</v>
      </c>
      <c r="H4" s="20">
        <v>0</v>
      </c>
      <c r="I4" s="21">
        <v>0</v>
      </c>
      <c r="J4" s="20">
        <v>2468962.44209434</v>
      </c>
      <c r="K4" s="21">
        <v>0</v>
      </c>
      <c r="L4" s="11">
        <v>2291756.8435</v>
      </c>
      <c r="M4" s="11">
        <v>0</v>
      </c>
      <c r="N4" s="18"/>
    </row>
    <row r="5" spans="1:14" x14ac:dyDescent="0.2">
      <c r="A5" s="18" t="s">
        <v>9</v>
      </c>
      <c r="B5" s="20">
        <v>466439689.71841902</v>
      </c>
      <c r="C5" s="21">
        <v>0</v>
      </c>
      <c r="D5" s="20">
        <v>205342130.270143</v>
      </c>
      <c r="E5" s="21">
        <v>0</v>
      </c>
      <c r="F5" s="20">
        <v>76747923.2277015</v>
      </c>
      <c r="G5" s="21">
        <v>0</v>
      </c>
      <c r="H5" s="20">
        <v>33653398.883387201</v>
      </c>
      <c r="I5" s="21">
        <v>0</v>
      </c>
      <c r="J5" s="20">
        <v>20307624.719439998</v>
      </c>
      <c r="K5" s="21">
        <v>0</v>
      </c>
      <c r="L5" s="11">
        <v>16179705.4213109</v>
      </c>
      <c r="M5" s="11">
        <v>0</v>
      </c>
      <c r="N5" s="18"/>
    </row>
    <row r="6" spans="1:14" x14ac:dyDescent="0.2">
      <c r="A6" s="18" t="s">
        <v>10</v>
      </c>
      <c r="B6" s="20">
        <v>0</v>
      </c>
      <c r="C6" s="21">
        <v>190741634.40020701</v>
      </c>
      <c r="D6" s="20">
        <v>0</v>
      </c>
      <c r="E6" s="21">
        <v>163733684.469771</v>
      </c>
      <c r="F6" s="20">
        <v>0</v>
      </c>
      <c r="G6" s="21">
        <v>62625136.338765599</v>
      </c>
      <c r="H6" s="20">
        <v>0</v>
      </c>
      <c r="I6" s="21">
        <v>19639627.580839101</v>
      </c>
      <c r="J6" s="20">
        <v>0</v>
      </c>
      <c r="K6" s="21">
        <v>55574879.906628303</v>
      </c>
      <c r="L6" s="11">
        <v>0</v>
      </c>
      <c r="M6" s="11">
        <v>5779554.0202181898</v>
      </c>
      <c r="N6" s="18"/>
    </row>
    <row r="7" spans="1:14" x14ac:dyDescent="0.2">
      <c r="A7" s="18" t="s">
        <v>11</v>
      </c>
      <c r="B7" s="20">
        <v>241449984.023325</v>
      </c>
      <c r="C7" s="21">
        <v>0</v>
      </c>
      <c r="D7" s="20">
        <v>159550252.75576699</v>
      </c>
      <c r="E7" s="21">
        <v>0</v>
      </c>
      <c r="F7" s="20">
        <v>51369879.249070801</v>
      </c>
      <c r="G7" s="21">
        <v>0</v>
      </c>
      <c r="H7" s="20">
        <v>36644932.968854703</v>
      </c>
      <c r="I7" s="21">
        <v>0</v>
      </c>
      <c r="J7" s="20">
        <v>112540812.00748301</v>
      </c>
      <c r="K7" s="21">
        <v>0</v>
      </c>
      <c r="L7" s="11">
        <v>94274887.098117799</v>
      </c>
      <c r="M7" s="11">
        <v>0</v>
      </c>
      <c r="N7" s="18"/>
    </row>
    <row r="8" spans="1:14" x14ac:dyDescent="0.2">
      <c r="A8" s="18" t="s">
        <v>12</v>
      </c>
      <c r="B8" s="20">
        <v>0</v>
      </c>
      <c r="C8" s="21">
        <v>566683112.85883999</v>
      </c>
      <c r="D8" s="20">
        <v>0</v>
      </c>
      <c r="E8" s="21">
        <v>203476582.89813101</v>
      </c>
      <c r="F8" s="20">
        <v>0</v>
      </c>
      <c r="G8" s="21">
        <v>69777565.555890799</v>
      </c>
      <c r="H8" s="20">
        <v>0</v>
      </c>
      <c r="I8" s="21">
        <v>50658704.271402702</v>
      </c>
      <c r="J8" s="20">
        <v>0</v>
      </c>
      <c r="K8" s="21">
        <v>79742519.262389496</v>
      </c>
      <c r="L8" s="11">
        <v>0</v>
      </c>
      <c r="M8" s="11">
        <v>106966795.34271</v>
      </c>
      <c r="N8" s="18"/>
    </row>
    <row r="9" spans="1:14" x14ac:dyDescent="0.2">
      <c r="A9" s="18" t="s">
        <v>0</v>
      </c>
      <c r="B9" s="20">
        <v>81659022.417230606</v>
      </c>
      <c r="C9" s="21">
        <v>81659022.417230606</v>
      </c>
      <c r="D9" s="20">
        <v>28912191.672336701</v>
      </c>
      <c r="E9" s="21">
        <v>149.243096923716</v>
      </c>
      <c r="F9" s="20">
        <v>1003088.45542335</v>
      </c>
      <c r="G9" s="21">
        <v>0</v>
      </c>
      <c r="H9" s="20">
        <v>6240357.6646247702</v>
      </c>
      <c r="I9" s="21">
        <v>14857170.698180901</v>
      </c>
      <c r="J9" s="20">
        <v>89891080.022360295</v>
      </c>
      <c r="K9" s="21">
        <v>930383.51248091995</v>
      </c>
      <c r="L9" s="11">
        <v>45826416.335574798</v>
      </c>
      <c r="M9" s="11">
        <v>896644.613824061</v>
      </c>
      <c r="N9" s="18"/>
    </row>
    <row r="10" spans="1:14" x14ac:dyDescent="0.2">
      <c r="A10" s="18" t="s">
        <v>1</v>
      </c>
      <c r="B10" s="20">
        <v>149.243096923716</v>
      </c>
      <c r="C10" s="21">
        <v>28912191.672336701</v>
      </c>
      <c r="D10" s="20">
        <v>81659022.417230606</v>
      </c>
      <c r="E10" s="21">
        <v>22735171.6472212</v>
      </c>
      <c r="F10" s="20">
        <v>0</v>
      </c>
      <c r="G10" s="21">
        <v>0</v>
      </c>
      <c r="H10" s="20">
        <v>1888111.9627293299</v>
      </c>
      <c r="I10" s="21">
        <v>773802.15140904102</v>
      </c>
      <c r="J10" s="20">
        <v>0</v>
      </c>
      <c r="K10" s="21">
        <v>6416876.5906018503</v>
      </c>
      <c r="L10" s="11">
        <v>4140.9439647564004</v>
      </c>
      <c r="M10" s="11">
        <v>69552789.560960293</v>
      </c>
      <c r="N10" s="18"/>
    </row>
    <row r="11" spans="1:14" x14ac:dyDescent="0.2">
      <c r="A11" s="18" t="s">
        <v>2</v>
      </c>
      <c r="B11" s="20">
        <v>0</v>
      </c>
      <c r="C11" s="21">
        <v>1003088.45542335</v>
      </c>
      <c r="D11" s="20">
        <v>0</v>
      </c>
      <c r="E11" s="21">
        <v>0</v>
      </c>
      <c r="F11" s="20">
        <v>3757309.06740091</v>
      </c>
      <c r="G11" s="21">
        <v>3757309.06740091</v>
      </c>
      <c r="H11" s="20">
        <v>700122.62225990102</v>
      </c>
      <c r="I11" s="21">
        <v>4114587.68796698</v>
      </c>
      <c r="J11" s="20">
        <v>0</v>
      </c>
      <c r="K11" s="21">
        <v>1406423.5762026999</v>
      </c>
      <c r="L11" s="11">
        <v>5606714.6313335504</v>
      </c>
      <c r="M11" s="11">
        <v>21755974.1695907</v>
      </c>
      <c r="N11" s="18"/>
    </row>
    <row r="12" spans="1:14" x14ac:dyDescent="0.2">
      <c r="A12" s="18" t="s">
        <v>3</v>
      </c>
      <c r="B12" s="20">
        <v>14857170.698180901</v>
      </c>
      <c r="C12" s="21">
        <v>6240357.6646247702</v>
      </c>
      <c r="D12" s="20">
        <v>773802.15140904102</v>
      </c>
      <c r="E12" s="21">
        <v>1888111.9627293299</v>
      </c>
      <c r="F12" s="20">
        <v>4114587.68796698</v>
      </c>
      <c r="G12" s="21">
        <v>700122.62225990102</v>
      </c>
      <c r="H12" s="20">
        <v>5660937.3008157602</v>
      </c>
      <c r="I12" s="21">
        <v>5660937.3008157602</v>
      </c>
      <c r="J12" s="20">
        <v>0</v>
      </c>
      <c r="K12" s="21">
        <v>1049765.0135336199</v>
      </c>
      <c r="L12" s="11">
        <v>120211.417246888</v>
      </c>
      <c r="M12" s="11">
        <v>4567458.1251039896</v>
      </c>
      <c r="N12" s="18"/>
    </row>
    <row r="13" spans="1:14" x14ac:dyDescent="0.2">
      <c r="A13" s="18" t="s">
        <v>4</v>
      </c>
      <c r="B13" s="20">
        <v>930383.51248091995</v>
      </c>
      <c r="C13" s="21">
        <v>89891080.022360295</v>
      </c>
      <c r="D13" s="20">
        <v>930383.51248091995</v>
      </c>
      <c r="E13" s="21">
        <v>0</v>
      </c>
      <c r="F13" s="20">
        <v>1406423.5762026999</v>
      </c>
      <c r="G13" s="21">
        <v>0</v>
      </c>
      <c r="H13" s="20">
        <v>1049765.0135336199</v>
      </c>
      <c r="I13" s="21">
        <v>0</v>
      </c>
      <c r="J13" s="20">
        <v>6520180.7700054599</v>
      </c>
      <c r="K13" s="21">
        <v>6520180.7700054599</v>
      </c>
      <c r="L13" s="11">
        <v>7061621.3389395801</v>
      </c>
      <c r="M13" s="11">
        <v>0</v>
      </c>
      <c r="N13" s="18"/>
    </row>
    <row r="14" spans="1:14" x14ac:dyDescent="0.2">
      <c r="A14" s="18" t="s">
        <v>5</v>
      </c>
      <c r="B14" s="20">
        <v>896644.613824061</v>
      </c>
      <c r="C14" s="21">
        <v>45826416.335574798</v>
      </c>
      <c r="D14" s="20">
        <v>69552789.560960293</v>
      </c>
      <c r="E14" s="21">
        <v>4140.9439647564004</v>
      </c>
      <c r="F14" s="20">
        <v>21755974.1695907</v>
      </c>
      <c r="G14" s="21">
        <v>5606714.6313335504</v>
      </c>
      <c r="H14" s="20">
        <v>4567458.1251039896</v>
      </c>
      <c r="I14" s="21">
        <v>120211.417246888</v>
      </c>
      <c r="J14" s="20">
        <v>0</v>
      </c>
      <c r="K14" s="21">
        <v>7061621.3389395801</v>
      </c>
      <c r="L14" s="11">
        <v>9317048.6298817992</v>
      </c>
      <c r="M14" s="11">
        <v>9317048.6298817992</v>
      </c>
      <c r="N14" s="18"/>
    </row>
    <row r="15" spans="1:14" x14ac:dyDescent="0.2">
      <c r="A15" s="16"/>
      <c r="B15" s="16"/>
      <c r="C15" s="17"/>
      <c r="D15" s="16"/>
      <c r="E15" s="17"/>
      <c r="F15" s="16"/>
      <c r="G15" s="17"/>
      <c r="H15" s="16"/>
      <c r="I15" s="17"/>
      <c r="J15" s="16"/>
      <c r="K15" s="17"/>
      <c r="L15" s="24"/>
      <c r="M15" s="24"/>
      <c r="N15" s="16"/>
    </row>
    <row r="16" spans="1:14" x14ac:dyDescent="0.2">
      <c r="A16" s="18" t="s">
        <v>13</v>
      </c>
      <c r="B16" s="22">
        <f>B5/B7+1</f>
        <v>2.9318273786812892</v>
      </c>
      <c r="C16" s="23"/>
      <c r="D16" s="22">
        <f t="shared" ref="D16:L16" si="0">D5/D7+1</f>
        <v>2.2870059854086997</v>
      </c>
      <c r="E16" s="23"/>
      <c r="F16" s="22">
        <f t="shared" si="0"/>
        <v>2.4940257666478698</v>
      </c>
      <c r="G16" s="23"/>
      <c r="H16" s="22">
        <f t="shared" si="0"/>
        <v>1.9183643182534931</v>
      </c>
      <c r="I16" s="23"/>
      <c r="J16" s="22">
        <f t="shared" si="0"/>
        <v>1.180446758444303</v>
      </c>
      <c r="K16" s="23"/>
      <c r="L16" s="15">
        <f t="shared" si="0"/>
        <v>1.1716226443683955</v>
      </c>
      <c r="M16" s="15"/>
      <c r="N16" s="18"/>
    </row>
    <row r="17" spans="1:14" x14ac:dyDescent="0.2">
      <c r="A17" s="18"/>
      <c r="B17" s="20"/>
      <c r="C17" s="21"/>
      <c r="D17" s="20"/>
      <c r="E17" s="21"/>
      <c r="F17" s="20"/>
      <c r="G17" s="21"/>
      <c r="H17" s="20"/>
      <c r="I17" s="21"/>
      <c r="J17" s="20"/>
      <c r="K17" s="21"/>
      <c r="L17" s="11"/>
      <c r="M17" s="11"/>
      <c r="N17" s="18"/>
    </row>
    <row r="18" spans="1:14" x14ac:dyDescent="0.2">
      <c r="A18" s="18" t="s">
        <v>0</v>
      </c>
      <c r="B18" s="20"/>
      <c r="C18" s="21"/>
      <c r="D18" s="20"/>
      <c r="E18" s="21"/>
      <c r="F18" s="20"/>
      <c r="G18" s="21"/>
      <c r="H18" s="15">
        <f t="shared" ref="H18:H20" si="1">H9/(H$7-H$12)</f>
        <v>0.20140583969490783</v>
      </c>
      <c r="I18" s="15">
        <f t="shared" ref="I18:I20" si="2">I9/(I$6+I$8-I$12)</f>
        <v>0.22985410846596571</v>
      </c>
      <c r="J18" s="15">
        <f t="shared" ref="J18:J21" si="3">J9/(J$7-J$13)</f>
        <v>0.84786403337866978</v>
      </c>
      <c r="K18" s="15">
        <f t="shared" ref="K18:K21" si="4">K9/(K$6+K$8-K$13)</f>
        <v>7.2236304793369243E-3</v>
      </c>
      <c r="L18" s="15">
        <f t="shared" ref="L18:L22" si="5">L9/(L$7-L$14)</f>
        <v>0.53940186287470526</v>
      </c>
      <c r="M18" s="15">
        <f t="shared" ref="M18:M22" si="6">M9/(M$6+M$8-M$14)</f>
        <v>8.6691547508217538E-3</v>
      </c>
      <c r="N18" s="18"/>
    </row>
    <row r="19" spans="1:14" x14ac:dyDescent="0.2">
      <c r="A19" s="18" t="s">
        <v>1</v>
      </c>
      <c r="B19" s="20">
        <f t="shared" ref="B19:B23" si="7">B10/(B$7-B$9)</f>
        <v>9.3398960381513777E-7</v>
      </c>
      <c r="C19" s="21">
        <f t="shared" ref="C19:C23" si="8">C10/(C$6+C$8-C$9)</f>
        <v>4.2784341687504911E-2</v>
      </c>
      <c r="D19" s="20"/>
      <c r="E19" s="21"/>
      <c r="F19" s="20"/>
      <c r="G19" s="21"/>
      <c r="H19" s="15">
        <f t="shared" si="1"/>
        <v>6.0938298047755746E-2</v>
      </c>
      <c r="I19" s="15">
        <f t="shared" si="2"/>
        <v>1.1971431657775094E-2</v>
      </c>
      <c r="J19" s="15">
        <f t="shared" si="3"/>
        <v>0</v>
      </c>
      <c r="K19" s="15">
        <f t="shared" si="4"/>
        <v>4.9821546384040988E-2</v>
      </c>
      <c r="L19" s="15">
        <f t="shared" si="5"/>
        <v>4.874116431651701E-5</v>
      </c>
      <c r="M19" s="15">
        <f t="shared" si="6"/>
        <v>0.67246698051723053</v>
      </c>
      <c r="N19" s="18"/>
    </row>
    <row r="20" spans="1:14" x14ac:dyDescent="0.2">
      <c r="A20" t="s">
        <v>2</v>
      </c>
      <c r="B20" s="15">
        <f t="shared" si="7"/>
        <v>0</v>
      </c>
      <c r="C20" s="15">
        <f t="shared" si="8"/>
        <v>1.484373087519574E-3</v>
      </c>
      <c r="H20" s="15">
        <f t="shared" si="1"/>
        <v>2.2596266464822084E-2</v>
      </c>
      <c r="I20" s="15">
        <f t="shared" si="2"/>
        <v>6.3656459492552414E-2</v>
      </c>
      <c r="J20" s="15">
        <f t="shared" si="3"/>
        <v>0</v>
      </c>
      <c r="K20" s="15">
        <f t="shared" si="4"/>
        <v>1.091967352777461E-2</v>
      </c>
      <c r="L20" s="15">
        <f t="shared" si="5"/>
        <v>6.5994082858284897E-2</v>
      </c>
      <c r="M20" s="15">
        <f t="shared" si="6"/>
        <v>0.21034633334458494</v>
      </c>
    </row>
    <row r="21" spans="1:14" x14ac:dyDescent="0.2">
      <c r="A21" t="s">
        <v>3</v>
      </c>
      <c r="B21" s="15">
        <f t="shared" si="7"/>
        <v>9.2978792722993739E-2</v>
      </c>
      <c r="C21" s="15">
        <f t="shared" si="8"/>
        <v>9.2344986364697856E-3</v>
      </c>
      <c r="H21" s="15"/>
      <c r="I21" s="15"/>
      <c r="J21" s="15">
        <f t="shared" si="3"/>
        <v>0</v>
      </c>
      <c r="K21" s="15">
        <f t="shared" si="4"/>
        <v>8.1505255049954557E-3</v>
      </c>
      <c r="L21" s="15">
        <f t="shared" si="5"/>
        <v>1.4149538101988386E-3</v>
      </c>
      <c r="M21" s="15">
        <f t="shared" si="6"/>
        <v>4.4160195348247715E-2</v>
      </c>
    </row>
    <row r="22" spans="1:14" x14ac:dyDescent="0.2">
      <c r="A22" t="s">
        <v>4</v>
      </c>
      <c r="B22" s="15">
        <f t="shared" si="7"/>
        <v>5.8225039960297436E-3</v>
      </c>
      <c r="C22" s="15">
        <f t="shared" si="8"/>
        <v>0.13302107034712665</v>
      </c>
      <c r="H22" s="15">
        <f>H13/(H$7-H$12)</f>
        <v>3.3880879173259396E-2</v>
      </c>
      <c r="I22" s="15">
        <f>I13/(I$6+I$8-I$12)</f>
        <v>0</v>
      </c>
      <c r="J22" s="15"/>
      <c r="K22" s="15"/>
      <c r="L22" s="15">
        <f t="shared" si="5"/>
        <v>8.3119126689878961E-2</v>
      </c>
      <c r="M22" s="15">
        <f t="shared" si="6"/>
        <v>0</v>
      </c>
    </row>
    <row r="23" spans="1:14" x14ac:dyDescent="0.2">
      <c r="A23" t="s">
        <v>5</v>
      </c>
      <c r="B23" s="15">
        <f t="shared" si="7"/>
        <v>5.6113600219417116E-3</v>
      </c>
      <c r="C23" s="15">
        <f t="shared" si="8"/>
        <v>6.7814058409520359E-2</v>
      </c>
      <c r="H23" s="15">
        <f>H14/(H$7-H$12)</f>
        <v>0.1474134638424146</v>
      </c>
      <c r="I23" s="15">
        <f>I14/(I$6+I$8-I$12)</f>
        <v>1.8597812934933015E-3</v>
      </c>
      <c r="J23" s="15">
        <f>J14/(J$7-J$13)</f>
        <v>0</v>
      </c>
      <c r="K23" s="15">
        <f>K14/(K$6+K$8-K$13)</f>
        <v>5.4827436700245785E-2</v>
      </c>
      <c r="L23" s="15"/>
      <c r="M23" s="15"/>
    </row>
    <row r="24" spans="1:14" x14ac:dyDescent="0.2">
      <c r="B24" t="s">
        <v>14</v>
      </c>
      <c r="H24" t="s">
        <v>15</v>
      </c>
      <c r="J24" t="s">
        <v>16</v>
      </c>
      <c r="L24" t="s">
        <v>17</v>
      </c>
    </row>
    <row r="25" spans="1:14" x14ac:dyDescent="0.2">
      <c r="A25" s="15" t="s">
        <v>1</v>
      </c>
      <c r="B25" s="15"/>
      <c r="C25" s="15">
        <f>C19</f>
        <v>4.2784341687504911E-2</v>
      </c>
      <c r="D25" s="15"/>
      <c r="H25" s="15"/>
      <c r="I25" s="15">
        <f>C21*I19</f>
        <v>1.1055016932031533E-4</v>
      </c>
      <c r="J25" s="15"/>
      <c r="K25" s="15">
        <f>C22*K19</f>
        <v>6.6273154263541498E-3</v>
      </c>
      <c r="L25" s="15"/>
      <c r="M25" s="15">
        <f>C23*M19</f>
        <v>4.560271509526926E-2</v>
      </c>
      <c r="N25" s="15"/>
    </row>
    <row r="26" spans="1:14" x14ac:dyDescent="0.2">
      <c r="A26" s="15" t="s">
        <v>2</v>
      </c>
      <c r="B26" s="15"/>
      <c r="C26" s="15">
        <f>C20</f>
        <v>1.484373087519574E-3</v>
      </c>
      <c r="D26" s="15"/>
      <c r="H26" s="15"/>
      <c r="I26" s="15">
        <f>C21*I20</f>
        <v>5.8783548838646938E-4</v>
      </c>
      <c r="J26" s="15"/>
      <c r="K26" s="15">
        <f>C22*K20</f>
        <v>1.452546660505763E-3</v>
      </c>
      <c r="L26" s="15"/>
      <c r="M26" s="15">
        <f>C23*M20</f>
        <v>1.4264438535658123E-2</v>
      </c>
      <c r="N26" s="15"/>
    </row>
    <row r="28" spans="1:14" x14ac:dyDescent="0.2">
      <c r="A28" t="s">
        <v>18</v>
      </c>
      <c r="B28" s="11">
        <f>(C6+C8-B4)/10000</f>
        <v>70788.967374174346</v>
      </c>
    </row>
    <row r="29" spans="1:14" x14ac:dyDescent="0.2">
      <c r="A29" t="s">
        <v>19</v>
      </c>
      <c r="B29" s="11">
        <f>(E6+E8-D4)/10000</f>
        <v>36489.238302591039</v>
      </c>
      <c r="C29" s="11">
        <f>B28*(C25+I25+K25+M25)</f>
        <v>6733.7950267188671</v>
      </c>
      <c r="D29" s="15">
        <f>(B29+C29)/SUM(B28:B30)</f>
        <v>0.35992204509462322</v>
      </c>
    </row>
    <row r="30" spans="1:14" x14ac:dyDescent="0.2">
      <c r="A30" t="s">
        <v>20</v>
      </c>
      <c r="B30" s="11">
        <f>(G6+G8-F4)/10000</f>
        <v>12811.780247677227</v>
      </c>
      <c r="C30" s="11">
        <f>B28*(C26+I26+K26+M26)</f>
        <v>1259.2786575439238</v>
      </c>
      <c r="D30" s="15">
        <f>(B30+C30)/SUM(B28:B30)</f>
        <v>0.11717095973409708</v>
      </c>
    </row>
  </sheetData>
  <phoneticPr fontId="3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C30"/>
  <sheetViews>
    <sheetView tabSelected="1" workbookViewId="0">
      <selection activeCell="R15" sqref="R15"/>
    </sheetView>
  </sheetViews>
  <sheetFormatPr defaultColWidth="9" defaultRowHeight="14.25" x14ac:dyDescent="0.2"/>
  <cols>
    <col min="1" max="1" width="27.625" customWidth="1"/>
    <col min="2" max="7" width="10.5" customWidth="1"/>
  </cols>
  <sheetData>
    <row r="1" spans="1:55" x14ac:dyDescent="0.2">
      <c r="B1" s="25" t="s">
        <v>21</v>
      </c>
      <c r="C1" s="25"/>
      <c r="D1" s="25"/>
      <c r="E1" s="25"/>
      <c r="F1" s="25"/>
      <c r="H1" s="3"/>
      <c r="I1" s="25" t="s">
        <v>22</v>
      </c>
      <c r="J1" s="25"/>
      <c r="K1" s="25"/>
      <c r="L1" s="25"/>
      <c r="M1" s="25"/>
    </row>
    <row r="2" spans="1:55" x14ac:dyDescent="0.2">
      <c r="B2">
        <v>2002</v>
      </c>
      <c r="C2">
        <v>2007</v>
      </c>
      <c r="D2">
        <v>2012</v>
      </c>
      <c r="E2">
        <v>2017</v>
      </c>
      <c r="F2">
        <v>2018</v>
      </c>
      <c r="G2">
        <v>2020</v>
      </c>
      <c r="I2">
        <v>2002</v>
      </c>
      <c r="J2">
        <v>2007</v>
      </c>
      <c r="K2">
        <v>2012</v>
      </c>
      <c r="L2">
        <v>2017</v>
      </c>
      <c r="M2">
        <v>2018</v>
      </c>
      <c r="N2">
        <v>2019</v>
      </c>
      <c r="O2">
        <v>2020</v>
      </c>
      <c r="P2">
        <v>2021</v>
      </c>
      <c r="Q2">
        <v>2022</v>
      </c>
      <c r="R2">
        <v>2023</v>
      </c>
      <c r="S2">
        <v>2024</v>
      </c>
      <c r="T2">
        <v>2025</v>
      </c>
      <c r="U2">
        <v>2026</v>
      </c>
      <c r="V2">
        <v>2027</v>
      </c>
      <c r="W2">
        <v>2028</v>
      </c>
      <c r="X2">
        <v>2029</v>
      </c>
      <c r="Y2">
        <v>2030</v>
      </c>
      <c r="Z2">
        <v>2031</v>
      </c>
      <c r="AA2">
        <v>2032</v>
      </c>
      <c r="AB2">
        <v>2033</v>
      </c>
      <c r="AC2">
        <v>2034</v>
      </c>
      <c r="AD2">
        <v>2035</v>
      </c>
      <c r="AE2">
        <v>2036</v>
      </c>
      <c r="AF2">
        <v>2037</v>
      </c>
      <c r="AG2">
        <v>2038</v>
      </c>
      <c r="AH2">
        <v>2039</v>
      </c>
      <c r="AI2">
        <v>2040</v>
      </c>
      <c r="AJ2">
        <v>2041</v>
      </c>
      <c r="AK2">
        <v>2042</v>
      </c>
      <c r="AL2">
        <v>2043</v>
      </c>
      <c r="AM2">
        <v>2044</v>
      </c>
      <c r="AN2">
        <v>2045</v>
      </c>
      <c r="AO2">
        <v>2046</v>
      </c>
      <c r="AP2">
        <v>2047</v>
      </c>
      <c r="AQ2">
        <v>2048</v>
      </c>
      <c r="AR2">
        <v>2049</v>
      </c>
      <c r="AS2">
        <v>2050</v>
      </c>
      <c r="AT2">
        <v>2051</v>
      </c>
      <c r="AU2">
        <v>2052</v>
      </c>
      <c r="AV2">
        <v>2053</v>
      </c>
      <c r="AW2">
        <v>2054</v>
      </c>
      <c r="AX2">
        <v>2055</v>
      </c>
      <c r="AY2">
        <v>2056</v>
      </c>
      <c r="AZ2">
        <v>2057</v>
      </c>
      <c r="BA2">
        <v>2058</v>
      </c>
      <c r="BB2">
        <v>2059</v>
      </c>
      <c r="BC2">
        <v>2060</v>
      </c>
    </row>
    <row r="3" spans="1:55" x14ac:dyDescent="0.2">
      <c r="B3" s="12">
        <f>SUM(B4:B6)</f>
        <v>24846.342207578655</v>
      </c>
      <c r="C3" s="12">
        <f t="shared" ref="C3:F3" si="0">SUM(C4:C6)</f>
        <v>42596.609044912591</v>
      </c>
      <c r="D3" s="12">
        <f t="shared" si="0"/>
        <v>82170.664658453563</v>
      </c>
      <c r="E3" s="12">
        <f t="shared" si="0"/>
        <v>99674.052733289471</v>
      </c>
      <c r="F3" s="12">
        <f t="shared" si="0"/>
        <v>99867.410654693987</v>
      </c>
      <c r="G3" s="12">
        <f>SUM(G4:G6)</f>
        <v>120089.98592444262</v>
      </c>
      <c r="H3" s="11"/>
      <c r="I3" s="12">
        <f>B3*Deflator!M2</f>
        <v>6390.0437642724555</v>
      </c>
      <c r="J3" s="12">
        <f>C3*Deflator!N2</f>
        <v>8580.1125507140168</v>
      </c>
      <c r="K3" s="12">
        <f>D3*Deflator!O2</f>
        <v>13016.898020627816</v>
      </c>
      <c r="L3" s="12">
        <f>E3*Deflator!P2</f>
        <v>14473.11925371906</v>
      </c>
      <c r="M3" s="12">
        <f>F3*Deflator!Q2</f>
        <v>14010.851255108511</v>
      </c>
      <c r="N3" s="11">
        <f>AVERAGE(M3,O3)</f>
        <v>15270.659618602758</v>
      </c>
      <c r="O3" s="12">
        <f>G3*Deflator!$S$2</f>
        <v>16530.467982097005</v>
      </c>
      <c r="P3" s="11">
        <f>SLOPE($K3:O3,$K$2:O$2)*P$2+INTERCEPT($K3:O3,$K$2:O$2)</f>
        <v>16070.579726439668</v>
      </c>
      <c r="Q3" s="11">
        <f>SLOPE($K3:P3,$K$2:P$2)*Q$2+INTERCEPT($K3:P3,$K$2:P$2)</f>
        <v>16441.679858126095</v>
      </c>
      <c r="R3" s="11">
        <f>SLOPE($K3:Q3,$K$2:Q$2)*R$2+INTERCEPT($K3:Q3,$K$2:Q$2)</f>
        <v>16812.77998981264</v>
      </c>
      <c r="S3" s="11">
        <f>SLOPE($K3:R3,$K$2:R$2)*S$2+INTERCEPT($K3:R3,$K$2:R$2)</f>
        <v>17183.880121499067</v>
      </c>
      <c r="T3" s="11">
        <f>SLOPE($K3:S3,$K$2:S$2)*T$2+INTERCEPT($K3:S3,$K$2:S$2)</f>
        <v>17554.980253185611</v>
      </c>
      <c r="U3" s="11">
        <f>SLOPE($K3:T3,$K$2:T$2)*U$2+INTERCEPT($K3:T3,$K$2:T$2)</f>
        <v>17926.080384872039</v>
      </c>
      <c r="V3" s="11">
        <f>SLOPE($K3:U3,$K$2:U$2)*V$2+INTERCEPT($K3:U3,$K$2:U$2)</f>
        <v>18297.180516558466</v>
      </c>
      <c r="W3" s="11">
        <f>SLOPE($K3:V3,$K$2:V$2)*W$2+INTERCEPT($K3:V3,$K$2:V$2)</f>
        <v>18668.280648245011</v>
      </c>
      <c r="X3" s="11">
        <f>SLOPE($K3:W3,$K$2:W$2)*X$2+INTERCEPT($K3:W3,$K$2:W$2)</f>
        <v>19039.380779931555</v>
      </c>
      <c r="Y3" s="11">
        <f>SLOPE($K3:X3,$K$2:X$2)*Y$2+INTERCEPT($K3:X3,$K$2:X$2)</f>
        <v>19410.480911617982</v>
      </c>
      <c r="Z3" s="11">
        <f>SLOPE($K3:Y3,$K$2:Y$2)*Z$2+INTERCEPT($K3:Y3,$K$2:Y$2)</f>
        <v>19781.58104330441</v>
      </c>
      <c r="AA3" s="11">
        <f>SLOPE($K3:Z3,$K$2:Z$2)*AA$2+INTERCEPT($K3:Z3,$K$2:Z$2)</f>
        <v>20152.681174990954</v>
      </c>
      <c r="AB3" s="11">
        <f>SLOPE($K3:AA3,$K$2:AA$2)*AB$2+INTERCEPT($K3:AA3,$K$2:AA$2)</f>
        <v>20523.781306677382</v>
      </c>
      <c r="AC3" s="11">
        <f>SLOPE($K3:AB3,$K$2:AB$2)*AC$2+INTERCEPT($K3:AB3,$K$2:AB$2)</f>
        <v>20894.881438363809</v>
      </c>
      <c r="AD3" s="11">
        <f>SLOPE($K3:AC3,$K$2:AC$2)*AD$2+INTERCEPT($K3:AC3,$K$2:AC$2)</f>
        <v>21265.981570050237</v>
      </c>
      <c r="AE3" s="11">
        <f>SLOPE($K3:AD3,$K$2:AD$2)*AE$2+INTERCEPT($K3:AD3,$K$2:AD$2)</f>
        <v>21637.081701736781</v>
      </c>
      <c r="AF3" s="11">
        <f>SLOPE($K3:AE3,$K$2:AE$2)*AF$2+INTERCEPT($K3:AE3,$K$2:AE$2)</f>
        <v>22008.181833423208</v>
      </c>
      <c r="AG3" s="11">
        <f>SLOPE($K3:AF3,$K$2:AF$2)*AG$2+INTERCEPT($K3:AF3,$K$2:AF$2)</f>
        <v>22379.281965109752</v>
      </c>
      <c r="AH3" s="11">
        <f>SLOPE($K3:AG3,$K$2:AG$2)*AH$2+INTERCEPT($K3:AG3,$K$2:AG$2)</f>
        <v>22750.38209679618</v>
      </c>
      <c r="AI3" s="11">
        <f>SLOPE($K3:AH3,$K$2:AH$2)*AI$2+INTERCEPT($K3:AH3,$K$2:AH$2)</f>
        <v>23121.482228482724</v>
      </c>
      <c r="AJ3" s="11">
        <f>SLOPE($K3:AI3,$K$2:AI$2)*AJ$2+INTERCEPT($K3:AI3,$K$2:AI$2)</f>
        <v>23492.582360169268</v>
      </c>
      <c r="AK3" s="11">
        <f>SLOPE($K3:AJ3,$K$2:AJ$2)*AK$2+INTERCEPT($K3:AJ3,$K$2:AJ$2)</f>
        <v>23863.682491855579</v>
      </c>
      <c r="AL3" s="11">
        <f>SLOPE($K3:AK3,$K$2:AK$2)*AL$2+INTERCEPT($K3:AK3,$K$2:AK$2)</f>
        <v>24234.782623542123</v>
      </c>
      <c r="AM3" s="11">
        <f>SLOPE($K3:AL3,$K$2:AL$2)*AM$2+INTERCEPT($K3:AL3,$K$2:AL$2)</f>
        <v>24605.882755228551</v>
      </c>
      <c r="AN3" s="11">
        <f>SLOPE($K3:AM3,$K$2:AM$2)*AN$2+INTERCEPT($K3:AM3,$K$2:AM$2)</f>
        <v>24976.982886915095</v>
      </c>
      <c r="AO3" s="11">
        <f>SLOPE($K3:AN3,$K$2:AN$2)*AO$2+INTERCEPT($K3:AN3,$K$2:AN$2)</f>
        <v>25348.083018601523</v>
      </c>
      <c r="AP3" s="11">
        <f>SLOPE($K3:AO3,$K$2:AO$2)*AP$2+INTERCEPT($K3:AO3,$K$2:AO$2)</f>
        <v>25719.183150288067</v>
      </c>
      <c r="AQ3" s="11">
        <f>SLOPE($K3:AP3,$K$2:AP$2)*AQ$2+INTERCEPT($K3:AP3,$K$2:AP$2)</f>
        <v>26090.283281974494</v>
      </c>
      <c r="AR3" s="11">
        <f>SLOPE($K3:AQ3,$K$2:AQ$2)*AR$2+INTERCEPT($K3:AQ3,$K$2:AQ$2)</f>
        <v>26461.383413660922</v>
      </c>
      <c r="AS3" s="11">
        <f>SLOPE($K3:AR3,$K$2:AR$2)*AS$2+INTERCEPT($K3:AR3,$K$2:AR$2)</f>
        <v>26832.483545347466</v>
      </c>
      <c r="AT3" s="11">
        <f>SLOPE($K3:AS3,$K$2:AS$2)*AT$2+INTERCEPT($K3:AS3,$K$2:AS$2)</f>
        <v>27203.583677033777</v>
      </c>
      <c r="AU3" s="11">
        <f>SLOPE($K3:AT3,$K$2:AT$2)*AU$2+INTERCEPT($K3:AT3,$K$2:AT$2)</f>
        <v>27574.683808720438</v>
      </c>
      <c r="AV3" s="11">
        <f>SLOPE($K3:AU3,$K$2:AU$2)*AV$2+INTERCEPT($K3:AU3,$K$2:AU$2)</f>
        <v>27945.783940406865</v>
      </c>
      <c r="AW3" s="11">
        <f>SLOPE($K3:AV3,$K$2:AV$2)*AW$2+INTERCEPT($K3:AV3,$K$2:AV$2)</f>
        <v>28316.884072093293</v>
      </c>
      <c r="AX3" s="11">
        <f>SLOPE($K3:AW3,$K$2:AW$2)*AX$2+INTERCEPT($K3:AW3,$K$2:AW$2)</f>
        <v>28687.984203779837</v>
      </c>
      <c r="AY3" s="11">
        <f>SLOPE($K3:AX3,$K$2:AX$2)*AY$2+INTERCEPT($K3:AX3,$K$2:AX$2)</f>
        <v>29059.084335466148</v>
      </c>
      <c r="AZ3" s="11">
        <f>SLOPE($K3:AY3,$K$2:AY$2)*AZ$2+INTERCEPT($K3:AY3,$K$2:AY$2)</f>
        <v>29430.184467152809</v>
      </c>
      <c r="BA3" s="11">
        <f>SLOPE($K3:AZ3,$K$2:AZ$2)*BA$2+INTERCEPT($K3:AZ3,$K$2:AZ$2)</f>
        <v>29801.284598839236</v>
      </c>
      <c r="BB3" s="11">
        <f>SLOPE($K3:BA3,$K$2:BA$2)*BB$2+INTERCEPT($K3:BA3,$K$2:BA$2)</f>
        <v>30172.384730525664</v>
      </c>
      <c r="BC3" s="11">
        <f>SLOPE($K3:BB3,$K$2:BB$2)*BC$2+INTERCEPT($K3:BB3,$K$2:BB$2)</f>
        <v>30543.484862212092</v>
      </c>
    </row>
    <row r="4" spans="1:55" x14ac:dyDescent="0.2">
      <c r="A4" t="s">
        <v>18</v>
      </c>
      <c r="B4" s="12">
        <f>'2002'!B28</f>
        <v>13817.472545171384</v>
      </c>
      <c r="C4" s="12">
        <f>'2007'!B28</f>
        <v>23454.034588228067</v>
      </c>
      <c r="D4" s="12">
        <f>'2012'!B28</f>
        <v>46625.508485906677</v>
      </c>
      <c r="E4" s="12">
        <f>'2017'!B28</f>
        <v>58661.82253506218</v>
      </c>
      <c r="F4" s="12">
        <f>'2018'!B28</f>
        <v>60162.245953372112</v>
      </c>
      <c r="G4" s="12">
        <f>'2020'!B28</f>
        <v>70788.967374174346</v>
      </c>
      <c r="H4" s="11"/>
      <c r="I4" s="12">
        <f>B4*Deflator!M2</f>
        <v>3553.6117766399698</v>
      </c>
      <c r="J4" s="12">
        <f>C4*Deflator!N2</f>
        <v>4724.2787876179691</v>
      </c>
      <c r="K4" s="12">
        <f>D4*Deflator!O2</f>
        <v>7386.0847011966489</v>
      </c>
      <c r="L4" s="12">
        <f>E4*Deflator!P2</f>
        <v>8517.959588362366</v>
      </c>
      <c r="M4" s="12">
        <f>F4*Deflator!Q2</f>
        <v>8440.4339083195337</v>
      </c>
      <c r="N4" s="11">
        <f>N$3*N8</f>
        <v>9100.4521495102108</v>
      </c>
      <c r="O4" s="12">
        <f>G4*Deflator!$S$2</f>
        <v>9744.1493531420747</v>
      </c>
      <c r="P4" s="11">
        <f t="shared" ref="P4:BC6" si="1">P$3*P8</f>
        <v>9623.4444635062864</v>
      </c>
      <c r="Q4" s="11">
        <f t="shared" si="1"/>
        <v>9890.329608699958</v>
      </c>
      <c r="R4" s="11">
        <f t="shared" si="1"/>
        <v>10159.230839680815</v>
      </c>
      <c r="S4" s="11">
        <f t="shared" si="1"/>
        <v>10430.148156448729</v>
      </c>
      <c r="T4" s="11">
        <f t="shared" si="1"/>
        <v>10703.081559003846</v>
      </c>
      <c r="U4" s="11">
        <f t="shared" si="1"/>
        <v>10978.031047346034</v>
      </c>
      <c r="V4" s="11">
        <f t="shared" si="1"/>
        <v>11254.996621475335</v>
      </c>
      <c r="W4" s="11">
        <f t="shared" si="1"/>
        <v>11533.978281391835</v>
      </c>
      <c r="X4" s="11">
        <f t="shared" si="1"/>
        <v>11814.976027095467</v>
      </c>
      <c r="Y4" s="11">
        <f t="shared" si="1"/>
        <v>12097.989858586172</v>
      </c>
      <c r="Z4" s="11">
        <f t="shared" si="1"/>
        <v>12383.019775863988</v>
      </c>
      <c r="AA4" s="11">
        <f t="shared" si="1"/>
        <v>12670.065778928987</v>
      </c>
      <c r="AB4" s="11">
        <f t="shared" si="1"/>
        <v>12959.127867781061</v>
      </c>
      <c r="AC4" s="11">
        <f t="shared" si="1"/>
        <v>13250.206042420281</v>
      </c>
      <c r="AD4" s="11">
        <f t="shared" si="1"/>
        <v>13543.30030284663</v>
      </c>
      <c r="AE4" s="11">
        <f t="shared" si="1"/>
        <v>13838.410649060163</v>
      </c>
      <c r="AF4" s="11">
        <f t="shared" si="1"/>
        <v>14135.537081060731</v>
      </c>
      <c r="AG4" s="11">
        <f t="shared" si="1"/>
        <v>14434.679598848543</v>
      </c>
      <c r="AH4" s="11">
        <f t="shared" si="1"/>
        <v>14735.838202423387</v>
      </c>
      <c r="AI4" s="11">
        <f t="shared" si="1"/>
        <v>15039.012891785456</v>
      </c>
      <c r="AJ4" s="11">
        <f t="shared" si="1"/>
        <v>15344.203666934636</v>
      </c>
      <c r="AK4" s="11">
        <f t="shared" si="1"/>
        <v>15651.41052787079</v>
      </c>
      <c r="AL4" s="11">
        <f t="shared" si="1"/>
        <v>15960.633474594226</v>
      </c>
      <c r="AM4" s="11">
        <f t="shared" si="1"/>
        <v>16271.872507104714</v>
      </c>
      <c r="AN4" s="11">
        <f t="shared" si="1"/>
        <v>16585.127625402409</v>
      </c>
      <c r="AO4" s="11">
        <f t="shared" si="1"/>
        <v>16900.398829487178</v>
      </c>
      <c r="AP4" s="11">
        <f t="shared" si="1"/>
        <v>17217.686119359128</v>
      </c>
      <c r="AQ4" s="11">
        <f t="shared" si="1"/>
        <v>17536.989495018155</v>
      </c>
      <c r="AR4" s="11">
        <f t="shared" si="1"/>
        <v>17858.308956464265</v>
      </c>
      <c r="AS4" s="11">
        <f t="shared" si="1"/>
        <v>18181.644503697626</v>
      </c>
      <c r="AT4" s="11">
        <f t="shared" si="1"/>
        <v>18506.99613671796</v>
      </c>
      <c r="AU4" s="11">
        <f t="shared" si="1"/>
        <v>18834.363855525611</v>
      </c>
      <c r="AV4" s="11">
        <f t="shared" si="1"/>
        <v>19163.747660120258</v>
      </c>
      <c r="AW4" s="11">
        <f t="shared" si="1"/>
        <v>19495.147550502032</v>
      </c>
      <c r="AX4" s="11">
        <f t="shared" si="1"/>
        <v>19828.563526671016</v>
      </c>
      <c r="AY4" s="11">
        <f t="shared" si="1"/>
        <v>20163.995588627018</v>
      </c>
      <c r="AZ4" s="11">
        <f t="shared" si="1"/>
        <v>20501.443736370344</v>
      </c>
      <c r="BA4" s="11">
        <f t="shared" si="1"/>
        <v>20840.907969900607</v>
      </c>
      <c r="BB4" s="11">
        <f t="shared" si="1"/>
        <v>21182.388289218023</v>
      </c>
      <c r="BC4" s="11">
        <f t="shared" si="1"/>
        <v>21525.884694322569</v>
      </c>
    </row>
    <row r="5" spans="1:55" x14ac:dyDescent="0.2">
      <c r="A5" t="s">
        <v>23</v>
      </c>
      <c r="B5" s="12">
        <f>'2002'!B29</f>
        <v>8152.252847037953</v>
      </c>
      <c r="C5" s="12">
        <f>'2007'!B29</f>
        <v>14856.421127916219</v>
      </c>
      <c r="D5" s="12">
        <f>'2012'!B29</f>
        <v>26988.374037243713</v>
      </c>
      <c r="E5" s="12">
        <f>'2017'!B29</f>
        <v>29394.021201173044</v>
      </c>
      <c r="F5" s="12">
        <f>'2018'!B29</f>
        <v>27526.70098605864</v>
      </c>
      <c r="G5" s="12">
        <f>'2020'!B29</f>
        <v>36489.238302591039</v>
      </c>
      <c r="H5" s="11"/>
      <c r="I5" s="12">
        <f>B5*Deflator!M2</f>
        <v>2096.6165576717249</v>
      </c>
      <c r="J5" s="12">
        <f>C5*Deflator!N2</f>
        <v>2992.4862151333809</v>
      </c>
      <c r="K5" s="12">
        <f>D5*Deflator!O2</f>
        <v>4275.3081534094563</v>
      </c>
      <c r="L5" s="12">
        <f>E5*Deflator!P2</f>
        <v>4268.1436394412767</v>
      </c>
      <c r="M5" s="12">
        <f>F5*Deflator!Q2</f>
        <v>3861.8455262952084</v>
      </c>
      <c r="N5" s="11">
        <f t="shared" ref="N5:AC6" si="2">N$3*N9</f>
        <v>4398.4956645501115</v>
      </c>
      <c r="O5" s="12">
        <f>G5*Deflator!$S$2</f>
        <v>5022.7683916258929</v>
      </c>
      <c r="P5" s="11">
        <f>P$3*P9</f>
        <v>4613.9345540616241</v>
      </c>
      <c r="Q5" s="11">
        <f t="shared" si="2"/>
        <v>4670.5192505517816</v>
      </c>
      <c r="R5" s="11">
        <f t="shared" si="2"/>
        <v>4724.8486925786374</v>
      </c>
      <c r="S5" s="11">
        <f t="shared" si="2"/>
        <v>4776.9228801421104</v>
      </c>
      <c r="T5" s="11">
        <f t="shared" si="2"/>
        <v>4826.7418132422954</v>
      </c>
      <c r="U5" s="11">
        <f t="shared" si="2"/>
        <v>4874.3054918790986</v>
      </c>
      <c r="V5" s="11">
        <f t="shared" si="2"/>
        <v>4919.6139160525818</v>
      </c>
      <c r="W5" s="11">
        <f t="shared" si="2"/>
        <v>4962.667085762746</v>
      </c>
      <c r="X5" s="11">
        <f t="shared" si="2"/>
        <v>5003.4650010095902</v>
      </c>
      <c r="Y5" s="11">
        <f t="shared" si="2"/>
        <v>5042.0076617930699</v>
      </c>
      <c r="Z5" s="11">
        <f t="shared" si="2"/>
        <v>5078.2950681131979</v>
      </c>
      <c r="AA5" s="11">
        <f t="shared" si="2"/>
        <v>5112.3272199700377</v>
      </c>
      <c r="AB5" s="11">
        <f t="shared" si="2"/>
        <v>5144.1041173634949</v>
      </c>
      <c r="AC5" s="11">
        <f t="shared" si="2"/>
        <v>5173.6257602936357</v>
      </c>
      <c r="AD5" s="11">
        <f t="shared" si="1"/>
        <v>5200.8921487604421</v>
      </c>
      <c r="AE5" s="11">
        <f t="shared" si="1"/>
        <v>5225.903282763923</v>
      </c>
      <c r="AF5" s="11">
        <f t="shared" si="1"/>
        <v>5248.6591623040595</v>
      </c>
      <c r="AG5" s="11">
        <f t="shared" si="1"/>
        <v>5269.1597873808696</v>
      </c>
      <c r="AH5" s="11">
        <f t="shared" si="1"/>
        <v>5287.4051579943371</v>
      </c>
      <c r="AI5" s="11">
        <f t="shared" si="1"/>
        <v>5303.3952741444755</v>
      </c>
      <c r="AJ5" s="11">
        <f t="shared" si="1"/>
        <v>5317.1301358313003</v>
      </c>
      <c r="AK5" s="11">
        <f t="shared" si="1"/>
        <v>5328.609743054737</v>
      </c>
      <c r="AL5" s="11">
        <f t="shared" si="1"/>
        <v>5337.8340958148701</v>
      </c>
      <c r="AM5" s="11">
        <f t="shared" si="1"/>
        <v>5344.8031941116642</v>
      </c>
      <c r="AN5" s="11">
        <f t="shared" si="1"/>
        <v>5349.5170379451256</v>
      </c>
      <c r="AO5" s="11">
        <f t="shared" si="1"/>
        <v>5351.9756273152498</v>
      </c>
      <c r="AP5" s="11">
        <f t="shared" si="1"/>
        <v>5352.1789622220413</v>
      </c>
      <c r="AQ5" s="11">
        <f t="shared" si="1"/>
        <v>5350.1270426654964</v>
      </c>
      <c r="AR5" s="11">
        <f t="shared" si="1"/>
        <v>5345.8198686456162</v>
      </c>
      <c r="AS5" s="11">
        <f t="shared" si="1"/>
        <v>5339.2574401624015</v>
      </c>
      <c r="AT5" s="11">
        <f t="shared" si="1"/>
        <v>5330.439757215805</v>
      </c>
      <c r="AU5" s="11">
        <f t="shared" si="1"/>
        <v>5319.3668198059668</v>
      </c>
      <c r="AV5" s="11">
        <f t="shared" si="1"/>
        <v>5306.0386279327477</v>
      </c>
      <c r="AW5" s="11">
        <f t="shared" si="1"/>
        <v>5290.4551815961695</v>
      </c>
      <c r="AX5" s="11">
        <f t="shared" si="1"/>
        <v>5272.6164807963032</v>
      </c>
      <c r="AY5" s="11">
        <f t="shared" si="1"/>
        <v>5252.5225255330588</v>
      </c>
      <c r="AZ5" s="11">
        <f t="shared" si="1"/>
        <v>5230.1733158065181</v>
      </c>
      <c r="BA5" s="11">
        <f t="shared" si="1"/>
        <v>5205.5688516166256</v>
      </c>
      <c r="BB5" s="11">
        <f t="shared" si="1"/>
        <v>5178.7091329633722</v>
      </c>
      <c r="BC5" s="11">
        <f t="shared" si="1"/>
        <v>5149.5941598468371</v>
      </c>
    </row>
    <row r="6" spans="1:55" x14ac:dyDescent="0.2">
      <c r="A6" t="s">
        <v>20</v>
      </c>
      <c r="B6" s="12">
        <f>'2002'!B30</f>
        <v>2876.6168153693184</v>
      </c>
      <c r="C6" s="12">
        <f>'2007'!B30</f>
        <v>4286.1533287683078</v>
      </c>
      <c r="D6" s="12">
        <f>'2012'!B30</f>
        <v>8556.7821353031723</v>
      </c>
      <c r="E6" s="12">
        <f>'2017'!B30</f>
        <v>11618.208997054249</v>
      </c>
      <c r="F6" s="12">
        <f>'2018'!B30</f>
        <v>12178.463715263229</v>
      </c>
      <c r="G6" s="12">
        <f>'2020'!B30</f>
        <v>12811.780247677227</v>
      </c>
      <c r="H6" s="11"/>
      <c r="I6" s="12">
        <f>B6*Deflator!M2</f>
        <v>739.81542996076075</v>
      </c>
      <c r="J6" s="12">
        <f>C6*Deflator!N2</f>
        <v>863.34754796266623</v>
      </c>
      <c r="K6" s="12">
        <f>D6*Deflator!O2</f>
        <v>1355.5051660217096</v>
      </c>
      <c r="L6" s="12">
        <f>E6*Deflator!P2</f>
        <v>1687.0160259154186</v>
      </c>
      <c r="M6" s="12">
        <f>F6*Deflator!Q2</f>
        <v>1708.5718204937687</v>
      </c>
      <c r="N6" s="11">
        <f t="shared" si="2"/>
        <v>1773.0964554852801</v>
      </c>
      <c r="O6" s="12">
        <f>G6*Deflator!$S$2</f>
        <v>1763.5502373290346</v>
      </c>
      <c r="P6" s="11">
        <f t="shared" si="1"/>
        <v>1833.6174690795638</v>
      </c>
      <c r="Q6" s="11">
        <f t="shared" si="1"/>
        <v>1881.2861108642994</v>
      </c>
      <c r="R6" s="11">
        <f t="shared" si="1"/>
        <v>1929.1952181470442</v>
      </c>
      <c r="S6" s="11">
        <f t="shared" si="1"/>
        <v>1977.3447909277672</v>
      </c>
      <c r="T6" s="11">
        <f t="shared" si="1"/>
        <v>2025.7348292065053</v>
      </c>
      <c r="U6" s="11">
        <f t="shared" si="1"/>
        <v>2074.3653329832177</v>
      </c>
      <c r="V6" s="11">
        <f t="shared" si="1"/>
        <v>2123.2363022579316</v>
      </c>
      <c r="W6" s="11">
        <f t="shared" si="1"/>
        <v>2172.3477370306523</v>
      </c>
      <c r="X6" s="11">
        <f t="shared" si="1"/>
        <v>2221.699637301369</v>
      </c>
      <c r="Y6" s="11">
        <f t="shared" si="1"/>
        <v>2271.2920030700698</v>
      </c>
      <c r="Z6" s="11">
        <f t="shared" si="1"/>
        <v>2321.1248343367661</v>
      </c>
      <c r="AA6" s="11">
        <f t="shared" si="1"/>
        <v>2371.1981311014697</v>
      </c>
      <c r="AB6" s="11">
        <f t="shared" si="1"/>
        <v>2421.5118933641552</v>
      </c>
      <c r="AC6" s="11">
        <f t="shared" si="1"/>
        <v>2472.0661211248362</v>
      </c>
      <c r="AD6" s="11">
        <f t="shared" si="1"/>
        <v>2522.8608143835104</v>
      </c>
      <c r="AE6" s="11">
        <f t="shared" si="1"/>
        <v>2573.8959731401987</v>
      </c>
      <c r="AF6" s="11">
        <f t="shared" si="1"/>
        <v>2625.1715973948685</v>
      </c>
      <c r="AG6" s="11">
        <f t="shared" si="1"/>
        <v>2676.6876871475461</v>
      </c>
      <c r="AH6" s="11">
        <f t="shared" si="1"/>
        <v>2728.4442423982046</v>
      </c>
      <c r="AI6" s="11">
        <f t="shared" si="1"/>
        <v>2780.4412631468731</v>
      </c>
      <c r="AJ6" s="11">
        <f t="shared" si="1"/>
        <v>2832.6787493935371</v>
      </c>
      <c r="AK6" s="11">
        <f t="shared" si="1"/>
        <v>2885.1567011381717</v>
      </c>
      <c r="AL6" s="11">
        <f t="shared" si="1"/>
        <v>2937.8751183808267</v>
      </c>
      <c r="AM6" s="11">
        <f t="shared" si="1"/>
        <v>2990.8340011214636</v>
      </c>
      <c r="AN6" s="11">
        <f t="shared" si="1"/>
        <v>3044.0333493601102</v>
      </c>
      <c r="AO6" s="11">
        <f t="shared" si="1"/>
        <v>3097.4731630967408</v>
      </c>
      <c r="AP6" s="11">
        <f t="shared" si="1"/>
        <v>3151.1534423313788</v>
      </c>
      <c r="AQ6" s="11">
        <f t="shared" si="1"/>
        <v>3205.0741870639977</v>
      </c>
      <c r="AR6" s="11">
        <f t="shared" si="1"/>
        <v>3259.2353972946125</v>
      </c>
      <c r="AS6" s="11">
        <f t="shared" si="1"/>
        <v>3313.6370730232402</v>
      </c>
      <c r="AT6" s="11">
        <f t="shared" si="1"/>
        <v>3368.2792142498315</v>
      </c>
      <c r="AU6" s="11">
        <f t="shared" si="1"/>
        <v>3423.161820974462</v>
      </c>
      <c r="AV6" s="11">
        <f t="shared" si="1"/>
        <v>3478.2848931970589</v>
      </c>
      <c r="AW6" s="11">
        <f t="shared" si="1"/>
        <v>3533.6484309176517</v>
      </c>
      <c r="AX6" s="11">
        <f t="shared" si="1"/>
        <v>3589.2524341362578</v>
      </c>
      <c r="AY6" s="11">
        <f t="shared" si="1"/>
        <v>3645.0969028528302</v>
      </c>
      <c r="AZ6" s="11">
        <f t="shared" si="1"/>
        <v>3701.1818370674387</v>
      </c>
      <c r="BA6" s="11">
        <f t="shared" si="1"/>
        <v>3757.5072367800103</v>
      </c>
      <c r="BB6" s="11">
        <f t="shared" si="1"/>
        <v>3814.0731019905843</v>
      </c>
      <c r="BC6" s="11">
        <f t="shared" si="1"/>
        <v>3870.8794326991506</v>
      </c>
    </row>
    <row r="8" spans="1:55" x14ac:dyDescent="0.2">
      <c r="A8" t="s">
        <v>24</v>
      </c>
      <c r="B8" s="13">
        <f>B4/SUM(B4:B6)</f>
        <v>0.55611697004465976</v>
      </c>
      <c r="C8" s="13">
        <f t="shared" ref="C8:G8" si="3">C4/SUM(C4:C6)</f>
        <v>0.55060802054686642</v>
      </c>
      <c r="D8" s="13">
        <f t="shared" si="3"/>
        <v>0.5674227983880612</v>
      </c>
      <c r="E8" s="13">
        <f t="shared" si="3"/>
        <v>0.58853654412980549</v>
      </c>
      <c r="F8" s="13">
        <f t="shared" si="3"/>
        <v>0.60242120586656422</v>
      </c>
      <c r="G8" s="13">
        <f t="shared" si="3"/>
        <v>0.58946603107034135</v>
      </c>
      <c r="H8" s="15"/>
      <c r="I8" s="13">
        <f>B8</f>
        <v>0.55611697004465976</v>
      </c>
      <c r="J8" s="13">
        <f t="shared" ref="J8:M10" si="4">C8</f>
        <v>0.55060802054686642</v>
      </c>
      <c r="K8" s="13">
        <f t="shared" si="4"/>
        <v>0.5674227983880612</v>
      </c>
      <c r="L8" s="13">
        <f t="shared" si="4"/>
        <v>0.58853654412980549</v>
      </c>
      <c r="M8" s="13">
        <f t="shared" si="4"/>
        <v>0.60242120586656422</v>
      </c>
      <c r="N8" s="14">
        <f>AVERAGE(M8,O8)</f>
        <v>0.59594361846845278</v>
      </c>
      <c r="O8" s="13">
        <f>G8</f>
        <v>0.58946603107034135</v>
      </c>
      <c r="P8" s="14">
        <f>SLOPE($I8:O8,$I$2:O$2)*P$2+INTERCEPT($I8:O8,$I$2:O$2)</f>
        <v>0.59882372803723971</v>
      </c>
      <c r="Q8" s="14">
        <f>SLOPE($I8:P8,$I$2:P$2)*Q$2+INTERCEPT($I8:P8,$I$2:P$2)</f>
        <v>0.60154009164773914</v>
      </c>
      <c r="R8" s="14">
        <f>SLOPE($I8:Q8,$I$2:Q$2)*R$2+INTERCEPT($I8:Q8,$I$2:Q$2)</f>
        <v>0.60425645525823768</v>
      </c>
      <c r="S8" s="14">
        <f>SLOPE($I8:R8,$I$2:R$2)*S$2+INTERCEPT($I8:R8,$I$2:R$2)</f>
        <v>0.60697281886873622</v>
      </c>
      <c r="T8" s="14">
        <f>SLOPE($I8:S8,$I$2:S$2)*T$2+INTERCEPT($I8:S8,$I$2:S$2)</f>
        <v>0.60968918247923476</v>
      </c>
      <c r="U8" s="14">
        <f>SLOPE($I8:T8,$I$2:T$2)*U$2+INTERCEPT($I8:T8,$I$2:T$2)</f>
        <v>0.61240554608973419</v>
      </c>
      <c r="V8" s="14">
        <f>SLOPE($I8:U8,$I$2:U$2)*V$2+INTERCEPT($I8:U8,$I$2:U$2)</f>
        <v>0.61512190970023273</v>
      </c>
      <c r="W8" s="14">
        <f>SLOPE($I8:V8,$I$2:V$2)*W$2+INTERCEPT($I8:V8,$I$2:V$2)</f>
        <v>0.61783827331073127</v>
      </c>
      <c r="X8" s="14">
        <f>SLOPE($I8:W8,$I$2:W$2)*X$2+INTERCEPT($I8:W8,$I$2:W$2)</f>
        <v>0.62055463692122981</v>
      </c>
      <c r="Y8" s="14">
        <f>SLOPE($I8:X8,$I$2:X$2)*Y$2+INTERCEPT($I8:X8,$I$2:X$2)</f>
        <v>0.62327100053172924</v>
      </c>
      <c r="Z8" s="14">
        <f>SLOPE($I8:Y8,$I$2:Y$2)*Z$2+INTERCEPT($I8:Y8,$I$2:Y$2)</f>
        <v>0.62598736414222778</v>
      </c>
      <c r="AA8" s="14">
        <f>SLOPE($I8:Z8,$I$2:Z$2)*AA$2+INTERCEPT($I8:Z8,$I$2:Z$2)</f>
        <v>0.62870372775272543</v>
      </c>
      <c r="AB8" s="14">
        <f>SLOPE($I8:AA8,$I$2:AA$2)*AB$2+INTERCEPT($I8:AA8,$I$2:AA$2)</f>
        <v>0.63142009136322397</v>
      </c>
      <c r="AC8" s="14">
        <f>SLOPE($I8:AB8,$I$2:AB$2)*AC$2+INTERCEPT($I8:AB8,$I$2:AB$2)</f>
        <v>0.6341364549737234</v>
      </c>
      <c r="AD8" s="14">
        <f>SLOPE($I8:AC8,$I$2:AC$2)*AD$2+INTERCEPT($I8:AC8,$I$2:AC$2)</f>
        <v>0.63685281858422282</v>
      </c>
      <c r="AE8" s="14">
        <f>SLOPE($I8:AD8,$I$2:AD$2)*AE$2+INTERCEPT($I8:AD8,$I$2:AD$2)</f>
        <v>0.63956918219472136</v>
      </c>
      <c r="AF8" s="14">
        <f>SLOPE($I8:AE8,$I$2:AE$2)*AF$2+INTERCEPT($I8:AE8,$I$2:AE$2)</f>
        <v>0.64228554580521902</v>
      </c>
      <c r="AG8" s="14">
        <f>SLOPE($I8:AF8,$I$2:AF$2)*AG$2+INTERCEPT($I8:AF8,$I$2:AF$2)</f>
        <v>0.64500190941571844</v>
      </c>
      <c r="AH8" s="14">
        <f>SLOPE($I8:AG8,$I$2:AG$2)*AH$2+INTERCEPT($I8:AG8,$I$2:AG$2)</f>
        <v>0.64771827302621698</v>
      </c>
      <c r="AI8" s="14">
        <f>SLOPE($I8:AH8,$I$2:AH$2)*AI$2+INTERCEPT($I8:AH8,$I$2:AH$2)</f>
        <v>0.65043463663671641</v>
      </c>
      <c r="AJ8" s="14">
        <f>SLOPE($I8:AI8,$I$2:AI$2)*AJ$2+INTERCEPT($I8:AI8,$I$2:AI$2)</f>
        <v>0.65315100024721495</v>
      </c>
      <c r="AK8" s="14">
        <f>SLOPE($I8:AJ8,$I$2:AJ$2)*AK$2+INTERCEPT($I8:AJ8,$I$2:AJ$2)</f>
        <v>0.65586736385771349</v>
      </c>
      <c r="AL8" s="14">
        <f>SLOPE($I8:AK8,$I$2:AK$2)*AL$2+INTERCEPT($I8:AK8,$I$2:AK$2)</f>
        <v>0.65858372746821203</v>
      </c>
      <c r="AM8" s="14">
        <f>SLOPE($I8:AL8,$I$2:AL$2)*AM$2+INTERCEPT($I8:AL8,$I$2:AL$2)</f>
        <v>0.66130009107871057</v>
      </c>
      <c r="AN8" s="14">
        <f>SLOPE($I8:AM8,$I$2:AM$2)*AN$2+INTERCEPT($I8:AM8,$I$2:AM$2)</f>
        <v>0.66401645468920911</v>
      </c>
      <c r="AO8" s="14">
        <f>SLOPE($I8:AN8,$I$2:AN$2)*AO$2+INTERCEPT($I8:AN8,$I$2:AN$2)</f>
        <v>0.66673281829970854</v>
      </c>
      <c r="AP8" s="14">
        <f>SLOPE($I8:AO8,$I$2:AO$2)*AP$2+INTERCEPT($I8:AO8,$I$2:AO$2)</f>
        <v>0.66944918191020708</v>
      </c>
      <c r="AQ8" s="14">
        <f>SLOPE($I8:AP8,$I$2:AP$2)*AQ$2+INTERCEPT($I8:AP8,$I$2:AP$2)</f>
        <v>0.67216554552070651</v>
      </c>
      <c r="AR8" s="14">
        <f>SLOPE($I8:AQ8,$I$2:AQ$2)*AR$2+INTERCEPT($I8:AQ8,$I$2:AQ$2)</f>
        <v>0.67488190913120416</v>
      </c>
      <c r="AS8" s="14">
        <f>SLOPE($I8:AR8,$I$2:AR$2)*AS$2+INTERCEPT($I8:AR8,$I$2:AR$2)</f>
        <v>0.67759827274170359</v>
      </c>
      <c r="AT8" s="14">
        <f>SLOPE($I8:AS8,$I$2:AS$2)*AT$2+INTERCEPT($I8:AS8,$I$2:AS$2)</f>
        <v>0.68031463635220302</v>
      </c>
      <c r="AU8" s="14">
        <f>SLOPE($I8:AT8,$I$2:AT$2)*AU$2+INTERCEPT($I8:AT8,$I$2:AT$2)</f>
        <v>0.68303099996270067</v>
      </c>
      <c r="AV8" s="14">
        <f>SLOPE($I8:AU8,$I$2:AU$2)*AV$2+INTERCEPT($I8:AU8,$I$2:AU$2)</f>
        <v>0.68574736357319921</v>
      </c>
      <c r="AW8" s="14">
        <f>SLOPE($I8:AV8,$I$2:AV$2)*AW$2+INTERCEPT($I8:AV8,$I$2:AV$2)</f>
        <v>0.68846372718369775</v>
      </c>
      <c r="AX8" s="14">
        <f>SLOPE($I8:AW8,$I$2:AW$2)*AX$2+INTERCEPT($I8:AW8,$I$2:AW$2)</f>
        <v>0.69118009079419629</v>
      </c>
      <c r="AY8" s="14">
        <f>SLOPE($I8:AX8,$I$2:AX$2)*AY$2+INTERCEPT($I8:AX8,$I$2:AX$2)</f>
        <v>0.69389645440469661</v>
      </c>
      <c r="AZ8" s="14">
        <f>SLOPE($I8:AY8,$I$2:AY$2)*AZ$2+INTERCEPT($I8:AY8,$I$2:AY$2)</f>
        <v>0.69661281801519515</v>
      </c>
      <c r="BA8" s="14">
        <f>SLOPE($I8:AZ8,$I$2:AZ$2)*BA$2+INTERCEPT($I8:AZ8,$I$2:AZ$2)</f>
        <v>0.6993291816256928</v>
      </c>
      <c r="BB8" s="14">
        <f>SLOPE($I8:BA8,$I$2:BA$2)*BB$2+INTERCEPT($I8:BA8,$I$2:BA$2)</f>
        <v>0.70204554523619134</v>
      </c>
      <c r="BC8" s="14">
        <f>SLOPE($I8:BB8,$I$2:BB$2)*BC$2+INTERCEPT($I8:BB8,$I$2:BB$2)</f>
        <v>0.70476190884668988</v>
      </c>
    </row>
    <row r="9" spans="1:55" x14ac:dyDescent="0.2">
      <c r="A9" t="s">
        <v>25</v>
      </c>
      <c r="B9" s="13">
        <f>B5/SUM(B4:B6)</f>
        <v>0.32810676030016783</v>
      </c>
      <c r="C9" s="13">
        <f t="shared" ref="C9:G9" si="5">C5/SUM(C4:C6)</f>
        <v>0.34877004205316092</v>
      </c>
      <c r="D9" s="13">
        <f t="shared" si="5"/>
        <v>0.32844293215130033</v>
      </c>
      <c r="E9" s="13">
        <f t="shared" si="5"/>
        <v>0.2949014351791871</v>
      </c>
      <c r="F9" s="13">
        <f>F5/SUM(F4:F6)</f>
        <v>0.27563246914687906</v>
      </c>
      <c r="G9" s="13">
        <f t="shared" si="5"/>
        <v>0.30384913464432484</v>
      </c>
      <c r="H9" s="15"/>
      <c r="I9" s="13">
        <f t="shared" ref="I9:I10" si="6">B9</f>
        <v>0.32810676030016783</v>
      </c>
      <c r="J9" s="13">
        <f t="shared" si="4"/>
        <v>0.34877004205316092</v>
      </c>
      <c r="K9" s="13">
        <f t="shared" si="4"/>
        <v>0.32844293215130033</v>
      </c>
      <c r="L9" s="13">
        <f t="shared" si="4"/>
        <v>0.2949014351791871</v>
      </c>
      <c r="M9" s="13">
        <f>F9</f>
        <v>0.27563246914687906</v>
      </c>
      <c r="N9" s="14">
        <f>SLOPE($I9:M9,$I$2:M$2)*N$2+INTERCEPT($I9:M9,$I$2:M$2)</f>
        <v>0.28803573482784284</v>
      </c>
      <c r="O9" s="13">
        <f>G9</f>
        <v>0.30384913464432484</v>
      </c>
      <c r="P9" s="14">
        <f>SLOPE($I9:O9,$I$2:O$2)*P$2+INTERCEPT($I9:O9,$I$2:O$2)</f>
        <v>0.28710442514221679</v>
      </c>
      <c r="Q9" s="14">
        <f>SLOPE($I9:P9,$I$2:P$2)*Q$2+INTERCEPT($I9:P9,$I$2:P$2)</f>
        <v>0.28406581875169135</v>
      </c>
      <c r="R9" s="14">
        <f>SLOPE($I9:Q9,$I$2:Q$2)*R$2+INTERCEPT($I9:Q9,$I$2:Q$2)</f>
        <v>0.2810272123611659</v>
      </c>
      <c r="S9" s="14">
        <f>SLOPE($I9:R9,$I$2:R$2)*S$2+INTERCEPT($I9:R9,$I$2:R$2)</f>
        <v>0.27798860597063957</v>
      </c>
      <c r="T9" s="14">
        <f>SLOPE($I9:S9,$I$2:S$2)*T$2+INTERCEPT($I9:S9,$I$2:S$2)</f>
        <v>0.27494999958011412</v>
      </c>
      <c r="U9" s="14">
        <f>SLOPE($I9:T9,$I$2:T$2)*U$2+INTERCEPT($I9:T9,$I$2:T$2)</f>
        <v>0.27191139318958779</v>
      </c>
      <c r="V9" s="14">
        <f>SLOPE($I9:U9,$I$2:U$2)*V$2+INTERCEPT($I9:U9,$I$2:U$2)</f>
        <v>0.26887278679906235</v>
      </c>
      <c r="W9" s="14">
        <f>SLOPE($I9:V9,$I$2:V$2)*W$2+INTERCEPT($I9:V9,$I$2:V$2)</f>
        <v>0.26583418040853601</v>
      </c>
      <c r="X9" s="14">
        <f>SLOPE($I9:W9,$I$2:W$2)*X$2+INTERCEPT($I9:W9,$I$2:W$2)</f>
        <v>0.26279557401801057</v>
      </c>
      <c r="Y9" s="14">
        <f>SLOPE($I9:X9,$I$2:X$2)*Y$2+INTERCEPT($I9:X9,$I$2:X$2)</f>
        <v>0.25975696762748512</v>
      </c>
      <c r="Z9" s="14">
        <f>SLOPE($I9:Y9,$I$2:Y$2)*Z$2+INTERCEPT($I9:Y9,$I$2:Y$2)</f>
        <v>0.25671836123695879</v>
      </c>
      <c r="AA9" s="14">
        <f>SLOPE($I9:Z9,$I$2:Z$2)*AA$2+INTERCEPT($I9:Z9,$I$2:Z$2)</f>
        <v>0.25367975484643335</v>
      </c>
      <c r="AB9" s="14">
        <f>SLOPE($I9:AA9,$I$2:AA$2)*AB$2+INTERCEPT($I9:AA9,$I$2:AA$2)</f>
        <v>0.25064114845590701</v>
      </c>
      <c r="AC9" s="14">
        <f>SLOPE($I9:AB9,$I$2:AB$2)*AC$2+INTERCEPT($I9:AB9,$I$2:AB$2)</f>
        <v>0.24760254206538157</v>
      </c>
      <c r="AD9" s="14">
        <f>SLOPE($I9:AC9,$I$2:AC$2)*AD$2+INTERCEPT($I9:AC9,$I$2:AC$2)</f>
        <v>0.24456393567485613</v>
      </c>
      <c r="AE9" s="14">
        <f>SLOPE($I9:AD9,$I$2:AD$2)*AE$2+INTERCEPT($I9:AD9,$I$2:AD$2)</f>
        <v>0.24152532928432979</v>
      </c>
      <c r="AF9" s="14">
        <f>SLOPE($I9:AE9,$I$2:AE$2)*AF$2+INTERCEPT($I9:AE9,$I$2:AE$2)</f>
        <v>0.23848672289380435</v>
      </c>
      <c r="AG9" s="14">
        <f>SLOPE($I9:AF9,$I$2:AF$2)*AG$2+INTERCEPT($I9:AF9,$I$2:AF$2)</f>
        <v>0.23544811650327802</v>
      </c>
      <c r="AH9" s="14">
        <f>SLOPE($I9:AG9,$I$2:AG$2)*AH$2+INTERCEPT($I9:AG9,$I$2:AG$2)</f>
        <v>0.23240951011275257</v>
      </c>
      <c r="AI9" s="14">
        <f>SLOPE($I9:AH9,$I$2:AH$2)*AI$2+INTERCEPT($I9:AH9,$I$2:AH$2)</f>
        <v>0.22937090372222624</v>
      </c>
      <c r="AJ9" s="14">
        <f>SLOPE($I9:AI9,$I$2:AI$2)*AJ$2+INTERCEPT($I9:AI9,$I$2:AI$2)</f>
        <v>0.22633229733170079</v>
      </c>
      <c r="AK9" s="14">
        <f>SLOPE($I9:AJ9,$I$2:AJ$2)*AK$2+INTERCEPT($I9:AJ9,$I$2:AJ$2)</f>
        <v>0.22329369094117535</v>
      </c>
      <c r="AL9" s="14">
        <f>SLOPE($I9:AK9,$I$2:AK$2)*AL$2+INTERCEPT($I9:AK9,$I$2:AK$2)</f>
        <v>0.22025508455064902</v>
      </c>
      <c r="AM9" s="14">
        <f>SLOPE($I9:AL9,$I$2:AL$2)*AM$2+INTERCEPT($I9:AL9,$I$2:AL$2)</f>
        <v>0.21721647816012357</v>
      </c>
      <c r="AN9" s="14">
        <f>SLOPE($I9:AM9,$I$2:AM$2)*AN$2+INTERCEPT($I9:AM9,$I$2:AM$2)</f>
        <v>0.21417787176959724</v>
      </c>
      <c r="AO9" s="14">
        <f>SLOPE($I9:AN9,$I$2:AN$2)*AO$2+INTERCEPT($I9:AN9,$I$2:AN$2)</f>
        <v>0.21113926537907179</v>
      </c>
      <c r="AP9" s="14">
        <f>SLOPE($I9:AO9,$I$2:AO$2)*AP$2+INTERCEPT($I9:AO9,$I$2:AO$2)</f>
        <v>0.20810065898854546</v>
      </c>
      <c r="AQ9" s="14">
        <f>SLOPE($I9:AP9,$I$2:AP$2)*AQ$2+INTERCEPT($I9:AP9,$I$2:AP$2)</f>
        <v>0.20506205259802002</v>
      </c>
      <c r="AR9" s="14">
        <f>SLOPE($I9:AQ9,$I$2:AQ$2)*AR$2+INTERCEPT($I9:AQ9,$I$2:AQ$2)</f>
        <v>0.20202344620749457</v>
      </c>
      <c r="AS9" s="14">
        <f>SLOPE($I9:AR9,$I$2:AR$2)*AS$2+INTERCEPT($I9:AR9,$I$2:AR$2)</f>
        <v>0.19898483981696824</v>
      </c>
      <c r="AT9" s="14">
        <f>SLOPE($I9:AS9,$I$2:AS$2)*AT$2+INTERCEPT($I9:AS9,$I$2:AS$2)</f>
        <v>0.19594623342644191</v>
      </c>
      <c r="AU9" s="14">
        <f>SLOPE($I9:AT9,$I$2:AT$2)*AU$2+INTERCEPT($I9:AT9,$I$2:AT$2)</f>
        <v>0.19290762703591646</v>
      </c>
      <c r="AV9" s="14">
        <f>SLOPE($I9:AU9,$I$2:AU$2)*AV$2+INTERCEPT($I9:AU9,$I$2:AU$2)</f>
        <v>0.18986902064539102</v>
      </c>
      <c r="AW9" s="14">
        <f>SLOPE($I9:AV9,$I$2:AV$2)*AW$2+INTERCEPT($I9:AV9,$I$2:AV$2)</f>
        <v>0.18683041425486469</v>
      </c>
      <c r="AX9" s="14">
        <f>SLOPE($I9:AW9,$I$2:AW$2)*AX$2+INTERCEPT($I9:AW9,$I$2:AW$2)</f>
        <v>0.18379180786433924</v>
      </c>
      <c r="AY9" s="14">
        <f>SLOPE($I9:AX9,$I$2:AX$2)*AY$2+INTERCEPT($I9:AX9,$I$2:AX$2)</f>
        <v>0.1807532014738138</v>
      </c>
      <c r="AZ9" s="14">
        <f>SLOPE($I9:AY9,$I$2:AY$2)*AZ$2+INTERCEPT($I9:AY9,$I$2:AY$2)</f>
        <v>0.17771459508328746</v>
      </c>
      <c r="BA9" s="14">
        <f>SLOPE($I9:AZ9,$I$2:AZ$2)*BA$2+INTERCEPT($I9:AZ9,$I$2:AZ$2)</f>
        <v>0.17467598869276202</v>
      </c>
      <c r="BB9" s="14">
        <f>SLOPE($I9:BA9,$I$2:BA$2)*BB$2+INTERCEPT($I9:BA9,$I$2:BA$2)</f>
        <v>0.17163738230223569</v>
      </c>
      <c r="BC9" s="14">
        <f>SLOPE($I9:BB9,$I$2:BB$2)*BC$2+INTERCEPT($I9:BB9,$I$2:BB$2)</f>
        <v>0.16859877591171113</v>
      </c>
    </row>
    <row r="10" spans="1:55" x14ac:dyDescent="0.2">
      <c r="A10" t="s">
        <v>26</v>
      </c>
      <c r="B10" s="13">
        <f>B6/SUM(B4:B6)</f>
        <v>0.11577626965517242</v>
      </c>
      <c r="C10" s="13">
        <f t="shared" ref="C10:G10" si="7">C6/SUM(C4:C6)</f>
        <v>0.10062193739997274</v>
      </c>
      <c r="D10" s="13">
        <f t="shared" si="7"/>
        <v>0.10413426946063856</v>
      </c>
      <c r="E10" s="13">
        <f t="shared" si="7"/>
        <v>0.11656202069100739</v>
      </c>
      <c r="F10" s="13">
        <f t="shared" si="7"/>
        <v>0.12194632498655671</v>
      </c>
      <c r="G10" s="13">
        <f t="shared" si="7"/>
        <v>0.10668483428533378</v>
      </c>
      <c r="H10" s="15"/>
      <c r="I10" s="13">
        <f t="shared" si="6"/>
        <v>0.11577626965517242</v>
      </c>
      <c r="J10" s="13">
        <f t="shared" si="4"/>
        <v>0.10062193739997274</v>
      </c>
      <c r="K10" s="13">
        <f t="shared" si="4"/>
        <v>0.10413426946063856</v>
      </c>
      <c r="L10" s="13">
        <f t="shared" si="4"/>
        <v>0.11656202069100739</v>
      </c>
      <c r="M10" s="13">
        <f t="shared" si="4"/>
        <v>0.12194632498655671</v>
      </c>
      <c r="N10" s="14">
        <f>SLOPE($I10:M10,$I$2:M$2)*N$2+INTERCEPT($I10:M10,$I$2:M$2)</f>
        <v>0.1161113206482115</v>
      </c>
      <c r="O10" s="13">
        <f>G10</f>
        <v>0.10668483428533378</v>
      </c>
      <c r="P10" s="14">
        <f>SLOPE($I10:O10,$I$2:O$2)*P$2+INTERCEPT($I10:O10,$I$2:O$2)</f>
        <v>0.11409777993651693</v>
      </c>
      <c r="Q10" s="14">
        <f>SLOPE($I10:P10,$I$2:P$2)*Q$2+INTERCEPT($I10:P10,$I$2:P$2)</f>
        <v>0.11442176998322329</v>
      </c>
      <c r="R10" s="14">
        <f>SLOPE($I10:Q10,$I$2:Q$2)*R$2+INTERCEPT($I10:Q10,$I$2:Q$2)</f>
        <v>0.11474576002992964</v>
      </c>
      <c r="S10" s="14">
        <f>SLOPE($I10:R10,$I$2:R$2)*S$2+INTERCEPT($I10:R10,$I$2:R$2)</f>
        <v>0.11506975007663578</v>
      </c>
      <c r="T10" s="14">
        <f>SLOPE($I10:S10,$I$2:S$2)*T$2+INTERCEPT($I10:S10,$I$2:S$2)</f>
        <v>0.11539374012334225</v>
      </c>
      <c r="U10" s="14">
        <f>SLOPE($I10:T10,$I$2:T$2)*U$2+INTERCEPT($I10:T10,$I$2:T$2)</f>
        <v>0.11571773017004827</v>
      </c>
      <c r="V10" s="14">
        <f>SLOPE($I10:U10,$I$2:U$2)*V$2+INTERCEPT($I10:U10,$I$2:U$2)</f>
        <v>0.11604172021675463</v>
      </c>
      <c r="W10" s="14">
        <f>SLOPE($I10:V10,$I$2:V$2)*W$2+INTERCEPT($I10:V10,$I$2:V$2)</f>
        <v>0.11636571026346088</v>
      </c>
      <c r="X10" s="14">
        <f>SLOPE($I10:W10,$I$2:W$2)*X$2+INTERCEPT($I10:W10,$I$2:W$2)</f>
        <v>0.11668970031016712</v>
      </c>
      <c r="Y10" s="14">
        <f>SLOPE($I10:X10,$I$2:X$2)*Y$2+INTERCEPT($I10:X10,$I$2:X$2)</f>
        <v>0.11701369035687348</v>
      </c>
      <c r="Z10" s="14">
        <f>SLOPE($I10:Y10,$I$2:Y$2)*Z$2+INTERCEPT($I10:Y10,$I$2:Y$2)</f>
        <v>0.11733768040357984</v>
      </c>
      <c r="AA10" s="14">
        <f>SLOPE($I10:Z10,$I$2:Z$2)*AA$2+INTERCEPT($I10:Z10,$I$2:Z$2)</f>
        <v>0.11766167045028608</v>
      </c>
      <c r="AB10" s="14">
        <f>SLOPE($I10:AA10,$I$2:AA$2)*AB$2+INTERCEPT($I10:AA10,$I$2:AA$2)</f>
        <v>0.11798566049699233</v>
      </c>
      <c r="AC10" s="14">
        <f>SLOPE($I10:AB10,$I$2:AB$2)*AC$2+INTERCEPT($I10:AB10,$I$2:AB$2)</f>
        <v>0.11830965054369857</v>
      </c>
      <c r="AD10" s="14">
        <f>SLOPE($I10:AC10,$I$2:AC$2)*AD$2+INTERCEPT($I10:AC10,$I$2:AC$2)</f>
        <v>0.11863364059040471</v>
      </c>
      <c r="AE10" s="14">
        <f>SLOPE($I10:AD10,$I$2:AD$2)*AE$2+INTERCEPT($I10:AD10,$I$2:AD$2)</f>
        <v>0.11895763063711107</v>
      </c>
      <c r="AF10" s="14">
        <f>SLOPE($I10:AE10,$I$2:AE$2)*AF$2+INTERCEPT($I10:AE10,$I$2:AE$2)</f>
        <v>0.11928162068381742</v>
      </c>
      <c r="AG10" s="14">
        <f>SLOPE($I10:AF10,$I$2:AF$2)*AG$2+INTERCEPT($I10:AF10,$I$2:AF$2)</f>
        <v>0.11960561073052367</v>
      </c>
      <c r="AH10" s="14">
        <f>SLOPE($I10:AG10,$I$2:AG$2)*AH$2+INTERCEPT($I10:AG10,$I$2:AG$2)</f>
        <v>0.11992960077722992</v>
      </c>
      <c r="AI10" s="14">
        <f>SLOPE($I10:AH10,$I$2:AH$2)*AI$2+INTERCEPT($I10:AH10,$I$2:AH$2)</f>
        <v>0.12025359082393616</v>
      </c>
      <c r="AJ10" s="14">
        <f>SLOPE($I10:AI10,$I$2:AI$2)*AJ$2+INTERCEPT($I10:AI10,$I$2:AI$2)</f>
        <v>0.12057758087064241</v>
      </c>
      <c r="AK10" s="14">
        <f>SLOPE($I10:AJ10,$I$2:AJ$2)*AK$2+INTERCEPT($I10:AJ10,$I$2:AJ$2)</f>
        <v>0.12090157091734877</v>
      </c>
      <c r="AL10" s="14">
        <f>SLOPE($I10:AK10,$I$2:AK$2)*AL$2+INTERCEPT($I10:AK10,$I$2:AK$2)</f>
        <v>0.12122556096405501</v>
      </c>
      <c r="AM10" s="14">
        <f>SLOPE($I10:AL10,$I$2:AL$2)*AM$2+INTERCEPT($I10:AL10,$I$2:AL$2)</f>
        <v>0.12154955101076126</v>
      </c>
      <c r="AN10" s="14">
        <f>SLOPE($I10:AM10,$I$2:AM$2)*AN$2+INTERCEPT($I10:AM10,$I$2:AM$2)</f>
        <v>0.1218735410574675</v>
      </c>
      <c r="AO10" s="14">
        <f>SLOPE($I10:AN10,$I$2:AN$2)*AO$2+INTERCEPT($I10:AN10,$I$2:AN$2)</f>
        <v>0.12219753110417386</v>
      </c>
      <c r="AP10" s="14">
        <f>SLOPE($I10:AO10,$I$2:AO$2)*AP$2+INTERCEPT($I10:AO10,$I$2:AO$2)</f>
        <v>0.12252152115088011</v>
      </c>
      <c r="AQ10" s="14">
        <f>SLOPE($I10:AP10,$I$2:AP$2)*AQ$2+INTERCEPT($I10:AP10,$I$2:AP$2)</f>
        <v>0.12284551119758635</v>
      </c>
      <c r="AR10" s="14">
        <f>SLOPE($I10:AQ10,$I$2:AQ$2)*AR$2+INTERCEPT($I10:AQ10,$I$2:AQ$2)</f>
        <v>0.1231695012442926</v>
      </c>
      <c r="AS10" s="14">
        <f>SLOPE($I10:AR10,$I$2:AR$2)*AS$2+INTERCEPT($I10:AR10,$I$2:AR$2)</f>
        <v>0.12349349129099896</v>
      </c>
      <c r="AT10" s="14">
        <f>SLOPE($I10:AS10,$I$2:AS$2)*AT$2+INTERCEPT($I10:AS10,$I$2:AS$2)</f>
        <v>0.1238174813377052</v>
      </c>
      <c r="AU10" s="14">
        <f>SLOPE($I10:AT10,$I$2:AT$2)*AU$2+INTERCEPT($I10:AT10,$I$2:AT$2)</f>
        <v>0.12414147138441145</v>
      </c>
      <c r="AV10" s="14">
        <f>SLOPE($I10:AU10,$I$2:AU$2)*AV$2+INTERCEPT($I10:AU10,$I$2:AU$2)</f>
        <v>0.1244654614311177</v>
      </c>
      <c r="AW10" s="14">
        <f>SLOPE($I10:AV10,$I$2:AV$2)*AW$2+INTERCEPT($I10:AV10,$I$2:AV$2)</f>
        <v>0.12478945147782394</v>
      </c>
      <c r="AX10" s="14">
        <f>SLOPE($I10:AW10,$I$2:AW$2)*AX$2+INTERCEPT($I10:AW10,$I$2:AW$2)</f>
        <v>0.1251134415245303</v>
      </c>
      <c r="AY10" s="14">
        <f>SLOPE($I10:AX10,$I$2:AX$2)*AY$2+INTERCEPT($I10:AX10,$I$2:AX$2)</f>
        <v>0.12543743157123666</v>
      </c>
      <c r="AZ10" s="14">
        <f>SLOPE($I10:AY10,$I$2:AY$2)*AZ$2+INTERCEPT($I10:AY10,$I$2:AY$2)</f>
        <v>0.1257614216179429</v>
      </c>
      <c r="BA10" s="14">
        <f>SLOPE($I10:AZ10,$I$2:AZ$2)*BA$2+INTERCEPT($I10:AZ10,$I$2:AZ$2)</f>
        <v>0.12608541166464904</v>
      </c>
      <c r="BB10" s="14">
        <f>SLOPE($I10:BA10,$I$2:BA$2)*BB$2+INTERCEPT($I10:BA10,$I$2:BA$2)</f>
        <v>0.1264094017113554</v>
      </c>
      <c r="BC10" s="14">
        <f>SLOPE($I10:BB10,$I$2:BB$2)*BC$2+INTERCEPT($I10:BB10,$I$2:BB$2)</f>
        <v>0.12673339175806164</v>
      </c>
    </row>
    <row r="11" spans="1:55" x14ac:dyDescent="0.2">
      <c r="N11" s="14"/>
    </row>
    <row r="12" spans="1:55" x14ac:dyDescent="0.2">
      <c r="A12" t="s">
        <v>27</v>
      </c>
      <c r="B12" s="13">
        <f>SUM('2002'!$B25:$M25)</f>
        <v>0.16746415981446552</v>
      </c>
      <c r="C12" s="13">
        <f>SUM('2007'!$B25:$M25)</f>
        <v>0.16142339009231155</v>
      </c>
      <c r="D12" s="13">
        <f>SUM('2012'!$B25:$M25)</f>
        <v>0.13049730630944134</v>
      </c>
      <c r="E12" s="13">
        <f>SUM('2017'!$B25:$M25)</f>
        <v>0.10313877669824474</v>
      </c>
      <c r="F12" s="13">
        <f>SUM('2018'!$B25:$M25)</f>
        <v>8.9475434620045119E-2</v>
      </c>
      <c r="G12" s="13">
        <f>SUM('2020'!$B25:$M25)</f>
        <v>9.5124922378448634E-2</v>
      </c>
      <c r="H12" s="15"/>
      <c r="I12" s="13">
        <f>B12</f>
        <v>0.16746415981446552</v>
      </c>
      <c r="J12" s="13">
        <f t="shared" ref="J12:M13" si="8">C12</f>
        <v>0.16142339009231155</v>
      </c>
      <c r="K12" s="13">
        <f t="shared" si="8"/>
        <v>0.13049730630944134</v>
      </c>
      <c r="L12" s="13">
        <f t="shared" si="8"/>
        <v>0.10313877669824474</v>
      </c>
      <c r="M12" s="13">
        <f t="shared" si="8"/>
        <v>8.9475434620045119E-2</v>
      </c>
      <c r="N12" s="15">
        <f>N18/N4</f>
        <v>0.10098973763819687</v>
      </c>
      <c r="O12" s="13">
        <f>G12</f>
        <v>9.5124922378448634E-2</v>
      </c>
      <c r="P12" s="15">
        <f t="shared" ref="P12:BC12" si="9">P18/P4</f>
        <v>0.10017905527907718</v>
      </c>
      <c r="Q12" s="15">
        <f t="shared" si="9"/>
        <v>9.8671208495239568E-2</v>
      </c>
      <c r="R12" s="15">
        <f t="shared" si="9"/>
        <v>9.7176918406074314E-2</v>
      </c>
      <c r="S12" s="15">
        <f t="shared" si="9"/>
        <v>9.5696003002217755E-2</v>
      </c>
      <c r="T12" s="15">
        <f t="shared" si="9"/>
        <v>9.4228283517950873E-2</v>
      </c>
      <c r="U12" s="15">
        <f t="shared" si="9"/>
        <v>9.27735843592601E-2</v>
      </c>
      <c r="V12" s="15">
        <f t="shared" si="9"/>
        <v>9.1331733033809259E-2</v>
      </c>
      <c r="W12" s="15">
        <f t="shared" si="9"/>
        <v>8.9902560082752811E-2</v>
      </c>
      <c r="X12" s="15">
        <f t="shared" si="9"/>
        <v>8.8485899014346073E-2</v>
      </c>
      <c r="Y12" s="15">
        <f t="shared" si="9"/>
        <v>8.7081586239286246E-2</v>
      </c>
      <c r="Z12" s="15">
        <f t="shared" si="9"/>
        <v>8.5689461007740525E-2</v>
      </c>
      <c r="AA12" s="15">
        <f t="shared" si="9"/>
        <v>8.4309365348005594E-2</v>
      </c>
      <c r="AB12" s="15">
        <f t="shared" si="9"/>
        <v>8.2941144006748194E-2</v>
      </c>
      <c r="AC12" s="15">
        <f t="shared" si="9"/>
        <v>8.1584644390786359E-2</v>
      </c>
      <c r="AD12" s="15">
        <f t="shared" si="9"/>
        <v>8.0239716510355663E-2</v>
      </c>
      <c r="AE12" s="15">
        <f t="shared" si="9"/>
        <v>7.8906212923824035E-2</v>
      </c>
      <c r="AF12" s="15">
        <f t="shared" si="9"/>
        <v>7.7583988683809557E-2</v>
      </c>
      <c r="AG12" s="15">
        <f t="shared" si="9"/>
        <v>7.6272901284656802E-2</v>
      </c>
      <c r="AH12" s="15">
        <f t="shared" si="9"/>
        <v>7.497281061124017E-2</v>
      </c>
      <c r="AI12" s="15">
        <f t="shared" si="9"/>
        <v>7.368357888904345E-2</v>
      </c>
      <c r="AJ12" s="15">
        <f t="shared" si="9"/>
        <v>7.2405070635491731E-2</v>
      </c>
      <c r="AK12" s="15">
        <f t="shared" si="9"/>
        <v>7.1137152612486765E-2</v>
      </c>
      <c r="AL12" s="15">
        <f t="shared" si="9"/>
        <v>6.9879693780120877E-2</v>
      </c>
      <c r="AM12" s="15">
        <f t="shared" si="9"/>
        <v>6.8632565251531177E-2</v>
      </c>
      <c r="AN12" s="15">
        <f t="shared" si="9"/>
        <v>6.7395640248859107E-2</v>
      </c>
      <c r="AO12" s="15">
        <f t="shared" si="9"/>
        <v>6.6168794060290748E-2</v>
      </c>
      <c r="AP12" s="15">
        <f t="shared" si="9"/>
        <v>6.4951903998138841E-2</v>
      </c>
      <c r="AQ12" s="15">
        <f t="shared" si="9"/>
        <v>6.3744849357944819E-2</v>
      </c>
      <c r="AR12" s="15">
        <f t="shared" si="9"/>
        <v>6.2547511378565651E-2</v>
      </c>
      <c r="AS12" s="15">
        <f t="shared" si="9"/>
        <v>6.1359773203221842E-2</v>
      </c>
      <c r="AT12" s="15">
        <f t="shared" si="9"/>
        <v>6.0181519841480166E-2</v>
      </c>
      <c r="AU12" s="15">
        <f t="shared" si="9"/>
        <v>5.9012638132141124E-2</v>
      </c>
      <c r="AV12" s="15">
        <f t="shared" si="9"/>
        <v>5.7853016707008341E-2</v>
      </c>
      <c r="AW12" s="15">
        <f t="shared" si="9"/>
        <v>5.6702545955518123E-2</v>
      </c>
      <c r="AX12" s="15">
        <f t="shared" si="9"/>
        <v>5.5561117990201879E-2</v>
      </c>
      <c r="AY12" s="15">
        <f t="shared" si="9"/>
        <v>5.442862661295797E-2</v>
      </c>
      <c r="AZ12" s="15">
        <f t="shared" si="9"/>
        <v>5.3304967282115617E-2</v>
      </c>
      <c r="BA12" s="15">
        <f t="shared" si="9"/>
        <v>5.2190037080264894E-2</v>
      </c>
      <c r="BB12" s="15">
        <f t="shared" si="9"/>
        <v>5.1083734682832248E-2</v>
      </c>
      <c r="BC12" s="15">
        <f t="shared" si="9"/>
        <v>4.998596032738669E-2</v>
      </c>
    </row>
    <row r="13" spans="1:55" x14ac:dyDescent="0.2">
      <c r="A13" t="s">
        <v>28</v>
      </c>
      <c r="B13" s="13">
        <f>SUM('2002'!$B26:$M26)</f>
        <v>1.6676081286712836E-2</v>
      </c>
      <c r="C13" s="13">
        <f>SUM('2007'!$B26:$M26)</f>
        <v>1.6390427399059052E-2</v>
      </c>
      <c r="D13" s="13">
        <f>SUM('2012'!$B26:$M26)</f>
        <v>1.9486137806804867E-2</v>
      </c>
      <c r="E13" s="13">
        <f>SUM('2017'!$B26:$M26)</f>
        <v>1.7571433856512674E-2</v>
      </c>
      <c r="F13" s="13">
        <f>SUM('2018'!$B26:$M26)</f>
        <v>1.8596293823819218E-2</v>
      </c>
      <c r="G13" s="13">
        <f>SUM('2020'!$B26:$M26)</f>
        <v>1.7789193772069931E-2</v>
      </c>
      <c r="H13" s="15"/>
      <c r="I13" s="13">
        <f>B13</f>
        <v>1.6676081286712836E-2</v>
      </c>
      <c r="J13" s="13">
        <f t="shared" si="8"/>
        <v>1.6390427399059052E-2</v>
      </c>
      <c r="K13" s="13">
        <f t="shared" si="8"/>
        <v>1.9486137806804867E-2</v>
      </c>
      <c r="L13" s="13">
        <f t="shared" si="8"/>
        <v>1.7571433856512674E-2</v>
      </c>
      <c r="M13" s="13">
        <f t="shared" si="8"/>
        <v>1.8596293823819218E-2</v>
      </c>
      <c r="N13" s="15">
        <f>N19/N4</f>
        <v>1.8624130366732224E-2</v>
      </c>
      <c r="O13" s="13">
        <f>G13</f>
        <v>1.7789193772069931E-2</v>
      </c>
      <c r="P13" s="15">
        <f t="shared" ref="P13:BC13" si="10">P19/P4</f>
        <v>1.8213139137340129E-2</v>
      </c>
      <c r="Q13" s="15">
        <f t="shared" si="10"/>
        <v>1.8182378565881261E-2</v>
      </c>
      <c r="R13" s="15">
        <f t="shared" si="10"/>
        <v>1.8151894555462754E-2</v>
      </c>
      <c r="S13" s="15">
        <f t="shared" si="10"/>
        <v>1.8121683393033546E-2</v>
      </c>
      <c r="T13" s="15">
        <f t="shared" si="10"/>
        <v>1.8091741431714103E-2</v>
      </c>
      <c r="U13" s="15">
        <f t="shared" si="10"/>
        <v>1.8062065089328543E-2</v>
      </c>
      <c r="V13" s="15">
        <f t="shared" si="10"/>
        <v>1.803265084697649E-2</v>
      </c>
      <c r="W13" s="15">
        <f t="shared" si="10"/>
        <v>1.8003495247641554E-2</v>
      </c>
      <c r="X13" s="15">
        <f t="shared" si="10"/>
        <v>1.7974594894837267E-2</v>
      </c>
      <c r="Y13" s="15">
        <f t="shared" si="10"/>
        <v>1.7945946451287925E-2</v>
      </c>
      <c r="Z13" s="15">
        <f t="shared" si="10"/>
        <v>1.7917546637643975E-2</v>
      </c>
      <c r="AA13" s="15">
        <f t="shared" si="10"/>
        <v>1.788939223123057E-2</v>
      </c>
      <c r="AB13" s="15">
        <f t="shared" si="10"/>
        <v>1.7861480064828513E-2</v>
      </c>
      <c r="AC13" s="15">
        <f t="shared" si="10"/>
        <v>1.7833807025486575E-2</v>
      </c>
      <c r="AD13" s="15">
        <f t="shared" si="10"/>
        <v>1.7806370053364134E-2</v>
      </c>
      <c r="AE13" s="15">
        <f t="shared" si="10"/>
        <v>1.7779166140603368E-2</v>
      </c>
      <c r="AF13" s="15">
        <f t="shared" si="10"/>
        <v>1.775219233022985E-2</v>
      </c>
      <c r="AG13" s="15">
        <f t="shared" si="10"/>
        <v>1.7725445715081174E-2</v>
      </c>
      <c r="AH13" s="15">
        <f t="shared" si="10"/>
        <v>1.7698923436762642E-2</v>
      </c>
      <c r="AI13" s="15">
        <f t="shared" si="10"/>
        <v>1.7672622684628689E-2</v>
      </c>
      <c r="AJ13" s="15">
        <f t="shared" si="10"/>
        <v>1.7646540694790151E-2</v>
      </c>
      <c r="AK13" s="15">
        <f t="shared" si="10"/>
        <v>1.7620674749145904E-2</v>
      </c>
      <c r="AL13" s="15">
        <f t="shared" si="10"/>
        <v>1.7595022174438601E-2</v>
      </c>
      <c r="AM13" s="15">
        <f t="shared" si="10"/>
        <v>1.7569580341333761E-2</v>
      </c>
      <c r="AN13" s="15">
        <f t="shared" si="10"/>
        <v>1.7544346663521278E-2</v>
      </c>
      <c r="AO13" s="15">
        <f t="shared" si="10"/>
        <v>1.7519318596839025E-2</v>
      </c>
      <c r="AP13" s="15">
        <f t="shared" si="10"/>
        <v>1.749449363841777E-2</v>
      </c>
      <c r="AQ13" s="15">
        <f t="shared" si="10"/>
        <v>1.7469869325846717E-2</v>
      </c>
      <c r="AR13" s="15">
        <f t="shared" si="10"/>
        <v>1.7445443236359472E-2</v>
      </c>
      <c r="AS13" s="15">
        <f t="shared" si="10"/>
        <v>1.7421212986039148E-2</v>
      </c>
      <c r="AT13" s="15">
        <f t="shared" si="10"/>
        <v>1.7397176229043E-2</v>
      </c>
      <c r="AU13" s="15">
        <f t="shared" si="10"/>
        <v>1.737333065684531E-2</v>
      </c>
      <c r="AV13" s="15">
        <f t="shared" si="10"/>
        <v>1.7349673997498104E-2</v>
      </c>
      <c r="AW13" s="15">
        <f t="shared" si="10"/>
        <v>1.7326204014909776E-2</v>
      </c>
      <c r="AX13" s="15">
        <f t="shared" si="10"/>
        <v>1.7302918508140398E-2</v>
      </c>
      <c r="AY13" s="15">
        <f t="shared" si="10"/>
        <v>1.7279815310713646E-2</v>
      </c>
      <c r="AZ13" s="15">
        <f t="shared" si="10"/>
        <v>1.7256892289945033E-2</v>
      </c>
      <c r="BA13" s="15">
        <f t="shared" si="10"/>
        <v>1.7234147346285453E-2</v>
      </c>
      <c r="BB13" s="15">
        <f t="shared" si="10"/>
        <v>1.7211578412680215E-2</v>
      </c>
      <c r="BC13" s="15">
        <f t="shared" si="10"/>
        <v>1.718918345394279E-2</v>
      </c>
    </row>
    <row r="15" spans="1:55" x14ac:dyDescent="0.2">
      <c r="A15" t="s">
        <v>29</v>
      </c>
      <c r="B15" s="13">
        <f>B8*B12</f>
        <v>9.3129661147095241E-2</v>
      </c>
      <c r="C15" s="13">
        <f t="shared" ref="C15:E15" si="11">C8*C12</f>
        <v>8.8881013288692315E-2</v>
      </c>
      <c r="D15" s="13">
        <f t="shared" si="11"/>
        <v>7.4047146728207197E-2</v>
      </c>
      <c r="E15" s="13">
        <f t="shared" si="11"/>
        <v>6.070093920376067E-2</v>
      </c>
      <c r="F15" s="13">
        <f>F8*F12</f>
        <v>5.3901899219242509E-2</v>
      </c>
      <c r="G15" s="13">
        <f>G8*G12</f>
        <v>5.6072910450298413E-2</v>
      </c>
      <c r="H15" s="15"/>
      <c r="I15" s="13">
        <f>I8*I12</f>
        <v>9.3129661147095241E-2</v>
      </c>
      <c r="J15" s="13">
        <f t="shared" ref="J15:M15" si="12">J8*J12</f>
        <v>8.8881013288692315E-2</v>
      </c>
      <c r="K15" s="13">
        <f t="shared" si="12"/>
        <v>7.4047146728207197E-2</v>
      </c>
      <c r="L15" s="13">
        <f t="shared" si="12"/>
        <v>6.070093920376067E-2</v>
      </c>
      <c r="M15" s="13">
        <f t="shared" si="12"/>
        <v>5.3901899219242509E-2</v>
      </c>
      <c r="N15" s="15">
        <f t="shared" ref="N15:W15" si="13">N8*N12</f>
        <v>6.0184189676286741E-2</v>
      </c>
      <c r="O15" s="13">
        <f t="shared" si="13"/>
        <v>5.6072910450298413E-2</v>
      </c>
      <c r="P15" s="15">
        <f t="shared" si="13"/>
        <v>5.9989595353465715E-2</v>
      </c>
      <c r="Q15" s="15">
        <f t="shared" si="13"/>
        <v>5.9354687801219587E-2</v>
      </c>
      <c r="R15" s="15">
        <f t="shared" si="13"/>
        <v>5.8719780248973459E-2</v>
      </c>
      <c r="S15" s="15">
        <f t="shared" si="13"/>
        <v>5.8084872696727158E-2</v>
      </c>
      <c r="T15" s="15">
        <f t="shared" si="13"/>
        <v>5.7449965144481016E-2</v>
      </c>
      <c r="U15" s="15">
        <f t="shared" si="13"/>
        <v>5.6815057592234701E-2</v>
      </c>
      <c r="V15" s="15">
        <f t="shared" si="13"/>
        <v>5.618015003998858E-2</v>
      </c>
      <c r="W15" s="15">
        <f t="shared" si="13"/>
        <v>5.5545242487742272E-2</v>
      </c>
      <c r="X15" s="15">
        <f t="shared" ref="X15:BC15" si="14">X8*X12</f>
        <v>5.4910334935496137E-2</v>
      </c>
      <c r="Y15" s="15">
        <f t="shared" si="14"/>
        <v>5.4275427383250002E-2</v>
      </c>
      <c r="Z15" s="15">
        <f t="shared" si="14"/>
        <v>5.3640519831003694E-2</v>
      </c>
      <c r="AA15" s="15">
        <f t="shared" si="14"/>
        <v>5.3005612278757573E-2</v>
      </c>
      <c r="AB15" s="15">
        <f t="shared" si="14"/>
        <v>5.2370704726511258E-2</v>
      </c>
      <c r="AC15" s="15">
        <f t="shared" si="14"/>
        <v>5.173579717426513E-2</v>
      </c>
      <c r="AD15" s="15">
        <f t="shared" si="14"/>
        <v>5.1100889622019002E-2</v>
      </c>
      <c r="AE15" s="15">
        <f t="shared" si="14"/>
        <v>5.0465982069772694E-2</v>
      </c>
      <c r="AF15" s="15">
        <f t="shared" si="14"/>
        <v>4.9831074517526559E-2</v>
      </c>
      <c r="AG15" s="15">
        <f t="shared" si="14"/>
        <v>4.9196166965280244E-2</v>
      </c>
      <c r="AH15" s="15">
        <f t="shared" si="14"/>
        <v>4.8561259413034116E-2</v>
      </c>
      <c r="AI15" s="15">
        <f t="shared" si="14"/>
        <v>4.7926351860787801E-2</v>
      </c>
      <c r="AJ15" s="15">
        <f t="shared" si="14"/>
        <v>4.7291444308541673E-2</v>
      </c>
      <c r="AK15" s="15">
        <f t="shared" si="14"/>
        <v>4.6656536756295552E-2</v>
      </c>
      <c r="AL15" s="15">
        <f t="shared" si="14"/>
        <v>4.6021629204049237E-2</v>
      </c>
      <c r="AM15" s="15">
        <f t="shared" si="14"/>
        <v>4.5386721651803116E-2</v>
      </c>
      <c r="AN15" s="15">
        <f t="shared" si="14"/>
        <v>4.4751814099556794E-2</v>
      </c>
      <c r="AO15" s="15">
        <f t="shared" si="14"/>
        <v>4.4116906547310666E-2</v>
      </c>
      <c r="AP15" s="15">
        <f t="shared" si="14"/>
        <v>4.3481998995064358E-2</v>
      </c>
      <c r="AQ15" s="15">
        <f t="shared" si="14"/>
        <v>4.2847091442818237E-2</v>
      </c>
      <c r="AR15" s="15">
        <f t="shared" si="14"/>
        <v>4.2212183890572103E-2</v>
      </c>
      <c r="AS15" s="15">
        <f t="shared" si="14"/>
        <v>4.1577276338325787E-2</v>
      </c>
      <c r="AT15" s="15">
        <f t="shared" si="14"/>
        <v>4.0942368786079472E-2</v>
      </c>
      <c r="AU15" s="15">
        <f t="shared" si="14"/>
        <v>4.0307461233833351E-2</v>
      </c>
      <c r="AV15" s="15">
        <f t="shared" si="14"/>
        <v>3.9672553681587217E-2</v>
      </c>
      <c r="AW15" s="15">
        <f t="shared" si="14"/>
        <v>3.9037646129340915E-2</v>
      </c>
      <c r="AX15" s="15">
        <f t="shared" si="14"/>
        <v>3.8402738577094787E-2</v>
      </c>
      <c r="AY15" s="15">
        <f t="shared" si="14"/>
        <v>3.7767831024848646E-2</v>
      </c>
      <c r="AZ15" s="15">
        <f t="shared" si="14"/>
        <v>3.7132923472602337E-2</v>
      </c>
      <c r="BA15" s="15">
        <f t="shared" si="14"/>
        <v>3.649801592035621E-2</v>
      </c>
      <c r="BB15" s="15">
        <f t="shared" si="14"/>
        <v>3.5863108368109901E-2</v>
      </c>
      <c r="BC15" s="15">
        <f t="shared" si="14"/>
        <v>3.5228200815863954E-2</v>
      </c>
    </row>
    <row r="16" spans="1:55" x14ac:dyDescent="0.2">
      <c r="A16" t="s">
        <v>30</v>
      </c>
      <c r="B16" s="13">
        <f>B8*B13</f>
        <v>9.273851797385194E-3</v>
      </c>
      <c r="C16" s="13">
        <f t="shared" ref="C16:G16" si="15">C8*C13</f>
        <v>9.0247007861130289E-3</v>
      </c>
      <c r="D16" s="13">
        <f t="shared" si="15"/>
        <v>1.1056878844112614E-2</v>
      </c>
      <c r="E16" s="13">
        <f t="shared" si="15"/>
        <v>1.0341430957317431E-2</v>
      </c>
      <c r="F16" s="13">
        <f t="shared" si="15"/>
        <v>1.1202801749994114E-2</v>
      </c>
      <c r="G16" s="13">
        <f t="shared" si="15"/>
        <v>1.0486125448763296E-2</v>
      </c>
      <c r="H16" s="15"/>
      <c r="I16" s="13">
        <f>I8*I13</f>
        <v>9.273851797385194E-3</v>
      </c>
      <c r="J16" s="13">
        <f t="shared" ref="J16:M16" si="16">J8*J13</f>
        <v>9.0247007861130289E-3</v>
      </c>
      <c r="K16" s="13">
        <f t="shared" si="16"/>
        <v>1.1056878844112614E-2</v>
      </c>
      <c r="L16" s="13">
        <f t="shared" si="16"/>
        <v>1.0341430957317431E-2</v>
      </c>
      <c r="M16" s="13">
        <f t="shared" si="16"/>
        <v>1.1202801749994114E-2</v>
      </c>
      <c r="N16" s="15">
        <f t="shared" ref="N16:W16" si="17">N8*N13</f>
        <v>1.1098931641578593E-2</v>
      </c>
      <c r="O16" s="13">
        <f t="shared" si="17"/>
        <v>1.0486125448763296E-2</v>
      </c>
      <c r="P16" s="15">
        <f t="shared" si="17"/>
        <v>1.0906459877482972E-2</v>
      </c>
      <c r="Q16" s="15">
        <f t="shared" si="17"/>
        <v>1.0937429668894102E-2</v>
      </c>
      <c r="R16" s="15">
        <f t="shared" si="17"/>
        <v>1.0968399460305228E-2</v>
      </c>
      <c r="S16" s="15">
        <f t="shared" si="17"/>
        <v>1.0999369251716335E-2</v>
      </c>
      <c r="T16" s="15">
        <f t="shared" si="17"/>
        <v>1.1030339043127472E-2</v>
      </c>
      <c r="U16" s="15">
        <f t="shared" si="17"/>
        <v>1.1061308834538571E-2</v>
      </c>
      <c r="V16" s="15">
        <f t="shared" si="17"/>
        <v>1.1092278625949697E-2</v>
      </c>
      <c r="W16" s="15">
        <f t="shared" si="17"/>
        <v>1.1123248417360815E-2</v>
      </c>
      <c r="X16" s="15">
        <f t="shared" ref="X16:BC16" si="18">X8*X13</f>
        <v>1.1154218208771931E-2</v>
      </c>
      <c r="Y16" s="15">
        <f t="shared" si="18"/>
        <v>1.1185188000183061E-2</v>
      </c>
      <c r="Z16" s="15">
        <f t="shared" si="18"/>
        <v>1.1216157791594189E-2</v>
      </c>
      <c r="AA16" s="15">
        <f t="shared" si="18"/>
        <v>1.1247127583005306E-2</v>
      </c>
      <c r="AB16" s="15">
        <f t="shared" si="18"/>
        <v>1.1278097374416424E-2</v>
      </c>
      <c r="AC16" s="15">
        <f t="shared" si="18"/>
        <v>1.130906716582754E-2</v>
      </c>
      <c r="AD16" s="15">
        <f t="shared" si="18"/>
        <v>1.1340036957238647E-2</v>
      </c>
      <c r="AE16" s="15">
        <f t="shared" si="18"/>
        <v>1.1371006748649777E-2</v>
      </c>
      <c r="AF16" s="15">
        <f t="shared" si="18"/>
        <v>1.1401976540060902E-2</v>
      </c>
      <c r="AG16" s="15">
        <f t="shared" si="18"/>
        <v>1.1432946331472023E-2</v>
      </c>
      <c r="AH16" s="15">
        <f t="shared" si="18"/>
        <v>1.1463916122883135E-2</v>
      </c>
      <c r="AI16" s="15">
        <f t="shared" si="18"/>
        <v>1.1494885914294253E-2</v>
      </c>
      <c r="AJ16" s="15">
        <f t="shared" si="18"/>
        <v>1.1525855705705371E-2</v>
      </c>
      <c r="AK16" s="15">
        <f t="shared" si="18"/>
        <v>1.15568254971165E-2</v>
      </c>
      <c r="AL16" s="15">
        <f t="shared" si="18"/>
        <v>1.1587795288527618E-2</v>
      </c>
      <c r="AM16" s="15">
        <f t="shared" si="18"/>
        <v>1.1618765079938739E-2</v>
      </c>
      <c r="AN16" s="15">
        <f t="shared" si="18"/>
        <v>1.1649734871349854E-2</v>
      </c>
      <c r="AO16" s="15">
        <f t="shared" si="18"/>
        <v>1.1680704662760978E-2</v>
      </c>
      <c r="AP16" s="15">
        <f t="shared" si="18"/>
        <v>1.1711674454172098E-2</v>
      </c>
      <c r="AQ16" s="15">
        <f t="shared" si="18"/>
        <v>1.1742644245583215E-2</v>
      </c>
      <c r="AR16" s="15">
        <f t="shared" si="18"/>
        <v>1.1773614036994333E-2</v>
      </c>
      <c r="AS16" s="15">
        <f t="shared" si="18"/>
        <v>1.1804583828405463E-2</v>
      </c>
      <c r="AT16" s="15">
        <f t="shared" si="18"/>
        <v>1.1835553619816579E-2</v>
      </c>
      <c r="AU16" s="15">
        <f t="shared" si="18"/>
        <v>1.1866523411227695E-2</v>
      </c>
      <c r="AV16" s="15">
        <f t="shared" si="18"/>
        <v>1.1897493202638812E-2</v>
      </c>
      <c r="AW16" s="15">
        <f t="shared" si="18"/>
        <v>1.1928462994049933E-2</v>
      </c>
      <c r="AX16" s="15">
        <f t="shared" si="18"/>
        <v>1.195943278546106E-2</v>
      </c>
      <c r="AY16" s="15">
        <f t="shared" si="18"/>
        <v>1.199040257687219E-2</v>
      </c>
      <c r="AZ16" s="15">
        <f t="shared" si="18"/>
        <v>1.2021372368283304E-2</v>
      </c>
      <c r="BA16" s="15">
        <f t="shared" si="18"/>
        <v>1.2052342159694411E-2</v>
      </c>
      <c r="BB16" s="15">
        <f t="shared" si="18"/>
        <v>1.2083311951105543E-2</v>
      </c>
      <c r="BC16" s="15">
        <f t="shared" si="18"/>
        <v>1.2114281742516659E-2</v>
      </c>
    </row>
    <row r="18" spans="1:55" s="11" customFormat="1" x14ac:dyDescent="0.2">
      <c r="A18" s="11" t="s">
        <v>31</v>
      </c>
      <c r="B18" s="12">
        <f t="shared" ref="B18:G18" si="19">B4*B12</f>
        <v>2313.9314305365701</v>
      </c>
      <c r="C18" s="12">
        <f t="shared" si="19"/>
        <v>3786.0297745741068</v>
      </c>
      <c r="D18" s="12">
        <f t="shared" si="19"/>
        <v>6084.5032627188202</v>
      </c>
      <c r="E18" s="12">
        <f t="shared" si="19"/>
        <v>6050.3086151558391</v>
      </c>
      <c r="F18" s="12">
        <f t="shared" si="19"/>
        <v>5383.0431043960207</v>
      </c>
      <c r="G18" s="12">
        <f t="shared" si="19"/>
        <v>6733.7950267188671</v>
      </c>
      <c r="I18" s="12">
        <f>I4*I12</f>
        <v>595.10261048180269</v>
      </c>
      <c r="J18" s="12">
        <f>J4*J12</f>
        <v>762.60909763848804</v>
      </c>
      <c r="K18" s="12">
        <f>K4*K12</f>
        <v>963.86415767953758</v>
      </c>
      <c r="L18" s="12">
        <f>L4*L12</f>
        <v>878.5319319087788</v>
      </c>
      <c r="M18" s="12">
        <f>M4*M12</f>
        <v>755.21149232865628</v>
      </c>
      <c r="N18" s="11">
        <f>N5*N28</f>
        <v>919.05227496800092</v>
      </c>
      <c r="O18" s="12">
        <f>O4*O12</f>
        <v>926.91145086165034</v>
      </c>
      <c r="P18" s="11">
        <f t="shared" ref="P18:BC18" si="20">P5*P28</f>
        <v>964.06757488472545</v>
      </c>
      <c r="Q18" s="11">
        <f t="shared" si="20"/>
        <v>975.89077490667478</v>
      </c>
      <c r="R18" s="11">
        <f t="shared" si="20"/>
        <v>987.24274637613644</v>
      </c>
      <c r="S18" s="11">
        <f t="shared" si="20"/>
        <v>998.1234892930936</v>
      </c>
      <c r="T18" s="11">
        <f t="shared" si="20"/>
        <v>1008.5330036575659</v>
      </c>
      <c r="U18" s="11">
        <f t="shared" si="20"/>
        <v>1018.4712894695339</v>
      </c>
      <c r="V18" s="11">
        <f t="shared" si="20"/>
        <v>1027.9383467290104</v>
      </c>
      <c r="W18" s="11">
        <f t="shared" si="20"/>
        <v>1036.9341754359955</v>
      </c>
      <c r="X18" s="11">
        <f t="shared" si="20"/>
        <v>1045.4587755904893</v>
      </c>
      <c r="Y18" s="11">
        <f t="shared" si="20"/>
        <v>1053.5121471924822</v>
      </c>
      <c r="Z18" s="11">
        <f t="shared" si="20"/>
        <v>1061.094290241977</v>
      </c>
      <c r="AA18" s="11">
        <f t="shared" si="20"/>
        <v>1068.205204738987</v>
      </c>
      <c r="AB18" s="11">
        <f t="shared" si="20"/>
        <v>1074.8448906834926</v>
      </c>
      <c r="AC18" s="11">
        <f t="shared" si="20"/>
        <v>1081.0133480755073</v>
      </c>
      <c r="AD18" s="11">
        <f t="shared" si="20"/>
        <v>1086.7105769150276</v>
      </c>
      <c r="AE18" s="11">
        <f t="shared" si="20"/>
        <v>1091.9365772020551</v>
      </c>
      <c r="AF18" s="11">
        <f t="shared" si="20"/>
        <v>1096.6913489365861</v>
      </c>
      <c r="AG18" s="11">
        <f t="shared" si="20"/>
        <v>1100.9748921186244</v>
      </c>
      <c r="AH18" s="11">
        <f t="shared" si="20"/>
        <v>1104.7872067481665</v>
      </c>
      <c r="AI18" s="11">
        <f t="shared" si="20"/>
        <v>1108.1282928252151</v>
      </c>
      <c r="AJ18" s="11">
        <f t="shared" si="20"/>
        <v>1110.9981503497736</v>
      </c>
      <c r="AK18" s="11">
        <f t="shared" si="20"/>
        <v>1113.3967793218264</v>
      </c>
      <c r="AL18" s="11">
        <f t="shared" si="20"/>
        <v>1115.3241797413912</v>
      </c>
      <c r="AM18" s="11">
        <f t="shared" si="20"/>
        <v>1116.7803516084605</v>
      </c>
      <c r="AN18" s="11">
        <f t="shared" si="20"/>
        <v>1117.7652949230358</v>
      </c>
      <c r="AO18" s="11">
        <f t="shared" si="20"/>
        <v>1118.2790096851159</v>
      </c>
      <c r="AP18" s="11">
        <f t="shared" si="20"/>
        <v>1118.3214958947019</v>
      </c>
      <c r="AQ18" s="11">
        <f t="shared" si="20"/>
        <v>1117.892753551793</v>
      </c>
      <c r="AR18" s="11">
        <f t="shared" si="20"/>
        <v>1116.9927826563894</v>
      </c>
      <c r="AS18" s="11">
        <f t="shared" si="20"/>
        <v>1115.6215832084913</v>
      </c>
      <c r="AT18" s="11">
        <f t="shared" si="20"/>
        <v>1113.7791552080887</v>
      </c>
      <c r="AU18" s="11">
        <f t="shared" si="20"/>
        <v>1111.4654986552111</v>
      </c>
      <c r="AV18" s="11">
        <f t="shared" si="20"/>
        <v>1108.6806135498293</v>
      </c>
      <c r="AW18" s="11">
        <f t="shared" si="20"/>
        <v>1105.424499891948</v>
      </c>
      <c r="AX18" s="11">
        <f t="shared" si="20"/>
        <v>1101.6971576815818</v>
      </c>
      <c r="AY18" s="11">
        <f t="shared" si="20"/>
        <v>1097.4985869187117</v>
      </c>
      <c r="AZ18" s="11">
        <f t="shared" si="20"/>
        <v>1092.8287876033553</v>
      </c>
      <c r="BA18" s="11">
        <f t="shared" si="20"/>
        <v>1087.6877597355008</v>
      </c>
      <c r="BB18" s="11">
        <f t="shared" si="20"/>
        <v>1082.0755033151463</v>
      </c>
      <c r="BC18" s="11">
        <f t="shared" si="20"/>
        <v>1075.9920183423083</v>
      </c>
    </row>
    <row r="19" spans="1:55" s="11" customFormat="1" x14ac:dyDescent="0.2">
      <c r="A19" s="11" t="s">
        <v>32</v>
      </c>
      <c r="B19" s="12">
        <f>B4*B13</f>
        <v>230.42129534020091</v>
      </c>
      <c r="C19" s="12">
        <f t="shared" ref="C19:G19" si="21">C4*C13</f>
        <v>384.421651133372</v>
      </c>
      <c r="D19" s="12">
        <f t="shared" si="21"/>
        <v>908.55108366872719</v>
      </c>
      <c r="E19" s="12">
        <f t="shared" si="21"/>
        <v>1030.7723345773297</v>
      </c>
      <c r="F19" s="12">
        <f t="shared" si="21"/>
        <v>1118.7948028497865</v>
      </c>
      <c r="G19" s="12">
        <f t="shared" si="21"/>
        <v>1259.2786575439238</v>
      </c>
      <c r="I19" s="12">
        <f>I4*I13</f>
        <v>59.260318848668156</v>
      </c>
      <c r="J19" s="12">
        <f t="shared" ref="J19:M19" si="22">J4*J13</f>
        <v>77.432948481367049</v>
      </c>
      <c r="K19" s="12">
        <f t="shared" si="22"/>
        <v>143.92626434025104</v>
      </c>
      <c r="L19" s="12">
        <f t="shared" si="22"/>
        <v>149.67276349935725</v>
      </c>
      <c r="M19" s="12">
        <f t="shared" si="22"/>
        <v>156.96078895963683</v>
      </c>
      <c r="N19" s="11">
        <f>N6*N30</f>
        <v>169.48800722868666</v>
      </c>
      <c r="O19" s="12">
        <f>O4*O13</f>
        <v>173.34056098703425</v>
      </c>
      <c r="P19" s="11">
        <f t="shared" ref="P19:BC19" si="23">P6*P30</f>
        <v>175.27313299430551</v>
      </c>
      <c r="Q19" s="11">
        <f t="shared" si="23"/>
        <v>179.8297170867269</v>
      </c>
      <c r="R19" s="11">
        <f t="shared" si="23"/>
        <v>184.40928696649149</v>
      </c>
      <c r="S19" s="11">
        <f t="shared" si="23"/>
        <v>189.01184263359639</v>
      </c>
      <c r="T19" s="11">
        <f t="shared" si="23"/>
        <v>193.63738408804505</v>
      </c>
      <c r="U19" s="11">
        <f t="shared" si="23"/>
        <v>198.28591132983365</v>
      </c>
      <c r="V19" s="11">
        <f t="shared" si="23"/>
        <v>202.95742435896472</v>
      </c>
      <c r="W19" s="11">
        <f t="shared" si="23"/>
        <v>207.65192317543881</v>
      </c>
      <c r="X19" s="11">
        <f t="shared" si="23"/>
        <v>212.36940777925489</v>
      </c>
      <c r="Y19" s="11">
        <f t="shared" si="23"/>
        <v>217.1098781704118</v>
      </c>
      <c r="Z19" s="11">
        <f t="shared" si="23"/>
        <v>221.87333434891065</v>
      </c>
      <c r="AA19" s="11">
        <f t="shared" si="23"/>
        <v>226.65977631475252</v>
      </c>
      <c r="AB19" s="11">
        <f t="shared" si="23"/>
        <v>231.46920406793504</v>
      </c>
      <c r="AC19" s="11">
        <f t="shared" si="23"/>
        <v>236.30161760845948</v>
      </c>
      <c r="AD19" s="11">
        <f t="shared" si="23"/>
        <v>241.15701693632565</v>
      </c>
      <c r="AE19" s="11">
        <f t="shared" si="23"/>
        <v>246.03540205153553</v>
      </c>
      <c r="AF19" s="11">
        <f t="shared" si="23"/>
        <v>250.93677295408597</v>
      </c>
      <c r="AG19" s="11">
        <f t="shared" si="23"/>
        <v>255.86112964397952</v>
      </c>
      <c r="AH19" s="11">
        <f t="shared" si="23"/>
        <v>260.80847212121358</v>
      </c>
      <c r="AI19" s="11">
        <f t="shared" si="23"/>
        <v>265.77880038579099</v>
      </c>
      <c r="AJ19" s="11">
        <f t="shared" si="23"/>
        <v>270.77211443771034</v>
      </c>
      <c r="AK19" s="11">
        <f t="shared" si="23"/>
        <v>275.78841427696921</v>
      </c>
      <c r="AL19" s="11">
        <f t="shared" si="23"/>
        <v>280.82769990357241</v>
      </c>
      <c r="AM19" s="11">
        <f t="shared" si="23"/>
        <v>285.88997131751626</v>
      </c>
      <c r="AN19" s="11">
        <f t="shared" si="23"/>
        <v>290.97522851880331</v>
      </c>
      <c r="AO19" s="11">
        <f t="shared" si="23"/>
        <v>296.08347150743123</v>
      </c>
      <c r="AP19" s="11">
        <f t="shared" si="23"/>
        <v>301.21470028340224</v>
      </c>
      <c r="AQ19" s="11">
        <f t="shared" si="23"/>
        <v>306.36891484671378</v>
      </c>
      <c r="AR19" s="11">
        <f t="shared" si="23"/>
        <v>311.54611519736727</v>
      </c>
      <c r="AS19" s="11">
        <f t="shared" si="23"/>
        <v>316.74630133536436</v>
      </c>
      <c r="AT19" s="11">
        <f t="shared" si="23"/>
        <v>321.96947326070034</v>
      </c>
      <c r="AU19" s="11">
        <f t="shared" si="23"/>
        <v>327.21563097338236</v>
      </c>
      <c r="AV19" s="11">
        <f t="shared" si="23"/>
        <v>332.4847744734036</v>
      </c>
      <c r="AW19" s="11">
        <f t="shared" si="23"/>
        <v>337.7769037607668</v>
      </c>
      <c r="AX19" s="11">
        <f t="shared" si="23"/>
        <v>343.0920188354736</v>
      </c>
      <c r="AY19" s="11">
        <f t="shared" si="23"/>
        <v>348.43011969751956</v>
      </c>
      <c r="AZ19" s="11">
        <f t="shared" si="23"/>
        <v>353.79120634691128</v>
      </c>
      <c r="BA19" s="11">
        <f t="shared" si="23"/>
        <v>359.17527878364189</v>
      </c>
      <c r="BB19" s="11">
        <f t="shared" si="23"/>
        <v>364.58233700771507</v>
      </c>
      <c r="BC19" s="11">
        <f t="shared" si="23"/>
        <v>370.01238101912986</v>
      </c>
    </row>
    <row r="22" spans="1:55" x14ac:dyDescent="0.2">
      <c r="A22" t="s">
        <v>33</v>
      </c>
      <c r="B22" s="13">
        <f t="shared" ref="B22:G22" si="24">B5/SUM(B4:B6)+B18/SUM(B4:B6)</f>
        <v>0.42123642144726303</v>
      </c>
      <c r="C22" s="13">
        <f t="shared" si="24"/>
        <v>0.43765105534185322</v>
      </c>
      <c r="D22" s="13">
        <f t="shared" si="24"/>
        <v>0.4024900788795075</v>
      </c>
      <c r="E22" s="13">
        <f t="shared" si="24"/>
        <v>0.35560237438294778</v>
      </c>
      <c r="F22" s="13">
        <f t="shared" si="24"/>
        <v>0.32953436836612154</v>
      </c>
      <c r="G22" s="13">
        <f t="shared" si="24"/>
        <v>0.35992204509462322</v>
      </c>
      <c r="H22" s="15"/>
      <c r="I22" s="13">
        <f>I5/SUM(I4:I6)+I18/SUM(I4:I6)</f>
        <v>0.42123642144726314</v>
      </c>
      <c r="J22" s="13">
        <f>J5/SUM(J4:J6)+J18/SUM(J4:J6)</f>
        <v>0.43765105534185317</v>
      </c>
      <c r="K22" s="13">
        <f>K5/SUM(K4:K6)+K18/SUM(K4:K6)</f>
        <v>0.4024900788795075</v>
      </c>
      <c r="L22" s="13">
        <f>L5/SUM(L4:L6)+L18/SUM(L4:L6)</f>
        <v>0.35560237438294778</v>
      </c>
      <c r="M22" s="13">
        <f>M5/SUM(M4:M6)+M18/SUM(M4:M6)</f>
        <v>0.32953436836612154</v>
      </c>
      <c r="N22" s="15">
        <f t="shared" ref="N22:R22" si="25">N5/SUM(N4:N6)+N18/SUM(N4:N6)</f>
        <v>0.3481883528927413</v>
      </c>
      <c r="O22" s="13">
        <f t="shared" si="25"/>
        <v>0.35992204509462317</v>
      </c>
      <c r="P22" s="15">
        <f t="shared" si="25"/>
        <v>0.34708501949961917</v>
      </c>
      <c r="Q22" s="15">
        <f t="shared" si="25"/>
        <v>0.34341100080500109</v>
      </c>
      <c r="R22" s="15">
        <f t="shared" si="25"/>
        <v>0.33973699494898646</v>
      </c>
      <c r="S22" s="15">
        <f t="shared" ref="S22:BC22" si="26">S5/SUM(S4:S6)+S18/SUM(S4:S6)</f>
        <v>0.33606300193150695</v>
      </c>
      <c r="T22" s="15">
        <f t="shared" si="26"/>
        <v>0.33238902175249652</v>
      </c>
      <c r="U22" s="15">
        <f t="shared" si="26"/>
        <v>0.32871505441188631</v>
      </c>
      <c r="V22" s="15">
        <f t="shared" si="26"/>
        <v>0.32504109990961105</v>
      </c>
      <c r="W22" s="15">
        <f t="shared" si="26"/>
        <v>0.32136715824560158</v>
      </c>
      <c r="X22" s="15">
        <f t="shared" si="26"/>
        <v>0.31769322941979222</v>
      </c>
      <c r="Y22" s="15">
        <f t="shared" si="26"/>
        <v>0.31401931343211464</v>
      </c>
      <c r="Z22" s="15">
        <f t="shared" si="26"/>
        <v>0.31034541028250123</v>
      </c>
      <c r="AA22" s="15">
        <f t="shared" si="26"/>
        <v>0.30667151997088632</v>
      </c>
      <c r="AB22" s="15">
        <f t="shared" si="26"/>
        <v>0.30299764249720051</v>
      </c>
      <c r="AC22" s="15">
        <f t="shared" si="26"/>
        <v>0.29932377786137809</v>
      </c>
      <c r="AD22" s="15">
        <f t="shared" si="26"/>
        <v>0.29564992606335128</v>
      </c>
      <c r="AE22" s="15">
        <f t="shared" si="26"/>
        <v>0.29197608710305217</v>
      </c>
      <c r="AF22" s="15">
        <f t="shared" si="26"/>
        <v>0.28830226098041506</v>
      </c>
      <c r="AG22" s="15">
        <f t="shared" si="26"/>
        <v>0.28462844769537038</v>
      </c>
      <c r="AH22" s="15">
        <f t="shared" si="26"/>
        <v>0.28095464724785318</v>
      </c>
      <c r="AI22" s="15">
        <f t="shared" si="26"/>
        <v>0.27728085963779397</v>
      </c>
      <c r="AJ22" s="15">
        <f t="shared" si="26"/>
        <v>0.27360708486512775</v>
      </c>
      <c r="AK22" s="15">
        <f t="shared" si="26"/>
        <v>0.26993332292978606</v>
      </c>
      <c r="AL22" s="15">
        <f t="shared" si="26"/>
        <v>0.26625957383170074</v>
      </c>
      <c r="AM22" s="15">
        <f t="shared" si="26"/>
        <v>0.26258583757080628</v>
      </c>
      <c r="AN22" s="15">
        <f t="shared" si="26"/>
        <v>0.25891211414703363</v>
      </c>
      <c r="AO22" s="15">
        <f t="shared" si="26"/>
        <v>0.25523840356031702</v>
      </c>
      <c r="AP22" s="15">
        <f t="shared" si="26"/>
        <v>0.25156470581058793</v>
      </c>
      <c r="AQ22" s="15">
        <f t="shared" si="26"/>
        <v>0.24789102089778034</v>
      </c>
      <c r="AR22" s="15">
        <f t="shared" si="26"/>
        <v>0.24421734882182666</v>
      </c>
      <c r="AS22" s="15">
        <f t="shared" si="26"/>
        <v>0.24054368958265798</v>
      </c>
      <c r="AT22" s="15">
        <f t="shared" si="26"/>
        <v>0.23687004318020827</v>
      </c>
      <c r="AU22" s="15">
        <f t="shared" si="26"/>
        <v>0.23319640961441163</v>
      </c>
      <c r="AV22" s="15">
        <f t="shared" si="26"/>
        <v>0.22952278888519917</v>
      </c>
      <c r="AW22" s="15">
        <f t="shared" si="26"/>
        <v>0.22584918099250295</v>
      </c>
      <c r="AX22" s="15">
        <f t="shared" si="26"/>
        <v>0.22217558593625747</v>
      </c>
      <c r="AY22" s="15">
        <f t="shared" si="26"/>
        <v>0.21850200371639414</v>
      </c>
      <c r="AZ22" s="15">
        <f t="shared" si="26"/>
        <v>0.21482843433284571</v>
      </c>
      <c r="BA22" s="15">
        <f t="shared" si="26"/>
        <v>0.21115487778554637</v>
      </c>
      <c r="BB22" s="15">
        <f t="shared" si="26"/>
        <v>0.20748133407442665</v>
      </c>
      <c r="BC22" s="15">
        <f t="shared" si="26"/>
        <v>0.20380780319942216</v>
      </c>
    </row>
    <row r="23" spans="1:55" x14ac:dyDescent="0.2">
      <c r="A23" t="s">
        <v>34</v>
      </c>
      <c r="B23" s="13">
        <f t="shared" ref="B23:G23" si="27">B6/SUM(B4:B6)+B19/SUM(B4:B6)</f>
        <v>0.12505012145255762</v>
      </c>
      <c r="C23" s="13">
        <f t="shared" si="27"/>
        <v>0.10964663818608578</v>
      </c>
      <c r="D23" s="13">
        <f t="shared" si="27"/>
        <v>0.11519114830475118</v>
      </c>
      <c r="E23" s="13">
        <f t="shared" si="27"/>
        <v>0.12690345164832481</v>
      </c>
      <c r="F23" s="13">
        <f t="shared" si="27"/>
        <v>0.13314912673655083</v>
      </c>
      <c r="G23" s="13">
        <f t="shared" si="27"/>
        <v>0.11717095973409708</v>
      </c>
      <c r="H23" s="15"/>
      <c r="I23" s="13">
        <f>I6/SUM(I4:I6)+I19/SUM(I4:I6)</f>
        <v>0.12505012145255762</v>
      </c>
      <c r="J23" s="13">
        <f>J6/SUM(J4:J6)+J19/SUM(J4:J6)</f>
        <v>0.10964663818608578</v>
      </c>
      <c r="K23" s="13">
        <f>K6/SUM(K4:K6)+K19/SUM(K4:K6)</f>
        <v>0.11519114830475119</v>
      </c>
      <c r="L23" s="13">
        <f>L6/SUM(L4:L6)+L19/SUM(L4:L6)</f>
        <v>0.12690345164832481</v>
      </c>
      <c r="M23" s="13">
        <f>M6/SUM(M4:M6)+M19/SUM(M4:M6)</f>
        <v>0.13314912673655083</v>
      </c>
      <c r="N23" s="15">
        <f t="shared" ref="N23:R23" si="28">N6/SUM(N4:N6)+N19/SUM(N4:N6)</f>
        <v>0.12719871868023111</v>
      </c>
      <c r="O23" s="13">
        <f t="shared" si="28"/>
        <v>0.11717095973409705</v>
      </c>
      <c r="P23" s="15">
        <f t="shared" si="28"/>
        <v>0.12500099814861812</v>
      </c>
      <c r="Q23" s="15">
        <f t="shared" si="28"/>
        <v>0.12535572975754986</v>
      </c>
      <c r="R23" s="15">
        <f t="shared" si="28"/>
        <v>0.12571046012689674</v>
      </c>
      <c r="S23" s="15">
        <f t="shared" ref="S23:BC23" si="29">S6/SUM(S4:S6)+S19/SUM(S4:S6)</f>
        <v>0.12606518925666507</v>
      </c>
      <c r="T23" s="15">
        <f t="shared" si="29"/>
        <v>0.12641991714686163</v>
      </c>
      <c r="U23" s="15">
        <f t="shared" si="29"/>
        <v>0.12677464379749226</v>
      </c>
      <c r="V23" s="15">
        <f t="shared" si="29"/>
        <v>0.12712936920856427</v>
      </c>
      <c r="W23" s="15">
        <f t="shared" si="29"/>
        <v>0.12748409338008379</v>
      </c>
      <c r="X23" s="15">
        <f t="shared" si="29"/>
        <v>0.12783881631205726</v>
      </c>
      <c r="Y23" s="15">
        <f t="shared" si="29"/>
        <v>0.12819353800449124</v>
      </c>
      <c r="Z23" s="15">
        <f t="shared" si="29"/>
        <v>0.12854825845739243</v>
      </c>
      <c r="AA23" s="15">
        <f t="shared" si="29"/>
        <v>0.12890297767076703</v>
      </c>
      <c r="AB23" s="15">
        <f t="shared" si="29"/>
        <v>0.12925769564462161</v>
      </c>
      <c r="AC23" s="15">
        <f t="shared" si="29"/>
        <v>0.12961241237896254</v>
      </c>
      <c r="AD23" s="15">
        <f t="shared" si="29"/>
        <v>0.12996712787379633</v>
      </c>
      <c r="AE23" s="15">
        <f t="shared" si="29"/>
        <v>0.13032184212913006</v>
      </c>
      <c r="AF23" s="15">
        <f t="shared" si="29"/>
        <v>0.13067655514496979</v>
      </c>
      <c r="AG23" s="15">
        <f t="shared" si="29"/>
        <v>0.1310312669213218</v>
      </c>
      <c r="AH23" s="15">
        <f t="shared" si="29"/>
        <v>0.1313859774581928</v>
      </c>
      <c r="AI23" s="15">
        <f t="shared" si="29"/>
        <v>0.13174068675558928</v>
      </c>
      <c r="AJ23" s="15">
        <f t="shared" si="29"/>
        <v>0.13209539481351773</v>
      </c>
      <c r="AK23" s="15">
        <f t="shared" si="29"/>
        <v>0.13245010163198484</v>
      </c>
      <c r="AL23" s="15">
        <f t="shared" si="29"/>
        <v>0.13280480721099688</v>
      </c>
      <c r="AM23" s="15">
        <f t="shared" si="29"/>
        <v>0.13315951155056027</v>
      </c>
      <c r="AN23" s="15">
        <f t="shared" si="29"/>
        <v>0.13351421465068175</v>
      </c>
      <c r="AO23" s="15">
        <f t="shared" si="29"/>
        <v>0.13386891651136759</v>
      </c>
      <c r="AP23" s="15">
        <f t="shared" si="29"/>
        <v>0.13422361713262451</v>
      </c>
      <c r="AQ23" s="15">
        <f t="shared" si="29"/>
        <v>0.13457831651445865</v>
      </c>
      <c r="AR23" s="15">
        <f t="shared" si="29"/>
        <v>0.13493301465687699</v>
      </c>
      <c r="AS23" s="15">
        <f t="shared" si="29"/>
        <v>0.13528771155988578</v>
      </c>
      <c r="AT23" s="15">
        <f t="shared" si="29"/>
        <v>0.13564240722349138</v>
      </c>
      <c r="AU23" s="15">
        <f t="shared" si="29"/>
        <v>0.1359971016477006</v>
      </c>
      <c r="AV23" s="15">
        <f t="shared" si="29"/>
        <v>0.13635179483251961</v>
      </c>
      <c r="AW23" s="15">
        <f t="shared" si="29"/>
        <v>0.13670648677795516</v>
      </c>
      <c r="AX23" s="15">
        <f t="shared" si="29"/>
        <v>0.13706117748401367</v>
      </c>
      <c r="AY23" s="15">
        <f t="shared" si="29"/>
        <v>0.13741586695070135</v>
      </c>
      <c r="AZ23" s="15">
        <f t="shared" si="29"/>
        <v>0.13777055517802517</v>
      </c>
      <c r="BA23" s="15">
        <f t="shared" si="29"/>
        <v>0.13812524216599134</v>
      </c>
      <c r="BB23" s="15">
        <f t="shared" si="29"/>
        <v>0.13847992791460667</v>
      </c>
      <c r="BC23" s="15">
        <f t="shared" si="29"/>
        <v>0.13883461242387701</v>
      </c>
    </row>
    <row r="24" spans="1:55" x14ac:dyDescent="0.2">
      <c r="A24" t="s">
        <v>35</v>
      </c>
      <c r="B24" s="13">
        <f>B22+B23</f>
        <v>0.5462865428998207</v>
      </c>
      <c r="C24" s="13">
        <f t="shared" ref="C24:G24" si="30">C22+C23</f>
        <v>0.547297693527939</v>
      </c>
      <c r="D24" s="13">
        <f t="shared" si="30"/>
        <v>0.51768122718425869</v>
      </c>
      <c r="E24" s="13">
        <f t="shared" si="30"/>
        <v>0.48250582603127257</v>
      </c>
      <c r="F24" s="13">
        <f t="shared" si="30"/>
        <v>0.46268349510267237</v>
      </c>
      <c r="G24" s="13">
        <f t="shared" si="30"/>
        <v>0.4770930048287203</v>
      </c>
      <c r="H24" s="15"/>
      <c r="I24" s="13">
        <f>I22+I23</f>
        <v>0.5462865428998207</v>
      </c>
      <c r="J24" s="13">
        <f t="shared" ref="J24:M24" si="31">J22+J23</f>
        <v>0.547297693527939</v>
      </c>
      <c r="K24" s="13">
        <f t="shared" si="31"/>
        <v>0.51768122718425869</v>
      </c>
      <c r="L24" s="13">
        <f t="shared" si="31"/>
        <v>0.48250582603127257</v>
      </c>
      <c r="M24" s="13">
        <f t="shared" si="31"/>
        <v>0.46268349510267237</v>
      </c>
      <c r="N24" s="15">
        <f t="shared" ref="N24:R24" si="32">N22+N23</f>
        <v>0.47538707157297244</v>
      </c>
      <c r="O24" s="13">
        <f t="shared" si="32"/>
        <v>0.47709300482872019</v>
      </c>
      <c r="P24" s="15">
        <f t="shared" si="32"/>
        <v>0.47208601764823732</v>
      </c>
      <c r="Q24" s="15">
        <f t="shared" si="32"/>
        <v>0.46876673056255092</v>
      </c>
      <c r="R24" s="15">
        <f t="shared" si="32"/>
        <v>0.4654474550758832</v>
      </c>
      <c r="S24" s="15">
        <f t="shared" ref="S24:BC24" si="33">S22+S23</f>
        <v>0.46212819118817205</v>
      </c>
      <c r="T24" s="15">
        <f t="shared" si="33"/>
        <v>0.45880893889935814</v>
      </c>
      <c r="U24" s="15">
        <f t="shared" si="33"/>
        <v>0.45548969820937857</v>
      </c>
      <c r="V24" s="15">
        <f t="shared" si="33"/>
        <v>0.45217046911817532</v>
      </c>
      <c r="W24" s="15">
        <f t="shared" si="33"/>
        <v>0.4488512516256854</v>
      </c>
      <c r="X24" s="15">
        <f t="shared" si="33"/>
        <v>0.44553204573184946</v>
      </c>
      <c r="Y24" s="15">
        <f t="shared" si="33"/>
        <v>0.44221285143660588</v>
      </c>
      <c r="Z24" s="15">
        <f t="shared" si="33"/>
        <v>0.43889366873989366</v>
      </c>
      <c r="AA24" s="15">
        <f t="shared" si="33"/>
        <v>0.43557449764165335</v>
      </c>
      <c r="AB24" s="15">
        <f t="shared" si="33"/>
        <v>0.43225533814182215</v>
      </c>
      <c r="AC24" s="15">
        <f t="shared" si="33"/>
        <v>0.42893619024034063</v>
      </c>
      <c r="AD24" s="15">
        <f t="shared" si="33"/>
        <v>0.4256170539371476</v>
      </c>
      <c r="AE24" s="15">
        <f t="shared" si="33"/>
        <v>0.42229792923218223</v>
      </c>
      <c r="AF24" s="15">
        <f t="shared" si="33"/>
        <v>0.41897881612538485</v>
      </c>
      <c r="AG24" s="15">
        <f t="shared" si="33"/>
        <v>0.41565971461669216</v>
      </c>
      <c r="AH24" s="15">
        <f t="shared" si="33"/>
        <v>0.41234062470604599</v>
      </c>
      <c r="AI24" s="15">
        <f t="shared" si="33"/>
        <v>0.40902154639338328</v>
      </c>
      <c r="AJ24" s="15">
        <f t="shared" si="33"/>
        <v>0.40570247967864548</v>
      </c>
      <c r="AK24" s="15">
        <f t="shared" si="33"/>
        <v>0.4023834245617709</v>
      </c>
      <c r="AL24" s="15">
        <f t="shared" si="33"/>
        <v>0.39906438104269759</v>
      </c>
      <c r="AM24" s="15">
        <f t="shared" si="33"/>
        <v>0.39574534912136655</v>
      </c>
      <c r="AN24" s="15">
        <f t="shared" si="33"/>
        <v>0.39242632879771538</v>
      </c>
      <c r="AO24" s="15">
        <f t="shared" si="33"/>
        <v>0.38910732007168458</v>
      </c>
      <c r="AP24" s="15">
        <f t="shared" si="33"/>
        <v>0.38578832294321241</v>
      </c>
      <c r="AQ24" s="15">
        <f t="shared" si="33"/>
        <v>0.38246933741223899</v>
      </c>
      <c r="AR24" s="15">
        <f t="shared" si="33"/>
        <v>0.37915036347870368</v>
      </c>
      <c r="AS24" s="15">
        <f t="shared" si="33"/>
        <v>0.37583140114254376</v>
      </c>
      <c r="AT24" s="15">
        <f t="shared" si="33"/>
        <v>0.37251245040369962</v>
      </c>
      <c r="AU24" s="15">
        <f t="shared" si="33"/>
        <v>0.3691935112621122</v>
      </c>
      <c r="AV24" s="15">
        <f t="shared" si="33"/>
        <v>0.36587458371771875</v>
      </c>
      <c r="AW24" s="15">
        <f t="shared" si="33"/>
        <v>0.36255566777045811</v>
      </c>
      <c r="AX24" s="15">
        <f t="shared" si="33"/>
        <v>0.35923676342027111</v>
      </c>
      <c r="AY24" s="15">
        <f t="shared" si="33"/>
        <v>0.35591787066709546</v>
      </c>
      <c r="AZ24" s="15">
        <f t="shared" si="33"/>
        <v>0.35259898951087087</v>
      </c>
      <c r="BA24" s="15">
        <f t="shared" si="33"/>
        <v>0.34928011995153774</v>
      </c>
      <c r="BB24" s="15">
        <f t="shared" si="33"/>
        <v>0.34596126198903332</v>
      </c>
      <c r="BC24" s="15">
        <f t="shared" si="33"/>
        <v>0.34264241562329917</v>
      </c>
    </row>
    <row r="27" spans="1:55" x14ac:dyDescent="0.2">
      <c r="B27" s="13">
        <f>B18/B4</f>
        <v>0.1674641598144655</v>
      </c>
      <c r="C27" s="13">
        <f t="shared" ref="C27:G27" si="34">C18/C4</f>
        <v>0.16142339009231155</v>
      </c>
      <c r="D27" s="13">
        <f t="shared" si="34"/>
        <v>0.13049730630944134</v>
      </c>
      <c r="E27" s="13">
        <f t="shared" si="34"/>
        <v>0.10313877669824474</v>
      </c>
      <c r="F27" s="13">
        <f t="shared" si="34"/>
        <v>8.9475434620045119E-2</v>
      </c>
      <c r="G27" s="13">
        <f t="shared" si="34"/>
        <v>9.5124922378448634E-2</v>
      </c>
      <c r="H27" s="15"/>
      <c r="I27" s="13">
        <f>I18/I4</f>
        <v>0.16746415981446552</v>
      </c>
      <c r="J27" s="13">
        <f t="shared" ref="J27:M27" si="35">J18/J4</f>
        <v>0.16142339009231155</v>
      </c>
      <c r="K27" s="13">
        <f t="shared" si="35"/>
        <v>0.13049730630944134</v>
      </c>
      <c r="L27" s="13">
        <f t="shared" si="35"/>
        <v>0.10313877669824474</v>
      </c>
      <c r="M27" s="13">
        <f t="shared" si="35"/>
        <v>8.9475434620045119E-2</v>
      </c>
      <c r="O27" s="13">
        <f>O18/O4</f>
        <v>9.5124922378448634E-2</v>
      </c>
    </row>
    <row r="28" spans="1:55" x14ac:dyDescent="0.2">
      <c r="B28" s="13">
        <f>B18/B5</f>
        <v>0.28383950718325868</v>
      </c>
      <c r="C28" s="13">
        <f t="shared" ref="C28:G28" si="36">C18/C5</f>
        <v>0.25484130679763117</v>
      </c>
      <c r="D28" s="13">
        <f t="shared" si="36"/>
        <v>0.22544904907284374</v>
      </c>
      <c r="E28" s="13">
        <f t="shared" si="36"/>
        <v>0.20583466868134348</v>
      </c>
      <c r="F28" s="13">
        <f t="shared" si="36"/>
        <v>0.19555714675443139</v>
      </c>
      <c r="G28" s="13">
        <f t="shared" si="36"/>
        <v>0.18454194551495234</v>
      </c>
      <c r="H28" s="15"/>
      <c r="I28" s="13">
        <f>I18/I5</f>
        <v>0.28383950718325868</v>
      </c>
      <c r="J28" s="13">
        <f t="shared" ref="J28:M28" si="37">J18/J5</f>
        <v>0.25484130679763117</v>
      </c>
      <c r="K28" s="13">
        <f t="shared" si="37"/>
        <v>0.22544904907284377</v>
      </c>
      <c r="L28" s="13">
        <f t="shared" si="37"/>
        <v>0.20583466868134351</v>
      </c>
      <c r="M28" s="13">
        <f t="shared" si="37"/>
        <v>0.19555714675443137</v>
      </c>
      <c r="N28" s="14">
        <f>AVERAGE($K28:$M28)</f>
        <v>0.20894695483620621</v>
      </c>
      <c r="O28" s="13">
        <f>O18/O5</f>
        <v>0.18454194551495234</v>
      </c>
      <c r="P28" s="14">
        <f t="shared" ref="P28:BC28" si="38">AVERAGE($K28:$M28)</f>
        <v>0.20894695483620621</v>
      </c>
      <c r="Q28" s="14">
        <f t="shared" si="38"/>
        <v>0.20894695483620621</v>
      </c>
      <c r="R28" s="14">
        <f t="shared" si="38"/>
        <v>0.20894695483620621</v>
      </c>
      <c r="S28" s="14">
        <f t="shared" si="38"/>
        <v>0.20894695483620621</v>
      </c>
      <c r="T28" s="14">
        <f t="shared" si="38"/>
        <v>0.20894695483620621</v>
      </c>
      <c r="U28" s="14">
        <f t="shared" si="38"/>
        <v>0.20894695483620621</v>
      </c>
      <c r="V28" s="14">
        <f t="shared" si="38"/>
        <v>0.20894695483620621</v>
      </c>
      <c r="W28" s="14">
        <f t="shared" si="38"/>
        <v>0.20894695483620621</v>
      </c>
      <c r="X28" s="14">
        <f t="shared" si="38"/>
        <v>0.20894695483620621</v>
      </c>
      <c r="Y28" s="14">
        <f t="shared" si="38"/>
        <v>0.20894695483620621</v>
      </c>
      <c r="Z28" s="14">
        <f t="shared" si="38"/>
        <v>0.20894695483620621</v>
      </c>
      <c r="AA28" s="14">
        <f t="shared" si="38"/>
        <v>0.20894695483620621</v>
      </c>
      <c r="AB28" s="14">
        <f t="shared" si="38"/>
        <v>0.20894695483620621</v>
      </c>
      <c r="AC28" s="14">
        <f t="shared" si="38"/>
        <v>0.20894695483620621</v>
      </c>
      <c r="AD28" s="14">
        <f t="shared" si="38"/>
        <v>0.20894695483620621</v>
      </c>
      <c r="AE28" s="14">
        <f t="shared" si="38"/>
        <v>0.20894695483620621</v>
      </c>
      <c r="AF28" s="14">
        <f t="shared" si="38"/>
        <v>0.20894695483620621</v>
      </c>
      <c r="AG28" s="14">
        <f t="shared" si="38"/>
        <v>0.20894695483620621</v>
      </c>
      <c r="AH28" s="14">
        <f t="shared" si="38"/>
        <v>0.20894695483620621</v>
      </c>
      <c r="AI28" s="14">
        <f t="shared" si="38"/>
        <v>0.20894695483620621</v>
      </c>
      <c r="AJ28" s="14">
        <f t="shared" si="38"/>
        <v>0.20894695483620621</v>
      </c>
      <c r="AK28" s="14">
        <f t="shared" si="38"/>
        <v>0.20894695483620621</v>
      </c>
      <c r="AL28" s="14">
        <f t="shared" si="38"/>
        <v>0.20894695483620621</v>
      </c>
      <c r="AM28" s="14">
        <f t="shared" si="38"/>
        <v>0.20894695483620621</v>
      </c>
      <c r="AN28" s="14">
        <f t="shared" si="38"/>
        <v>0.20894695483620621</v>
      </c>
      <c r="AO28" s="14">
        <f t="shared" si="38"/>
        <v>0.20894695483620621</v>
      </c>
      <c r="AP28" s="14">
        <f t="shared" si="38"/>
        <v>0.20894695483620621</v>
      </c>
      <c r="AQ28" s="14">
        <f t="shared" si="38"/>
        <v>0.20894695483620621</v>
      </c>
      <c r="AR28" s="14">
        <f t="shared" si="38"/>
        <v>0.20894695483620621</v>
      </c>
      <c r="AS28" s="14">
        <f t="shared" si="38"/>
        <v>0.20894695483620621</v>
      </c>
      <c r="AT28" s="14">
        <f t="shared" si="38"/>
        <v>0.20894695483620621</v>
      </c>
      <c r="AU28" s="14">
        <f t="shared" si="38"/>
        <v>0.20894695483620621</v>
      </c>
      <c r="AV28" s="14">
        <f t="shared" si="38"/>
        <v>0.20894695483620621</v>
      </c>
      <c r="AW28" s="14">
        <f t="shared" si="38"/>
        <v>0.20894695483620621</v>
      </c>
      <c r="AX28" s="14">
        <f t="shared" si="38"/>
        <v>0.20894695483620621</v>
      </c>
      <c r="AY28" s="14">
        <f t="shared" si="38"/>
        <v>0.20894695483620621</v>
      </c>
      <c r="AZ28" s="14">
        <f t="shared" si="38"/>
        <v>0.20894695483620621</v>
      </c>
      <c r="BA28" s="14">
        <f t="shared" si="38"/>
        <v>0.20894695483620621</v>
      </c>
      <c r="BB28" s="14">
        <f t="shared" si="38"/>
        <v>0.20894695483620621</v>
      </c>
      <c r="BC28" s="14">
        <f t="shared" si="38"/>
        <v>0.20894695483620621</v>
      </c>
    </row>
    <row r="29" spans="1:55" x14ac:dyDescent="0.2">
      <c r="B29" s="13">
        <f>B19/B4</f>
        <v>1.6676081286712836E-2</v>
      </c>
      <c r="C29" s="13">
        <f t="shared" ref="C29:G29" si="39">C19/C4</f>
        <v>1.6390427399059052E-2</v>
      </c>
      <c r="D29" s="13">
        <f t="shared" si="39"/>
        <v>1.9486137806804867E-2</v>
      </c>
      <c r="E29" s="13">
        <f t="shared" si="39"/>
        <v>1.7571433856512674E-2</v>
      </c>
      <c r="F29" s="13">
        <f t="shared" si="39"/>
        <v>1.8596293823819218E-2</v>
      </c>
      <c r="G29" s="13">
        <f t="shared" si="39"/>
        <v>1.7789193772069931E-2</v>
      </c>
      <c r="H29" s="15"/>
      <c r="I29" s="13">
        <f>I19/I4</f>
        <v>1.6676081286712836E-2</v>
      </c>
      <c r="J29" s="13">
        <f t="shared" ref="J29:M29" si="40">J19/J4</f>
        <v>1.6390427399059052E-2</v>
      </c>
      <c r="K29" s="13">
        <f t="shared" si="40"/>
        <v>1.9486137806804867E-2</v>
      </c>
      <c r="L29" s="13">
        <f t="shared" si="40"/>
        <v>1.7571433856512674E-2</v>
      </c>
      <c r="M29" s="13">
        <f t="shared" si="40"/>
        <v>1.8596293823819218E-2</v>
      </c>
      <c r="O29" s="13">
        <f>O19/O4</f>
        <v>1.7789193772069931E-2</v>
      </c>
    </row>
    <row r="30" spans="1:55" x14ac:dyDescent="0.2">
      <c r="B30" s="13">
        <f>B19/B6</f>
        <v>8.0101490789143553E-2</v>
      </c>
      <c r="C30" s="13">
        <f t="shared" ref="C30:G30" si="41">C19/C6</f>
        <v>8.9689197200008119E-2</v>
      </c>
      <c r="D30" s="13">
        <f t="shared" si="41"/>
        <v>0.10617905999035193</v>
      </c>
      <c r="E30" s="13">
        <f t="shared" si="41"/>
        <v>8.872041592974253E-2</v>
      </c>
      <c r="F30" s="13">
        <f t="shared" si="41"/>
        <v>9.1866661428535071E-2</v>
      </c>
      <c r="G30" s="13">
        <f t="shared" si="41"/>
        <v>9.8290685072609699E-2</v>
      </c>
      <c r="H30" s="15"/>
      <c r="I30" s="13">
        <f>I19/I6</f>
        <v>8.0101490789143553E-2</v>
      </c>
      <c r="J30" s="13">
        <f t="shared" ref="J30:M30" si="42">J19/J6</f>
        <v>8.9689197200008133E-2</v>
      </c>
      <c r="K30" s="13">
        <f t="shared" si="42"/>
        <v>0.10617905999035192</v>
      </c>
      <c r="L30" s="13">
        <f t="shared" si="42"/>
        <v>8.872041592974253E-2</v>
      </c>
      <c r="M30" s="13">
        <f t="shared" si="42"/>
        <v>9.1866661428535057E-2</v>
      </c>
      <c r="N30" s="14">
        <f>AVERAGE($K30:$M30)</f>
        <v>9.5588712449543159E-2</v>
      </c>
      <c r="O30" s="13">
        <f>O19/O6</f>
        <v>9.8290685072609713E-2</v>
      </c>
      <c r="P30" s="14">
        <f t="shared" ref="P30:BC30" si="43">AVERAGE($K30:$M30)</f>
        <v>9.5588712449543159E-2</v>
      </c>
      <c r="Q30" s="14">
        <f t="shared" si="43"/>
        <v>9.5588712449543159E-2</v>
      </c>
      <c r="R30" s="14">
        <f t="shared" si="43"/>
        <v>9.5588712449543159E-2</v>
      </c>
      <c r="S30" s="14">
        <f t="shared" si="43"/>
        <v>9.5588712449543159E-2</v>
      </c>
      <c r="T30" s="14">
        <f t="shared" si="43"/>
        <v>9.5588712449543159E-2</v>
      </c>
      <c r="U30" s="14">
        <f t="shared" si="43"/>
        <v>9.5588712449543159E-2</v>
      </c>
      <c r="V30" s="14">
        <f t="shared" si="43"/>
        <v>9.5588712449543159E-2</v>
      </c>
      <c r="W30" s="14">
        <f t="shared" si="43"/>
        <v>9.5588712449543159E-2</v>
      </c>
      <c r="X30" s="14">
        <f t="shared" si="43"/>
        <v>9.5588712449543159E-2</v>
      </c>
      <c r="Y30" s="14">
        <f t="shared" si="43"/>
        <v>9.5588712449543159E-2</v>
      </c>
      <c r="Z30" s="14">
        <f t="shared" si="43"/>
        <v>9.5588712449543159E-2</v>
      </c>
      <c r="AA30" s="14">
        <f t="shared" si="43"/>
        <v>9.5588712449543159E-2</v>
      </c>
      <c r="AB30" s="14">
        <f t="shared" si="43"/>
        <v>9.5588712449543159E-2</v>
      </c>
      <c r="AC30" s="14">
        <f t="shared" si="43"/>
        <v>9.5588712449543159E-2</v>
      </c>
      <c r="AD30" s="14">
        <f t="shared" si="43"/>
        <v>9.5588712449543159E-2</v>
      </c>
      <c r="AE30" s="14">
        <f t="shared" si="43"/>
        <v>9.5588712449543159E-2</v>
      </c>
      <c r="AF30" s="14">
        <f t="shared" si="43"/>
        <v>9.5588712449543159E-2</v>
      </c>
      <c r="AG30" s="14">
        <f t="shared" si="43"/>
        <v>9.5588712449543159E-2</v>
      </c>
      <c r="AH30" s="14">
        <f t="shared" si="43"/>
        <v>9.5588712449543159E-2</v>
      </c>
      <c r="AI30" s="14">
        <f t="shared" si="43"/>
        <v>9.5588712449543159E-2</v>
      </c>
      <c r="AJ30" s="14">
        <f t="shared" si="43"/>
        <v>9.5588712449543159E-2</v>
      </c>
      <c r="AK30" s="14">
        <f t="shared" si="43"/>
        <v>9.5588712449543159E-2</v>
      </c>
      <c r="AL30" s="14">
        <f t="shared" si="43"/>
        <v>9.5588712449543159E-2</v>
      </c>
      <c r="AM30" s="14">
        <f t="shared" si="43"/>
        <v>9.5588712449543159E-2</v>
      </c>
      <c r="AN30" s="14">
        <f t="shared" si="43"/>
        <v>9.5588712449543159E-2</v>
      </c>
      <c r="AO30" s="14">
        <f t="shared" si="43"/>
        <v>9.5588712449543159E-2</v>
      </c>
      <c r="AP30" s="14">
        <f t="shared" si="43"/>
        <v>9.5588712449543159E-2</v>
      </c>
      <c r="AQ30" s="14">
        <f t="shared" si="43"/>
        <v>9.5588712449543159E-2</v>
      </c>
      <c r="AR30" s="14">
        <f t="shared" si="43"/>
        <v>9.5588712449543159E-2</v>
      </c>
      <c r="AS30" s="14">
        <f t="shared" si="43"/>
        <v>9.5588712449543159E-2</v>
      </c>
      <c r="AT30" s="14">
        <f t="shared" si="43"/>
        <v>9.5588712449543159E-2</v>
      </c>
      <c r="AU30" s="14">
        <f t="shared" si="43"/>
        <v>9.5588712449543159E-2</v>
      </c>
      <c r="AV30" s="14">
        <f t="shared" si="43"/>
        <v>9.5588712449543159E-2</v>
      </c>
      <c r="AW30" s="14">
        <f t="shared" si="43"/>
        <v>9.5588712449543159E-2</v>
      </c>
      <c r="AX30" s="14">
        <f t="shared" si="43"/>
        <v>9.5588712449543159E-2</v>
      </c>
      <c r="AY30" s="14">
        <f t="shared" si="43"/>
        <v>9.5588712449543159E-2</v>
      </c>
      <c r="AZ30" s="14">
        <f t="shared" si="43"/>
        <v>9.5588712449543159E-2</v>
      </c>
      <c r="BA30" s="14">
        <f t="shared" si="43"/>
        <v>9.5588712449543159E-2</v>
      </c>
      <c r="BB30" s="14">
        <f t="shared" si="43"/>
        <v>9.5588712449543159E-2</v>
      </c>
      <c r="BC30" s="14">
        <f t="shared" si="43"/>
        <v>9.5588712449543159E-2</v>
      </c>
    </row>
  </sheetData>
  <mergeCells count="2">
    <mergeCell ref="B1:F1"/>
    <mergeCell ref="I1:M1"/>
  </mergeCells>
  <phoneticPr fontId="3" type="noConversion"/>
  <pageMargins left="0.7" right="0.7" top="0.75" bottom="0.75" header="0.3" footer="0.3"/>
  <pageSetup paperSize="9" orientation="portrait" horizontalDpi="1200" verticalDpi="12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24"/>
  <sheetViews>
    <sheetView workbookViewId="0">
      <selection activeCell="S2" sqref="S2"/>
    </sheetView>
  </sheetViews>
  <sheetFormatPr defaultColWidth="9" defaultRowHeight="14.25" x14ac:dyDescent="0.2"/>
  <cols>
    <col min="12" max="12" width="32.5" customWidth="1"/>
  </cols>
  <sheetData>
    <row r="1" spans="1:21" ht="57" x14ac:dyDescent="0.2">
      <c r="A1" s="2" t="s">
        <v>36</v>
      </c>
      <c r="B1" s="2" t="s">
        <v>37</v>
      </c>
      <c r="C1" s="2" t="s">
        <v>38</v>
      </c>
      <c r="D1" s="3" t="s">
        <v>39</v>
      </c>
      <c r="F1" t="s">
        <v>40</v>
      </c>
      <c r="G1" s="4" t="s">
        <v>41</v>
      </c>
      <c r="H1" s="4" t="s">
        <v>42</v>
      </c>
      <c r="I1" s="4" t="s">
        <v>43</v>
      </c>
      <c r="L1" s="2" t="s">
        <v>36</v>
      </c>
      <c r="M1" s="2">
        <v>2002</v>
      </c>
      <c r="N1" s="2">
        <v>2007</v>
      </c>
      <c r="O1" s="2">
        <v>2012</v>
      </c>
      <c r="P1" s="2">
        <v>2017</v>
      </c>
      <c r="Q1" s="2">
        <v>2018</v>
      </c>
      <c r="R1" s="2">
        <v>2019</v>
      </c>
      <c r="S1" s="2">
        <v>2020</v>
      </c>
      <c r="T1" s="3">
        <v>2021</v>
      </c>
      <c r="U1" s="3">
        <v>2022</v>
      </c>
    </row>
    <row r="2" spans="1:21" x14ac:dyDescent="0.2">
      <c r="A2" s="2">
        <v>2000</v>
      </c>
      <c r="B2" s="5">
        <v>0.26402731839314603</v>
      </c>
      <c r="C2" s="5">
        <v>3.7874868634273802</v>
      </c>
      <c r="D2" s="3"/>
      <c r="F2" s="6">
        <v>2000</v>
      </c>
      <c r="G2" s="7">
        <v>2.2354744058489899</v>
      </c>
      <c r="H2" s="7">
        <f t="shared" ref="H2:H13" si="0">H3/(1+G3/100)</f>
        <v>0.78077491379916109</v>
      </c>
      <c r="I2" s="7">
        <f>1/H2</f>
        <v>1.2807788548611467</v>
      </c>
      <c r="L2" s="2" t="s">
        <v>37</v>
      </c>
      <c r="M2" s="5">
        <v>0.25718247422042501</v>
      </c>
      <c r="N2" s="5">
        <v>0.20142712631579199</v>
      </c>
      <c r="O2" s="5">
        <v>0.158412957650193</v>
      </c>
      <c r="P2" s="5">
        <v>0.14520448257929899</v>
      </c>
      <c r="Q2" s="5">
        <v>0.14029452814745599</v>
      </c>
      <c r="R2" s="5">
        <v>0.138511262027254</v>
      </c>
      <c r="S2" s="5">
        <v>0.13765067798823399</v>
      </c>
      <c r="T2" s="9">
        <v>0.134673736087039</v>
      </c>
      <c r="U2" s="9">
        <v>0.13155443307027101</v>
      </c>
    </row>
    <row r="3" spans="1:21" x14ac:dyDescent="0.2">
      <c r="A3" s="2">
        <v>2001</v>
      </c>
      <c r="B3" s="5">
        <v>0.25873096752649299</v>
      </c>
      <c r="C3" s="5">
        <v>3.8650185927109901</v>
      </c>
      <c r="D3" s="8">
        <v>1.02047049457313</v>
      </c>
      <c r="F3" s="6">
        <v>2001</v>
      </c>
      <c r="G3" s="7">
        <v>2.1934253449968999</v>
      </c>
      <c r="H3" s="7">
        <f t="shared" si="0"/>
        <v>0.79790062864580946</v>
      </c>
      <c r="I3" s="7">
        <f t="shared" ref="I3:I24" si="1">1/H3</f>
        <v>1.2532888985150845</v>
      </c>
      <c r="L3" s="2" t="s">
        <v>38</v>
      </c>
      <c r="M3" s="5">
        <v>3.8882898340223799</v>
      </c>
      <c r="N3" s="5">
        <v>4.9645746245330802</v>
      </c>
      <c r="O3" s="5">
        <v>6.3126149201014101</v>
      </c>
      <c r="P3" s="5">
        <v>6.8868397327464104</v>
      </c>
      <c r="Q3" s="5">
        <v>7.12786174346697</v>
      </c>
      <c r="R3" s="5">
        <v>7.2196295475471004</v>
      </c>
      <c r="S3" s="5">
        <v>7.26476625189943</v>
      </c>
      <c r="T3" s="9">
        <v>7.4253527751966901</v>
      </c>
      <c r="U3" s="9">
        <v>7.6014162097133102</v>
      </c>
    </row>
    <row r="4" spans="1:21" x14ac:dyDescent="0.2">
      <c r="A4" s="2">
        <v>2002</v>
      </c>
      <c r="B4" s="5">
        <v>0.25718247422042501</v>
      </c>
      <c r="C4" s="5">
        <v>3.8882898340223799</v>
      </c>
      <c r="D4" s="8">
        <v>1.0060209907800399</v>
      </c>
      <c r="F4" s="6">
        <v>2002</v>
      </c>
      <c r="G4" s="7">
        <v>1.5817630059122401</v>
      </c>
      <c r="H4" s="7">
        <f t="shared" si="0"/>
        <v>0.81052152561367008</v>
      </c>
      <c r="I4" s="7">
        <f t="shared" si="1"/>
        <v>1.2337735253149138</v>
      </c>
      <c r="L4" s="3" t="s">
        <v>39</v>
      </c>
      <c r="M4" s="8">
        <v>1.0060209907800399</v>
      </c>
      <c r="N4" s="8">
        <v>1.07749686493148</v>
      </c>
      <c r="O4" s="8">
        <v>1.0233121757577299</v>
      </c>
      <c r="P4" s="8">
        <v>1.0423268197526601</v>
      </c>
      <c r="Q4" s="8">
        <v>1.0349974763569001</v>
      </c>
      <c r="R4" s="8">
        <v>1.01287452077255</v>
      </c>
      <c r="S4" s="8">
        <v>1.00625194188359</v>
      </c>
      <c r="T4" s="8">
        <v>1.0221048438076401</v>
      </c>
      <c r="U4" s="8">
        <v>1.0237111205146701</v>
      </c>
    </row>
    <row r="5" spans="1:21" x14ac:dyDescent="0.2">
      <c r="A5" s="2">
        <v>2003</v>
      </c>
      <c r="B5" s="5">
        <v>0.25065741621071402</v>
      </c>
      <c r="C5" s="5">
        <v>3.9895089286301202</v>
      </c>
      <c r="D5" s="8">
        <v>1.0260317771895699</v>
      </c>
      <c r="F5" s="6">
        <v>2003</v>
      </c>
      <c r="G5" s="7">
        <v>1.85709520165997</v>
      </c>
      <c r="H5" s="7">
        <f t="shared" si="0"/>
        <v>0.82557368197426273</v>
      </c>
      <c r="I5" s="7">
        <f t="shared" si="1"/>
        <v>1.2112789225652363</v>
      </c>
    </row>
    <row r="6" spans="1:21" x14ac:dyDescent="0.2">
      <c r="A6" s="2">
        <v>2004</v>
      </c>
      <c r="B6" s="5">
        <v>0.234364418959083</v>
      </c>
      <c r="C6" s="5">
        <v>4.2668592973346602</v>
      </c>
      <c r="D6" s="8">
        <v>1.0695199268045701</v>
      </c>
      <c r="F6" s="6">
        <v>2004</v>
      </c>
      <c r="G6" s="7">
        <v>2.6922121263310999</v>
      </c>
      <c r="H6" s="7">
        <f t="shared" si="0"/>
        <v>0.84779987675217205</v>
      </c>
      <c r="I6" s="7">
        <f t="shared" si="1"/>
        <v>1.1795236439888266</v>
      </c>
    </row>
    <row r="7" spans="1:21" x14ac:dyDescent="0.2">
      <c r="A7" s="2">
        <v>2005</v>
      </c>
      <c r="B7" s="5">
        <v>0.22555916594478401</v>
      </c>
      <c r="C7" s="5">
        <v>4.4334265726305899</v>
      </c>
      <c r="D7" s="8">
        <v>1.0390374426923299</v>
      </c>
      <c r="F7" s="6">
        <v>2005</v>
      </c>
      <c r="G7" s="7">
        <v>3.1149423478132299</v>
      </c>
      <c r="H7" s="7">
        <f t="shared" si="0"/>
        <v>0.87420835413783371</v>
      </c>
      <c r="I7" s="7">
        <f t="shared" si="1"/>
        <v>1.1438920656234464</v>
      </c>
    </row>
    <row r="8" spans="1:21" x14ac:dyDescent="0.2">
      <c r="A8" s="2">
        <v>2006</v>
      </c>
      <c r="B8" s="5">
        <v>0.217037097117422</v>
      </c>
      <c r="C8" s="5">
        <v>4.6075072569689599</v>
      </c>
      <c r="D8" s="8">
        <v>1.0392654939664601</v>
      </c>
      <c r="F8" s="6">
        <v>2006</v>
      </c>
      <c r="G8" s="7">
        <v>3.0262046413329702</v>
      </c>
      <c r="H8" s="7">
        <f t="shared" si="0"/>
        <v>0.90066368792567331</v>
      </c>
      <c r="I8" s="7">
        <f t="shared" si="1"/>
        <v>1.1102923470836368</v>
      </c>
    </row>
    <row r="9" spans="1:21" x14ac:dyDescent="0.2">
      <c r="A9" s="2">
        <v>2007</v>
      </c>
      <c r="B9" s="5">
        <v>0.20142712631579199</v>
      </c>
      <c r="C9" s="5">
        <v>4.9645746245330802</v>
      </c>
      <c r="D9" s="8">
        <v>1.07749686493148</v>
      </c>
      <c r="F9" s="6">
        <v>2007</v>
      </c>
      <c r="G9" s="7">
        <v>2.6862789090300798</v>
      </c>
      <c r="H9" s="7">
        <f t="shared" si="0"/>
        <v>0.92485802661571315</v>
      </c>
      <c r="I9" s="7">
        <f t="shared" si="1"/>
        <v>1.0812470360010282</v>
      </c>
    </row>
    <row r="10" spans="1:21" x14ac:dyDescent="0.2">
      <c r="A10" s="2">
        <v>2008</v>
      </c>
      <c r="B10" s="5">
        <v>0.186860689001348</v>
      </c>
      <c r="C10" s="5">
        <v>5.3515803957716503</v>
      </c>
      <c r="D10" s="8">
        <v>1.0779534603682099</v>
      </c>
      <c r="F10" s="6">
        <v>2008</v>
      </c>
      <c r="G10" s="7">
        <v>1.9451317033458699</v>
      </c>
      <c r="H10" s="7">
        <f t="shared" si="0"/>
        <v>0.94284773330235438</v>
      </c>
      <c r="I10" s="7">
        <f t="shared" si="1"/>
        <v>1.0606166453807637</v>
      </c>
    </row>
    <row r="11" spans="1:21" x14ac:dyDescent="0.2">
      <c r="A11" s="2">
        <v>2009</v>
      </c>
      <c r="B11" s="5">
        <v>0.187253046603439</v>
      </c>
      <c r="C11" s="5">
        <v>5.3403670495027002</v>
      </c>
      <c r="D11" s="8">
        <v>0.99790466639017195</v>
      </c>
      <c r="F11" s="6">
        <v>2009</v>
      </c>
      <c r="G11" s="7">
        <v>0.76234998842377899</v>
      </c>
      <c r="H11" s="7">
        <f t="shared" si="0"/>
        <v>0.95003553288803866</v>
      </c>
      <c r="I11" s="7">
        <f t="shared" si="1"/>
        <v>1.0525922087988362</v>
      </c>
    </row>
    <row r="12" spans="1:21" x14ac:dyDescent="0.2">
      <c r="A12" s="2">
        <v>2010</v>
      </c>
      <c r="B12" s="5">
        <v>0.17519707002278201</v>
      </c>
      <c r="C12" s="5">
        <v>5.7078580130932801</v>
      </c>
      <c r="D12" s="8">
        <v>1.0688138025315701</v>
      </c>
      <c r="F12" s="6">
        <v>2010</v>
      </c>
      <c r="G12" s="7">
        <v>1.16525054364868</v>
      </c>
      <c r="H12" s="7">
        <f t="shared" si="0"/>
        <v>0.96110582709987225</v>
      </c>
      <c r="I12" s="7">
        <f t="shared" si="1"/>
        <v>1.0404681480472244</v>
      </c>
    </row>
    <row r="13" spans="1:21" x14ac:dyDescent="0.2">
      <c r="A13" s="2">
        <v>2011</v>
      </c>
      <c r="B13" s="5">
        <v>0.16210590836123601</v>
      </c>
      <c r="C13" s="5">
        <v>6.1688066160525299</v>
      </c>
      <c r="D13" s="8">
        <v>1.0807568446695599</v>
      </c>
      <c r="F13" s="6">
        <v>2011</v>
      </c>
      <c r="G13" s="7">
        <v>2.0889037776684201</v>
      </c>
      <c r="H13" s="7">
        <f t="shared" si="0"/>
        <v>0.98118240302955273</v>
      </c>
      <c r="I13" s="7">
        <f t="shared" si="1"/>
        <v>1.0191784900670304</v>
      </c>
    </row>
    <row r="14" spans="1:21" x14ac:dyDescent="0.2">
      <c r="A14" s="2">
        <v>2012</v>
      </c>
      <c r="B14" s="5">
        <v>0.158412957650193</v>
      </c>
      <c r="C14" s="5">
        <v>6.3126149201014101</v>
      </c>
      <c r="D14" s="8">
        <v>1.0233121757577299</v>
      </c>
      <c r="F14" s="6">
        <v>2012</v>
      </c>
      <c r="G14" s="7">
        <v>1.91784900670304</v>
      </c>
      <c r="H14" s="7">
        <v>1</v>
      </c>
      <c r="I14" s="7">
        <f t="shared" si="1"/>
        <v>1</v>
      </c>
    </row>
    <row r="15" spans="1:21" x14ac:dyDescent="0.2">
      <c r="A15" s="2">
        <v>2013</v>
      </c>
      <c r="B15" s="5">
        <v>0.15505846920337699</v>
      </c>
      <c r="C15" s="5">
        <v>6.4491801391924399</v>
      </c>
      <c r="D15" s="8">
        <v>1.02163370026836</v>
      </c>
      <c r="F15" s="6">
        <v>2013</v>
      </c>
      <c r="G15" s="7">
        <v>1.7549157850116199</v>
      </c>
      <c r="H15" s="7">
        <f t="shared" ref="H15:H24" si="2">(1+G15/100)*H14</f>
        <v>1.0175491578501161</v>
      </c>
      <c r="I15" s="7">
        <f t="shared" si="1"/>
        <v>0.98275350363692104</v>
      </c>
    </row>
    <row r="16" spans="1:21" x14ac:dyDescent="0.2">
      <c r="A16" s="2">
        <v>2014</v>
      </c>
      <c r="B16" s="5">
        <v>0.15347603355213099</v>
      </c>
      <c r="C16" s="5">
        <v>6.5156752937606299</v>
      </c>
      <c r="D16" s="8">
        <v>1.01031063687679</v>
      </c>
      <c r="F16" s="6">
        <v>2014</v>
      </c>
      <c r="G16" s="7">
        <v>1.8498274708142799</v>
      </c>
      <c r="H16" s="7">
        <f t="shared" si="2"/>
        <v>1.036372061701067</v>
      </c>
      <c r="I16" s="7">
        <f t="shared" si="1"/>
        <v>0.96490443630700828</v>
      </c>
    </row>
    <row r="17" spans="1:9" x14ac:dyDescent="0.2">
      <c r="A17" s="2">
        <v>2015</v>
      </c>
      <c r="B17" s="5">
        <v>0.153480552163204</v>
      </c>
      <c r="C17" s="5">
        <v>6.5154834661830598</v>
      </c>
      <c r="D17" s="8">
        <v>0.99997055906426902</v>
      </c>
      <c r="F17" s="6">
        <v>2015</v>
      </c>
      <c r="G17" s="7">
        <v>0.95253153279801905</v>
      </c>
      <c r="H17" s="7">
        <f t="shared" si="2"/>
        <v>1.0462438323858785</v>
      </c>
      <c r="I17" s="7">
        <f t="shared" si="1"/>
        <v>0.95580013859635093</v>
      </c>
    </row>
    <row r="18" spans="1:9" x14ac:dyDescent="0.2">
      <c r="A18" s="2">
        <v>2016</v>
      </c>
      <c r="B18" s="5">
        <v>0.15135052654071199</v>
      </c>
      <c r="C18" s="5">
        <v>6.6071788639004803</v>
      </c>
      <c r="D18" s="8">
        <v>1.0140734602724899</v>
      </c>
      <c r="F18" s="6">
        <v>2016</v>
      </c>
      <c r="G18" s="7">
        <v>1.04924737000228</v>
      </c>
      <c r="H18" s="7">
        <f t="shared" si="2"/>
        <v>1.0572215182809983</v>
      </c>
      <c r="I18" s="7">
        <f t="shared" si="1"/>
        <v>0.94587556411636575</v>
      </c>
    </row>
    <row r="19" spans="1:9" x14ac:dyDescent="0.2">
      <c r="A19" s="2">
        <v>2017</v>
      </c>
      <c r="B19" s="5">
        <v>0.14520448257929899</v>
      </c>
      <c r="C19" s="5">
        <v>6.8868397327464104</v>
      </c>
      <c r="D19" s="8">
        <v>1.0423268197526601</v>
      </c>
      <c r="F19" s="6">
        <v>2017</v>
      </c>
      <c r="G19" s="7">
        <v>1.88006787244998</v>
      </c>
      <c r="H19" s="7">
        <f t="shared" si="2"/>
        <v>1.0770980003868273</v>
      </c>
      <c r="I19" s="7">
        <f t="shared" si="1"/>
        <v>0.92842062620194399</v>
      </c>
    </row>
    <row r="20" spans="1:9" x14ac:dyDescent="0.2">
      <c r="A20" s="2">
        <v>2018</v>
      </c>
      <c r="B20" s="5">
        <v>0.14029452814745599</v>
      </c>
      <c r="C20" s="5">
        <v>7.12786174346697</v>
      </c>
      <c r="D20" s="8">
        <v>1.0349974763569001</v>
      </c>
      <c r="F20" s="6">
        <v>2018</v>
      </c>
      <c r="G20" s="7">
        <v>2.4009811141159099</v>
      </c>
      <c r="H20" s="7">
        <f t="shared" si="2"/>
        <v>1.1029589199566352</v>
      </c>
      <c r="I20" s="7">
        <f t="shared" si="1"/>
        <v>0.90665208096718308</v>
      </c>
    </row>
    <row r="21" spans="1:9" x14ac:dyDescent="0.2">
      <c r="A21" s="2">
        <v>2019</v>
      </c>
      <c r="B21" s="5">
        <v>0.138511262027254</v>
      </c>
      <c r="C21" s="5">
        <v>7.2196295475471004</v>
      </c>
      <c r="D21" s="8">
        <v>1.01287452077255</v>
      </c>
      <c r="F21" s="6">
        <v>2019</v>
      </c>
      <c r="G21" s="7">
        <v>1.7851515374362801</v>
      </c>
      <c r="H21" s="7">
        <f t="shared" si="2"/>
        <v>1.1226484080735317</v>
      </c>
      <c r="I21" s="7">
        <f t="shared" si="1"/>
        <v>0.89075082885121903</v>
      </c>
    </row>
    <row r="22" spans="1:9" x14ac:dyDescent="0.2">
      <c r="A22" s="2">
        <v>2020</v>
      </c>
      <c r="B22" s="5">
        <v>0.13765067798823399</v>
      </c>
      <c r="C22" s="5">
        <v>7.26476625189943</v>
      </c>
      <c r="D22" s="8">
        <v>1.00625194188359</v>
      </c>
      <c r="F22" s="6">
        <v>2020</v>
      </c>
      <c r="G22" s="7">
        <v>1.21128887945865</v>
      </c>
      <c r="H22" s="7">
        <f t="shared" si="2"/>
        <v>1.136246923395946</v>
      </c>
      <c r="I22" s="7">
        <f t="shared" si="1"/>
        <v>0.88009039180608784</v>
      </c>
    </row>
    <row r="23" spans="1:9" x14ac:dyDescent="0.2">
      <c r="A23" s="3">
        <v>2021</v>
      </c>
      <c r="B23" s="9">
        <v>0.134673736087039</v>
      </c>
      <c r="C23" s="9">
        <v>7.4253527751966901</v>
      </c>
      <c r="D23" s="8">
        <v>1.0221048438076401</v>
      </c>
      <c r="F23" s="6">
        <v>2021</v>
      </c>
      <c r="G23" s="10">
        <f>(D23-1)*100</f>
        <v>2.2104843807640107</v>
      </c>
      <c r="H23" s="7">
        <f t="shared" si="2"/>
        <v>1.1613634841645251</v>
      </c>
      <c r="I23" s="7">
        <f t="shared" si="1"/>
        <v>0.86105686431099682</v>
      </c>
    </row>
    <row r="24" spans="1:9" x14ac:dyDescent="0.2">
      <c r="A24" s="3">
        <v>2022</v>
      </c>
      <c r="B24" s="9">
        <v>0.13155443307027101</v>
      </c>
      <c r="C24" s="9">
        <v>7.6014162097133102</v>
      </c>
      <c r="D24" s="8">
        <v>1.0237111205146701</v>
      </c>
      <c r="F24" s="6">
        <v>2022</v>
      </c>
      <c r="G24" s="10">
        <f>(D24-1)*100</f>
        <v>2.3711120514670059</v>
      </c>
      <c r="H24" s="7">
        <f t="shared" si="2"/>
        <v>1.1889007136988872</v>
      </c>
      <c r="I24" s="7">
        <f t="shared" si="1"/>
        <v>0.8411131295302342</v>
      </c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"/>
  <sheetViews>
    <sheetView workbookViewId="0">
      <selection activeCell="AJ40" sqref="AJ40"/>
    </sheetView>
  </sheetViews>
  <sheetFormatPr defaultColWidth="9" defaultRowHeight="14.25" x14ac:dyDescent="0.2"/>
  <sheetData>
    <row r="1" spans="1:44" x14ac:dyDescent="0.2">
      <c r="A1" t="s">
        <v>44</v>
      </c>
      <c r="B1">
        <v>2018</v>
      </c>
      <c r="C1">
        <v>2019</v>
      </c>
      <c r="D1">
        <v>2020</v>
      </c>
      <c r="E1">
        <v>2021</v>
      </c>
      <c r="F1">
        <v>2022</v>
      </c>
      <c r="G1">
        <v>2023</v>
      </c>
      <c r="H1">
        <v>2024</v>
      </c>
      <c r="I1">
        <v>2025</v>
      </c>
      <c r="J1">
        <v>2026</v>
      </c>
      <c r="K1">
        <v>2027</v>
      </c>
      <c r="L1">
        <v>2028</v>
      </c>
      <c r="M1">
        <v>2029</v>
      </c>
      <c r="N1">
        <v>2030</v>
      </c>
      <c r="O1">
        <v>2031</v>
      </c>
      <c r="P1">
        <v>2032</v>
      </c>
      <c r="Q1">
        <v>2033</v>
      </c>
      <c r="R1">
        <v>2034</v>
      </c>
      <c r="S1">
        <v>2035</v>
      </c>
      <c r="T1">
        <v>2036</v>
      </c>
      <c r="U1">
        <v>2037</v>
      </c>
      <c r="V1">
        <v>2038</v>
      </c>
      <c r="W1">
        <v>2039</v>
      </c>
      <c r="X1">
        <v>2040</v>
      </c>
      <c r="Y1">
        <v>2041</v>
      </c>
      <c r="Z1">
        <v>2042</v>
      </c>
      <c r="AA1">
        <v>2043</v>
      </c>
      <c r="AB1">
        <v>2044</v>
      </c>
      <c r="AC1">
        <v>2045</v>
      </c>
      <c r="AD1">
        <v>2046</v>
      </c>
      <c r="AE1">
        <v>2047</v>
      </c>
      <c r="AF1">
        <v>2048</v>
      </c>
      <c r="AG1">
        <v>2049</v>
      </c>
      <c r="AH1">
        <v>2050</v>
      </c>
      <c r="AI1">
        <v>2051</v>
      </c>
      <c r="AJ1">
        <v>2052</v>
      </c>
      <c r="AK1">
        <v>2053</v>
      </c>
      <c r="AL1">
        <v>2054</v>
      </c>
      <c r="AM1">
        <v>2055</v>
      </c>
      <c r="AN1">
        <v>2056</v>
      </c>
      <c r="AO1">
        <v>2057</v>
      </c>
      <c r="AP1">
        <v>2058</v>
      </c>
      <c r="AQ1">
        <v>2059</v>
      </c>
      <c r="AR1">
        <v>2060</v>
      </c>
    </row>
    <row r="2" spans="1:44" x14ac:dyDescent="0.2">
      <c r="A2" t="s">
        <v>45</v>
      </c>
      <c r="B2" s="1">
        <f>Extrapolation!M24</f>
        <v>0.46268349510267237</v>
      </c>
      <c r="C2" s="1">
        <f>Extrapolation!N24</f>
        <v>0.47538707157297244</v>
      </c>
      <c r="D2" s="1">
        <f>Extrapolation!O24</f>
        <v>0.47709300482872019</v>
      </c>
      <c r="E2" s="1">
        <f>Extrapolation!P24</f>
        <v>0.47208601764823732</v>
      </c>
      <c r="F2" s="1">
        <f>Extrapolation!Q24</f>
        <v>0.46876673056255092</v>
      </c>
      <c r="G2" s="1">
        <f>Extrapolation!R24</f>
        <v>0.4654474550758832</v>
      </c>
      <c r="H2" s="1">
        <f>Extrapolation!S24</f>
        <v>0.46212819118817205</v>
      </c>
      <c r="I2" s="1">
        <f>Extrapolation!T24</f>
        <v>0.45880893889935814</v>
      </c>
      <c r="J2" s="1">
        <f>Extrapolation!U24</f>
        <v>0.45548969820937857</v>
      </c>
      <c r="K2" s="1">
        <f>Extrapolation!V24</f>
        <v>0.45217046911817532</v>
      </c>
      <c r="L2" s="1">
        <f>Extrapolation!W24</f>
        <v>0.4488512516256854</v>
      </c>
      <c r="M2" s="1">
        <f>Extrapolation!X24</f>
        <v>0.44553204573184946</v>
      </c>
      <c r="N2" s="1">
        <f>Extrapolation!Y24</f>
        <v>0.44221285143660588</v>
      </c>
      <c r="O2" s="1">
        <f>Extrapolation!Z24</f>
        <v>0.43889366873989366</v>
      </c>
      <c r="P2" s="1">
        <f>Extrapolation!AA24</f>
        <v>0.43557449764165335</v>
      </c>
      <c r="Q2" s="1">
        <f>Extrapolation!AB24</f>
        <v>0.43225533814182215</v>
      </c>
      <c r="R2" s="1">
        <f>Extrapolation!AC24</f>
        <v>0.42893619024034063</v>
      </c>
      <c r="S2" s="1">
        <f>Extrapolation!AD24</f>
        <v>0.4256170539371476</v>
      </c>
      <c r="T2" s="1">
        <f>Extrapolation!AE24</f>
        <v>0.42229792923218223</v>
      </c>
      <c r="U2" s="1">
        <f>Extrapolation!AF24</f>
        <v>0.41897881612538485</v>
      </c>
      <c r="V2" s="1">
        <f>Extrapolation!AG24</f>
        <v>0.41565971461669216</v>
      </c>
      <c r="W2" s="1">
        <f>Extrapolation!AH24</f>
        <v>0.41234062470604599</v>
      </c>
      <c r="X2" s="1">
        <f>Extrapolation!AI24</f>
        <v>0.40902154639338328</v>
      </c>
      <c r="Y2" s="1">
        <f>Extrapolation!AJ24</f>
        <v>0.40570247967864548</v>
      </c>
      <c r="Z2" s="1">
        <f>Extrapolation!AK24</f>
        <v>0.4023834245617709</v>
      </c>
      <c r="AA2" s="1">
        <f>Extrapolation!AL24</f>
        <v>0.39906438104269759</v>
      </c>
      <c r="AB2" s="1">
        <f>Extrapolation!AM24</f>
        <v>0.39574534912136655</v>
      </c>
      <c r="AC2" s="1">
        <f>Extrapolation!AN24</f>
        <v>0.39242632879771538</v>
      </c>
      <c r="AD2" s="1">
        <f>Extrapolation!AO24</f>
        <v>0.38910732007168458</v>
      </c>
      <c r="AE2" s="1">
        <f>Extrapolation!AP24</f>
        <v>0.38578832294321241</v>
      </c>
      <c r="AF2" s="1">
        <f>Extrapolation!AQ24</f>
        <v>0.38246933741223899</v>
      </c>
      <c r="AG2" s="1">
        <f>Extrapolation!AR24</f>
        <v>0.37915036347870368</v>
      </c>
      <c r="AH2" s="1">
        <f>Extrapolation!AS24</f>
        <v>0.37583140114254376</v>
      </c>
      <c r="AI2" s="1">
        <f>Extrapolation!AT24</f>
        <v>0.37251245040369962</v>
      </c>
      <c r="AJ2" s="1">
        <f>Extrapolation!AU24</f>
        <v>0.3691935112621122</v>
      </c>
      <c r="AK2" s="1">
        <f>Extrapolation!AV24</f>
        <v>0.36587458371771875</v>
      </c>
      <c r="AL2" s="1">
        <f>Extrapolation!AW24</f>
        <v>0.36255566777045811</v>
      </c>
      <c r="AM2" s="1">
        <f>Extrapolation!AX24</f>
        <v>0.35923676342027111</v>
      </c>
      <c r="AN2" s="1">
        <f>Extrapolation!AY24</f>
        <v>0.35591787066709546</v>
      </c>
      <c r="AO2" s="1">
        <f>Extrapolation!AZ24</f>
        <v>0.35259898951087087</v>
      </c>
      <c r="AP2" s="1">
        <f>Extrapolation!BA24</f>
        <v>0.34928011995153774</v>
      </c>
      <c r="AQ2" s="1">
        <f>Extrapolation!BB24</f>
        <v>0.34596126198903332</v>
      </c>
      <c r="AR2" s="1">
        <f>Extrapolation!BC24</f>
        <v>0.34264241562329917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2002</vt:lpstr>
      <vt:lpstr>2007</vt:lpstr>
      <vt:lpstr>2012</vt:lpstr>
      <vt:lpstr>2017</vt:lpstr>
      <vt:lpstr>2018</vt:lpstr>
      <vt:lpstr>2020</vt:lpstr>
      <vt:lpstr>Extrapolation</vt:lpstr>
      <vt:lpstr>Deflator</vt:lpstr>
      <vt:lpstr>BSoAIGtAP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2022-02-11T03:24:00Z</dcterms:created>
  <dcterms:modified xsi:type="dcterms:W3CDTF">2023-03-08T03:48:42Z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7D978FC7BF844D8786584FC93E7E35E5</vt:lpwstr>
  </property>
  <property fmtid="{D5CDD505-2E9C-101B-9397-08002B2CF9AE}" pid="3" name="KSOProductBuildVer">
    <vt:lpwstr>2052-11.1.0.13703</vt:lpwstr>
  </property>
</Properties>
</file>