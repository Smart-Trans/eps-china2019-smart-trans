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E:\EPS in github\Github China\eps-china2019-smart-trans\InputData\indst\BSoAIGtAP\"/>
    </mc:Choice>
  </mc:AlternateContent>
  <xr:revisionPtr revIDLastSave="0" documentId="13_ncr:1_{E2E90ECF-BBDB-4DB7-A5A2-71A1FE9CAF3B}" xr6:coauthVersionLast="47" xr6:coauthVersionMax="47" xr10:uidLastSave="{00000000-0000-0000-0000-000000000000}"/>
  <bookViews>
    <workbookView xWindow="-23148" yWindow="-108" windowWidth="23256" windowHeight="12456" activeTab="9" xr2:uid="{95452147-688C-4D47-A6BD-628258FF3C16}"/>
  </bookViews>
  <sheets>
    <sheet name="About" sheetId="11" r:id="rId1"/>
    <sheet name="2002" sheetId="7" r:id="rId2"/>
    <sheet name="2007" sheetId="6" r:id="rId3"/>
    <sheet name="2012" sheetId="5" r:id="rId4"/>
    <sheet name="2017" sheetId="4" r:id="rId5"/>
    <sheet name="2018" sheetId="2" r:id="rId6"/>
    <sheet name="2020" sheetId="12" r:id="rId7"/>
    <sheet name="Extrapolation" sheetId="8" r:id="rId8"/>
    <sheet name="Deflator" sheetId="9" r:id="rId9"/>
    <sheet name="BSoAIGtAP" sheetId="10" r:id="rId10"/>
  </sheets>
  <externalReferences>
    <externalReference r:id="rId11"/>
    <externalReference r:id="rId12"/>
    <externalReference r:id="rId13"/>
  </externalReferences>
  <definedNames>
    <definedName name="_8jjf" hidden="1">#REF!</definedName>
    <definedName name="_Fill" hidden="1">[1]eqpmad2!#REF!</definedName>
    <definedName name="_xlnm._FilterDatabase" hidden="1">#REF!</definedName>
    <definedName name="_Key1" hidden="1">#REF!</definedName>
    <definedName name="_Order1" hidden="1">255</definedName>
    <definedName name="_Order2" hidden="1">255</definedName>
    <definedName name="_s444" hidden="1">#REF!</definedName>
    <definedName name="_Sort" hidden="1">#REF!</definedName>
    <definedName name="ccc" hidden="1">[2]eqpmad2!#REF!</definedName>
    <definedName name="ccj" hidden="1">#REF!</definedName>
    <definedName name="chenjie1" hidden="1">#REF!</definedName>
    <definedName name="chenjie11" hidden="1">#REF!</definedName>
    <definedName name="chenjie11111" hidden="1">#REF!</definedName>
    <definedName name="d4444444" hidden="1">#REF!</definedName>
    <definedName name="ddd" hidden="1">#REF!</definedName>
    <definedName name="dollars_2020_2012">[3]About!$A$103</definedName>
    <definedName name="dss" hidden="1">#REF!</definedName>
    <definedName name="ffr" hidden="1">[1]eqpmad2!#REF!</definedName>
    <definedName name="frff" hidden="1">#REF!</definedName>
    <definedName name="ggff" hidden="1">#REF!</definedName>
    <definedName name="kkkksd" hidden="1">#REF!</definedName>
    <definedName name="lignite_multiplier">'[3]Hard Coal and Lig Multipliers'!$N$15</definedName>
    <definedName name="nonlignite_multiplier">'[3]Hard Coal and Lig Multipliers'!$N$16</definedName>
    <definedName name="ttt" hidden="1">#REF!</definedName>
    <definedName name="www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18" i="8" l="1"/>
  <c r="P22" i="8"/>
  <c r="P23" i="8"/>
  <c r="Q30" i="8"/>
  <c r="R30" i="8"/>
  <c r="S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AJ30" i="8"/>
  <c r="AK30" i="8"/>
  <c r="AL30" i="8"/>
  <c r="AM30" i="8"/>
  <c r="AN30" i="8"/>
  <c r="AO30" i="8"/>
  <c r="AP30" i="8"/>
  <c r="AQ30" i="8"/>
  <c r="AR30" i="8"/>
  <c r="AS30" i="8"/>
  <c r="AT30" i="8"/>
  <c r="AU30" i="8"/>
  <c r="AV30" i="8"/>
  <c r="AW30" i="8"/>
  <c r="AX30" i="8"/>
  <c r="AY30" i="8"/>
  <c r="AZ30" i="8"/>
  <c r="BA30" i="8"/>
  <c r="BB30" i="8"/>
  <c r="BC30" i="8"/>
  <c r="P30" i="8"/>
  <c r="P19" i="8" s="1"/>
  <c r="O29" i="8"/>
  <c r="M30" i="8"/>
  <c r="O30" i="8"/>
  <c r="Q28" i="8"/>
  <c r="R28" i="8"/>
  <c r="S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AJ28" i="8"/>
  <c r="AK28" i="8"/>
  <c r="AL28" i="8"/>
  <c r="AM28" i="8"/>
  <c r="AN28" i="8"/>
  <c r="AO28" i="8"/>
  <c r="AP28" i="8"/>
  <c r="AQ28" i="8"/>
  <c r="AR28" i="8"/>
  <c r="AS28" i="8"/>
  <c r="AT28" i="8"/>
  <c r="AU28" i="8"/>
  <c r="AV28" i="8"/>
  <c r="AW28" i="8"/>
  <c r="AX28" i="8"/>
  <c r="AY28" i="8"/>
  <c r="AZ28" i="8"/>
  <c r="BA28" i="8"/>
  <c r="BB28" i="8"/>
  <c r="BC28" i="8"/>
  <c r="P28" i="8"/>
  <c r="O23" i="8"/>
  <c r="O22" i="8"/>
  <c r="P10" i="8"/>
  <c r="P9" i="8"/>
  <c r="P5" i="8" s="1"/>
  <c r="P8" i="8"/>
  <c r="P3" i="8"/>
  <c r="N30" i="8"/>
  <c r="N29" i="8"/>
  <c r="N28" i="8"/>
  <c r="N27" i="8"/>
  <c r="M27" i="8"/>
  <c r="N24" i="8"/>
  <c r="N23" i="8"/>
  <c r="N22" i="8"/>
  <c r="M22" i="8"/>
  <c r="M24" i="8" s="1"/>
  <c r="N19" i="8"/>
  <c r="N18" i="8"/>
  <c r="N16" i="8"/>
  <c r="N15" i="8"/>
  <c r="M15" i="8"/>
  <c r="N12" i="8"/>
  <c r="N13" i="8"/>
  <c r="M12" i="8"/>
  <c r="N9" i="8"/>
  <c r="N10" i="8"/>
  <c r="N8" i="8"/>
  <c r="M8" i="8"/>
  <c r="N3" i="8"/>
  <c r="N5" i="8"/>
  <c r="N6" i="8"/>
  <c r="N4" i="8"/>
  <c r="O28" i="8"/>
  <c r="M28" i="8"/>
  <c r="O27" i="8"/>
  <c r="M23" i="8"/>
  <c r="O19" i="8"/>
  <c r="O18" i="8"/>
  <c r="M18" i="8"/>
  <c r="O16" i="8"/>
  <c r="M16" i="8"/>
  <c r="O15" i="8"/>
  <c r="M13" i="8"/>
  <c r="G15" i="8"/>
  <c r="O13" i="8"/>
  <c r="O12" i="8"/>
  <c r="O9" i="8"/>
  <c r="O10" i="8"/>
  <c r="O8" i="8"/>
  <c r="O4" i="8" s="1"/>
  <c r="I8" i="8"/>
  <c r="O3" i="8"/>
  <c r="K3" i="8"/>
  <c r="I3" i="8"/>
  <c r="G27" i="8"/>
  <c r="G28" i="8"/>
  <c r="G29" i="8"/>
  <c r="G30" i="8"/>
  <c r="F27" i="8"/>
  <c r="G22" i="8"/>
  <c r="G24" i="8" s="1"/>
  <c r="G23" i="8"/>
  <c r="F22" i="8"/>
  <c r="G18" i="8"/>
  <c r="G19" i="8"/>
  <c r="F18" i="8"/>
  <c r="F15" i="8"/>
  <c r="G16" i="8"/>
  <c r="G13" i="8"/>
  <c r="G12" i="8"/>
  <c r="F12" i="8"/>
  <c r="G8" i="8"/>
  <c r="G9" i="8"/>
  <c r="G10" i="8"/>
  <c r="F8" i="8"/>
  <c r="G3" i="8"/>
  <c r="B28" i="12"/>
  <c r="C26" i="12"/>
  <c r="C25" i="12"/>
  <c r="G5" i="8"/>
  <c r="G6" i="8"/>
  <c r="G4" i="8"/>
  <c r="F3" i="8"/>
  <c r="C19" i="12"/>
  <c r="B20" i="12"/>
  <c r="B19" i="12"/>
  <c r="B16" i="12"/>
  <c r="B30" i="12"/>
  <c r="B29" i="12"/>
  <c r="K23" i="12"/>
  <c r="J23" i="12"/>
  <c r="I23" i="12"/>
  <c r="H23" i="12"/>
  <c r="C23" i="12"/>
  <c r="B23" i="12"/>
  <c r="M22" i="12"/>
  <c r="L22" i="12"/>
  <c r="I22" i="12"/>
  <c r="H22" i="12"/>
  <c r="C22" i="12"/>
  <c r="B22" i="12"/>
  <c r="M21" i="12"/>
  <c r="L21" i="12"/>
  <c r="K21" i="12"/>
  <c r="J21" i="12"/>
  <c r="C21" i="12"/>
  <c r="B21" i="12"/>
  <c r="M20" i="12"/>
  <c r="L20" i="12"/>
  <c r="K20" i="12"/>
  <c r="J20" i="12"/>
  <c r="I20" i="12"/>
  <c r="H20" i="12"/>
  <c r="C20" i="12"/>
  <c r="M19" i="12"/>
  <c r="L19" i="12"/>
  <c r="K19" i="12"/>
  <c r="J19" i="12"/>
  <c r="I19" i="12"/>
  <c r="H19" i="12"/>
  <c r="M18" i="12"/>
  <c r="L18" i="12"/>
  <c r="K18" i="12"/>
  <c r="J18" i="12"/>
  <c r="I18" i="12"/>
  <c r="H18" i="12"/>
  <c r="L16" i="12"/>
  <c r="J16" i="12"/>
  <c r="H16" i="12"/>
  <c r="F16" i="12"/>
  <c r="D16" i="12"/>
  <c r="D29" i="7"/>
  <c r="C29" i="7"/>
  <c r="B29" i="7"/>
  <c r="I18" i="7"/>
  <c r="H18" i="7"/>
  <c r="P13" i="8" l="1"/>
  <c r="P12" i="8"/>
  <c r="O24" i="8"/>
  <c r="K26" i="12"/>
  <c r="K25" i="12"/>
  <c r="M25" i="12"/>
  <c r="I26" i="12"/>
  <c r="M26" i="12"/>
  <c r="I25" i="12"/>
  <c r="C29" i="12" l="1"/>
  <c r="D29" i="12" s="1"/>
  <c r="C30" i="12"/>
  <c r="D30" i="12" s="1"/>
  <c r="B29" i="4"/>
  <c r="B12" i="8"/>
  <c r="I12" i="8" s="1"/>
  <c r="G24" i="9"/>
  <c r="G23" i="9"/>
  <c r="H15" i="9"/>
  <c r="H16" i="9" s="1"/>
  <c r="I14" i="9"/>
  <c r="H13" i="9"/>
  <c r="I13" i="9" s="1"/>
  <c r="I15" i="9" l="1"/>
  <c r="H12" i="9"/>
  <c r="H17" i="9"/>
  <c r="I16" i="9"/>
  <c r="I12" i="9" l="1"/>
  <c r="H11" i="9"/>
  <c r="I17" i="9"/>
  <c r="H18" i="9"/>
  <c r="I11" i="9" l="1"/>
  <c r="H10" i="9"/>
  <c r="H19" i="9"/>
  <c r="I18" i="9"/>
  <c r="H9" i="9" l="1"/>
  <c r="I10" i="9"/>
  <c r="H20" i="9"/>
  <c r="I19" i="9"/>
  <c r="H8" i="9" l="1"/>
  <c r="I9" i="9"/>
  <c r="H21" i="9"/>
  <c r="I20" i="9"/>
  <c r="I8" i="9" l="1"/>
  <c r="H7" i="9"/>
  <c r="H22" i="9"/>
  <c r="I21" i="9"/>
  <c r="I7" i="9" l="1"/>
  <c r="H6" i="9"/>
  <c r="H23" i="9"/>
  <c r="I22" i="9"/>
  <c r="I6" i="9" l="1"/>
  <c r="H5" i="9"/>
  <c r="I23" i="9"/>
  <c r="H24" i="9"/>
  <c r="I24" i="9" s="1"/>
  <c r="I5" i="9" l="1"/>
  <c r="H4" i="9"/>
  <c r="B13" i="8"/>
  <c r="I13" i="8" s="1"/>
  <c r="C13" i="8"/>
  <c r="J13" i="8" s="1"/>
  <c r="D13" i="8"/>
  <c r="K13" i="8" s="1"/>
  <c r="E13" i="8"/>
  <c r="L13" i="8" s="1"/>
  <c r="F13" i="8"/>
  <c r="C12" i="8"/>
  <c r="J12" i="8" s="1"/>
  <c r="D12" i="8"/>
  <c r="K12" i="8" s="1"/>
  <c r="E12" i="8"/>
  <c r="L12" i="8" s="1"/>
  <c r="C29" i="2"/>
  <c r="I4" i="9" l="1"/>
  <c r="H3" i="9"/>
  <c r="D29" i="4"/>
  <c r="F6" i="8"/>
  <c r="M6" i="8" s="1"/>
  <c r="F5" i="8"/>
  <c r="M5" i="8" s="1"/>
  <c r="F4" i="8"/>
  <c r="E6" i="8"/>
  <c r="L6" i="8" s="1"/>
  <c r="E5" i="8"/>
  <c r="L5" i="8" s="1"/>
  <c r="E4" i="8"/>
  <c r="D6" i="8"/>
  <c r="K6" i="8" s="1"/>
  <c r="D5" i="8"/>
  <c r="K5" i="8" s="1"/>
  <c r="D4" i="8"/>
  <c r="C6" i="8"/>
  <c r="J6" i="8" s="1"/>
  <c r="C5" i="8"/>
  <c r="J5" i="8" s="1"/>
  <c r="C4" i="8"/>
  <c r="B6" i="8"/>
  <c r="I6" i="8" s="1"/>
  <c r="B5" i="8"/>
  <c r="I5" i="8" s="1"/>
  <c r="B4" i="8"/>
  <c r="B30" i="7"/>
  <c r="B28" i="7"/>
  <c r="K23" i="7"/>
  <c r="J23" i="7"/>
  <c r="I23" i="7"/>
  <c r="H23" i="7"/>
  <c r="C23" i="7"/>
  <c r="M26" i="7" s="1"/>
  <c r="B23" i="7"/>
  <c r="M22" i="7"/>
  <c r="L22" i="7"/>
  <c r="I22" i="7"/>
  <c r="H22" i="7"/>
  <c r="C22" i="7"/>
  <c r="K26" i="7" s="1"/>
  <c r="B22" i="7"/>
  <c r="M21" i="7"/>
  <c r="L21" i="7"/>
  <c r="K21" i="7"/>
  <c r="J21" i="7"/>
  <c r="C21" i="7"/>
  <c r="I25" i="7" s="1"/>
  <c r="B21" i="7"/>
  <c r="M20" i="7"/>
  <c r="L20" i="7"/>
  <c r="K20" i="7"/>
  <c r="J20" i="7"/>
  <c r="I20" i="7"/>
  <c r="H20" i="7"/>
  <c r="C20" i="7"/>
  <c r="C26" i="7" s="1"/>
  <c r="B20" i="7"/>
  <c r="M19" i="7"/>
  <c r="L19" i="7"/>
  <c r="K19" i="7"/>
  <c r="J19" i="7"/>
  <c r="I19" i="7"/>
  <c r="H19" i="7"/>
  <c r="C19" i="7"/>
  <c r="C25" i="7" s="1"/>
  <c r="B19" i="7"/>
  <c r="M18" i="7"/>
  <c r="L18" i="7"/>
  <c r="K18" i="7"/>
  <c r="J18" i="7"/>
  <c r="L16" i="7"/>
  <c r="J16" i="7"/>
  <c r="H16" i="7"/>
  <c r="F16" i="7"/>
  <c r="D16" i="7"/>
  <c r="B16" i="7"/>
  <c r="B30" i="6"/>
  <c r="B29" i="6"/>
  <c r="B28" i="6"/>
  <c r="K23" i="6"/>
  <c r="J23" i="6"/>
  <c r="I23" i="6"/>
  <c r="H23" i="6"/>
  <c r="C23" i="6"/>
  <c r="B23" i="6"/>
  <c r="M22" i="6"/>
  <c r="L22" i="6"/>
  <c r="I22" i="6"/>
  <c r="H22" i="6"/>
  <c r="C22" i="6"/>
  <c r="B22" i="6"/>
  <c r="M21" i="6"/>
  <c r="L21" i="6"/>
  <c r="K21" i="6"/>
  <c r="J21" i="6"/>
  <c r="C21" i="6"/>
  <c r="B21" i="6"/>
  <c r="M20" i="6"/>
  <c r="L20" i="6"/>
  <c r="K20" i="6"/>
  <c r="J20" i="6"/>
  <c r="I20" i="6"/>
  <c r="H20" i="6"/>
  <c r="C20" i="6"/>
  <c r="C26" i="6" s="1"/>
  <c r="B20" i="6"/>
  <c r="M19" i="6"/>
  <c r="L19" i="6"/>
  <c r="K19" i="6"/>
  <c r="J19" i="6"/>
  <c r="I19" i="6"/>
  <c r="H19" i="6"/>
  <c r="C19" i="6"/>
  <c r="C25" i="6" s="1"/>
  <c r="B19" i="6"/>
  <c r="M18" i="6"/>
  <c r="L18" i="6"/>
  <c r="K18" i="6"/>
  <c r="J18" i="6"/>
  <c r="I18" i="6"/>
  <c r="H18" i="6"/>
  <c r="L16" i="6"/>
  <c r="J16" i="6"/>
  <c r="H16" i="6"/>
  <c r="F16" i="6"/>
  <c r="D16" i="6"/>
  <c r="B16" i="6"/>
  <c r="B30" i="5"/>
  <c r="B29" i="5"/>
  <c r="B28" i="5"/>
  <c r="C26" i="5"/>
  <c r="K25" i="5"/>
  <c r="K23" i="5"/>
  <c r="J23" i="5"/>
  <c r="I23" i="5"/>
  <c r="H23" i="5"/>
  <c r="C23" i="5"/>
  <c r="M26" i="5" s="1"/>
  <c r="B23" i="5"/>
  <c r="M22" i="5"/>
  <c r="L22" i="5"/>
  <c r="I22" i="5"/>
  <c r="H22" i="5"/>
  <c r="C22" i="5"/>
  <c r="B22" i="5"/>
  <c r="M21" i="5"/>
  <c r="L21" i="5"/>
  <c r="K21" i="5"/>
  <c r="J21" i="5"/>
  <c r="C21" i="5"/>
  <c r="B21" i="5"/>
  <c r="M20" i="5"/>
  <c r="L20" i="5"/>
  <c r="K20" i="5"/>
  <c r="J20" i="5"/>
  <c r="I20" i="5"/>
  <c r="H20" i="5"/>
  <c r="C20" i="5"/>
  <c r="B20" i="5"/>
  <c r="M19" i="5"/>
  <c r="L19" i="5"/>
  <c r="K19" i="5"/>
  <c r="J19" i="5"/>
  <c r="I19" i="5"/>
  <c r="H19" i="5"/>
  <c r="C19" i="5"/>
  <c r="C25" i="5" s="1"/>
  <c r="B19" i="5"/>
  <c r="M18" i="5"/>
  <c r="L18" i="5"/>
  <c r="K18" i="5"/>
  <c r="J18" i="5"/>
  <c r="I18" i="5"/>
  <c r="H18" i="5"/>
  <c r="L16" i="5"/>
  <c r="J16" i="5"/>
  <c r="H16" i="5"/>
  <c r="F16" i="5"/>
  <c r="D16" i="5"/>
  <c r="B16" i="5"/>
  <c r="B30" i="4"/>
  <c r="B28" i="4"/>
  <c r="K23" i="4"/>
  <c r="J23" i="4"/>
  <c r="I23" i="4"/>
  <c r="H23" i="4"/>
  <c r="C23" i="4"/>
  <c r="B23" i="4"/>
  <c r="M22" i="4"/>
  <c r="L22" i="4"/>
  <c r="I22" i="4"/>
  <c r="H22" i="4"/>
  <c r="C22" i="4"/>
  <c r="B22" i="4"/>
  <c r="M21" i="4"/>
  <c r="L21" i="4"/>
  <c r="K21" i="4"/>
  <c r="J21" i="4"/>
  <c r="C21" i="4"/>
  <c r="B21" i="4"/>
  <c r="M20" i="4"/>
  <c r="L20" i="4"/>
  <c r="K20" i="4"/>
  <c r="J20" i="4"/>
  <c r="I20" i="4"/>
  <c r="H20" i="4"/>
  <c r="C20" i="4"/>
  <c r="C26" i="4" s="1"/>
  <c r="B20" i="4"/>
  <c r="M19" i="4"/>
  <c r="L19" i="4"/>
  <c r="K19" i="4"/>
  <c r="J19" i="4"/>
  <c r="I19" i="4"/>
  <c r="H19" i="4"/>
  <c r="C19" i="4"/>
  <c r="C25" i="4" s="1"/>
  <c r="B19" i="4"/>
  <c r="M18" i="4"/>
  <c r="L18" i="4"/>
  <c r="K18" i="4"/>
  <c r="J18" i="4"/>
  <c r="I18" i="4"/>
  <c r="H18" i="4"/>
  <c r="L16" i="4"/>
  <c r="J16" i="4"/>
  <c r="H16" i="4"/>
  <c r="F16" i="4"/>
  <c r="D16" i="4"/>
  <c r="B16" i="4"/>
  <c r="B30" i="2"/>
  <c r="B29" i="2"/>
  <c r="B28" i="2"/>
  <c r="L4" i="8" l="1"/>
  <c r="E3" i="8"/>
  <c r="L3" i="8" s="1"/>
  <c r="I4" i="8"/>
  <c r="B3" i="8"/>
  <c r="M4" i="8"/>
  <c r="M3" i="8"/>
  <c r="J4" i="8"/>
  <c r="J19" i="8" s="1"/>
  <c r="J23" i="8" s="1"/>
  <c r="C3" i="8"/>
  <c r="J3" i="8" s="1"/>
  <c r="K4" i="8"/>
  <c r="D3" i="8"/>
  <c r="K19" i="8"/>
  <c r="K23" i="8" s="1"/>
  <c r="K18" i="8"/>
  <c r="L19" i="8"/>
  <c r="L23" i="8" s="1"/>
  <c r="L18" i="8"/>
  <c r="L22" i="8"/>
  <c r="I18" i="8"/>
  <c r="I19" i="8"/>
  <c r="I23" i="8" s="1"/>
  <c r="I3" i="9"/>
  <c r="H2" i="9"/>
  <c r="I2" i="9" s="1"/>
  <c r="B19" i="8"/>
  <c r="B23" i="8" s="1"/>
  <c r="B18" i="8"/>
  <c r="B27" i="8" s="1"/>
  <c r="E9" i="8"/>
  <c r="L9" i="8" s="1"/>
  <c r="B8" i="8"/>
  <c r="C8" i="8"/>
  <c r="J8" i="8" s="1"/>
  <c r="C18" i="8"/>
  <c r="C22" i="8" s="1"/>
  <c r="C19" i="8"/>
  <c r="D8" i="8"/>
  <c r="K8" i="8" s="1"/>
  <c r="D18" i="8"/>
  <c r="D22" i="8" s="1"/>
  <c r="D19" i="8"/>
  <c r="E18" i="8"/>
  <c r="E22" i="8" s="1"/>
  <c r="E19" i="8"/>
  <c r="E10" i="8"/>
  <c r="L10" i="8" s="1"/>
  <c r="F19" i="8"/>
  <c r="B9" i="8"/>
  <c r="I9" i="8" s="1"/>
  <c r="C9" i="8"/>
  <c r="J9" i="8" s="1"/>
  <c r="C10" i="8"/>
  <c r="J10" i="8" s="1"/>
  <c r="D9" i="8"/>
  <c r="K9" i="8" s="1"/>
  <c r="D10" i="8"/>
  <c r="K10" i="8" s="1"/>
  <c r="E8" i="8"/>
  <c r="L8" i="8" s="1"/>
  <c r="B10" i="8"/>
  <c r="I10" i="8" s="1"/>
  <c r="F9" i="8"/>
  <c r="M9" i="8" s="1"/>
  <c r="F10" i="8"/>
  <c r="M10" i="8" s="1"/>
  <c r="D23" i="8"/>
  <c r="M25" i="5"/>
  <c r="I26" i="5"/>
  <c r="K26" i="5"/>
  <c r="K25" i="4"/>
  <c r="M25" i="4"/>
  <c r="K26" i="4"/>
  <c r="M25" i="6"/>
  <c r="I26" i="6"/>
  <c r="M26" i="6"/>
  <c r="K26" i="6"/>
  <c r="M25" i="7"/>
  <c r="K25" i="7"/>
  <c r="M26" i="4"/>
  <c r="I25" i="4"/>
  <c r="C29" i="4" s="1"/>
  <c r="I26" i="7"/>
  <c r="C30" i="7" s="1"/>
  <c r="D30" i="7" s="1"/>
  <c r="I25" i="6"/>
  <c r="K25" i="6"/>
  <c r="C30" i="5"/>
  <c r="D30" i="5" s="1"/>
  <c r="I25" i="5"/>
  <c r="C29" i="5"/>
  <c r="D29" i="5" s="1"/>
  <c r="I26" i="4"/>
  <c r="K23" i="2"/>
  <c r="J23" i="2"/>
  <c r="I23" i="2"/>
  <c r="H23" i="2"/>
  <c r="C23" i="2"/>
  <c r="B23" i="2"/>
  <c r="M22" i="2"/>
  <c r="L22" i="2"/>
  <c r="I22" i="2"/>
  <c r="H22" i="2"/>
  <c r="C22" i="2"/>
  <c r="K26" i="2" s="1"/>
  <c r="B22" i="2"/>
  <c r="M21" i="2"/>
  <c r="L21" i="2"/>
  <c r="K21" i="2"/>
  <c r="J21" i="2"/>
  <c r="C21" i="2"/>
  <c r="B21" i="2"/>
  <c r="M20" i="2"/>
  <c r="L20" i="2"/>
  <c r="K20" i="2"/>
  <c r="J20" i="2"/>
  <c r="I20" i="2"/>
  <c r="H20" i="2"/>
  <c r="C20" i="2"/>
  <c r="C26" i="2" s="1"/>
  <c r="B20" i="2"/>
  <c r="M19" i="2"/>
  <c r="L19" i="2"/>
  <c r="K19" i="2"/>
  <c r="J19" i="2"/>
  <c r="I19" i="2"/>
  <c r="H19" i="2"/>
  <c r="C19" i="2"/>
  <c r="C25" i="2" s="1"/>
  <c r="B19" i="2"/>
  <c r="M18" i="2"/>
  <c r="L18" i="2"/>
  <c r="K18" i="2"/>
  <c r="J18" i="2"/>
  <c r="I18" i="2"/>
  <c r="H18" i="2"/>
  <c r="F16" i="2"/>
  <c r="D16" i="2"/>
  <c r="L16" i="2"/>
  <c r="J16" i="2"/>
  <c r="H16" i="2"/>
  <c r="B16" i="2"/>
  <c r="J18" i="8" l="1"/>
  <c r="M19" i="8"/>
  <c r="L24" i="8"/>
  <c r="I22" i="8"/>
  <c r="I24" i="8" s="1"/>
  <c r="I28" i="8"/>
  <c r="I27" i="8"/>
  <c r="I15" i="8"/>
  <c r="I16" i="8"/>
  <c r="L27" i="8"/>
  <c r="L28" i="8"/>
  <c r="L16" i="8"/>
  <c r="L15" i="8"/>
  <c r="L30" i="8"/>
  <c r="L29" i="8"/>
  <c r="J22" i="8"/>
  <c r="J24" i="8" s="1"/>
  <c r="J28" i="8"/>
  <c r="J27" i="8"/>
  <c r="K15" i="8"/>
  <c r="K16" i="8"/>
  <c r="J30" i="8"/>
  <c r="J29" i="8"/>
  <c r="J15" i="8"/>
  <c r="J16" i="8"/>
  <c r="K22" i="8"/>
  <c r="K24" i="8" s="1"/>
  <c r="K28" i="8"/>
  <c r="K27" i="8"/>
  <c r="I30" i="8"/>
  <c r="I29" i="8"/>
  <c r="K30" i="8"/>
  <c r="K29" i="8"/>
  <c r="F23" i="8"/>
  <c r="F30" i="8"/>
  <c r="F29" i="8"/>
  <c r="D30" i="8"/>
  <c r="D29" i="8"/>
  <c r="C23" i="8"/>
  <c r="C24" i="8" s="1"/>
  <c r="C30" i="8"/>
  <c r="C29" i="8"/>
  <c r="D15" i="8"/>
  <c r="D16" i="8"/>
  <c r="C27" i="8"/>
  <c r="C28" i="8"/>
  <c r="D27" i="8"/>
  <c r="D28" i="8"/>
  <c r="C15" i="8"/>
  <c r="C16" i="8"/>
  <c r="B15" i="8"/>
  <c r="B16" i="8"/>
  <c r="F16" i="8"/>
  <c r="B28" i="8"/>
  <c r="E23" i="8"/>
  <c r="E24" i="8" s="1"/>
  <c r="E30" i="8"/>
  <c r="E29" i="8"/>
  <c r="E15" i="8"/>
  <c r="E16" i="8"/>
  <c r="B30" i="8"/>
  <c r="B29" i="8"/>
  <c r="F28" i="8"/>
  <c r="E28" i="8"/>
  <c r="E27" i="8"/>
  <c r="B22" i="8"/>
  <c r="B24" i="8" s="1"/>
  <c r="D24" i="8"/>
  <c r="C30" i="4"/>
  <c r="D30" i="4" s="1"/>
  <c r="C29" i="6"/>
  <c r="D29" i="6" s="1"/>
  <c r="C30" i="6"/>
  <c r="D30" i="6" s="1"/>
  <c r="I26" i="2"/>
  <c r="M25" i="2"/>
  <c r="I25" i="2"/>
  <c r="K25" i="2"/>
  <c r="M26" i="2"/>
  <c r="C30" i="2" s="1"/>
  <c r="D30" i="2" s="1"/>
  <c r="M29" i="8" l="1"/>
  <c r="B2" i="10"/>
  <c r="Q9" i="8"/>
  <c r="F24" i="8"/>
  <c r="O6" i="8"/>
  <c r="D29" i="2"/>
  <c r="Q3" i="8" l="1"/>
  <c r="P4" i="8"/>
  <c r="O5" i="8"/>
  <c r="Q8" i="8"/>
  <c r="R9" i="8"/>
  <c r="P6" i="8"/>
  <c r="P15" i="8" l="1"/>
  <c r="P16" i="8"/>
  <c r="Q5" i="8"/>
  <c r="Q18" i="8" s="1"/>
  <c r="R3" i="8"/>
  <c r="R8" i="8"/>
  <c r="Q4" i="8"/>
  <c r="Q10" i="8"/>
  <c r="Q6" i="8" s="1"/>
  <c r="Q19" i="8" s="1"/>
  <c r="S9" i="8"/>
  <c r="P24" i="8" l="1"/>
  <c r="E2" i="10" s="1"/>
  <c r="D2" i="10"/>
  <c r="S3" i="8"/>
  <c r="T3" i="8" s="1"/>
  <c r="R5" i="8"/>
  <c r="R18" i="8" s="1"/>
  <c r="Q23" i="8"/>
  <c r="Q13" i="8"/>
  <c r="Q16" i="8" s="1"/>
  <c r="Q12" i="8"/>
  <c r="Q15" i="8" s="1"/>
  <c r="Q22" i="8"/>
  <c r="R4" i="8"/>
  <c r="S8" i="8"/>
  <c r="R10" i="8"/>
  <c r="S10" i="8" s="1"/>
  <c r="T10" i="8" s="1"/>
  <c r="U10" i="8" s="1"/>
  <c r="V10" i="8" s="1"/>
  <c r="W10" i="8" s="1"/>
  <c r="X10" i="8" s="1"/>
  <c r="Y10" i="8" s="1"/>
  <c r="Z10" i="8" s="1"/>
  <c r="AA10" i="8" s="1"/>
  <c r="AB10" i="8" s="1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AN10" i="8" s="1"/>
  <c r="AO10" i="8" s="1"/>
  <c r="AP10" i="8" s="1"/>
  <c r="AQ10" i="8" s="1"/>
  <c r="AR10" i="8" s="1"/>
  <c r="AS10" i="8" s="1"/>
  <c r="AT10" i="8" s="1"/>
  <c r="AU10" i="8" s="1"/>
  <c r="AV10" i="8" s="1"/>
  <c r="AW10" i="8" s="1"/>
  <c r="AX10" i="8" s="1"/>
  <c r="AY10" i="8" s="1"/>
  <c r="AZ10" i="8" s="1"/>
  <c r="BA10" i="8" s="1"/>
  <c r="BB10" i="8" s="1"/>
  <c r="BC10" i="8" s="1"/>
  <c r="T9" i="8"/>
  <c r="T5" i="8" l="1"/>
  <c r="T18" i="8" s="1"/>
  <c r="T6" i="8"/>
  <c r="T19" i="8" s="1"/>
  <c r="U3" i="8"/>
  <c r="R6" i="8"/>
  <c r="R19" i="8" s="1"/>
  <c r="R13" i="8" s="1"/>
  <c r="R16" i="8" s="1"/>
  <c r="S6" i="8"/>
  <c r="S19" i="8" s="1"/>
  <c r="S5" i="8"/>
  <c r="S18" i="8" s="1"/>
  <c r="Q24" i="8"/>
  <c r="F2" i="10" s="1"/>
  <c r="R23" i="8"/>
  <c r="R12" i="8"/>
  <c r="R15" i="8" s="1"/>
  <c r="T8" i="8"/>
  <c r="S4" i="8"/>
  <c r="U9" i="8"/>
  <c r="V9" i="8" s="1"/>
  <c r="R22" i="8" l="1"/>
  <c r="R24" i="8" s="1"/>
  <c r="G2" i="10" s="1"/>
  <c r="U6" i="8"/>
  <c r="U19" i="8" s="1"/>
  <c r="U5" i="8"/>
  <c r="U18" i="8" s="1"/>
  <c r="V3" i="8"/>
  <c r="T4" i="8"/>
  <c r="S22" i="8"/>
  <c r="S13" i="8"/>
  <c r="S16" i="8" s="1"/>
  <c r="S12" i="8"/>
  <c r="S15" i="8" s="1"/>
  <c r="S23" i="8"/>
  <c r="U8" i="8"/>
  <c r="U4" i="8" s="1"/>
  <c r="W9" i="8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AN9" i="8" s="1"/>
  <c r="AO9" i="8" s="1"/>
  <c r="AP9" i="8" s="1"/>
  <c r="AQ9" i="8" s="1"/>
  <c r="AR9" i="8" s="1"/>
  <c r="AS9" i="8" s="1"/>
  <c r="AT9" i="8" s="1"/>
  <c r="AU9" i="8" s="1"/>
  <c r="AV9" i="8" s="1"/>
  <c r="AW9" i="8" s="1"/>
  <c r="AX9" i="8" s="1"/>
  <c r="AY9" i="8" s="1"/>
  <c r="AZ9" i="8" s="1"/>
  <c r="BA9" i="8" s="1"/>
  <c r="BB9" i="8" s="1"/>
  <c r="BC9" i="8" s="1"/>
  <c r="S24" i="8" l="1"/>
  <c r="H2" i="10" s="1"/>
  <c r="V5" i="8"/>
  <c r="V18" i="8" s="1"/>
  <c r="V6" i="8"/>
  <c r="V19" i="8" s="1"/>
  <c r="W3" i="8"/>
  <c r="V8" i="8"/>
  <c r="U22" i="8"/>
  <c r="U12" i="8"/>
  <c r="U15" i="8" s="1"/>
  <c r="U13" i="8"/>
  <c r="U16" i="8" s="1"/>
  <c r="U23" i="8"/>
  <c r="T23" i="8"/>
  <c r="T12" i="8"/>
  <c r="T15" i="8" s="1"/>
  <c r="T22" i="8"/>
  <c r="T13" i="8"/>
  <c r="T16" i="8" s="1"/>
  <c r="W6" i="8" l="1"/>
  <c r="W19" i="8" s="1"/>
  <c r="W5" i="8"/>
  <c r="W18" i="8" s="1"/>
  <c r="X3" i="8"/>
  <c r="U24" i="8"/>
  <c r="J2" i="10" s="1"/>
  <c r="T24" i="8"/>
  <c r="I2" i="10" s="1"/>
  <c r="W8" i="8"/>
  <c r="V4" i="8"/>
  <c r="X5" i="8" l="1"/>
  <c r="X18" i="8" s="1"/>
  <c r="X6" i="8"/>
  <c r="X19" i="8" s="1"/>
  <c r="Y3" i="8"/>
  <c r="V12" i="8"/>
  <c r="V15" i="8" s="1"/>
  <c r="V23" i="8"/>
  <c r="V13" i="8"/>
  <c r="V16" i="8" s="1"/>
  <c r="V22" i="8"/>
  <c r="X8" i="8"/>
  <c r="W4" i="8"/>
  <c r="V24" i="8" l="1"/>
  <c r="K2" i="10" s="1"/>
  <c r="Y6" i="8"/>
  <c r="Y19" i="8" s="1"/>
  <c r="Y5" i="8"/>
  <c r="Y18" i="8" s="1"/>
  <c r="Z3" i="8"/>
  <c r="Y8" i="8"/>
  <c r="X4" i="8"/>
  <c r="W22" i="8"/>
  <c r="W12" i="8"/>
  <c r="W15" i="8" s="1"/>
  <c r="W23" i="8"/>
  <c r="W13" i="8"/>
  <c r="W16" i="8" s="1"/>
  <c r="Z5" i="8" l="1"/>
  <c r="Z18" i="8" s="1"/>
  <c r="Z6" i="8"/>
  <c r="Z19" i="8" s="1"/>
  <c r="AA3" i="8"/>
  <c r="W24" i="8"/>
  <c r="L2" i="10" s="1"/>
  <c r="X13" i="8"/>
  <c r="X16" i="8" s="1"/>
  <c r="X12" i="8"/>
  <c r="X15" i="8" s="1"/>
  <c r="X22" i="8"/>
  <c r="X23" i="8"/>
  <c r="Z8" i="8"/>
  <c r="Y4" i="8"/>
  <c r="AA5" i="8" l="1"/>
  <c r="AA18" i="8" s="1"/>
  <c r="AA6" i="8"/>
  <c r="AA19" i="8" s="1"/>
  <c r="AB3" i="8"/>
  <c r="AA8" i="8"/>
  <c r="Z4" i="8"/>
  <c r="X24" i="8"/>
  <c r="M2" i="10" s="1"/>
  <c r="Y22" i="8"/>
  <c r="Y12" i="8"/>
  <c r="Y15" i="8" s="1"/>
  <c r="Y23" i="8"/>
  <c r="Y13" i="8"/>
  <c r="Y16" i="8" s="1"/>
  <c r="AB6" i="8" l="1"/>
  <c r="AB19" i="8" s="1"/>
  <c r="AB5" i="8"/>
  <c r="AB18" i="8" s="1"/>
  <c r="AC3" i="8"/>
  <c r="Z12" i="8"/>
  <c r="Z15" i="8" s="1"/>
  <c r="Z23" i="8"/>
  <c r="Z22" i="8"/>
  <c r="Z13" i="8"/>
  <c r="Z16" i="8" s="1"/>
  <c r="Y24" i="8"/>
  <c r="N2" i="10" s="1"/>
  <c r="AB8" i="8"/>
  <c r="AA4" i="8"/>
  <c r="AC6" i="8" l="1"/>
  <c r="AC19" i="8" s="1"/>
  <c r="AC5" i="8"/>
  <c r="AC18" i="8" s="1"/>
  <c r="AD3" i="8"/>
  <c r="Z24" i="8"/>
  <c r="O2" i="10" s="1"/>
  <c r="AC8" i="8"/>
  <c r="AB4" i="8"/>
  <c r="AA22" i="8"/>
  <c r="AA23" i="8"/>
  <c r="AA13" i="8"/>
  <c r="AA16" i="8" s="1"/>
  <c r="AA12" i="8"/>
  <c r="AA15" i="8" s="1"/>
  <c r="AD5" i="8" l="1"/>
  <c r="AD18" i="8" s="1"/>
  <c r="AD6" i="8"/>
  <c r="AD19" i="8" s="1"/>
  <c r="AE3" i="8"/>
  <c r="AA24" i="8"/>
  <c r="P2" i="10" s="1"/>
  <c r="AB12" i="8"/>
  <c r="AB15" i="8" s="1"/>
  <c r="AB22" i="8"/>
  <c r="AB13" i="8"/>
  <c r="AB16" i="8" s="1"/>
  <c r="AB23" i="8"/>
  <c r="AD8" i="8"/>
  <c r="AC4" i="8"/>
  <c r="AE5" i="8" l="1"/>
  <c r="AE18" i="8" s="1"/>
  <c r="AE6" i="8"/>
  <c r="AE19" i="8" s="1"/>
  <c r="AF3" i="8"/>
  <c r="AE8" i="8"/>
  <c r="AD4" i="8"/>
  <c r="AB24" i="8"/>
  <c r="Q2" i="10" s="1"/>
  <c r="AC13" i="8"/>
  <c r="AC16" i="8" s="1"/>
  <c r="AC12" i="8"/>
  <c r="AC15" i="8" s="1"/>
  <c r="AC23" i="8"/>
  <c r="AC22" i="8"/>
  <c r="AC24" i="8" l="1"/>
  <c r="R2" i="10" s="1"/>
  <c r="AF5" i="8"/>
  <c r="AF18" i="8" s="1"/>
  <c r="AF6" i="8"/>
  <c r="AF19" i="8" s="1"/>
  <c r="AG3" i="8"/>
  <c r="AD23" i="8"/>
  <c r="AD22" i="8"/>
  <c r="AD13" i="8"/>
  <c r="AD16" i="8" s="1"/>
  <c r="AD12" i="8"/>
  <c r="AD15" i="8" s="1"/>
  <c r="AF8" i="8"/>
  <c r="AE4" i="8"/>
  <c r="AD24" i="8" l="1"/>
  <c r="S2" i="10" s="1"/>
  <c r="AG6" i="8"/>
  <c r="AG19" i="8" s="1"/>
  <c r="AG5" i="8"/>
  <c r="AG18" i="8" s="1"/>
  <c r="AH3" i="8"/>
  <c r="AE23" i="8"/>
  <c r="AE22" i="8"/>
  <c r="AE13" i="8"/>
  <c r="AE16" i="8" s="1"/>
  <c r="AE12" i="8"/>
  <c r="AE15" i="8" s="1"/>
  <c r="AG8" i="8"/>
  <c r="AF4" i="8"/>
  <c r="AH5" i="8" l="1"/>
  <c r="AH18" i="8" s="1"/>
  <c r="AH6" i="8"/>
  <c r="AH19" i="8" s="1"/>
  <c r="AI3" i="8"/>
  <c r="AE24" i="8"/>
  <c r="T2" i="10" s="1"/>
  <c r="AF13" i="8"/>
  <c r="AF16" i="8" s="1"/>
  <c r="AF12" i="8"/>
  <c r="AF15" i="8" s="1"/>
  <c r="AF22" i="8"/>
  <c r="AF23" i="8"/>
  <c r="AH8" i="8"/>
  <c r="AG4" i="8"/>
  <c r="AF24" i="8" l="1"/>
  <c r="U2" i="10" s="1"/>
  <c r="AI5" i="8"/>
  <c r="AI18" i="8" s="1"/>
  <c r="AI6" i="8"/>
  <c r="AI19" i="8" s="1"/>
  <c r="AJ3" i="8"/>
  <c r="AI8" i="8"/>
  <c r="AH4" i="8"/>
  <c r="AG13" i="8"/>
  <c r="AG16" i="8" s="1"/>
  <c r="AG23" i="8"/>
  <c r="AG22" i="8"/>
  <c r="AG12" i="8"/>
  <c r="AG15" i="8" s="1"/>
  <c r="AG24" i="8" l="1"/>
  <c r="V2" i="10" s="1"/>
  <c r="AJ5" i="8"/>
  <c r="AJ18" i="8" s="1"/>
  <c r="AJ6" i="8"/>
  <c r="AJ19" i="8" s="1"/>
  <c r="AK3" i="8"/>
  <c r="AH12" i="8"/>
  <c r="AH15" i="8" s="1"/>
  <c r="AH22" i="8"/>
  <c r="AH13" i="8"/>
  <c r="AH16" i="8" s="1"/>
  <c r="AH23" i="8"/>
  <c r="AJ8" i="8"/>
  <c r="AI4" i="8"/>
  <c r="AK5" i="8" l="1"/>
  <c r="AK18" i="8" s="1"/>
  <c r="AK6" i="8"/>
  <c r="AK19" i="8" s="1"/>
  <c r="AL3" i="8"/>
  <c r="AI22" i="8"/>
  <c r="AI23" i="8"/>
  <c r="AI13" i="8"/>
  <c r="AI16" i="8" s="1"/>
  <c r="AI12" i="8"/>
  <c r="AI15" i="8" s="1"/>
  <c r="AK8" i="8"/>
  <c r="AJ4" i="8"/>
  <c r="AH24" i="8"/>
  <c r="W2" i="10" s="1"/>
  <c r="AL5" i="8" l="1"/>
  <c r="AL18" i="8" s="1"/>
  <c r="AL6" i="8"/>
  <c r="AL19" i="8" s="1"/>
  <c r="AM3" i="8"/>
  <c r="AL8" i="8"/>
  <c r="AK4" i="8"/>
  <c r="AJ12" i="8"/>
  <c r="AJ15" i="8" s="1"/>
  <c r="AJ23" i="8"/>
  <c r="AJ22" i="8"/>
  <c r="AJ13" i="8"/>
  <c r="AJ16" i="8" s="1"/>
  <c r="AI24" i="8"/>
  <c r="X2" i="10" s="1"/>
  <c r="AJ24" i="8" l="1"/>
  <c r="Y2" i="10" s="1"/>
  <c r="AM6" i="8"/>
  <c r="AM19" i="8" s="1"/>
  <c r="AM5" i="8"/>
  <c r="AM18" i="8" s="1"/>
  <c r="AN3" i="8"/>
  <c r="AK23" i="8"/>
  <c r="AK12" i="8"/>
  <c r="AK15" i="8" s="1"/>
  <c r="AK22" i="8"/>
  <c r="AK13" i="8"/>
  <c r="AK16" i="8" s="1"/>
  <c r="AM8" i="8"/>
  <c r="AL4" i="8"/>
  <c r="AN5" i="8" l="1"/>
  <c r="AN18" i="8" s="1"/>
  <c r="AN6" i="8"/>
  <c r="AN19" i="8" s="1"/>
  <c r="AO3" i="8"/>
  <c r="AK24" i="8"/>
  <c r="Z2" i="10" s="1"/>
  <c r="AL12" i="8"/>
  <c r="AL15" i="8" s="1"/>
  <c r="AL13" i="8"/>
  <c r="AL16" i="8" s="1"/>
  <c r="AL23" i="8"/>
  <c r="AL22" i="8"/>
  <c r="AN8" i="8"/>
  <c r="AM4" i="8"/>
  <c r="AL24" i="8" l="1"/>
  <c r="AA2" i="10" s="1"/>
  <c r="AO5" i="8"/>
  <c r="AO18" i="8" s="1"/>
  <c r="AO6" i="8"/>
  <c r="AO19" i="8" s="1"/>
  <c r="AP3" i="8"/>
  <c r="AO8" i="8"/>
  <c r="AN4" i="8"/>
  <c r="AM13" i="8"/>
  <c r="AM16" i="8" s="1"/>
  <c r="AM22" i="8"/>
  <c r="AM23" i="8"/>
  <c r="AM12" i="8"/>
  <c r="AM15" i="8" s="1"/>
  <c r="AP5" i="8" l="1"/>
  <c r="AP18" i="8" s="1"/>
  <c r="AP6" i="8"/>
  <c r="AP19" i="8" s="1"/>
  <c r="AQ3" i="8"/>
  <c r="AM24" i="8"/>
  <c r="AB2" i="10" s="1"/>
  <c r="AN23" i="8"/>
  <c r="AN12" i="8"/>
  <c r="AN15" i="8" s="1"/>
  <c r="AN22" i="8"/>
  <c r="AN13" i="8"/>
  <c r="AN16" i="8" s="1"/>
  <c r="AP8" i="8"/>
  <c r="AO4" i="8"/>
  <c r="AQ5" i="8" l="1"/>
  <c r="AQ18" i="8" s="1"/>
  <c r="AQ6" i="8"/>
  <c r="AQ19" i="8" s="1"/>
  <c r="AR3" i="8"/>
  <c r="AN24" i="8"/>
  <c r="AC2" i="10" s="1"/>
  <c r="AQ8" i="8"/>
  <c r="AP4" i="8"/>
  <c r="AO23" i="8"/>
  <c r="AO22" i="8"/>
  <c r="AO12" i="8"/>
  <c r="AO15" i="8" s="1"/>
  <c r="AO13" i="8"/>
  <c r="AO16" i="8" s="1"/>
  <c r="AO24" i="8" l="1"/>
  <c r="AD2" i="10" s="1"/>
  <c r="AR5" i="8"/>
  <c r="AR18" i="8" s="1"/>
  <c r="AR6" i="8"/>
  <c r="AR19" i="8" s="1"/>
  <c r="AS3" i="8"/>
  <c r="AP23" i="8"/>
  <c r="AP22" i="8"/>
  <c r="AP13" i="8"/>
  <c r="AP16" i="8" s="1"/>
  <c r="AP12" i="8"/>
  <c r="AP15" i="8" s="1"/>
  <c r="AR8" i="8"/>
  <c r="AQ4" i="8"/>
  <c r="AP24" i="8" l="1"/>
  <c r="AE2" i="10" s="1"/>
  <c r="AS5" i="8"/>
  <c r="AS18" i="8" s="1"/>
  <c r="AS6" i="8"/>
  <c r="AS19" i="8" s="1"/>
  <c r="AT3" i="8"/>
  <c r="AS8" i="8"/>
  <c r="AR4" i="8"/>
  <c r="AQ13" i="8"/>
  <c r="AQ16" i="8" s="1"/>
  <c r="AQ12" i="8"/>
  <c r="AQ15" i="8" s="1"/>
  <c r="AQ23" i="8"/>
  <c r="AQ22" i="8"/>
  <c r="AQ24" i="8" l="1"/>
  <c r="AF2" i="10" s="1"/>
  <c r="AT5" i="8"/>
  <c r="AT18" i="8" s="1"/>
  <c r="AT6" i="8"/>
  <c r="AT19" i="8" s="1"/>
  <c r="AU3" i="8"/>
  <c r="AR12" i="8"/>
  <c r="AR15" i="8" s="1"/>
  <c r="AR22" i="8"/>
  <c r="AR23" i="8"/>
  <c r="AR13" i="8"/>
  <c r="AR16" i="8" s="1"/>
  <c r="AT8" i="8"/>
  <c r="AS4" i="8"/>
  <c r="AU6" i="8" l="1"/>
  <c r="AU19" i="8" s="1"/>
  <c r="AU5" i="8"/>
  <c r="AU18" i="8" s="1"/>
  <c r="AV3" i="8"/>
  <c r="AS22" i="8"/>
  <c r="AS13" i="8"/>
  <c r="AS16" i="8" s="1"/>
  <c r="AS12" i="8"/>
  <c r="AS15" i="8" s="1"/>
  <c r="AS23" i="8"/>
  <c r="AU8" i="8"/>
  <c r="AT4" i="8"/>
  <c r="AR24" i="8"/>
  <c r="AG2" i="10" s="1"/>
  <c r="AV5" i="8" l="1"/>
  <c r="AV18" i="8" s="1"/>
  <c r="AV6" i="8"/>
  <c r="AV19" i="8" s="1"/>
  <c r="AW3" i="8"/>
  <c r="AT12" i="8"/>
  <c r="AT15" i="8" s="1"/>
  <c r="AT13" i="8"/>
  <c r="AT16" i="8" s="1"/>
  <c r="AT23" i="8"/>
  <c r="AT22" i="8"/>
  <c r="AV8" i="8"/>
  <c r="AU4" i="8"/>
  <c r="AS24" i="8"/>
  <c r="AH2" i="10" s="1"/>
  <c r="AT24" i="8" l="1"/>
  <c r="AI2" i="10" s="1"/>
  <c r="AW5" i="8"/>
  <c r="AW18" i="8" s="1"/>
  <c r="AW6" i="8"/>
  <c r="AW19" i="8" s="1"/>
  <c r="AX3" i="8"/>
  <c r="AW8" i="8"/>
  <c r="AV4" i="8"/>
  <c r="AU12" i="8"/>
  <c r="AU15" i="8" s="1"/>
  <c r="AU23" i="8"/>
  <c r="AU22" i="8"/>
  <c r="AU13" i="8"/>
  <c r="AU16" i="8" s="1"/>
  <c r="AX5" i="8" l="1"/>
  <c r="AX18" i="8" s="1"/>
  <c r="AX6" i="8"/>
  <c r="AX19" i="8" s="1"/>
  <c r="AY3" i="8"/>
  <c r="AU24" i="8"/>
  <c r="AJ2" i="10" s="1"/>
  <c r="AV22" i="8"/>
  <c r="AV12" i="8"/>
  <c r="AV15" i="8" s="1"/>
  <c r="AV13" i="8"/>
  <c r="AV16" i="8" s="1"/>
  <c r="AV23" i="8"/>
  <c r="AX8" i="8"/>
  <c r="AW4" i="8"/>
  <c r="AV24" i="8" l="1"/>
  <c r="AK2" i="10" s="1"/>
  <c r="AY6" i="8"/>
  <c r="AY19" i="8" s="1"/>
  <c r="AY5" i="8"/>
  <c r="AY18" i="8" s="1"/>
  <c r="AZ3" i="8"/>
  <c r="AW23" i="8"/>
  <c r="AW13" i="8"/>
  <c r="AW16" i="8" s="1"/>
  <c r="AW22" i="8"/>
  <c r="AW12" i="8"/>
  <c r="AW15" i="8" s="1"/>
  <c r="AY8" i="8"/>
  <c r="AX4" i="8"/>
  <c r="AW24" i="8" l="1"/>
  <c r="AL2" i="10" s="1"/>
  <c r="AZ6" i="8"/>
  <c r="AZ19" i="8" s="1"/>
  <c r="AZ5" i="8"/>
  <c r="AZ18" i="8" s="1"/>
  <c r="BA3" i="8"/>
  <c r="AX12" i="8"/>
  <c r="AX15" i="8" s="1"/>
  <c r="AX13" i="8"/>
  <c r="AX16" i="8" s="1"/>
  <c r="AX22" i="8"/>
  <c r="AX23" i="8"/>
  <c r="AZ8" i="8"/>
  <c r="AY4" i="8"/>
  <c r="BA5" i="8" l="1"/>
  <c r="BA18" i="8" s="1"/>
  <c r="BA6" i="8"/>
  <c r="BA19" i="8" s="1"/>
  <c r="BB3" i="8"/>
  <c r="AY23" i="8"/>
  <c r="AY22" i="8"/>
  <c r="AY12" i="8"/>
  <c r="AY15" i="8" s="1"/>
  <c r="AY13" i="8"/>
  <c r="AY16" i="8" s="1"/>
  <c r="BA8" i="8"/>
  <c r="AZ4" i="8"/>
  <c r="AX24" i="8"/>
  <c r="AM2" i="10" s="1"/>
  <c r="AY24" i="8" l="1"/>
  <c r="AN2" i="10" s="1"/>
  <c r="BB5" i="8"/>
  <c r="BB18" i="8" s="1"/>
  <c r="BB6" i="8"/>
  <c r="BB19" i="8" s="1"/>
  <c r="BC3" i="8"/>
  <c r="AZ12" i="8"/>
  <c r="AZ15" i="8" s="1"/>
  <c r="AZ23" i="8"/>
  <c r="AZ22" i="8"/>
  <c r="AZ13" i="8"/>
  <c r="AZ16" i="8" s="1"/>
  <c r="BB8" i="8"/>
  <c r="BA4" i="8"/>
  <c r="AZ24" i="8" l="1"/>
  <c r="AO2" i="10" s="1"/>
  <c r="BC6" i="8"/>
  <c r="BC19" i="8" s="1"/>
  <c r="BC5" i="8"/>
  <c r="BC18" i="8" s="1"/>
  <c r="BA22" i="8"/>
  <c r="BA13" i="8"/>
  <c r="BA16" i="8" s="1"/>
  <c r="BA12" i="8"/>
  <c r="BA15" i="8" s="1"/>
  <c r="BA23" i="8"/>
  <c r="BA24" i="8" s="1"/>
  <c r="AP2" i="10" s="1"/>
  <c r="BC8" i="8"/>
  <c r="BC4" i="8" s="1"/>
  <c r="BB4" i="8"/>
  <c r="BB12" i="8" l="1"/>
  <c r="BB15" i="8" s="1"/>
  <c r="BB22" i="8"/>
  <c r="BB23" i="8"/>
  <c r="BB13" i="8"/>
  <c r="BB16" i="8" s="1"/>
  <c r="BC12" i="8"/>
  <c r="BC15" i="8" s="1"/>
  <c r="BC22" i="8"/>
  <c r="BC13" i="8"/>
  <c r="BC16" i="8" s="1"/>
  <c r="BC23" i="8"/>
  <c r="BC24" i="8" l="1"/>
  <c r="AR2" i="10" s="1"/>
  <c r="BB24" i="8"/>
  <c r="AQ2" i="10" s="1"/>
  <c r="C2" i="10" l="1"/>
</calcChain>
</file>

<file path=xl/sharedStrings.xml><?xml version="1.0" encoding="utf-8"?>
<sst xmlns="http://schemas.openxmlformats.org/spreadsheetml/2006/main" count="319" uniqueCount="66">
  <si>
    <t>农产品</t>
  </si>
  <si>
    <t>畜牧产品</t>
  </si>
  <si>
    <t>渔产品</t>
  </si>
  <si>
    <t>投入</t>
  </si>
  <si>
    <t>产出</t>
  </si>
  <si>
    <t>进口</t>
  </si>
  <si>
    <t>增加值合计</t>
  </si>
  <si>
    <t>最终使用合计</t>
  </si>
  <si>
    <t>中间使用合计</t>
  </si>
  <si>
    <t>农、林、牧、渔服务产品</t>
  </si>
  <si>
    <t>谷物磨制品</t>
  </si>
  <si>
    <t>饲料加工品</t>
  </si>
  <si>
    <t>农产品产值</t>
    <phoneticPr fontId="3" type="noConversion"/>
  </si>
  <si>
    <t>畜牧业产值</t>
    <phoneticPr fontId="3" type="noConversion"/>
  </si>
  <si>
    <t>渔产品产值</t>
    <phoneticPr fontId="3" type="noConversion"/>
  </si>
  <si>
    <t>产值增加率</t>
    <phoneticPr fontId="3" type="noConversion"/>
  </si>
  <si>
    <t>农产品进</t>
    <phoneticPr fontId="3" type="noConversion"/>
  </si>
  <si>
    <t>畜牧产品</t>
    <phoneticPr fontId="3" type="noConversion"/>
  </si>
  <si>
    <t>渔产品</t>
    <phoneticPr fontId="3" type="noConversion"/>
  </si>
  <si>
    <t>经大农业服务产品进</t>
    <phoneticPr fontId="3" type="noConversion"/>
  </si>
  <si>
    <t>经谷物磨制品进</t>
    <phoneticPr fontId="3" type="noConversion"/>
  </si>
  <si>
    <t>经饲料加工品进</t>
    <phoneticPr fontId="3" type="noConversion"/>
  </si>
  <si>
    <t>中间投入合计</t>
    <phoneticPr fontId="3" type="noConversion"/>
  </si>
  <si>
    <t>农产品投入畜牧业比例</t>
    <phoneticPr fontId="3" type="noConversion"/>
  </si>
  <si>
    <t>农产品投入渔业比例</t>
    <phoneticPr fontId="3" type="noConversion"/>
  </si>
  <si>
    <t>渔产品占比</t>
    <phoneticPr fontId="3" type="noConversion"/>
  </si>
  <si>
    <t>农产品占比</t>
    <phoneticPr fontId="3" type="noConversion"/>
  </si>
  <si>
    <t>畜牧产品产值</t>
    <phoneticPr fontId="3" type="noConversion"/>
  </si>
  <si>
    <t>畜牧产品占比</t>
    <phoneticPr fontId="3" type="noConversion"/>
  </si>
  <si>
    <t>人民币年份</t>
  </si>
  <si>
    <t>当年人民币相对2012美元</t>
  </si>
  <si>
    <t>2012美元相对当年人民币价格</t>
  </si>
  <si>
    <t>deflator</t>
  </si>
  <si>
    <t>Year</t>
  </si>
  <si>
    <t>Inflation, GDP deflator (annual %)</t>
  </si>
  <si>
    <t>Convert from 2012 USD</t>
  </si>
  <si>
    <t>Convert to 2012 USD</t>
  </si>
  <si>
    <t>农产品投入渔业产值</t>
    <phoneticPr fontId="3" type="noConversion"/>
  </si>
  <si>
    <t>农产品投入畜牧业占一产比例</t>
    <phoneticPr fontId="3" type="noConversion"/>
  </si>
  <si>
    <t>农产品投入渔业占一产比例</t>
    <phoneticPr fontId="3" type="noConversion"/>
  </si>
  <si>
    <t>一产中投入畜牧业比例</t>
    <phoneticPr fontId="3" type="noConversion"/>
  </si>
  <si>
    <t>一产中投入渔业比例</t>
    <phoneticPr fontId="3" type="noConversion"/>
  </si>
  <si>
    <t>一产中投入动物养殖比例</t>
    <phoneticPr fontId="3" type="noConversion"/>
  </si>
  <si>
    <t>农产品投入畜牧业产值</t>
    <phoneticPr fontId="3" type="noConversion"/>
  </si>
  <si>
    <t>当年RMB</t>
    <phoneticPr fontId="3" type="noConversion"/>
  </si>
  <si>
    <t>2012 USD</t>
    <phoneticPr fontId="3" type="noConversion"/>
  </si>
  <si>
    <t>(dimensionless)</t>
  </si>
  <si>
    <t>Animal related share</t>
  </si>
  <si>
    <t>Source:</t>
  </si>
  <si>
    <t>BSoAIGtAP BAU Share of Agriculture Industry Going to Animal Products</t>
    <phoneticPr fontId="3" type="noConversion"/>
  </si>
  <si>
    <t>This variable specifies the share of all agricultural operations within the modeled</t>
    <phoneticPr fontId="3" type="noConversion"/>
  </si>
  <si>
    <t>region that go toward producing animal products.  This includes not only the raising</t>
    <phoneticPr fontId="3" type="noConversion"/>
  </si>
  <si>
    <t>of meat and dairy animals themselves, but also the production of animal feed</t>
    <phoneticPr fontId="3" type="noConversion"/>
  </si>
  <si>
    <t>and associated revenues.  Many calories of feed must be grown per</t>
    <phoneticPr fontId="3" type="noConversion"/>
  </si>
  <si>
    <t>calorie of meat produced, particularly from cows, so a significant share of</t>
    <phoneticPr fontId="3" type="noConversion"/>
  </si>
  <si>
    <t>crop production goes into making animal products.</t>
    <phoneticPr fontId="3" type="noConversion"/>
  </si>
  <si>
    <t>We use the Chinese input-output table to calculate the share of agricultural products that</t>
    <phoneticPr fontId="3" type="noConversion"/>
  </si>
  <si>
    <t xml:space="preserve"> directly enter the livestock and fishery sectors, as well as the share that indirectly enters </t>
    <phoneticPr fontId="3" type="noConversion"/>
  </si>
  <si>
    <t>these sectors through the agricultural, forestry, animal husbandry, and fishery services,</t>
    <phoneticPr fontId="3" type="noConversion"/>
  </si>
  <si>
    <t xml:space="preserve"> grain milling products, and feed processing. We extrapolate this based on historical data.</t>
    <phoneticPr fontId="3" type="noConversion"/>
  </si>
  <si>
    <t>Notes：</t>
    <phoneticPr fontId="3" type="noConversion"/>
  </si>
  <si>
    <t>National Input-Output Table</t>
    <phoneticPr fontId="3" type="noConversion"/>
  </si>
  <si>
    <t>国家统计局 National Bureau of Statistics</t>
    <phoneticPr fontId="3" type="noConversion"/>
  </si>
  <si>
    <t>https://data.stats.gov.cn/files/html/quickSearch/trcc/trcc01.html</t>
    <phoneticPr fontId="3" type="noConversion"/>
  </si>
  <si>
    <t>2002 2007 2012 2017 2018 2020</t>
    <phoneticPr fontId="3" type="noConversion"/>
  </si>
  <si>
    <t xml:space="preserve"> 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</si>
</sst>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_ "/>
    <numFmt numFmtId="177" formatCode="0.0000"/>
    <numFmt numFmtId="178" formatCode="0.0000_);[Red]\(0.0000\)"/>
    <numFmt numFmtId="179" formatCode="0.00000_ "/>
  </numFmts>
  <fonts count="7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u/>
      <sz val="11"/>
      <color theme="10"/>
      <name val="等线"/>
      <family val="2"/>
      <charset val="134"/>
      <scheme val="minor"/>
    </font>
    <font>
      <b/>
      <sz val="11"/>
      <color theme="1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6">
    <xf numFmtId="0" fontId="0" fillId="0" borderId="0">
      <alignment vertical="center"/>
    </xf>
    <xf numFmtId="0" fontId="2" fillId="0" borderId="0">
      <alignment vertical="center"/>
    </xf>
    <xf numFmtId="0" fontId="1" fillId="0" borderId="0"/>
    <xf numFmtId="9" fontId="1" fillId="0" borderId="0" applyFont="0" applyFill="0" applyBorder="0" applyAlignment="0" applyProtection="0">
      <alignment vertical="center"/>
    </xf>
    <xf numFmtId="0" fontId="1" fillId="0" borderId="0"/>
    <xf numFmtId="0" fontId="5" fillId="0" borderId="0" applyNumberFormat="0" applyFill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178" fontId="0" fillId="0" borderId="0" xfId="0" applyNumberFormat="1" applyAlignment="1">
      <alignment horizontal="center" vertical="center" wrapText="1"/>
    </xf>
    <xf numFmtId="0" fontId="0" fillId="0" borderId="0" xfId="0" applyAlignment="1"/>
    <xf numFmtId="177" fontId="0" fillId="0" borderId="0" xfId="0" applyNumberFormat="1" applyAlignment="1"/>
    <xf numFmtId="10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7" fontId="4" fillId="0" borderId="0" xfId="0" applyNumberFormat="1" applyFont="1" applyAlignment="1"/>
    <xf numFmtId="10" fontId="0" fillId="2" borderId="0" xfId="0" applyNumberFormat="1" applyFill="1">
      <alignment vertical="center"/>
    </xf>
    <xf numFmtId="176" fontId="0" fillId="2" borderId="0" xfId="0" applyNumberFormat="1" applyFill="1">
      <alignment vertical="center"/>
    </xf>
    <xf numFmtId="179" fontId="0" fillId="0" borderId="0" xfId="0" applyNumberFormat="1">
      <alignment vertical="center"/>
    </xf>
    <xf numFmtId="0" fontId="6" fillId="0" borderId="0" xfId="0" applyFont="1" applyAlignment="1"/>
    <xf numFmtId="0" fontId="6" fillId="3" borderId="0" xfId="0" applyFont="1" applyFill="1" applyAlignment="1"/>
    <xf numFmtId="0" fontId="0" fillId="0" borderId="0" xfId="0" applyAlignment="1">
      <alignment horizontal="left"/>
    </xf>
    <xf numFmtId="0" fontId="5" fillId="0" borderId="0" xfId="5" applyAlignment="1"/>
    <xf numFmtId="0" fontId="0" fillId="0" borderId="0" xfId="0" applyAlignment="1">
      <alignment horizontal="center" vertical="center"/>
    </xf>
    <xf numFmtId="0" fontId="0" fillId="4" borderId="0" xfId="0" applyFill="1">
      <alignment vertical="center"/>
    </xf>
    <xf numFmtId="176" fontId="0" fillId="4" borderId="0" xfId="0" applyNumberFormat="1" applyFill="1">
      <alignment vertical="center"/>
    </xf>
    <xf numFmtId="0" fontId="0" fillId="4" borderId="1" xfId="0" applyFill="1" applyBorder="1">
      <alignment vertical="center"/>
    </xf>
    <xf numFmtId="0" fontId="0" fillId="4" borderId="3" xfId="0" applyFill="1" applyBorder="1">
      <alignment vertical="center"/>
    </xf>
    <xf numFmtId="0" fontId="0" fillId="4" borderId="2" xfId="0" applyFill="1" applyBorder="1">
      <alignment vertical="center"/>
    </xf>
    <xf numFmtId="0" fontId="0" fillId="4" borderId="4" xfId="0" applyFill="1" applyBorder="1">
      <alignment vertical="center"/>
    </xf>
    <xf numFmtId="0" fontId="0" fillId="4" borderId="5" xfId="0" applyFill="1" applyBorder="1">
      <alignment vertical="center"/>
    </xf>
    <xf numFmtId="176" fontId="0" fillId="4" borderId="4" xfId="0" applyNumberFormat="1" applyFill="1" applyBorder="1">
      <alignment vertical="center"/>
    </xf>
    <xf numFmtId="176" fontId="0" fillId="4" borderId="5" xfId="0" applyNumberFormat="1" applyFill="1" applyBorder="1">
      <alignment vertical="center"/>
    </xf>
    <xf numFmtId="176" fontId="0" fillId="0" borderId="0" xfId="0" applyNumberFormat="1" applyFill="1">
      <alignment vertical="center"/>
    </xf>
    <xf numFmtId="0" fontId="0" fillId="0" borderId="0" xfId="0" applyFill="1">
      <alignment vertical="center"/>
    </xf>
    <xf numFmtId="10" fontId="0" fillId="0" borderId="0" xfId="0" applyNumberFormat="1" applyFill="1">
      <alignment vertical="center"/>
    </xf>
    <xf numFmtId="9" fontId="0" fillId="0" borderId="0" xfId="0" applyNumberFormat="1" applyFill="1">
      <alignment vertical="center"/>
    </xf>
  </cellXfs>
  <cellStyles count="6">
    <cellStyle name="百分比 2" xfId="3" xr:uid="{2E1EEE2D-EACE-412C-A9A5-F76C0E2E5D50}"/>
    <cellStyle name="常规" xfId="0" builtinId="0"/>
    <cellStyle name="常规 2" xfId="1" xr:uid="{5EA992CA-FFFC-465C-8EB6-3B9142C8C8AA}"/>
    <cellStyle name="常规 3" xfId="2" xr:uid="{C0DAE245-5193-4E20-9D02-0DC7B91B6A65}"/>
    <cellStyle name="常规 5" xfId="4" xr:uid="{71A3C2F5-DED7-4FC2-88F8-5EC186A8B63F}"/>
    <cellStyle name="超链接" xfId="5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Extrapolation!$B$2:$G$2</c:f>
              <c:numCache>
                <c:formatCode>General</c:formatCode>
                <c:ptCount val="6"/>
                <c:pt idx="0">
                  <c:v>2002</c:v>
                </c:pt>
                <c:pt idx="1">
                  <c:v>2007</c:v>
                </c:pt>
                <c:pt idx="2">
                  <c:v>2012</c:v>
                </c:pt>
                <c:pt idx="3">
                  <c:v>2017</c:v>
                </c:pt>
                <c:pt idx="4">
                  <c:v>2018</c:v>
                </c:pt>
                <c:pt idx="5">
                  <c:v>2020</c:v>
                </c:pt>
              </c:numCache>
            </c:numRef>
          </c:xVal>
          <c:yVal>
            <c:numRef>
              <c:f>Extrapolation!$B$12:$G$12</c:f>
              <c:numCache>
                <c:formatCode>0.00%</c:formatCode>
                <c:ptCount val="6"/>
                <c:pt idx="0">
                  <c:v>0.16746415981446552</c:v>
                </c:pt>
                <c:pt idx="1">
                  <c:v>0.16142339009231155</c:v>
                </c:pt>
                <c:pt idx="2">
                  <c:v>0.13049730630944134</c:v>
                </c:pt>
                <c:pt idx="3">
                  <c:v>0.10313877669824474</c:v>
                </c:pt>
                <c:pt idx="4">
                  <c:v>8.9475434620045119E-2</c:v>
                </c:pt>
                <c:pt idx="5">
                  <c:v>9.5124923543436435E-2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788-4DF7-B4F3-DACBCACF8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4588752"/>
        <c:axId val="1944589168"/>
      </c:scatterChart>
      <c:valAx>
        <c:axId val="194458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44589168"/>
        <c:crosses val="autoZero"/>
        <c:crossBetween val="midCat"/>
      </c:valAx>
      <c:valAx>
        <c:axId val="194458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44588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Extrapolation!$I$2:$BC$2</c:f>
              <c:numCache>
                <c:formatCode>General</c:formatCode>
                <c:ptCount val="47"/>
                <c:pt idx="0">
                  <c:v>2002</c:v>
                </c:pt>
                <c:pt idx="1">
                  <c:v>2007</c:v>
                </c:pt>
                <c:pt idx="2">
                  <c:v>2012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  <c:pt idx="32">
                  <c:v>2046</c:v>
                </c:pt>
                <c:pt idx="33">
                  <c:v>2047</c:v>
                </c:pt>
                <c:pt idx="34">
                  <c:v>2048</c:v>
                </c:pt>
                <c:pt idx="35">
                  <c:v>2049</c:v>
                </c:pt>
                <c:pt idx="36">
                  <c:v>2050</c:v>
                </c:pt>
                <c:pt idx="37">
                  <c:v>2051</c:v>
                </c:pt>
                <c:pt idx="38">
                  <c:v>2052</c:v>
                </c:pt>
                <c:pt idx="39">
                  <c:v>2053</c:v>
                </c:pt>
                <c:pt idx="40">
                  <c:v>2054</c:v>
                </c:pt>
                <c:pt idx="41">
                  <c:v>2055</c:v>
                </c:pt>
                <c:pt idx="42">
                  <c:v>2056</c:v>
                </c:pt>
                <c:pt idx="43">
                  <c:v>2057</c:v>
                </c:pt>
                <c:pt idx="44">
                  <c:v>2058</c:v>
                </c:pt>
                <c:pt idx="45">
                  <c:v>2059</c:v>
                </c:pt>
                <c:pt idx="46">
                  <c:v>2060</c:v>
                </c:pt>
              </c:numCache>
            </c:numRef>
          </c:xVal>
          <c:yVal>
            <c:numRef>
              <c:f>Extrapolation!$I$4:$BC$4</c:f>
              <c:numCache>
                <c:formatCode>0_ </c:formatCode>
                <c:ptCount val="47"/>
                <c:pt idx="0">
                  <c:v>3553.611776639963</c:v>
                </c:pt>
                <c:pt idx="1">
                  <c:v>4724.2787876179664</c:v>
                </c:pt>
                <c:pt idx="2">
                  <c:v>7386.0847011966362</c:v>
                </c:pt>
                <c:pt idx="3">
                  <c:v>8517.9595883623588</c:v>
                </c:pt>
                <c:pt idx="4">
                  <c:v>8440.4339083195173</c:v>
                </c:pt>
                <c:pt idx="5">
                  <c:v>9092.2916256257304</c:v>
                </c:pt>
                <c:pt idx="6">
                  <c:v>9744.1493429319435</c:v>
                </c:pt>
                <c:pt idx="7">
                  <c:v>9623.4444585297042</c:v>
                </c:pt>
                <c:pt idx="8">
                  <c:v>9890.3296031746486</c:v>
                </c:pt>
                <c:pt idx="9">
                  <c:v>10159.230833593063</c:v>
                </c:pt>
                <c:pt idx="10">
                  <c:v>10430.148149784804</c:v>
                </c:pt>
                <c:pt idx="11">
                  <c:v>10703.08155174987</c:v>
                </c:pt>
                <c:pt idx="12">
                  <c:v>10978.031039488462</c:v>
                </c:pt>
                <c:pt idx="13">
                  <c:v>11254.996613000396</c:v>
                </c:pt>
                <c:pt idx="14">
                  <c:v>11533.978272285727</c:v>
                </c:pt>
                <c:pt idx="15">
                  <c:v>11814.976017344528</c:v>
                </c:pt>
                <c:pt idx="16">
                  <c:v>12097.989848176567</c:v>
                </c:pt>
                <c:pt idx="17">
                  <c:v>12383.019764782164</c:v>
                </c:pt>
                <c:pt idx="18">
                  <c:v>12670.065767161086</c:v>
                </c:pt>
                <c:pt idx="19">
                  <c:v>12959.12785531348</c:v>
                </c:pt>
                <c:pt idx="20">
                  <c:v>13250.206029239123</c:v>
                </c:pt>
                <c:pt idx="21">
                  <c:v>13543.300288938239</c:v>
                </c:pt>
                <c:pt idx="22">
                  <c:v>13838.410634410808</c:v>
                </c:pt>
                <c:pt idx="23">
                  <c:v>14135.537065656699</c:v>
                </c:pt>
                <c:pt idx="24">
                  <c:v>14434.679582676103</c:v>
                </c:pt>
                <c:pt idx="25">
                  <c:v>14735.83818546881</c:v>
                </c:pt>
                <c:pt idx="26">
                  <c:v>15039.012874034916</c:v>
                </c:pt>
                <c:pt idx="27">
                  <c:v>15344.203648374376</c:v>
                </c:pt>
                <c:pt idx="28">
                  <c:v>15651.410508487374</c:v>
                </c:pt>
                <c:pt idx="29">
                  <c:v>15960.633454373672</c:v>
                </c:pt>
                <c:pt idx="30">
                  <c:v>16271.872486033422</c:v>
                </c:pt>
                <c:pt idx="31">
                  <c:v>16585.127603466459</c:v>
                </c:pt>
                <c:pt idx="32">
                  <c:v>16900.398806673005</c:v>
                </c:pt>
                <c:pt idx="33">
                  <c:v>17217.686095652894</c:v>
                </c:pt>
                <c:pt idx="34">
                  <c:v>17536.989470406184</c:v>
                </c:pt>
                <c:pt idx="35">
                  <c:v>17858.308930932868</c:v>
                </c:pt>
                <c:pt idx="36">
                  <c:v>18181.644477233029</c:v>
                </c:pt>
                <c:pt idx="37">
                  <c:v>18506.99610930651</c:v>
                </c:pt>
                <c:pt idx="38">
                  <c:v>18834.363827153338</c:v>
                </c:pt>
                <c:pt idx="39">
                  <c:v>19163.747630773636</c:v>
                </c:pt>
                <c:pt idx="40">
                  <c:v>19495.147520167367</c:v>
                </c:pt>
                <c:pt idx="41">
                  <c:v>19828.563495334543</c:v>
                </c:pt>
                <c:pt idx="42">
                  <c:v>20163.995556274906</c:v>
                </c:pt>
                <c:pt idx="43">
                  <c:v>20501.44370298877</c:v>
                </c:pt>
                <c:pt idx="44">
                  <c:v>20840.907935476091</c:v>
                </c:pt>
                <c:pt idx="45">
                  <c:v>21182.388253736754</c:v>
                </c:pt>
                <c:pt idx="46">
                  <c:v>21525.884657770814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0C-475D-8C31-B52BACF1A1EE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Extrapolation!$I$2:$BC$2</c:f>
              <c:numCache>
                <c:formatCode>General</c:formatCode>
                <c:ptCount val="47"/>
                <c:pt idx="0">
                  <c:v>2002</c:v>
                </c:pt>
                <c:pt idx="1">
                  <c:v>2007</c:v>
                </c:pt>
                <c:pt idx="2">
                  <c:v>2012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  <c:pt idx="32">
                  <c:v>2046</c:v>
                </c:pt>
                <c:pt idx="33">
                  <c:v>2047</c:v>
                </c:pt>
                <c:pt idx="34">
                  <c:v>2048</c:v>
                </c:pt>
                <c:pt idx="35">
                  <c:v>2049</c:v>
                </c:pt>
                <c:pt idx="36">
                  <c:v>2050</c:v>
                </c:pt>
                <c:pt idx="37">
                  <c:v>2051</c:v>
                </c:pt>
                <c:pt idx="38">
                  <c:v>2052</c:v>
                </c:pt>
                <c:pt idx="39">
                  <c:v>2053</c:v>
                </c:pt>
                <c:pt idx="40">
                  <c:v>2054</c:v>
                </c:pt>
                <c:pt idx="41">
                  <c:v>2055</c:v>
                </c:pt>
                <c:pt idx="42">
                  <c:v>2056</c:v>
                </c:pt>
                <c:pt idx="43">
                  <c:v>2057</c:v>
                </c:pt>
                <c:pt idx="44">
                  <c:v>2058</c:v>
                </c:pt>
                <c:pt idx="45">
                  <c:v>2059</c:v>
                </c:pt>
                <c:pt idx="46">
                  <c:v>2060</c:v>
                </c:pt>
              </c:numCache>
            </c:numRef>
          </c:xVal>
          <c:yVal>
            <c:numRef>
              <c:f>Extrapolation!$I$5:$BC$5</c:f>
              <c:numCache>
                <c:formatCode>0_ </c:formatCode>
                <c:ptCount val="47"/>
                <c:pt idx="0">
                  <c:v>2096.6165576717208</c:v>
                </c:pt>
                <c:pt idx="1">
                  <c:v>2992.4862151333796</c:v>
                </c:pt>
                <c:pt idx="2">
                  <c:v>4275.308153409449</c:v>
                </c:pt>
                <c:pt idx="3">
                  <c:v>4268.1436394412731</c:v>
                </c:pt>
                <c:pt idx="4">
                  <c:v>3861.8455262952011</c:v>
                </c:pt>
                <c:pt idx="5">
                  <c:v>4442.306958782222</c:v>
                </c:pt>
                <c:pt idx="6">
                  <c:v>5022.7683912692428</c:v>
                </c:pt>
                <c:pt idx="7">
                  <c:v>4621.7714699252292</c:v>
                </c:pt>
                <c:pt idx="8">
                  <c:v>4679.0773477418252</c:v>
                </c:pt>
                <c:pt idx="9">
                  <c:v>4734.1523570242935</c:v>
                </c:pt>
                <c:pt idx="10">
                  <c:v>4786.996497772584</c:v>
                </c:pt>
                <c:pt idx="11">
                  <c:v>4837.6097699866523</c:v>
                </c:pt>
                <c:pt idx="12">
                  <c:v>4885.9921736666402</c:v>
                </c:pt>
                <c:pt idx="13">
                  <c:v>4932.143708812453</c:v>
                </c:pt>
                <c:pt idx="14">
                  <c:v>4976.0643754240728</c:v>
                </c:pt>
                <c:pt idx="15">
                  <c:v>5017.7541735015975</c:v>
                </c:pt>
                <c:pt idx="16">
                  <c:v>5057.2131030448836</c:v>
                </c:pt>
                <c:pt idx="17">
                  <c:v>5094.4411640540538</c:v>
                </c:pt>
                <c:pt idx="18">
                  <c:v>5129.4383565290864</c:v>
                </c:pt>
                <c:pt idx="19">
                  <c:v>5162.2046804699357</c:v>
                </c:pt>
                <c:pt idx="20">
                  <c:v>5192.7401358765837</c:v>
                </c:pt>
                <c:pt idx="21">
                  <c:v>5221.0447227491204</c:v>
                </c:pt>
                <c:pt idx="22">
                  <c:v>5247.1184410875076</c:v>
                </c:pt>
                <c:pt idx="23">
                  <c:v>5270.9612908917061</c:v>
                </c:pt>
                <c:pt idx="24">
                  <c:v>5292.5732721617724</c:v>
                </c:pt>
                <c:pt idx="25">
                  <c:v>5311.9543848976509</c:v>
                </c:pt>
                <c:pt idx="26">
                  <c:v>5329.10462909937</c:v>
                </c:pt>
                <c:pt idx="27">
                  <c:v>5344.0240047669286</c:v>
                </c:pt>
                <c:pt idx="28">
                  <c:v>5356.712511900354</c:v>
                </c:pt>
                <c:pt idx="29">
                  <c:v>5367.1701504995935</c:v>
                </c:pt>
                <c:pt idx="30">
                  <c:v>5375.3969205647199</c:v>
                </c:pt>
                <c:pt idx="31">
                  <c:v>5381.3928220956141</c:v>
                </c:pt>
                <c:pt idx="32">
                  <c:v>5385.1578550923996</c:v>
                </c:pt>
                <c:pt idx="33">
                  <c:v>5386.6920195549765</c:v>
                </c:pt>
                <c:pt idx="34">
                  <c:v>5385.9953154834393</c:v>
                </c:pt>
                <c:pt idx="35">
                  <c:v>5383.0677428777199</c:v>
                </c:pt>
                <c:pt idx="36">
                  <c:v>5377.90930173784</c:v>
                </c:pt>
                <c:pt idx="37">
                  <c:v>5370.5199920638006</c:v>
                </c:pt>
                <c:pt idx="38">
                  <c:v>5360.8998138556253</c:v>
                </c:pt>
                <c:pt idx="39">
                  <c:v>5349.0487671132914</c:v>
                </c:pt>
                <c:pt idx="40">
                  <c:v>5334.9668518367953</c:v>
                </c:pt>
                <c:pt idx="41">
                  <c:v>5318.6540680261378</c:v>
                </c:pt>
                <c:pt idx="42">
                  <c:v>5300.1104156812526</c:v>
                </c:pt>
                <c:pt idx="43">
                  <c:v>5279.3358948022542</c:v>
                </c:pt>
                <c:pt idx="44">
                  <c:v>5256.3305053891427</c:v>
                </c:pt>
                <c:pt idx="45">
                  <c:v>5231.0942474418252</c:v>
                </c:pt>
                <c:pt idx="46">
                  <c:v>5203.6271209603474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0C-475D-8C31-B52BACF1A1EE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Extrapolation!$I$2:$BC$2</c:f>
              <c:numCache>
                <c:formatCode>General</c:formatCode>
                <c:ptCount val="47"/>
                <c:pt idx="0">
                  <c:v>2002</c:v>
                </c:pt>
                <c:pt idx="1">
                  <c:v>2007</c:v>
                </c:pt>
                <c:pt idx="2">
                  <c:v>2012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  <c:pt idx="32">
                  <c:v>2046</c:v>
                </c:pt>
                <c:pt idx="33">
                  <c:v>2047</c:v>
                </c:pt>
                <c:pt idx="34">
                  <c:v>2048</c:v>
                </c:pt>
                <c:pt idx="35">
                  <c:v>2049</c:v>
                </c:pt>
                <c:pt idx="36">
                  <c:v>2050</c:v>
                </c:pt>
                <c:pt idx="37">
                  <c:v>2051</c:v>
                </c:pt>
                <c:pt idx="38">
                  <c:v>2052</c:v>
                </c:pt>
                <c:pt idx="39">
                  <c:v>2053</c:v>
                </c:pt>
                <c:pt idx="40">
                  <c:v>2054</c:v>
                </c:pt>
                <c:pt idx="41">
                  <c:v>2055</c:v>
                </c:pt>
                <c:pt idx="42">
                  <c:v>2056</c:v>
                </c:pt>
                <c:pt idx="43">
                  <c:v>2057</c:v>
                </c:pt>
                <c:pt idx="44">
                  <c:v>2058</c:v>
                </c:pt>
                <c:pt idx="45">
                  <c:v>2059</c:v>
                </c:pt>
                <c:pt idx="46">
                  <c:v>2060</c:v>
                </c:pt>
              </c:numCache>
            </c:numRef>
          </c:xVal>
          <c:yVal>
            <c:numRef>
              <c:f>Extrapolation!$I$6:$BC$6</c:f>
              <c:numCache>
                <c:formatCode>0_ </c:formatCode>
                <c:ptCount val="47"/>
                <c:pt idx="0">
                  <c:v>739.81542996075939</c:v>
                </c:pt>
                <c:pt idx="1">
                  <c:v>863.34754796266577</c:v>
                </c:pt>
                <c:pt idx="2">
                  <c:v>1355.5051660217071</c:v>
                </c:pt>
                <c:pt idx="3">
                  <c:v>1687.0160259154172</c:v>
                </c:pt>
                <c:pt idx="4">
                  <c:v>1708.5718204937652</c:v>
                </c:pt>
                <c:pt idx="5">
                  <c:v>1736.061032512534</c:v>
                </c:pt>
                <c:pt idx="6">
                  <c:v>1763.550244531303</c:v>
                </c:pt>
                <c:pt idx="7">
                  <c:v>1825.3637957561905</c:v>
                </c:pt>
                <c:pt idx="8">
                  <c:v>1872.2729046602387</c:v>
                </c:pt>
                <c:pt idx="9">
                  <c:v>1919.3967963250607</c:v>
                </c:pt>
                <c:pt idx="10">
                  <c:v>1966.7354707506352</c:v>
                </c:pt>
                <c:pt idx="11">
                  <c:v>2014.2889279369563</c:v>
                </c:pt>
                <c:pt idx="12">
                  <c:v>2062.0571678840656</c:v>
                </c:pt>
                <c:pt idx="13">
                  <c:v>2110.0401905919234</c:v>
                </c:pt>
                <c:pt idx="14">
                  <c:v>2158.2379960605454</c:v>
                </c:pt>
                <c:pt idx="15">
                  <c:v>2206.650584289941</c:v>
                </c:pt>
                <c:pt idx="16">
                  <c:v>2255.2779552800725</c:v>
                </c:pt>
                <c:pt idx="17">
                  <c:v>2304.1201090309924</c:v>
                </c:pt>
                <c:pt idx="18">
                  <c:v>2353.1770455426604</c:v>
                </c:pt>
                <c:pt idx="19">
                  <c:v>2402.4487648151057</c:v>
                </c:pt>
                <c:pt idx="20">
                  <c:v>2451.9352668482866</c:v>
                </c:pt>
                <c:pt idx="21">
                  <c:v>2501.6365516422388</c:v>
                </c:pt>
                <c:pt idx="22">
                  <c:v>2551.5526191969702</c:v>
                </c:pt>
                <c:pt idx="23">
                  <c:v>2601.6834695124498</c:v>
                </c:pt>
                <c:pt idx="24">
                  <c:v>2652.0291025887059</c:v>
                </c:pt>
                <c:pt idx="25">
                  <c:v>2702.589518425711</c:v>
                </c:pt>
                <c:pt idx="26">
                  <c:v>2753.3647170234758</c:v>
                </c:pt>
                <c:pt idx="27">
                  <c:v>2804.3546983820015</c:v>
                </c:pt>
                <c:pt idx="28">
                  <c:v>2855.5594625013046</c:v>
                </c:pt>
                <c:pt idx="29">
                  <c:v>2906.9790093813572</c:v>
                </c:pt>
                <c:pt idx="30">
                  <c:v>2958.6133390221858</c:v>
                </c:pt>
                <c:pt idx="31">
                  <c:v>3010.462451423748</c:v>
                </c:pt>
                <c:pt idx="32">
                  <c:v>3062.526346586098</c:v>
                </c:pt>
                <c:pt idx="33">
                  <c:v>3114.8050245092004</c:v>
                </c:pt>
                <c:pt idx="34">
                  <c:v>3167.2984851930637</c:v>
                </c:pt>
                <c:pt idx="35">
                  <c:v>3220.0067286376857</c:v>
                </c:pt>
                <c:pt idx="36">
                  <c:v>3272.9297548430868</c:v>
                </c:pt>
                <c:pt idx="37">
                  <c:v>3326.0675638092362</c:v>
                </c:pt>
                <c:pt idx="38">
                  <c:v>3379.4201555361428</c:v>
                </c:pt>
                <c:pt idx="39">
                  <c:v>3432.9875300238182</c:v>
                </c:pt>
                <c:pt idx="40">
                  <c:v>3486.7696872722677</c:v>
                </c:pt>
                <c:pt idx="41">
                  <c:v>3540.7666272814768</c:v>
                </c:pt>
                <c:pt idx="42">
                  <c:v>3594.9783500514254</c:v>
                </c:pt>
                <c:pt idx="43">
                  <c:v>3649.4048555821437</c:v>
                </c:pt>
                <c:pt idx="44">
                  <c:v>3704.0461438736438</c:v>
                </c:pt>
                <c:pt idx="45">
                  <c:v>3758.9022149258899</c:v>
                </c:pt>
                <c:pt idx="46">
                  <c:v>3813.9730687388947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80C-475D-8C31-B52BACF1A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4308080"/>
        <c:axId val="1334308496"/>
      </c:scatterChart>
      <c:valAx>
        <c:axId val="1334308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34308496"/>
        <c:crosses val="autoZero"/>
        <c:crossBetween val="midCat"/>
      </c:valAx>
      <c:valAx>
        <c:axId val="133430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343080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31</xdr:row>
      <xdr:rowOff>0</xdr:rowOff>
    </xdr:from>
    <xdr:to>
      <xdr:col>7</xdr:col>
      <xdr:colOff>9525</xdr:colOff>
      <xdr:row>46</xdr:row>
      <xdr:rowOff>28575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43865BA9-C58D-4D32-AABF-A585927330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40</xdr:col>
      <xdr:colOff>442912</xdr:colOff>
      <xdr:row>13</xdr:row>
      <xdr:rowOff>76200</xdr:rowOff>
    </xdr:from>
    <xdr:to>
      <xdr:col>47</xdr:col>
      <xdr:colOff>214312</xdr:colOff>
      <xdr:row>28</xdr:row>
      <xdr:rowOff>104775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4966FA25-EE87-43D7-8658-8B01800BFF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Spares\FILES\SMCTS2\SMCTSSP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NTS01/jhc/unzipped/Eastern%20Airline%20FE/Spares/FILES/SMCTS2/SMCTSSP2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gramming\EPS\Existing%20Models\EPS%20US%203.3.1\InputData\fuels\BFPaT\BAU%20Fuel%20Prices%20and%20Tax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qpmad2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qpmad2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2"/>
      <sheetName val="Gas Futures"/>
      <sheetName val="Henry Hub Historicals"/>
      <sheetName val="NG Sector Price Historicals"/>
      <sheetName val="Historical Monthly Gas Cons"/>
      <sheetName val="NG Calcs"/>
      <sheetName val="AEO Table 3"/>
      <sheetName val="AEO Table 12"/>
      <sheetName val="AEO Table 57"/>
      <sheetName val="Hard Coal and Lig Multipliers"/>
      <sheetName val="Hydrogen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>
        <row r="103">
          <cell r="A103">
            <v>0.88711067149387013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5">
          <cell r="N15">
            <v>0.92062879123815489</v>
          </cell>
        </row>
        <row r="16">
          <cell r="N16">
            <v>1.0036394752510358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stats.gov.cn/files/html/quickSearch/trcc/trcc01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DF46-CB15-4336-ADC4-2387A055EA51}">
  <dimension ref="A1:B22"/>
  <sheetViews>
    <sheetView workbookViewId="0"/>
  </sheetViews>
  <sheetFormatPr defaultRowHeight="14.25" x14ac:dyDescent="0.2"/>
  <cols>
    <col min="2" max="2" width="71" customWidth="1"/>
  </cols>
  <sheetData>
    <row r="1" spans="1:2" x14ac:dyDescent="0.2">
      <c r="A1" s="16" t="s">
        <v>49</v>
      </c>
      <c r="B1" s="8"/>
    </row>
    <row r="2" spans="1:2" x14ac:dyDescent="0.2">
      <c r="A2" s="8"/>
      <c r="B2" s="8"/>
    </row>
    <row r="3" spans="1:2" x14ac:dyDescent="0.2">
      <c r="A3" s="16" t="s">
        <v>48</v>
      </c>
      <c r="B3" s="17" t="s">
        <v>61</v>
      </c>
    </row>
    <row r="4" spans="1:2" x14ac:dyDescent="0.2">
      <c r="A4" s="8"/>
      <c r="B4" s="8" t="s">
        <v>62</v>
      </c>
    </row>
    <row r="5" spans="1:2" x14ac:dyDescent="0.2">
      <c r="A5" s="8"/>
      <c r="B5" s="18" t="s">
        <v>64</v>
      </c>
    </row>
    <row r="6" spans="1:2" x14ac:dyDescent="0.2">
      <c r="A6" s="8"/>
      <c r="B6" s="19" t="s">
        <v>63</v>
      </c>
    </row>
    <row r="7" spans="1:2" x14ac:dyDescent="0.2">
      <c r="A7" s="8"/>
      <c r="B7" s="8"/>
    </row>
    <row r="8" spans="1:2" x14ac:dyDescent="0.2">
      <c r="A8" s="16" t="s">
        <v>60</v>
      </c>
      <c r="B8" s="8"/>
    </row>
    <row r="9" spans="1:2" x14ac:dyDescent="0.2">
      <c r="A9" s="8" t="s">
        <v>50</v>
      </c>
      <c r="B9" s="8"/>
    </row>
    <row r="10" spans="1:2" x14ac:dyDescent="0.2">
      <c r="A10" s="8" t="s">
        <v>51</v>
      </c>
      <c r="B10" s="8"/>
    </row>
    <row r="11" spans="1:2" x14ac:dyDescent="0.2">
      <c r="A11" s="8" t="s">
        <v>52</v>
      </c>
      <c r="B11" s="8"/>
    </row>
    <row r="12" spans="1:2" x14ac:dyDescent="0.2">
      <c r="A12" s="8" t="s">
        <v>53</v>
      </c>
      <c r="B12" s="8"/>
    </row>
    <row r="13" spans="1:2" x14ac:dyDescent="0.2">
      <c r="A13" s="8" t="s">
        <v>54</v>
      </c>
      <c r="B13" s="8"/>
    </row>
    <row r="14" spans="1:2" x14ac:dyDescent="0.2">
      <c r="A14" s="8" t="s">
        <v>55</v>
      </c>
      <c r="B14" s="8"/>
    </row>
    <row r="15" spans="1:2" x14ac:dyDescent="0.2">
      <c r="A15" s="8"/>
      <c r="B15" s="8"/>
    </row>
    <row r="16" spans="1:2" x14ac:dyDescent="0.2">
      <c r="A16" s="8" t="s">
        <v>56</v>
      </c>
      <c r="B16" s="8"/>
    </row>
    <row r="17" spans="1:2" x14ac:dyDescent="0.2">
      <c r="A17" s="8" t="s">
        <v>57</v>
      </c>
      <c r="B17" s="8"/>
    </row>
    <row r="18" spans="1:2" x14ac:dyDescent="0.2">
      <c r="A18" s="8" t="s">
        <v>58</v>
      </c>
      <c r="B18" s="8"/>
    </row>
    <row r="19" spans="1:2" x14ac:dyDescent="0.2">
      <c r="A19" s="8" t="s">
        <v>59</v>
      </c>
      <c r="B19" s="8"/>
    </row>
    <row r="20" spans="1:2" x14ac:dyDescent="0.2">
      <c r="A20" s="8"/>
      <c r="B20" s="8"/>
    </row>
    <row r="21" spans="1:2" x14ac:dyDescent="0.2">
      <c r="A21" s="8"/>
      <c r="B21" s="8"/>
    </row>
    <row r="22" spans="1:2" x14ac:dyDescent="0.2">
      <c r="A22" s="8"/>
      <c r="B22" s="8"/>
    </row>
  </sheetData>
  <phoneticPr fontId="3" type="noConversion"/>
  <hyperlinks>
    <hyperlink ref="B6" r:id="rId1" xr:uid="{463EE55E-9037-44A9-B430-5B6F5D695CF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F06F-1003-478B-905E-F6FFCA98D30F}">
  <dimension ref="A1:N30"/>
  <sheetViews>
    <sheetView workbookViewId="0"/>
  </sheetViews>
  <sheetFormatPr defaultRowHeight="14.25" x14ac:dyDescent="0.2"/>
  <cols>
    <col min="1" max="1" width="23.5" bestFit="1" customWidth="1"/>
    <col min="2" max="13" width="10.625" customWidth="1"/>
  </cols>
  <sheetData>
    <row r="1" spans="1:14" x14ac:dyDescent="0.2">
      <c r="A1" s="21"/>
      <c r="B1" s="22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2" spans="1:14" x14ac:dyDescent="0.2">
      <c r="A2" s="23"/>
      <c r="B2" s="23" t="s">
        <v>0</v>
      </c>
      <c r="C2" s="24"/>
      <c r="D2" s="23" t="s">
        <v>1</v>
      </c>
      <c r="E2" s="24"/>
      <c r="F2" s="23" t="s">
        <v>2</v>
      </c>
      <c r="G2" s="24"/>
      <c r="H2" s="23" t="s">
        <v>9</v>
      </c>
      <c r="I2" s="24"/>
      <c r="J2" s="23" t="s">
        <v>10</v>
      </c>
      <c r="K2" s="24"/>
      <c r="L2" s="25" t="s">
        <v>11</v>
      </c>
      <c r="M2" s="25"/>
    </row>
    <row r="3" spans="1:14" x14ac:dyDescent="0.2">
      <c r="A3" s="26"/>
      <c r="B3" s="26" t="s">
        <v>3</v>
      </c>
      <c r="C3" s="27" t="s">
        <v>4</v>
      </c>
      <c r="D3" s="26" t="s">
        <v>3</v>
      </c>
      <c r="E3" s="27" t="s">
        <v>4</v>
      </c>
      <c r="F3" s="26" t="s">
        <v>3</v>
      </c>
      <c r="G3" s="27" t="s">
        <v>4</v>
      </c>
      <c r="H3" s="26" t="s">
        <v>3</v>
      </c>
      <c r="I3" s="27" t="s">
        <v>4</v>
      </c>
      <c r="J3" s="26" t="s">
        <v>3</v>
      </c>
      <c r="K3" s="27" t="s">
        <v>4</v>
      </c>
      <c r="L3" s="21" t="s">
        <v>3</v>
      </c>
      <c r="M3" s="21" t="s">
        <v>4</v>
      </c>
    </row>
    <row r="4" spans="1:14" x14ac:dyDescent="0.2">
      <c r="A4" s="26" t="s">
        <v>5</v>
      </c>
      <c r="B4" s="28">
        <v>3454981.4800225901</v>
      </c>
      <c r="C4" s="29">
        <v>0</v>
      </c>
      <c r="D4" s="28">
        <v>750282.14551937603</v>
      </c>
      <c r="E4" s="29">
        <v>0</v>
      </c>
      <c r="F4" s="28">
        <v>106422.28232021601</v>
      </c>
      <c r="G4" s="29">
        <v>0</v>
      </c>
      <c r="H4" s="28">
        <v>34154.777502580597</v>
      </c>
      <c r="I4" s="29">
        <v>0</v>
      </c>
      <c r="J4" s="28">
        <v>10968.672251434</v>
      </c>
      <c r="K4" s="29">
        <v>0</v>
      </c>
      <c r="L4" s="22">
        <v>21116.416590264002</v>
      </c>
      <c r="M4" s="22">
        <v>0</v>
      </c>
      <c r="N4" s="1"/>
    </row>
    <row r="5" spans="1:14" x14ac:dyDescent="0.2">
      <c r="A5" s="26" t="s">
        <v>6</v>
      </c>
      <c r="B5" s="28">
        <v>92351711</v>
      </c>
      <c r="C5" s="29">
        <v>0</v>
      </c>
      <c r="D5" s="28">
        <v>38671281</v>
      </c>
      <c r="E5" s="29">
        <v>0</v>
      </c>
      <c r="F5" s="28">
        <v>16352886.9</v>
      </c>
      <c r="G5" s="29">
        <v>0</v>
      </c>
      <c r="H5" s="28">
        <v>3587776.5</v>
      </c>
      <c r="I5" s="29">
        <v>0</v>
      </c>
      <c r="J5" s="28">
        <v>2913789.2</v>
      </c>
      <c r="K5" s="29">
        <v>0</v>
      </c>
      <c r="L5" s="22">
        <v>2270054.7000000002</v>
      </c>
      <c r="M5" s="22">
        <v>0</v>
      </c>
      <c r="N5" s="1"/>
    </row>
    <row r="6" spans="1:14" x14ac:dyDescent="0.2">
      <c r="A6" s="26" t="s">
        <v>7</v>
      </c>
      <c r="B6" s="28">
        <v>0</v>
      </c>
      <c r="C6" s="29">
        <v>53801761.4225794</v>
      </c>
      <c r="D6" s="28">
        <v>0</v>
      </c>
      <c r="E6" s="29">
        <v>49023183.391860001</v>
      </c>
      <c r="F6" s="28">
        <v>0</v>
      </c>
      <c r="G6" s="29">
        <v>14103147.8562403</v>
      </c>
      <c r="H6" s="28">
        <v>0</v>
      </c>
      <c r="I6" s="29">
        <v>1668084.4731842999</v>
      </c>
      <c r="J6" s="28">
        <v>0</v>
      </c>
      <c r="K6" s="29">
        <v>7111344.4932465404</v>
      </c>
      <c r="L6" s="22">
        <v>0</v>
      </c>
      <c r="M6" s="22">
        <v>143884.77718224001</v>
      </c>
      <c r="N6" s="1"/>
    </row>
    <row r="7" spans="1:14" x14ac:dyDescent="0.2">
      <c r="A7" s="26" t="s">
        <v>22</v>
      </c>
      <c r="B7" s="28">
        <v>48904495</v>
      </c>
      <c r="C7" s="29">
        <v>0</v>
      </c>
      <c r="D7" s="28">
        <v>45888953</v>
      </c>
      <c r="E7" s="29">
        <v>0</v>
      </c>
      <c r="F7" s="28">
        <v>13358113.1</v>
      </c>
      <c r="G7" s="29">
        <v>0</v>
      </c>
      <c r="H7" s="28">
        <v>2960906.5</v>
      </c>
      <c r="I7" s="29">
        <v>0</v>
      </c>
      <c r="J7" s="28">
        <v>11594020.4</v>
      </c>
      <c r="K7" s="29">
        <v>0</v>
      </c>
      <c r="L7" s="22">
        <v>10260874</v>
      </c>
      <c r="M7" s="22">
        <v>0</v>
      </c>
      <c r="N7" s="1"/>
    </row>
    <row r="8" spans="1:14" x14ac:dyDescent="0.2">
      <c r="A8" s="26" t="s">
        <v>8</v>
      </c>
      <c r="B8" s="28">
        <v>0</v>
      </c>
      <c r="C8" s="29">
        <v>87827945.509157002</v>
      </c>
      <c r="D8" s="28">
        <v>0</v>
      </c>
      <c r="E8" s="29">
        <v>33249627.224038899</v>
      </c>
      <c r="F8" s="28">
        <v>0</v>
      </c>
      <c r="G8" s="29">
        <v>14769442.5797731</v>
      </c>
      <c r="H8" s="28">
        <v>0</v>
      </c>
      <c r="I8" s="29">
        <v>4885982.5547912596</v>
      </c>
      <c r="J8" s="28">
        <v>0</v>
      </c>
      <c r="K8" s="29">
        <v>7005392.7226566998</v>
      </c>
      <c r="L8" s="22">
        <v>0</v>
      </c>
      <c r="M8" s="22">
        <v>12314911.9823706</v>
      </c>
      <c r="N8" s="1"/>
    </row>
    <row r="9" spans="1:14" x14ac:dyDescent="0.2">
      <c r="A9" s="26" t="s">
        <v>0</v>
      </c>
      <c r="B9" s="28">
        <v>9982713.1684057806</v>
      </c>
      <c r="C9" s="29">
        <v>9982713.1684057806</v>
      </c>
      <c r="D9" s="28">
        <v>16692984.4964418</v>
      </c>
      <c r="E9" s="29">
        <v>870757.31841258297</v>
      </c>
      <c r="F9" s="28">
        <v>1344515.9577423199</v>
      </c>
      <c r="G9" s="29">
        <v>1157.92607209325</v>
      </c>
      <c r="H9" s="28">
        <v>444494.49616807402</v>
      </c>
      <c r="I9" s="29">
        <v>1647582.4586372401</v>
      </c>
      <c r="J9" s="28">
        <v>9190021.6382477805</v>
      </c>
      <c r="K9" s="29">
        <v>759873.03145855095</v>
      </c>
      <c r="L9" s="22">
        <v>4835130.3051955998</v>
      </c>
      <c r="M9" s="22">
        <v>343443.26262337598</v>
      </c>
      <c r="N9" s="1"/>
    </row>
    <row r="10" spans="1:14" x14ac:dyDescent="0.2">
      <c r="A10" s="26" t="s">
        <v>1</v>
      </c>
      <c r="B10" s="28">
        <v>870757.31841258297</v>
      </c>
      <c r="C10" s="29">
        <v>16692984.4964418</v>
      </c>
      <c r="D10" s="28">
        <v>7886955.1579056699</v>
      </c>
      <c r="E10" s="29">
        <v>7886955.1579056699</v>
      </c>
      <c r="F10" s="28">
        <v>0</v>
      </c>
      <c r="G10" s="29">
        <v>0</v>
      </c>
      <c r="H10" s="28">
        <v>123041.527783418</v>
      </c>
      <c r="I10" s="29">
        <v>574692.80607822002</v>
      </c>
      <c r="J10" s="28">
        <v>30.528515454496102</v>
      </c>
      <c r="K10" s="29">
        <v>2387732.9961096002</v>
      </c>
      <c r="L10" s="22">
        <v>25178.006978465801</v>
      </c>
      <c r="M10" s="22">
        <v>9314575.1560200192</v>
      </c>
      <c r="N10" s="1"/>
    </row>
    <row r="11" spans="1:14" x14ac:dyDescent="0.2">
      <c r="A11" s="26" t="s">
        <v>2</v>
      </c>
      <c r="B11" s="28">
        <v>1157.92607209325</v>
      </c>
      <c r="C11" s="29">
        <v>1344515.9577423199</v>
      </c>
      <c r="D11" s="28">
        <v>0</v>
      </c>
      <c r="E11" s="29">
        <v>0</v>
      </c>
      <c r="F11" s="28">
        <v>2549435.1629699701</v>
      </c>
      <c r="G11" s="29">
        <v>2549435.1629699701</v>
      </c>
      <c r="H11" s="28">
        <v>41022.305487907601</v>
      </c>
      <c r="I11" s="29">
        <v>345160.14077160502</v>
      </c>
      <c r="J11" s="28">
        <v>0</v>
      </c>
      <c r="K11" s="29">
        <v>129313.396011074</v>
      </c>
      <c r="L11" s="22">
        <v>437664.06830617797</v>
      </c>
      <c r="M11" s="22">
        <v>1846891.8356263801</v>
      </c>
      <c r="N11" s="1"/>
    </row>
    <row r="12" spans="1:14" x14ac:dyDescent="0.2">
      <c r="A12" s="26" t="s">
        <v>9</v>
      </c>
      <c r="B12" s="28">
        <v>1647582.4586372401</v>
      </c>
      <c r="C12" s="29">
        <v>444494.49616807402</v>
      </c>
      <c r="D12" s="28">
        <v>574692.80607822002</v>
      </c>
      <c r="E12" s="29">
        <v>123041.527783418</v>
      </c>
      <c r="F12" s="28">
        <v>345160.14077160502</v>
      </c>
      <c r="G12" s="29">
        <v>41022.305487907601</v>
      </c>
      <c r="H12" s="28">
        <v>124329.747461943</v>
      </c>
      <c r="I12" s="29">
        <v>124329.747461943</v>
      </c>
      <c r="J12" s="28">
        <v>0</v>
      </c>
      <c r="K12" s="29">
        <v>49619.465806991699</v>
      </c>
      <c r="L12" s="22">
        <v>0</v>
      </c>
      <c r="M12" s="22">
        <v>253711.86364540801</v>
      </c>
      <c r="N12" s="1"/>
    </row>
    <row r="13" spans="1:14" x14ac:dyDescent="0.2">
      <c r="A13" s="26" t="s">
        <v>10</v>
      </c>
      <c r="B13" s="28">
        <v>759873.03145855095</v>
      </c>
      <c r="C13" s="29">
        <v>9190021.6382477805</v>
      </c>
      <c r="D13" s="28">
        <v>2387732.9961096002</v>
      </c>
      <c r="E13" s="29">
        <v>30.528515454496102</v>
      </c>
      <c r="F13" s="28">
        <v>129313.396011074</v>
      </c>
      <c r="G13" s="29">
        <v>0</v>
      </c>
      <c r="H13" s="28">
        <v>49619.465806991699</v>
      </c>
      <c r="I13" s="29">
        <v>0</v>
      </c>
      <c r="J13" s="28">
        <v>158406.18734154399</v>
      </c>
      <c r="K13" s="29">
        <v>158406.18734154399</v>
      </c>
      <c r="L13" s="22">
        <v>625472.93187660305</v>
      </c>
      <c r="M13" s="22">
        <v>4266.0843956069903</v>
      </c>
      <c r="N13" s="1"/>
    </row>
    <row r="14" spans="1:14" x14ac:dyDescent="0.2">
      <c r="A14" s="26" t="s">
        <v>11</v>
      </c>
      <c r="B14" s="28">
        <v>343443.26262337598</v>
      </c>
      <c r="C14" s="29">
        <v>4835130.3051955998</v>
      </c>
      <c r="D14" s="28">
        <v>9314575.1560200192</v>
      </c>
      <c r="E14" s="29">
        <v>25178.006978465801</v>
      </c>
      <c r="F14" s="28">
        <v>1846891.8356263801</v>
      </c>
      <c r="G14" s="29">
        <v>437664.06830617797</v>
      </c>
      <c r="H14" s="28">
        <v>253711.86364540801</v>
      </c>
      <c r="I14" s="29">
        <v>0</v>
      </c>
      <c r="J14" s="28">
        <v>4266.0843956069903</v>
      </c>
      <c r="K14" s="29">
        <v>625472.93187660305</v>
      </c>
      <c r="L14" s="22">
        <v>421212.82197583403</v>
      </c>
      <c r="M14" s="22">
        <v>421212.82197583403</v>
      </c>
      <c r="N14" s="1"/>
    </row>
    <row r="16" spans="1:14" x14ac:dyDescent="0.2">
      <c r="A16" t="s">
        <v>15</v>
      </c>
      <c r="B16" s="3">
        <f>B5/B7+1</f>
        <v>2.8884094601119998</v>
      </c>
      <c r="C16" s="3"/>
      <c r="D16" s="3">
        <f>D5/D7+1</f>
        <v>1.8427143892343762</v>
      </c>
      <c r="E16" s="3"/>
      <c r="F16" s="3">
        <f>F5/F7+1</f>
        <v>2.2241913792450223</v>
      </c>
      <c r="H16" s="3">
        <f>H5/H7+1</f>
        <v>2.2117155675128544</v>
      </c>
      <c r="I16" s="3"/>
      <c r="J16" s="3">
        <f>J5/J7+1</f>
        <v>1.2513182743752977</v>
      </c>
      <c r="K16" s="3"/>
      <c r="L16" s="3">
        <f>L5/L7+1</f>
        <v>1.2212340488734195</v>
      </c>
      <c r="M16" s="3"/>
    </row>
    <row r="18" spans="1:13" x14ac:dyDescent="0.2">
      <c r="A18" t="s">
        <v>0</v>
      </c>
      <c r="B18" s="2"/>
      <c r="C18" s="2"/>
      <c r="H18" s="2">
        <f>H9/(H$7-H$12)</f>
        <v>0.15670102907328626</v>
      </c>
      <c r="I18" s="2">
        <f>I9/(I$6+I$8-I$12)</f>
        <v>0.25624413358699921</v>
      </c>
      <c r="J18" s="2">
        <f>J9/(J$7-J$13)</f>
        <v>0.80363166047303736</v>
      </c>
      <c r="K18" s="2">
        <f>K9/(K$6+K$8-K$13)</f>
        <v>5.4438673929117318E-2</v>
      </c>
      <c r="L18" s="2">
        <f>L9/(L$7-L$14)</f>
        <v>0.491391951177582</v>
      </c>
      <c r="M18" s="2">
        <f>M9/(M$6+M$8-M$14)</f>
        <v>2.8530913213512032E-2</v>
      </c>
    </row>
    <row r="19" spans="1:13" x14ac:dyDescent="0.2">
      <c r="A19" t="s">
        <v>1</v>
      </c>
      <c r="B19" s="2">
        <f>B10/(B$7-B$9)</f>
        <v>2.2371979838439918E-2</v>
      </c>
      <c r="C19" s="2">
        <f>C10/(C$6+C$8-C$9)</f>
        <v>0.12680110665080388</v>
      </c>
      <c r="H19" s="2">
        <f>H10/(H$7-H$12)</f>
        <v>4.3376766616071746E-2</v>
      </c>
      <c r="I19" s="2">
        <f>I10/(I$6+I$8-I$12)</f>
        <v>8.938044915457459E-2</v>
      </c>
      <c r="J19" s="2">
        <f>J10/(J$7-J$13)</f>
        <v>2.6695999783468638E-6</v>
      </c>
      <c r="K19" s="2">
        <f>K10/(K$6+K$8-K$13)</f>
        <v>0.17106149662332792</v>
      </c>
      <c r="L19" s="2">
        <f>L10/(L$7-L$14)</f>
        <v>2.5588286550657043E-3</v>
      </c>
      <c r="M19" s="2">
        <f>M10/(M$6+M$8-M$14)</f>
        <v>0.77379108667672647</v>
      </c>
    </row>
    <row r="20" spans="1:13" x14ac:dyDescent="0.2">
      <c r="A20" t="s">
        <v>2</v>
      </c>
      <c r="B20" s="2">
        <f>B11/(B$7-B$9)</f>
        <v>2.9750078686102686E-5</v>
      </c>
      <c r="C20" s="2">
        <f>C11/(C$6+C$8-C$9)</f>
        <v>1.0213039578856116E-2</v>
      </c>
      <c r="H20" s="2">
        <f>H11/(H$7-H$12)</f>
        <v>1.4461905693615539E-2</v>
      </c>
      <c r="I20" s="2">
        <f>I11/(I$6+I$8-I$12)</f>
        <v>5.3681841996510493E-2</v>
      </c>
      <c r="J20" s="2">
        <f>J11/(J$7-J$13)</f>
        <v>0</v>
      </c>
      <c r="K20" s="2">
        <f>K11/(K$6+K$8-K$13)</f>
        <v>9.2642448260090299E-3</v>
      </c>
      <c r="L20" s="2">
        <f>L11/(L$7-L$14)</f>
        <v>4.4479587293478562E-2</v>
      </c>
      <c r="M20" s="2">
        <f>M11/(M$6+M$8-M$14)</f>
        <v>0.1534271200270553</v>
      </c>
    </row>
    <row r="21" spans="1:13" x14ac:dyDescent="0.2">
      <c r="A21" t="s">
        <v>9</v>
      </c>
      <c r="B21" s="2">
        <f>B12/(B$7-B$9)</f>
        <v>4.2330602071764291E-2</v>
      </c>
      <c r="C21" s="2">
        <f>C12/(C$6+C$8-C$9)</f>
        <v>3.3764120506022898E-3</v>
      </c>
      <c r="H21" s="2"/>
      <c r="I21" s="2"/>
      <c r="J21" s="2">
        <f>J12/(J$7-J$13)</f>
        <v>0</v>
      </c>
      <c r="K21" s="2">
        <f>K12/(K$6+K$8-K$13)</f>
        <v>3.5548279880638868E-3</v>
      </c>
      <c r="L21" s="2">
        <f>L12/(L$7-L$14)</f>
        <v>0</v>
      </c>
      <c r="M21" s="2">
        <f>M12/(M$6+M$8-M$14)</f>
        <v>2.1076643366399372E-2</v>
      </c>
    </row>
    <row r="22" spans="1:13" x14ac:dyDescent="0.2">
      <c r="A22" t="s">
        <v>10</v>
      </c>
      <c r="B22" s="2">
        <f>B13/(B$7-B$9)</f>
        <v>1.9523079255373003E-2</v>
      </c>
      <c r="C22" s="2">
        <f>C13/(C$6+C$8-C$9)</f>
        <v>6.9808063029294931E-2</v>
      </c>
      <c r="H22" s="2">
        <f>H13/(H$7-H$12)</f>
        <v>1.7492728078869771E-2</v>
      </c>
      <c r="I22" s="2">
        <f>I13/(I$6+I$8-I$12)</f>
        <v>0</v>
      </c>
      <c r="J22" s="2"/>
      <c r="K22" s="2"/>
      <c r="L22" s="2">
        <f>L13/(L$7-L$14)</f>
        <v>6.3566511138973991E-2</v>
      </c>
      <c r="M22" s="2">
        <f>M13/(M$6+M$8-M$14)</f>
        <v>3.54397063208823E-4</v>
      </c>
    </row>
    <row r="23" spans="1:13" x14ac:dyDescent="0.2">
      <c r="A23" t="s">
        <v>11</v>
      </c>
      <c r="B23" s="2">
        <f>B14/(B$7-B$9)</f>
        <v>8.8239347342672428E-3</v>
      </c>
      <c r="C23" s="2">
        <f>C14/(C$6+C$8-C$9)</f>
        <v>3.6727996340637996E-2</v>
      </c>
      <c r="H23" s="2">
        <f>H14/(H$7-H$12)</f>
        <v>8.9442975029107405E-2</v>
      </c>
      <c r="I23" s="2">
        <f>I14/(I$6+I$8-I$12)</f>
        <v>0</v>
      </c>
      <c r="J23" s="2">
        <f>J14/(J$7-J$13)</f>
        <v>3.7305249340124832E-4</v>
      </c>
      <c r="K23" s="2">
        <f>K14/(K$6+K$8-K$13)</f>
        <v>4.4810008488604634E-2</v>
      </c>
      <c r="L23" s="2"/>
      <c r="M23" s="2"/>
    </row>
    <row r="24" spans="1:13" x14ac:dyDescent="0.2">
      <c r="B24" t="s">
        <v>16</v>
      </c>
      <c r="H24" t="s">
        <v>19</v>
      </c>
      <c r="J24" t="s">
        <v>20</v>
      </c>
      <c r="L24" t="s">
        <v>21</v>
      </c>
    </row>
    <row r="25" spans="1:13" s="2" customFormat="1" x14ac:dyDescent="0.2">
      <c r="A25" s="2" t="s">
        <v>17</v>
      </c>
      <c r="C25" s="2">
        <f>C19</f>
        <v>0.12680110665080388</v>
      </c>
      <c r="I25" s="2">
        <f>C21*I19</f>
        <v>3.0178522561375088E-4</v>
      </c>
      <c r="K25" s="2">
        <f>C22*K19</f>
        <v>1.1941471738166797E-2</v>
      </c>
      <c r="M25" s="2">
        <f>C23*M19</f>
        <v>2.8419796199881109E-2</v>
      </c>
    </row>
    <row r="26" spans="1:13" s="2" customFormat="1" x14ac:dyDescent="0.2">
      <c r="A26" s="2" t="s">
        <v>18</v>
      </c>
      <c r="C26" s="2">
        <f>C20</f>
        <v>1.0213039578856116E-2</v>
      </c>
      <c r="I26" s="2">
        <f>C21*I20</f>
        <v>1.8125201821554612E-4</v>
      </c>
      <c r="K26" s="2">
        <f>C22*K20</f>
        <v>6.4671898673285776E-4</v>
      </c>
      <c r="M26" s="2">
        <f>C23*M20</f>
        <v>5.6350707029083139E-3</v>
      </c>
    </row>
    <row r="28" spans="1:13" x14ac:dyDescent="0.2">
      <c r="A28" t="s">
        <v>12</v>
      </c>
      <c r="B28" s="1">
        <f>(C6+C8-B4)/10000</f>
        <v>13817.472545171384</v>
      </c>
    </row>
    <row r="29" spans="1:13" x14ac:dyDescent="0.2">
      <c r="A29" t="s">
        <v>13</v>
      </c>
      <c r="B29" s="1">
        <f>(E6+E8-D4)/10000</f>
        <v>8152.252847037953</v>
      </c>
      <c r="C29" s="1">
        <f>B28*(C25+I25+K25+M25)</f>
        <v>2313.9314305365701</v>
      </c>
      <c r="D29" s="2">
        <f>(B29+C29)/SUM(B28:B30)</f>
        <v>0.42123642144726303</v>
      </c>
    </row>
    <row r="30" spans="1:13" x14ac:dyDescent="0.2">
      <c r="A30" t="s">
        <v>14</v>
      </c>
      <c r="B30" s="1">
        <f>(G6+G8-F4)/10000</f>
        <v>2876.6168153693184</v>
      </c>
      <c r="C30" s="1">
        <f>B28*(C26+I26+K26+M26)</f>
        <v>230.42129534020091</v>
      </c>
      <c r="D30" s="2">
        <f>(B30+C30)/SUM(B28:B30)</f>
        <v>0.12505012145255762</v>
      </c>
    </row>
  </sheetData>
  <phoneticPr fontId="3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070C4-3D09-4E0E-BFB8-C4EF04E3A9DF}">
  <dimension ref="A1:N30"/>
  <sheetViews>
    <sheetView workbookViewId="0"/>
  </sheetViews>
  <sheetFormatPr defaultRowHeight="14.25" x14ac:dyDescent="0.2"/>
  <cols>
    <col min="1" max="1" width="23.5" bestFit="1" customWidth="1"/>
    <col min="2" max="5" width="9.75" customWidth="1"/>
    <col min="8" max="13" width="9" customWidth="1"/>
  </cols>
  <sheetData>
    <row r="1" spans="1:14" x14ac:dyDescent="0.2">
      <c r="A1" s="21"/>
      <c r="B1" s="22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2" spans="1:14" x14ac:dyDescent="0.2">
      <c r="A2" s="23"/>
      <c r="B2" s="23" t="s">
        <v>0</v>
      </c>
      <c r="C2" s="24"/>
      <c r="D2" s="23" t="s">
        <v>1</v>
      </c>
      <c r="E2" s="24"/>
      <c r="F2" s="23" t="s">
        <v>2</v>
      </c>
      <c r="G2" s="24"/>
      <c r="H2" s="23" t="s">
        <v>9</v>
      </c>
      <c r="I2" s="24"/>
      <c r="J2" s="23" t="s">
        <v>10</v>
      </c>
      <c r="K2" s="24"/>
      <c r="L2" s="25" t="s">
        <v>11</v>
      </c>
      <c r="M2" s="25"/>
    </row>
    <row r="3" spans="1:14" x14ac:dyDescent="0.2">
      <c r="A3" s="26"/>
      <c r="B3" s="26" t="s">
        <v>3</v>
      </c>
      <c r="C3" s="27" t="s">
        <v>4</v>
      </c>
      <c r="D3" s="26" t="s">
        <v>3</v>
      </c>
      <c r="E3" s="27" t="s">
        <v>4</v>
      </c>
      <c r="F3" s="26" t="s">
        <v>3</v>
      </c>
      <c r="G3" s="27" t="s">
        <v>4</v>
      </c>
      <c r="H3" s="26" t="s">
        <v>3</v>
      </c>
      <c r="I3" s="27" t="s">
        <v>4</v>
      </c>
      <c r="J3" s="26" t="s">
        <v>3</v>
      </c>
      <c r="K3" s="27" t="s">
        <v>4</v>
      </c>
      <c r="L3" s="21" t="s">
        <v>3</v>
      </c>
      <c r="M3" s="21" t="s">
        <v>4</v>
      </c>
    </row>
    <row r="4" spans="1:14" x14ac:dyDescent="0.2">
      <c r="A4" s="26" t="s">
        <v>5</v>
      </c>
      <c r="B4" s="28">
        <v>14901515.941983299</v>
      </c>
      <c r="C4" s="29">
        <v>0</v>
      </c>
      <c r="D4" s="28">
        <v>1625679.56927691</v>
      </c>
      <c r="E4" s="29">
        <v>0</v>
      </c>
      <c r="F4" s="28">
        <v>150754.81722162</v>
      </c>
      <c r="G4" s="29">
        <v>0</v>
      </c>
      <c r="H4" s="28">
        <v>36252.6633942111</v>
      </c>
      <c r="I4" s="29">
        <v>0</v>
      </c>
      <c r="J4" s="28">
        <v>417734.27077609801</v>
      </c>
      <c r="K4" s="29">
        <v>0</v>
      </c>
      <c r="L4" s="22">
        <v>114507.791447963</v>
      </c>
      <c r="M4" s="22">
        <v>0</v>
      </c>
      <c r="N4" s="1"/>
    </row>
    <row r="5" spans="1:14" x14ac:dyDescent="0.2">
      <c r="A5" s="26" t="s">
        <v>6</v>
      </c>
      <c r="B5" s="28">
        <v>160007767</v>
      </c>
      <c r="C5" s="29">
        <v>0</v>
      </c>
      <c r="D5" s="28">
        <v>78019433</v>
      </c>
      <c r="E5" s="29">
        <v>0</v>
      </c>
      <c r="F5" s="28">
        <v>27307478</v>
      </c>
      <c r="G5" s="29">
        <v>0</v>
      </c>
      <c r="H5" s="28">
        <v>8505542.9000000004</v>
      </c>
      <c r="I5" s="29">
        <v>0</v>
      </c>
      <c r="J5" s="28">
        <v>7638150</v>
      </c>
      <c r="K5" s="29">
        <v>0</v>
      </c>
      <c r="L5" s="22">
        <v>6891064</v>
      </c>
      <c r="M5" s="22">
        <v>0</v>
      </c>
      <c r="N5" s="1"/>
    </row>
    <row r="6" spans="1:14" x14ac:dyDescent="0.2">
      <c r="A6" s="26" t="s">
        <v>7</v>
      </c>
      <c r="B6" s="28">
        <v>0</v>
      </c>
      <c r="C6" s="29">
        <v>57849929.652792998</v>
      </c>
      <c r="D6" s="28">
        <v>0</v>
      </c>
      <c r="E6" s="29">
        <v>63792695.299589403</v>
      </c>
      <c r="F6" s="28">
        <v>0</v>
      </c>
      <c r="G6" s="29">
        <v>16550334.1369096</v>
      </c>
      <c r="H6" s="28">
        <v>0</v>
      </c>
      <c r="I6" s="29">
        <v>3416852.0966799501</v>
      </c>
      <c r="J6" s="28">
        <v>0</v>
      </c>
      <c r="K6" s="29">
        <v>12423917.1237537</v>
      </c>
      <c r="L6" s="22">
        <v>0</v>
      </c>
      <c r="M6" s="22">
        <v>675310.99060888705</v>
      </c>
      <c r="N6" s="1"/>
    </row>
    <row r="7" spans="1:14" x14ac:dyDescent="0.2">
      <c r="A7" s="26" t="s">
        <v>22</v>
      </c>
      <c r="B7" s="28">
        <v>86582232</v>
      </c>
      <c r="C7" s="29">
        <v>0</v>
      </c>
      <c r="D7" s="28">
        <v>83230567</v>
      </c>
      <c r="E7" s="29">
        <v>0</v>
      </c>
      <c r="F7" s="28">
        <v>17272522</v>
      </c>
      <c r="G7" s="29">
        <v>0</v>
      </c>
      <c r="H7" s="28">
        <v>9384457.4000000004</v>
      </c>
      <c r="I7" s="29">
        <v>0</v>
      </c>
      <c r="J7" s="28">
        <v>32171108</v>
      </c>
      <c r="K7" s="29">
        <v>0</v>
      </c>
      <c r="L7" s="22">
        <v>34346016</v>
      </c>
      <c r="M7" s="22">
        <v>0</v>
      </c>
      <c r="N7" s="1"/>
    </row>
    <row r="8" spans="1:14" x14ac:dyDescent="0.2">
      <c r="A8" s="26" t="s">
        <v>8</v>
      </c>
      <c r="B8" s="28">
        <v>0</v>
      </c>
      <c r="C8" s="29">
        <v>191591932.171471</v>
      </c>
      <c r="D8" s="28">
        <v>0</v>
      </c>
      <c r="E8" s="29">
        <v>86397195.548849702</v>
      </c>
      <c r="F8" s="28">
        <v>0</v>
      </c>
      <c r="G8" s="29">
        <v>26461953.9679951</v>
      </c>
      <c r="H8" s="28">
        <v>0</v>
      </c>
      <c r="I8" s="29">
        <v>13823483.407159099</v>
      </c>
      <c r="J8" s="28">
        <v>0</v>
      </c>
      <c r="K8" s="29">
        <v>25978472.270636201</v>
      </c>
      <c r="L8" s="22">
        <v>0</v>
      </c>
      <c r="M8" s="22">
        <v>38863830.820939302</v>
      </c>
      <c r="N8" s="1"/>
    </row>
    <row r="9" spans="1:14" x14ac:dyDescent="0.2">
      <c r="A9" s="26" t="s">
        <v>0</v>
      </c>
      <c r="B9" s="28">
        <v>21086504.762368001</v>
      </c>
      <c r="C9" s="29">
        <v>21086504.762368001</v>
      </c>
      <c r="D9" s="28">
        <v>19772186.074849602</v>
      </c>
      <c r="E9" s="29">
        <v>399618.935235543</v>
      </c>
      <c r="F9" s="28">
        <v>1375380.9866190599</v>
      </c>
      <c r="G9" s="29">
        <v>243.75020092845901</v>
      </c>
      <c r="H9" s="28">
        <v>1415443.09722213</v>
      </c>
      <c r="I9" s="29">
        <v>4135684.1079191598</v>
      </c>
      <c r="J9" s="28">
        <v>25657772.741961099</v>
      </c>
      <c r="K9" s="29">
        <v>1311841.6639302401</v>
      </c>
      <c r="L9" s="22">
        <v>15055461.8720439</v>
      </c>
      <c r="M9" s="22">
        <v>1011122.1024771699</v>
      </c>
      <c r="N9" s="1"/>
    </row>
    <row r="10" spans="1:14" x14ac:dyDescent="0.2">
      <c r="A10" s="26" t="s">
        <v>1</v>
      </c>
      <c r="B10" s="28">
        <v>399618.935235543</v>
      </c>
      <c r="C10" s="29">
        <v>19772186.074849602</v>
      </c>
      <c r="D10" s="28">
        <v>13231699.4183747</v>
      </c>
      <c r="E10" s="29">
        <v>13231699.4183747</v>
      </c>
      <c r="F10" s="28">
        <v>44152.406018294903</v>
      </c>
      <c r="G10" s="29">
        <v>9003.7873865035308</v>
      </c>
      <c r="H10" s="28">
        <v>539959.90176207398</v>
      </c>
      <c r="I10" s="29">
        <v>1128987.0734906101</v>
      </c>
      <c r="J10" s="28">
        <v>324.34295782802099</v>
      </c>
      <c r="K10" s="29">
        <v>7260392.0914705601</v>
      </c>
      <c r="L10" s="22">
        <v>947135.88902791601</v>
      </c>
      <c r="M10" s="22">
        <v>30170236.349209301</v>
      </c>
      <c r="N10" s="1"/>
    </row>
    <row r="11" spans="1:14" x14ac:dyDescent="0.2">
      <c r="A11" s="26" t="s">
        <v>2</v>
      </c>
      <c r="B11" s="28">
        <v>243.75020092845901</v>
      </c>
      <c r="C11" s="29">
        <v>1375380.9866190599</v>
      </c>
      <c r="D11" s="28">
        <v>9003.7873865035308</v>
      </c>
      <c r="E11" s="29">
        <v>44152.406018294903</v>
      </c>
      <c r="F11" s="28">
        <v>1597427.1869331701</v>
      </c>
      <c r="G11" s="29">
        <v>1597427.1869331701</v>
      </c>
      <c r="H11" s="28">
        <v>59696.081286753797</v>
      </c>
      <c r="I11" s="29">
        <v>937362.41242995497</v>
      </c>
      <c r="J11" s="28">
        <v>0</v>
      </c>
      <c r="K11" s="29">
        <v>492829.66804983403</v>
      </c>
      <c r="L11" s="22">
        <v>1642050.9640445199</v>
      </c>
      <c r="M11" s="22">
        <v>4905616.9014502503</v>
      </c>
      <c r="N11" s="1"/>
    </row>
    <row r="12" spans="1:14" x14ac:dyDescent="0.2">
      <c r="A12" s="26" t="s">
        <v>9</v>
      </c>
      <c r="B12" s="28">
        <v>4135684.1079191598</v>
      </c>
      <c r="C12" s="29">
        <v>1415443.09722213</v>
      </c>
      <c r="D12" s="28">
        <v>1128987.0734906101</v>
      </c>
      <c r="E12" s="29">
        <v>539959.90176207398</v>
      </c>
      <c r="F12" s="28">
        <v>937362.41242995497</v>
      </c>
      <c r="G12" s="29">
        <v>59696.081286753797</v>
      </c>
      <c r="H12" s="28">
        <v>737071.22619784996</v>
      </c>
      <c r="I12" s="29">
        <v>737071.22619784996</v>
      </c>
      <c r="J12" s="28">
        <v>0</v>
      </c>
      <c r="K12" s="29">
        <v>154215.94360360401</v>
      </c>
      <c r="L12" s="22">
        <v>0</v>
      </c>
      <c r="M12" s="22">
        <v>426220.83497361699</v>
      </c>
      <c r="N12" s="1"/>
    </row>
    <row r="13" spans="1:14" x14ac:dyDescent="0.2">
      <c r="A13" s="26" t="s">
        <v>10</v>
      </c>
      <c r="B13" s="28">
        <v>1311841.6639302401</v>
      </c>
      <c r="C13" s="29">
        <v>25657772.741961099</v>
      </c>
      <c r="D13" s="28">
        <v>7260392.0914705601</v>
      </c>
      <c r="E13" s="29">
        <v>324.34295782802099</v>
      </c>
      <c r="F13" s="28">
        <v>492829.66804983403</v>
      </c>
      <c r="G13" s="29">
        <v>0</v>
      </c>
      <c r="H13" s="28">
        <v>154215.94360360401</v>
      </c>
      <c r="I13" s="29">
        <v>0</v>
      </c>
      <c r="J13" s="28">
        <v>1329037.7957331699</v>
      </c>
      <c r="K13" s="29">
        <v>1329037.7957331699</v>
      </c>
      <c r="L13" s="22">
        <v>2691016.7457892601</v>
      </c>
      <c r="M13" s="22">
        <v>0</v>
      </c>
      <c r="N13" s="1"/>
    </row>
    <row r="14" spans="1:14" x14ac:dyDescent="0.2">
      <c r="A14" s="26" t="s">
        <v>11</v>
      </c>
      <c r="B14" s="28">
        <v>1011122.1024771699</v>
      </c>
      <c r="C14" s="29">
        <v>15055461.8720439</v>
      </c>
      <c r="D14" s="28">
        <v>30170236.349209301</v>
      </c>
      <c r="E14" s="29">
        <v>947135.88902791601</v>
      </c>
      <c r="F14" s="28">
        <v>4905616.9014502503</v>
      </c>
      <c r="G14" s="29">
        <v>1642050.9640445199</v>
      </c>
      <c r="H14" s="28">
        <v>426220.83497361699</v>
      </c>
      <c r="I14" s="29">
        <v>0</v>
      </c>
      <c r="J14" s="28">
        <v>0</v>
      </c>
      <c r="K14" s="29">
        <v>2691016.7457892601</v>
      </c>
      <c r="L14" s="22">
        <v>1586006.41044757</v>
      </c>
      <c r="M14" s="22">
        <v>1586006.41044757</v>
      </c>
      <c r="N14" s="1"/>
    </row>
    <row r="16" spans="1:14" x14ac:dyDescent="0.2">
      <c r="A16" t="s">
        <v>15</v>
      </c>
      <c r="B16" s="3">
        <f>B5/B7+1</f>
        <v>2.8480439150610026</v>
      </c>
      <c r="C16" s="3"/>
      <c r="D16" s="3">
        <f>D5/D7+1</f>
        <v>1.9373891805879442</v>
      </c>
      <c r="E16" s="3"/>
      <c r="F16" s="3">
        <f>F5/F7+1</f>
        <v>2.5809780413074592</v>
      </c>
      <c r="H16" s="3">
        <f>H5/H7+1</f>
        <v>1.9063435995777445</v>
      </c>
      <c r="I16" s="3"/>
      <c r="J16" s="3">
        <f>J5/J7+1</f>
        <v>1.2374226588652153</v>
      </c>
      <c r="K16" s="3"/>
      <c r="L16" s="3">
        <f>L5/L7+1</f>
        <v>1.2006364872129565</v>
      </c>
      <c r="M16" s="3"/>
    </row>
    <row r="18" spans="1:13" x14ac:dyDescent="0.2">
      <c r="A18" t="s">
        <v>0</v>
      </c>
      <c r="B18" s="2"/>
      <c r="C18" s="2"/>
      <c r="H18" s="2">
        <f>H9/(H$7-H$12)</f>
        <v>0.16368450174115179</v>
      </c>
      <c r="I18" s="2">
        <f>I9/(I$6+I$8-I$12)</f>
        <v>0.25059794464554686</v>
      </c>
      <c r="J18" s="2">
        <f>J9/(J$7-J$13)</f>
        <v>0.83190825298139315</v>
      </c>
      <c r="K18" s="2">
        <f>K9/(K$6+K$8-K$13)</f>
        <v>3.538503014595993E-2</v>
      </c>
      <c r="L18" s="2">
        <f>L9/(L$7-L$14)</f>
        <v>0.45956829868710641</v>
      </c>
      <c r="M18" s="2">
        <f>M9/(M$6+M$8-M$14)</f>
        <v>2.6641332574800867E-2</v>
      </c>
    </row>
    <row r="19" spans="1:13" x14ac:dyDescent="0.2">
      <c r="A19" t="s">
        <v>1</v>
      </c>
      <c r="B19" s="2">
        <f>B10/(B$7-B$9)</f>
        <v>6.1014504623430341E-3</v>
      </c>
      <c r="C19" s="2">
        <f>C10/(C$6+C$8-C$9)</f>
        <v>8.6585164146117791E-2</v>
      </c>
      <c r="H19" s="2">
        <f>H10/(H$7-H$12)</f>
        <v>6.2441978525015977E-2</v>
      </c>
      <c r="I19" s="2">
        <f>I10/(I$6+I$8-I$12)</f>
        <v>6.8409925121309126E-2</v>
      </c>
      <c r="J19" s="2">
        <f>J10/(J$7-J$13)</f>
        <v>1.051625120103481E-5</v>
      </c>
      <c r="K19" s="2">
        <f>K10/(K$6+K$8-K$13)</f>
        <v>0.19583856809249542</v>
      </c>
      <c r="L19" s="2">
        <f>L10/(L$7-L$14)</f>
        <v>2.8911343460960689E-2</v>
      </c>
      <c r="M19" s="2">
        <f>M10/(M$6+M$8-M$14)</f>
        <v>0.7949339634357161</v>
      </c>
    </row>
    <row r="20" spans="1:13" x14ac:dyDescent="0.2">
      <c r="A20" t="s">
        <v>2</v>
      </c>
      <c r="B20" s="2">
        <f>B11/(B$7-B$9)</f>
        <v>3.7216198858909229E-6</v>
      </c>
      <c r="C20" s="2">
        <f>C11/(C$6+C$8-C$9)</f>
        <v>6.0229854219984915E-3</v>
      </c>
      <c r="H20" s="2">
        <f>H11/(H$7-H$12)</f>
        <v>6.9033671085035114E-3</v>
      </c>
      <c r="I20" s="2">
        <f>I11/(I$6+I$8-I$12)</f>
        <v>5.6798606424784924E-2</v>
      </c>
      <c r="J20" s="2">
        <f>J11/(J$7-J$13)</f>
        <v>0</v>
      </c>
      <c r="K20" s="2">
        <f>K11/(K$6+K$8-K$13)</f>
        <v>1.3293366981896792E-2</v>
      </c>
      <c r="L20" s="2">
        <f>L11/(L$7-L$14)</f>
        <v>5.0123641128853341E-2</v>
      </c>
      <c r="M20" s="2">
        <f>M11/(M$6+M$8-M$14)</f>
        <v>0.12925458857631009</v>
      </c>
    </row>
    <row r="21" spans="1:13" x14ac:dyDescent="0.2">
      <c r="A21" t="s">
        <v>9</v>
      </c>
      <c r="B21" s="2">
        <f>B12/(B$7-B$9)</f>
        <v>6.3144334483286907E-2</v>
      </c>
      <c r="C21" s="2">
        <f>C12/(C$6+C$8-C$9)</f>
        <v>6.1984229992838417E-3</v>
      </c>
      <c r="H21" s="2"/>
      <c r="I21" s="2"/>
      <c r="J21" s="2">
        <f>J12/(J$7-J$13)</f>
        <v>0</v>
      </c>
      <c r="K21" s="2">
        <f>K12/(K$6+K$8-K$13)</f>
        <v>4.1597518690269075E-3</v>
      </c>
      <c r="L21" s="2">
        <f>L12/(L$7-L$14)</f>
        <v>0</v>
      </c>
      <c r="M21" s="2">
        <f>M12/(M$6+M$8-M$14)</f>
        <v>1.1230187716223751E-2</v>
      </c>
    </row>
    <row r="22" spans="1:13" x14ac:dyDescent="0.2">
      <c r="A22" t="s">
        <v>10</v>
      </c>
      <c r="B22" s="2">
        <f>B13/(B$7-B$9)</f>
        <v>2.002942358622278E-2</v>
      </c>
      <c r="C22" s="2">
        <f>C13/(C$6+C$8-C$9)</f>
        <v>0.11235897012482404</v>
      </c>
      <c r="H22" s="2">
        <f>H13/(H$7-H$12)</f>
        <v>1.7833821747294205E-2</v>
      </c>
      <c r="I22" s="2">
        <f>I13/(I$6+I$8-I$12)</f>
        <v>0</v>
      </c>
      <c r="J22" s="2"/>
      <c r="K22" s="2"/>
      <c r="L22" s="2">
        <f>L13/(L$7-L$14)</f>
        <v>8.2143344263472334E-2</v>
      </c>
      <c r="M22" s="2">
        <f>M13/(M$6+M$8-M$14)</f>
        <v>0</v>
      </c>
    </row>
    <row r="23" spans="1:13" x14ac:dyDescent="0.2">
      <c r="A23" t="s">
        <v>11</v>
      </c>
      <c r="B23" s="2">
        <f>B14/(B$7-B$9)</f>
        <v>1.5437985730101302E-2</v>
      </c>
      <c r="C23" s="2">
        <f>C14/(C$6+C$8-C$9)</f>
        <v>6.5929970138441291E-2</v>
      </c>
      <c r="H23" s="2">
        <f>H14/(H$7-H$12)</f>
        <v>4.9288978936187937E-2</v>
      </c>
      <c r="I23" s="2">
        <f>I14/(I$6+I$8-I$12)</f>
        <v>0</v>
      </c>
      <c r="J23" s="2">
        <f>J14/(J$7-J$13)</f>
        <v>0</v>
      </c>
      <c r="K23" s="2">
        <f>K14/(K$6+K$8-K$13)</f>
        <v>7.258628178324085E-2</v>
      </c>
      <c r="L23" s="2"/>
      <c r="M23" s="2"/>
    </row>
    <row r="24" spans="1:13" x14ac:dyDescent="0.2">
      <c r="B24" t="s">
        <v>16</v>
      </c>
      <c r="H24" t="s">
        <v>19</v>
      </c>
      <c r="J24" t="s">
        <v>20</v>
      </c>
      <c r="L24" t="s">
        <v>21</v>
      </c>
    </row>
    <row r="25" spans="1:13" s="2" customFormat="1" x14ac:dyDescent="0.2">
      <c r="A25" s="2" t="s">
        <v>17</v>
      </c>
      <c r="C25" s="2">
        <f>C19</f>
        <v>8.6585164146117791E-2</v>
      </c>
      <c r="I25" s="2">
        <f>C21*I19</f>
        <v>4.2403365325120794E-4</v>
      </c>
      <c r="K25" s="2">
        <f>C22*K19</f>
        <v>2.2004219821593011E-2</v>
      </c>
      <c r="M25" s="2">
        <f>C23*M19</f>
        <v>5.2409972471349542E-2</v>
      </c>
    </row>
    <row r="26" spans="1:13" s="2" customFormat="1" x14ac:dyDescent="0.2">
      <c r="A26" s="2" t="s">
        <v>18</v>
      </c>
      <c r="C26" s="2">
        <f>C20</f>
        <v>6.0229854219984915E-3</v>
      </c>
      <c r="I26" s="2">
        <f>C21*I20</f>
        <v>3.5206178839065785E-4</v>
      </c>
      <c r="K26" s="2">
        <f>C22*K20</f>
        <v>1.4936290235772641E-3</v>
      </c>
      <c r="M26" s="2">
        <f>C23*M20</f>
        <v>8.5217511650926385E-3</v>
      </c>
    </row>
    <row r="28" spans="1:13" x14ac:dyDescent="0.2">
      <c r="A28" t="s">
        <v>12</v>
      </c>
      <c r="B28" s="1">
        <f>(C6+C8-B4)/10000</f>
        <v>23454.034588228067</v>
      </c>
    </row>
    <row r="29" spans="1:13" x14ac:dyDescent="0.2">
      <c r="A29" t="s">
        <v>13</v>
      </c>
      <c r="B29" s="1">
        <f>(E6+E8-D4)/10000</f>
        <v>14856.421127916219</v>
      </c>
      <c r="C29" s="1">
        <f>B28*(C25+I25+K25+M25)</f>
        <v>3786.0297745741068</v>
      </c>
      <c r="D29" s="2">
        <f>(B29+C29)/SUM(B28:B30)</f>
        <v>0.43765105534185328</v>
      </c>
    </row>
    <row r="30" spans="1:13" x14ac:dyDescent="0.2">
      <c r="A30" t="s">
        <v>14</v>
      </c>
      <c r="B30" s="1">
        <f>(G6+G8-F4)/10000</f>
        <v>4286.1533287683078</v>
      </c>
      <c r="C30" s="1">
        <f>B28*(C26+I26+K26+M26)</f>
        <v>384.421651133372</v>
      </c>
      <c r="D30" s="2">
        <f>(B30+C30)/SUM(B28:B30)</f>
        <v>0.10964663818608576</v>
      </c>
    </row>
  </sheetData>
  <phoneticPr fontId="3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A5065-849F-4BF3-BF1D-57ED4F90516C}">
  <dimension ref="A1:N30"/>
  <sheetViews>
    <sheetView workbookViewId="0"/>
  </sheetViews>
  <sheetFormatPr defaultRowHeight="14.25" x14ac:dyDescent="0.2"/>
  <cols>
    <col min="1" max="1" width="23.5" bestFit="1" customWidth="1"/>
    <col min="2" max="5" width="9.75" customWidth="1"/>
    <col min="8" max="13" width="9" customWidth="1"/>
  </cols>
  <sheetData>
    <row r="1" spans="1:14" x14ac:dyDescent="0.2">
      <c r="A1" s="21"/>
      <c r="B1" s="22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2" spans="1:14" x14ac:dyDescent="0.2">
      <c r="A2" s="23"/>
      <c r="B2" s="23" t="s">
        <v>0</v>
      </c>
      <c r="C2" s="24"/>
      <c r="D2" s="23" t="s">
        <v>1</v>
      </c>
      <c r="E2" s="24"/>
      <c r="F2" s="23" t="s">
        <v>2</v>
      </c>
      <c r="G2" s="24"/>
      <c r="H2" s="23" t="s">
        <v>9</v>
      </c>
      <c r="I2" s="24"/>
      <c r="J2" s="23" t="s">
        <v>10</v>
      </c>
      <c r="K2" s="24"/>
      <c r="L2" s="25" t="s">
        <v>11</v>
      </c>
      <c r="M2" s="25"/>
    </row>
    <row r="3" spans="1:14" x14ac:dyDescent="0.2">
      <c r="A3" s="26"/>
      <c r="B3" s="26" t="s">
        <v>3</v>
      </c>
      <c r="C3" s="27" t="s">
        <v>4</v>
      </c>
      <c r="D3" s="26" t="s">
        <v>3</v>
      </c>
      <c r="E3" s="27" t="s">
        <v>4</v>
      </c>
      <c r="F3" s="26" t="s">
        <v>3</v>
      </c>
      <c r="G3" s="27" t="s">
        <v>4</v>
      </c>
      <c r="H3" s="26" t="s">
        <v>3</v>
      </c>
      <c r="I3" s="27" t="s">
        <v>4</v>
      </c>
      <c r="J3" s="26" t="s">
        <v>3</v>
      </c>
      <c r="K3" s="27" t="s">
        <v>4</v>
      </c>
      <c r="L3" s="21" t="s">
        <v>3</v>
      </c>
      <c r="M3" s="21" t="s">
        <v>4</v>
      </c>
    </row>
    <row r="4" spans="1:14" x14ac:dyDescent="0.2">
      <c r="A4" s="26" t="s">
        <v>5</v>
      </c>
      <c r="B4" s="28">
        <v>38414554.663506202</v>
      </c>
      <c r="C4" s="29">
        <v>0</v>
      </c>
      <c r="D4" s="28">
        <v>2217769.48717188</v>
      </c>
      <c r="E4" s="29">
        <v>0</v>
      </c>
      <c r="F4" s="28">
        <v>744551.43734687497</v>
      </c>
      <c r="G4" s="29">
        <v>0</v>
      </c>
      <c r="H4" s="28">
        <v>0</v>
      </c>
      <c r="I4" s="29">
        <v>0</v>
      </c>
      <c r="J4" s="28">
        <v>735645.57960000006</v>
      </c>
      <c r="K4" s="29">
        <v>0</v>
      </c>
      <c r="L4" s="22">
        <v>98554.783056250002</v>
      </c>
      <c r="M4" s="22">
        <v>0</v>
      </c>
      <c r="N4" s="1"/>
    </row>
    <row r="5" spans="1:14" x14ac:dyDescent="0.2">
      <c r="A5" s="26" t="s">
        <v>6</v>
      </c>
      <c r="B5" s="28">
        <v>302161387</v>
      </c>
      <c r="C5" s="29">
        <v>0</v>
      </c>
      <c r="D5" s="28">
        <v>131283561</v>
      </c>
      <c r="E5" s="29">
        <v>0</v>
      </c>
      <c r="F5" s="28">
        <v>52669046</v>
      </c>
      <c r="G5" s="29">
        <v>0</v>
      </c>
      <c r="H5" s="28">
        <v>14661302.300000001</v>
      </c>
      <c r="I5" s="29">
        <v>0</v>
      </c>
      <c r="J5" s="28">
        <v>15346753</v>
      </c>
      <c r="K5" s="29">
        <v>0</v>
      </c>
      <c r="L5" s="22">
        <v>15720099</v>
      </c>
      <c r="M5" s="22">
        <v>0</v>
      </c>
      <c r="N5" s="1"/>
    </row>
    <row r="6" spans="1:14" x14ac:dyDescent="0.2">
      <c r="A6" s="26" t="s">
        <v>7</v>
      </c>
      <c r="B6" s="28">
        <v>0</v>
      </c>
      <c r="C6" s="29">
        <v>116775522.096551</v>
      </c>
      <c r="D6" s="28">
        <v>0</v>
      </c>
      <c r="E6" s="29">
        <v>123452463.70414799</v>
      </c>
      <c r="F6" s="28">
        <v>0</v>
      </c>
      <c r="G6" s="29">
        <v>40328493.878813297</v>
      </c>
      <c r="H6" s="28">
        <v>0</v>
      </c>
      <c r="I6" s="29">
        <v>6076074.4995963397</v>
      </c>
      <c r="J6" s="28">
        <v>0</v>
      </c>
      <c r="K6" s="29">
        <v>32594718.113682602</v>
      </c>
      <c r="L6" s="22">
        <v>0</v>
      </c>
      <c r="M6" s="22">
        <v>3465749.1337920702</v>
      </c>
      <c r="N6" s="1"/>
    </row>
    <row r="7" spans="1:14" x14ac:dyDescent="0.2">
      <c r="A7" s="26" t="s">
        <v>22</v>
      </c>
      <c r="B7" s="28">
        <v>167243192</v>
      </c>
      <c r="C7" s="29">
        <v>0</v>
      </c>
      <c r="D7" s="28">
        <v>140610351</v>
      </c>
      <c r="E7" s="29">
        <v>0</v>
      </c>
      <c r="F7" s="28">
        <v>34391084</v>
      </c>
      <c r="G7" s="29">
        <v>0</v>
      </c>
      <c r="H7" s="28">
        <v>16722786.800000001</v>
      </c>
      <c r="I7" s="29">
        <v>0</v>
      </c>
      <c r="J7" s="28">
        <v>79799682</v>
      </c>
      <c r="K7" s="29">
        <v>0</v>
      </c>
      <c r="L7" s="22">
        <v>74656623</v>
      </c>
      <c r="M7" s="22">
        <v>0</v>
      </c>
      <c r="N7" s="1"/>
    </row>
    <row r="8" spans="1:14" x14ac:dyDescent="0.2">
      <c r="A8" s="26" t="s">
        <v>8</v>
      </c>
      <c r="B8" s="28">
        <v>0</v>
      </c>
      <c r="C8" s="29">
        <v>387894117.42602199</v>
      </c>
      <c r="D8" s="28">
        <v>0</v>
      </c>
      <c r="E8" s="29">
        <v>148649046.15546101</v>
      </c>
      <c r="F8" s="28">
        <v>0</v>
      </c>
      <c r="G8" s="29">
        <v>45983878.911565296</v>
      </c>
      <c r="H8" s="28">
        <v>0</v>
      </c>
      <c r="I8" s="29">
        <v>25387225.340767398</v>
      </c>
      <c r="J8" s="28">
        <v>0</v>
      </c>
      <c r="K8" s="29">
        <v>62008633.056241602</v>
      </c>
      <c r="L8" s="22">
        <v>0</v>
      </c>
      <c r="M8" s="22">
        <v>86471961.629548505</v>
      </c>
      <c r="N8" s="1"/>
    </row>
    <row r="9" spans="1:14" x14ac:dyDescent="0.2">
      <c r="A9" s="26" t="s">
        <v>0</v>
      </c>
      <c r="B9" s="28">
        <v>49655846.347711399</v>
      </c>
      <c r="C9" s="29">
        <v>49655846.347711399</v>
      </c>
      <c r="D9" s="28">
        <v>27705438.735172</v>
      </c>
      <c r="E9" s="29">
        <v>90131.545640750701</v>
      </c>
      <c r="F9" s="28">
        <v>2556357.7276825202</v>
      </c>
      <c r="G9" s="29">
        <v>88.732461357274104</v>
      </c>
      <c r="H9" s="28">
        <v>2794168.7896809098</v>
      </c>
      <c r="I9" s="29">
        <v>4325208.7486194698</v>
      </c>
      <c r="J9" s="28">
        <v>63821535.181254901</v>
      </c>
      <c r="K9" s="29">
        <v>763499.69886107498</v>
      </c>
      <c r="L9" s="22">
        <v>32200535.5496043</v>
      </c>
      <c r="M9" s="22">
        <v>482769.51575353602</v>
      </c>
      <c r="N9" s="1"/>
    </row>
    <row r="10" spans="1:14" x14ac:dyDescent="0.2">
      <c r="A10" s="26" t="s">
        <v>1</v>
      </c>
      <c r="B10" s="28">
        <v>90131.545640750701</v>
      </c>
      <c r="C10" s="29">
        <v>27705438.735172</v>
      </c>
      <c r="D10" s="28">
        <v>21543221.5773031</v>
      </c>
      <c r="E10" s="29">
        <v>21543221.5773031</v>
      </c>
      <c r="F10" s="28">
        <v>75154.713972845202</v>
      </c>
      <c r="G10" s="29">
        <v>2335.7738665357901</v>
      </c>
      <c r="H10" s="28">
        <v>1148693.7165480901</v>
      </c>
      <c r="I10" s="29">
        <v>317638.94511824998</v>
      </c>
      <c r="J10" s="28">
        <v>0</v>
      </c>
      <c r="K10" s="29">
        <v>9728724.7612274792</v>
      </c>
      <c r="L10" s="22">
        <v>2484557.0376081299</v>
      </c>
      <c r="M10" s="22">
        <v>64576120.969619602</v>
      </c>
      <c r="N10" s="1"/>
    </row>
    <row r="11" spans="1:14" x14ac:dyDescent="0.2">
      <c r="A11" s="26" t="s">
        <v>2</v>
      </c>
      <c r="B11" s="28">
        <v>88.732461357274104</v>
      </c>
      <c r="C11" s="29">
        <v>2556357.7276825202</v>
      </c>
      <c r="D11" s="28">
        <v>2335.7738665357901</v>
      </c>
      <c r="E11" s="29">
        <v>75154.713972845202</v>
      </c>
      <c r="F11" s="28">
        <v>3565838.6723997099</v>
      </c>
      <c r="G11" s="29">
        <v>3565838.6723997099</v>
      </c>
      <c r="H11" s="28">
        <v>258478.06387292399</v>
      </c>
      <c r="I11" s="29">
        <v>2397351.0626670802</v>
      </c>
      <c r="J11" s="28">
        <v>0</v>
      </c>
      <c r="K11" s="29">
        <v>990380.55479294795</v>
      </c>
      <c r="L11" s="22">
        <v>4638148.7387308003</v>
      </c>
      <c r="M11" s="22">
        <v>14074019.0512149</v>
      </c>
      <c r="N11" s="1"/>
    </row>
    <row r="12" spans="1:14" x14ac:dyDescent="0.2">
      <c r="A12" s="26" t="s">
        <v>9</v>
      </c>
      <c r="B12" s="28">
        <v>4325208.7486194698</v>
      </c>
      <c r="C12" s="29">
        <v>2794168.7896809098</v>
      </c>
      <c r="D12" s="28">
        <v>317638.94511824998</v>
      </c>
      <c r="E12" s="29">
        <v>1148693.7165480901</v>
      </c>
      <c r="F12" s="28">
        <v>2397351.0626670802</v>
      </c>
      <c r="G12" s="29">
        <v>258478.06387292399</v>
      </c>
      <c r="H12" s="28">
        <v>1777012.60704565</v>
      </c>
      <c r="I12" s="29">
        <v>1777012.60704565</v>
      </c>
      <c r="J12" s="28">
        <v>0</v>
      </c>
      <c r="K12" s="29">
        <v>488431.61571106297</v>
      </c>
      <c r="L12" s="22">
        <v>191608.10765108201</v>
      </c>
      <c r="M12" s="22">
        <v>1356374.4724131799</v>
      </c>
      <c r="N12" s="1"/>
    </row>
    <row r="13" spans="1:14" x14ac:dyDescent="0.2">
      <c r="A13" s="26" t="s">
        <v>10</v>
      </c>
      <c r="B13" s="28">
        <v>763499.69886107498</v>
      </c>
      <c r="C13" s="29">
        <v>63821535.181254901</v>
      </c>
      <c r="D13" s="28">
        <v>9728724.7612274792</v>
      </c>
      <c r="E13" s="29">
        <v>0</v>
      </c>
      <c r="F13" s="28">
        <v>990380.55479294795</v>
      </c>
      <c r="G13" s="29">
        <v>0</v>
      </c>
      <c r="H13" s="28">
        <v>488431.61571106297</v>
      </c>
      <c r="I13" s="29">
        <v>0</v>
      </c>
      <c r="J13" s="28">
        <v>5782065.1561684301</v>
      </c>
      <c r="K13" s="29">
        <v>5782065.1561684301</v>
      </c>
      <c r="L13" s="22">
        <v>6751114.87631281</v>
      </c>
      <c r="M13" s="22">
        <v>0</v>
      </c>
      <c r="N13" s="1"/>
    </row>
    <row r="14" spans="1:14" x14ac:dyDescent="0.2">
      <c r="A14" s="26" t="s">
        <v>11</v>
      </c>
      <c r="B14" s="28">
        <v>482769.51575353602</v>
      </c>
      <c r="C14" s="29">
        <v>32200535.5496043</v>
      </c>
      <c r="D14" s="28">
        <v>64576120.969619602</v>
      </c>
      <c r="E14" s="29">
        <v>2484557.0376081299</v>
      </c>
      <c r="F14" s="28">
        <v>14074019.0512149</v>
      </c>
      <c r="G14" s="29">
        <v>4638148.7387308003</v>
      </c>
      <c r="H14" s="28">
        <v>1356374.4724131799</v>
      </c>
      <c r="I14" s="29">
        <v>191608.10765108201</v>
      </c>
      <c r="J14" s="28">
        <v>0</v>
      </c>
      <c r="K14" s="29">
        <v>6751114.87631281</v>
      </c>
      <c r="L14" s="22">
        <v>5589070.7833073698</v>
      </c>
      <c r="M14" s="22">
        <v>5589070.7833073698</v>
      </c>
      <c r="N14" s="1"/>
    </row>
    <row r="16" spans="1:14" x14ac:dyDescent="0.2">
      <c r="A16" t="s">
        <v>15</v>
      </c>
      <c r="B16" s="3">
        <f>B5/B7+1</f>
        <v>2.8067186077146866</v>
      </c>
      <c r="C16" s="3"/>
      <c r="D16" s="3">
        <f>D5/D7+1</f>
        <v>1.9336692502815813</v>
      </c>
      <c r="E16" s="3"/>
      <c r="F16" s="3">
        <f>F5/F7+1</f>
        <v>2.5314738552585316</v>
      </c>
      <c r="H16" s="3">
        <f>H5/H7+1</f>
        <v>1.8767260191345621</v>
      </c>
      <c r="I16" s="3"/>
      <c r="J16" s="3">
        <f>J5/J7+1</f>
        <v>1.1923159668731511</v>
      </c>
      <c r="K16" s="3"/>
      <c r="L16" s="3">
        <f>L5/L7+1</f>
        <v>1.2105653640401066</v>
      </c>
      <c r="M16" s="3"/>
    </row>
    <row r="18" spans="1:13" x14ac:dyDescent="0.2">
      <c r="A18" t="s">
        <v>0</v>
      </c>
      <c r="B18" s="2"/>
      <c r="C18" s="2"/>
      <c r="H18" s="2">
        <f>H9/(H$7-H$12)</f>
        <v>0.1869537672393124</v>
      </c>
      <c r="I18" s="2">
        <f>I9/(I$6+I$8-I$12)</f>
        <v>0.14569719394768632</v>
      </c>
      <c r="J18" s="2">
        <f>J9/(J$7-J$13)</f>
        <v>0.86224790668295637</v>
      </c>
      <c r="K18" s="2">
        <f>K9/(K$6+K$8-K$13)</f>
        <v>8.5959090790785411E-3</v>
      </c>
      <c r="L18" s="2">
        <f>L9/(L$7-L$14)</f>
        <v>0.46621799261943292</v>
      </c>
      <c r="M18" s="2">
        <f>M9/(M$6+M$8-M$14)</f>
        <v>5.7235008871253405E-3</v>
      </c>
    </row>
    <row r="19" spans="1:13" x14ac:dyDescent="0.2">
      <c r="A19" t="s">
        <v>1</v>
      </c>
      <c r="B19" s="2">
        <f>B10/(B$7-B$9)</f>
        <v>7.6650718783357848E-4</v>
      </c>
      <c r="C19" s="2">
        <f>C10/(C$6+C$8-C$9)</f>
        <v>6.0889228306370946E-2</v>
      </c>
      <c r="H19" s="2">
        <f>H10/(H$7-H$12)</f>
        <v>7.6857424829126664E-2</v>
      </c>
      <c r="I19" s="2">
        <f>I10/(I$6+I$8-I$12)</f>
        <v>1.0699854199407978E-2</v>
      </c>
      <c r="J19" s="2">
        <f>J10/(J$7-J$13)</f>
        <v>0</v>
      </c>
      <c r="K19" s="2">
        <f>K10/(K$6+K$8-K$13)</f>
        <v>0.10953145577875094</v>
      </c>
      <c r="L19" s="2">
        <f>L10/(L$7-L$14)</f>
        <v>3.5972854949500421E-2</v>
      </c>
      <c r="M19" s="2">
        <f>M10/(M$6+M$8-M$14)</f>
        <v>0.76558579942611871</v>
      </c>
    </row>
    <row r="20" spans="1:13" x14ac:dyDescent="0.2">
      <c r="A20" t="s">
        <v>2</v>
      </c>
      <c r="B20" s="2">
        <f>B11/(B$7-B$9)</f>
        <v>7.5460893232219254E-7</v>
      </c>
      <c r="C20" s="2">
        <f>C11/(C$6+C$8-C$9)</f>
        <v>5.6181983184411134E-3</v>
      </c>
      <c r="H20" s="2">
        <f>H11/(H$7-H$12)</f>
        <v>1.7294391079103431E-2</v>
      </c>
      <c r="I20" s="2">
        <f>I11/(I$6+I$8-I$12)</f>
        <v>8.0756176878071809E-2</v>
      </c>
      <c r="J20" s="2">
        <f>J11/(J$7-J$13)</f>
        <v>0</v>
      </c>
      <c r="K20" s="2">
        <f>K11/(K$6+K$8-K$13)</f>
        <v>1.1150261375854967E-2</v>
      </c>
      <c r="L20" s="2">
        <f>L11/(L$7-L$14)</f>
        <v>6.7153802181653496E-2</v>
      </c>
      <c r="M20" s="2">
        <f>M11/(M$6+M$8-M$14)</f>
        <v>0.16685531686754482</v>
      </c>
    </row>
    <row r="21" spans="1:13" x14ac:dyDescent="0.2">
      <c r="A21" t="s">
        <v>9</v>
      </c>
      <c r="B21" s="2">
        <f>B12/(B$7-B$9)</f>
        <v>3.6782943986245924E-2</v>
      </c>
      <c r="C21" s="2">
        <f>C12/(C$6+C$8-C$9)</f>
        <v>6.1408441493269452E-3</v>
      </c>
      <c r="H21" s="2"/>
      <c r="I21" s="2"/>
      <c r="J21" s="2">
        <f>J12/(J$7-J$13)</f>
        <v>0</v>
      </c>
      <c r="K21" s="2">
        <f>K12/(K$6+K$8-K$13)</f>
        <v>5.4990378729195552E-3</v>
      </c>
      <c r="L21" s="2">
        <f>L12/(L$7-L$14)</f>
        <v>2.7742130928562589E-3</v>
      </c>
      <c r="M21" s="2">
        <f>M12/(M$6+M$8-M$14)</f>
        <v>1.6080573115752162E-2</v>
      </c>
    </row>
    <row r="22" spans="1:13" x14ac:dyDescent="0.2">
      <c r="A22" t="s">
        <v>10</v>
      </c>
      <c r="B22" s="2">
        <f>B13/(B$7-B$9)</f>
        <v>6.4930430619531123E-3</v>
      </c>
      <c r="C22" s="2">
        <f>C13/(C$6+C$8-C$9)</f>
        <v>0.14026285826620713</v>
      </c>
      <c r="H22" s="2">
        <f>H13/(H$7-H$12)</f>
        <v>3.2680248570951684E-2</v>
      </c>
      <c r="I22" s="2">
        <f>I13/(I$6+I$8-I$12)</f>
        <v>0</v>
      </c>
      <c r="J22" s="2"/>
      <c r="K22" s="2"/>
      <c r="L22" s="2">
        <f>L13/(L$7-L$14)</f>
        <v>9.7746548989196172E-2</v>
      </c>
      <c r="M22" s="2">
        <f>M13/(M$6+M$8-M$14)</f>
        <v>0</v>
      </c>
    </row>
    <row r="23" spans="1:13" x14ac:dyDescent="0.2">
      <c r="A23" t="s">
        <v>11</v>
      </c>
      <c r="B23" s="2">
        <f>B14/(B$7-B$9)</f>
        <v>4.1056247428282681E-3</v>
      </c>
      <c r="C23" s="2">
        <f>C14/(C$6+C$8-C$9)</f>
        <v>7.0768262484802627E-2</v>
      </c>
      <c r="H23" s="2">
        <f>H14/(H$7-H$12)</f>
        <v>9.075304195700977E-2</v>
      </c>
      <c r="I23" s="2">
        <f>I14/(I$6+I$8-I$12)</f>
        <v>6.4544315072190203E-3</v>
      </c>
      <c r="J23" s="2">
        <f>J14/(J$7-J$13)</f>
        <v>0</v>
      </c>
      <c r="K23" s="2">
        <f>K14/(K$6+K$8-K$13)</f>
        <v>7.6007848786013563E-2</v>
      </c>
      <c r="L23" s="2"/>
      <c r="M23" s="2"/>
    </row>
    <row r="24" spans="1:13" x14ac:dyDescent="0.2">
      <c r="B24" t="s">
        <v>16</v>
      </c>
      <c r="H24" t="s">
        <v>19</v>
      </c>
      <c r="J24" t="s">
        <v>20</v>
      </c>
      <c r="L24" t="s">
        <v>21</v>
      </c>
    </row>
    <row r="25" spans="1:13" s="2" customFormat="1" x14ac:dyDescent="0.2">
      <c r="A25" s="2" t="s">
        <v>17</v>
      </c>
      <c r="C25" s="2">
        <f>C19</f>
        <v>6.0889228306370946E-2</v>
      </c>
      <c r="I25" s="2">
        <f>C21*I19</f>
        <v>6.5706137059085826E-5</v>
      </c>
      <c r="K25" s="2">
        <f>C22*K19</f>
        <v>1.5363195057586277E-2</v>
      </c>
      <c r="M25" s="2">
        <f>C23*M19</f>
        <v>5.4179176808425024E-2</v>
      </c>
    </row>
    <row r="26" spans="1:13" s="2" customFormat="1" x14ac:dyDescent="0.2">
      <c r="A26" s="2" t="s">
        <v>18</v>
      </c>
      <c r="C26" s="2">
        <f>C20</f>
        <v>5.6181983184411134E-3</v>
      </c>
      <c r="I26" s="2">
        <f>C21*I20</f>
        <v>4.9591109630371915E-4</v>
      </c>
      <c r="K26" s="2">
        <f>C22*K20</f>
        <v>1.5639675309927089E-3</v>
      </c>
      <c r="M26" s="2">
        <f>C23*M20</f>
        <v>1.1808060861067327E-2</v>
      </c>
    </row>
    <row r="28" spans="1:13" x14ac:dyDescent="0.2">
      <c r="A28" t="s">
        <v>12</v>
      </c>
      <c r="B28" s="1">
        <f>(C6+C8-B4)/10000</f>
        <v>46625.508485906677</v>
      </c>
    </row>
    <row r="29" spans="1:13" x14ac:dyDescent="0.2">
      <c r="A29" t="s">
        <v>13</v>
      </c>
      <c r="B29" s="1">
        <f>(E6+E8-D4)/10000</f>
        <v>26988.374037243713</v>
      </c>
      <c r="C29" s="1">
        <f>B28*(C25+I25+K25+M25)</f>
        <v>6084.5032627188202</v>
      </c>
      <c r="D29" s="2">
        <f>(B29+C29)/SUM(B28:B30)</f>
        <v>0.40249007887950755</v>
      </c>
    </row>
    <row r="30" spans="1:13" x14ac:dyDescent="0.2">
      <c r="A30" t="s">
        <v>14</v>
      </c>
      <c r="B30" s="1">
        <f>(G6+G8-F4)/10000</f>
        <v>8556.7821353031723</v>
      </c>
      <c r="C30" s="1">
        <f>B28*(C26+I26+K26+M26)</f>
        <v>908.55108366872719</v>
      </c>
      <c r="D30" s="2">
        <f>(B30+C30)/SUM(B28:B30)</f>
        <v>0.11519114830475118</v>
      </c>
    </row>
  </sheetData>
  <phoneticPr fontId="3" type="noConversion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7543F-648C-4FE1-8036-85A589ABF6E7}">
  <dimension ref="A1:N30"/>
  <sheetViews>
    <sheetView workbookViewId="0"/>
  </sheetViews>
  <sheetFormatPr defaultRowHeight="14.25" x14ac:dyDescent="0.2"/>
  <cols>
    <col min="1" max="1" width="23.5" bestFit="1" customWidth="1"/>
    <col min="2" max="5" width="9.875" customWidth="1"/>
    <col min="8" max="13" width="9" customWidth="1"/>
  </cols>
  <sheetData>
    <row r="1" spans="1:14" x14ac:dyDescent="0.2">
      <c r="A1" s="21"/>
      <c r="B1" s="22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2" spans="1:14" x14ac:dyDescent="0.2">
      <c r="A2" s="23"/>
      <c r="B2" s="23" t="s">
        <v>0</v>
      </c>
      <c r="C2" s="24"/>
      <c r="D2" s="23" t="s">
        <v>1</v>
      </c>
      <c r="E2" s="24"/>
      <c r="F2" s="23" t="s">
        <v>2</v>
      </c>
      <c r="G2" s="24"/>
      <c r="H2" s="23" t="s">
        <v>9</v>
      </c>
      <c r="I2" s="24"/>
      <c r="J2" s="23" t="s">
        <v>10</v>
      </c>
      <c r="K2" s="24"/>
      <c r="L2" s="25" t="s">
        <v>11</v>
      </c>
      <c r="M2" s="25"/>
    </row>
    <row r="3" spans="1:14" x14ac:dyDescent="0.2">
      <c r="A3" s="26"/>
      <c r="B3" s="26" t="s">
        <v>3</v>
      </c>
      <c r="C3" s="27" t="s">
        <v>4</v>
      </c>
      <c r="D3" s="26" t="s">
        <v>3</v>
      </c>
      <c r="E3" s="27" t="s">
        <v>4</v>
      </c>
      <c r="F3" s="26" t="s">
        <v>3</v>
      </c>
      <c r="G3" s="27" t="s">
        <v>4</v>
      </c>
      <c r="H3" s="26" t="s">
        <v>3</v>
      </c>
      <c r="I3" s="27" t="s">
        <v>4</v>
      </c>
      <c r="J3" s="26" t="s">
        <v>3</v>
      </c>
      <c r="K3" s="27" t="s">
        <v>4</v>
      </c>
      <c r="L3" s="21" t="s">
        <v>3</v>
      </c>
      <c r="M3" s="21" t="s">
        <v>4</v>
      </c>
    </row>
    <row r="4" spans="1:14" x14ac:dyDescent="0.2">
      <c r="A4" s="26" t="s">
        <v>5</v>
      </c>
      <c r="B4" s="28">
        <v>43448810.883854203</v>
      </c>
      <c r="C4" s="29">
        <v>0</v>
      </c>
      <c r="D4" s="28">
        <v>2813344.0247455998</v>
      </c>
      <c r="E4" s="29">
        <v>0</v>
      </c>
      <c r="F4" s="28">
        <v>3603541.8993418198</v>
      </c>
      <c r="G4" s="29">
        <v>0</v>
      </c>
      <c r="H4" s="28">
        <v>0</v>
      </c>
      <c r="I4" s="29">
        <v>0</v>
      </c>
      <c r="J4" s="28">
        <v>1671868.85505942</v>
      </c>
      <c r="K4" s="29">
        <v>0</v>
      </c>
      <c r="L4" s="22">
        <v>1783684.3828</v>
      </c>
      <c r="M4" s="22">
        <v>0</v>
      </c>
      <c r="N4" s="1"/>
    </row>
    <row r="5" spans="1:14" x14ac:dyDescent="0.2">
      <c r="A5" s="26" t="s">
        <v>6</v>
      </c>
      <c r="B5" s="28">
        <v>380285478</v>
      </c>
      <c r="C5" s="29">
        <v>0</v>
      </c>
      <c r="D5" s="28">
        <v>144376200.59999999</v>
      </c>
      <c r="E5" s="29">
        <v>0</v>
      </c>
      <c r="F5" s="28">
        <v>70553959.599999994</v>
      </c>
      <c r="G5" s="29">
        <v>0</v>
      </c>
      <c r="H5" s="28">
        <v>25604962.935699999</v>
      </c>
      <c r="I5" s="29">
        <v>0</v>
      </c>
      <c r="J5" s="28">
        <v>23811839</v>
      </c>
      <c r="K5" s="29">
        <v>0</v>
      </c>
      <c r="L5" s="22">
        <v>13982800</v>
      </c>
      <c r="M5" s="22">
        <v>0</v>
      </c>
      <c r="N5" s="1"/>
    </row>
    <row r="6" spans="1:14" x14ac:dyDescent="0.2">
      <c r="A6" s="26" t="s">
        <v>7</v>
      </c>
      <c r="B6" s="28">
        <v>0</v>
      </c>
      <c r="C6" s="29">
        <v>121792354.45306399</v>
      </c>
      <c r="D6" s="28">
        <v>0</v>
      </c>
      <c r="E6" s="29">
        <v>122475652.473859</v>
      </c>
      <c r="F6" s="28">
        <v>0</v>
      </c>
      <c r="G6" s="29">
        <v>52018475.3298508</v>
      </c>
      <c r="H6" s="28">
        <v>0</v>
      </c>
      <c r="I6" s="29">
        <v>12379032.8592395</v>
      </c>
      <c r="J6" s="28">
        <v>0</v>
      </c>
      <c r="K6" s="29">
        <v>57766337.203869499</v>
      </c>
      <c r="L6" s="22">
        <v>0</v>
      </c>
      <c r="M6" s="22">
        <v>1733637.0075317</v>
      </c>
      <c r="N6" s="1"/>
    </row>
    <row r="7" spans="1:14" x14ac:dyDescent="0.2">
      <c r="A7" s="26" t="s">
        <v>22</v>
      </c>
      <c r="B7" s="28">
        <v>206332747</v>
      </c>
      <c r="C7" s="29">
        <v>0</v>
      </c>
      <c r="D7" s="28">
        <v>149564011.40000001</v>
      </c>
      <c r="E7" s="29">
        <v>0</v>
      </c>
      <c r="F7" s="28">
        <v>45628130.399999999</v>
      </c>
      <c r="G7" s="29">
        <v>0</v>
      </c>
      <c r="H7" s="28">
        <v>27926363.534499999</v>
      </c>
      <c r="I7" s="29">
        <v>0</v>
      </c>
      <c r="J7" s="28">
        <v>117189987</v>
      </c>
      <c r="K7" s="29">
        <v>0</v>
      </c>
      <c r="L7" s="22">
        <v>75887115</v>
      </c>
      <c r="M7" s="22">
        <v>0</v>
      </c>
      <c r="N7" s="1"/>
    </row>
    <row r="8" spans="1:14" x14ac:dyDescent="0.2">
      <c r="A8" s="26" t="s">
        <v>8</v>
      </c>
      <c r="B8" s="28">
        <v>0</v>
      </c>
      <c r="C8" s="29">
        <v>508274681.78141201</v>
      </c>
      <c r="D8" s="28">
        <v>0</v>
      </c>
      <c r="E8" s="29">
        <v>174277903.562617</v>
      </c>
      <c r="F8" s="28">
        <v>0</v>
      </c>
      <c r="G8" s="29">
        <v>67767156.540033504</v>
      </c>
      <c r="H8" s="28">
        <v>0</v>
      </c>
      <c r="I8" s="29">
        <v>41152293.610919699</v>
      </c>
      <c r="J8" s="28">
        <v>0</v>
      </c>
      <c r="K8" s="29">
        <v>84907357.849899799</v>
      </c>
      <c r="L8" s="22">
        <v>0</v>
      </c>
      <c r="M8" s="22">
        <v>89919962.017138198</v>
      </c>
      <c r="N8" s="1"/>
    </row>
    <row r="9" spans="1:14" x14ac:dyDescent="0.2">
      <c r="A9" s="26" t="s">
        <v>0</v>
      </c>
      <c r="B9" s="28">
        <v>59652963.840228498</v>
      </c>
      <c r="C9" s="29">
        <v>59652963.840228498</v>
      </c>
      <c r="D9" s="28">
        <v>25613830.327565499</v>
      </c>
      <c r="E9" s="29">
        <v>101.200697071671</v>
      </c>
      <c r="F9" s="28">
        <v>881242.20878431899</v>
      </c>
      <c r="G9" s="29">
        <v>0</v>
      </c>
      <c r="H9" s="28">
        <v>4571652.3240026599</v>
      </c>
      <c r="I9" s="29">
        <v>9924391.9897011891</v>
      </c>
      <c r="J9" s="28">
        <v>92418089.231804997</v>
      </c>
      <c r="K9" s="29">
        <v>799899.21641109802</v>
      </c>
      <c r="L9" s="22">
        <v>38085935.8281947</v>
      </c>
      <c r="M9" s="22">
        <v>695115.33693856501</v>
      </c>
      <c r="N9" s="1"/>
    </row>
    <row r="10" spans="1:14" x14ac:dyDescent="0.2">
      <c r="A10" s="26" t="s">
        <v>1</v>
      </c>
      <c r="B10" s="28">
        <v>101.200697071671</v>
      </c>
      <c r="C10" s="29">
        <v>25613830.327565499</v>
      </c>
      <c r="D10" s="28">
        <v>22869421.6491239</v>
      </c>
      <c r="E10" s="29">
        <v>22869421.6491239</v>
      </c>
      <c r="F10" s="28">
        <v>0</v>
      </c>
      <c r="G10" s="29">
        <v>0</v>
      </c>
      <c r="H10" s="28">
        <v>1277962.65098408</v>
      </c>
      <c r="I10" s="29">
        <v>963372.57806905406</v>
      </c>
      <c r="J10" s="28">
        <v>0</v>
      </c>
      <c r="K10" s="29">
        <v>8694433.4447017107</v>
      </c>
      <c r="L10" s="22">
        <v>2042.62264874779</v>
      </c>
      <c r="M10" s="22">
        <v>60872864.5902768</v>
      </c>
      <c r="N10" s="1"/>
    </row>
    <row r="11" spans="1:14" x14ac:dyDescent="0.2">
      <c r="A11" s="26" t="s">
        <v>2</v>
      </c>
      <c r="B11" s="28">
        <v>0</v>
      </c>
      <c r="C11" s="29">
        <v>881242.20878431899</v>
      </c>
      <c r="D11" s="28">
        <v>0</v>
      </c>
      <c r="E11" s="29">
        <v>0</v>
      </c>
      <c r="F11" s="28">
        <v>3616525.14850487</v>
      </c>
      <c r="G11" s="29">
        <v>3616525.14850487</v>
      </c>
      <c r="H11" s="28">
        <v>586648.86436969298</v>
      </c>
      <c r="I11" s="29">
        <v>4066665.6847201199</v>
      </c>
      <c r="J11" s="28">
        <v>0</v>
      </c>
      <c r="K11" s="29">
        <v>1296806.4628560301</v>
      </c>
      <c r="L11" s="22">
        <v>4694443.2572486103</v>
      </c>
      <c r="M11" s="22">
        <v>17641116.708508901</v>
      </c>
      <c r="N11" s="1"/>
    </row>
    <row r="12" spans="1:14" x14ac:dyDescent="0.2">
      <c r="A12" s="26" t="s">
        <v>9</v>
      </c>
      <c r="B12" s="28">
        <v>9924391.9897011891</v>
      </c>
      <c r="C12" s="29">
        <v>4571652.3240026599</v>
      </c>
      <c r="D12" s="28">
        <v>963372.57806905406</v>
      </c>
      <c r="E12" s="29">
        <v>1277962.65098408</v>
      </c>
      <c r="F12" s="28">
        <v>4066665.6847201199</v>
      </c>
      <c r="G12" s="29">
        <v>586648.86436969298</v>
      </c>
      <c r="H12" s="28">
        <v>4212075.3559913402</v>
      </c>
      <c r="I12" s="29">
        <v>4212075.3559913402</v>
      </c>
      <c r="J12" s="28">
        <v>0</v>
      </c>
      <c r="K12" s="29">
        <v>832895.755479165</v>
      </c>
      <c r="L12" s="22">
        <v>83325.643494110394</v>
      </c>
      <c r="M12" s="22">
        <v>3123076.27217256</v>
      </c>
      <c r="N12" s="1"/>
    </row>
    <row r="13" spans="1:14" x14ac:dyDescent="0.2">
      <c r="A13" s="26" t="s">
        <v>10</v>
      </c>
      <c r="B13" s="28">
        <v>799899.21641109802</v>
      </c>
      <c r="C13" s="29">
        <v>92418089.231804997</v>
      </c>
      <c r="D13" s="28">
        <v>8694433.4447017107</v>
      </c>
      <c r="E13" s="29">
        <v>0</v>
      </c>
      <c r="F13" s="28">
        <v>1296806.4628560301</v>
      </c>
      <c r="G13" s="29">
        <v>0</v>
      </c>
      <c r="H13" s="28">
        <v>832895.755479165</v>
      </c>
      <c r="I13" s="29">
        <v>0</v>
      </c>
      <c r="J13" s="28">
        <v>7486667.2920365799</v>
      </c>
      <c r="K13" s="29">
        <v>7486667.2920365799</v>
      </c>
      <c r="L13" s="22">
        <v>6774966.8582621999</v>
      </c>
      <c r="M13" s="22">
        <v>0</v>
      </c>
      <c r="N13" s="1"/>
    </row>
    <row r="14" spans="1:14" x14ac:dyDescent="0.2">
      <c r="A14" s="26" t="s">
        <v>11</v>
      </c>
      <c r="B14" s="28">
        <v>695115.33693856501</v>
      </c>
      <c r="C14" s="29">
        <v>38085935.8281947</v>
      </c>
      <c r="D14" s="28">
        <v>60872864.5902768</v>
      </c>
      <c r="E14" s="29">
        <v>2042.62264874779</v>
      </c>
      <c r="F14" s="28">
        <v>17641116.708508901</v>
      </c>
      <c r="G14" s="29">
        <v>4694443.2572486103</v>
      </c>
      <c r="H14" s="28">
        <v>3123076.27217256</v>
      </c>
      <c r="I14" s="29">
        <v>83325.643494110394</v>
      </c>
      <c r="J14" s="28">
        <v>0</v>
      </c>
      <c r="K14" s="29">
        <v>6774966.8582621999</v>
      </c>
      <c r="L14" s="22">
        <v>6370935.4979875302</v>
      </c>
      <c r="M14" s="22">
        <v>6370935.4979875302</v>
      </c>
      <c r="N14" s="1"/>
    </row>
    <row r="16" spans="1:14" x14ac:dyDescent="0.2">
      <c r="A16" t="s">
        <v>15</v>
      </c>
      <c r="B16" s="3">
        <f>B5/B7+1</f>
        <v>2.8430689433897762</v>
      </c>
      <c r="C16" s="3"/>
      <c r="D16" s="3">
        <f>D5/D7+1</f>
        <v>1.9653137760117605</v>
      </c>
      <c r="E16" s="3"/>
      <c r="F16" s="3">
        <f>F5/F7+1</f>
        <v>2.5462820628740905</v>
      </c>
      <c r="H16" s="3">
        <f>H5/H7+1</f>
        <v>1.916874225463256</v>
      </c>
      <c r="I16" s="3"/>
      <c r="J16" s="3">
        <f>J5/J7+1</f>
        <v>1.2031900472862072</v>
      </c>
      <c r="K16" s="3"/>
      <c r="L16" s="3">
        <f>L5/L7+1</f>
        <v>1.1842578941102189</v>
      </c>
      <c r="M16" s="3"/>
    </row>
    <row r="18" spans="1:13" x14ac:dyDescent="0.2">
      <c r="A18" t="s">
        <v>0</v>
      </c>
      <c r="B18" s="2"/>
      <c r="C18" s="2"/>
      <c r="H18" s="2">
        <f>H9/(H$7-H$12)</f>
        <v>0.19278049965445607</v>
      </c>
      <c r="I18" s="2">
        <f>I9/(I$6+I$8-I$12)</f>
        <v>0.2012275483812086</v>
      </c>
      <c r="J18" s="2">
        <f>J9/(J$7-J$13)</f>
        <v>0.84243657783399162</v>
      </c>
      <c r="K18" s="2">
        <f>K9/(K$6+K$8-K$13)</f>
        <v>5.9169820481660513E-3</v>
      </c>
      <c r="L18" s="2">
        <f>L9/(L$7-L$14)</f>
        <v>0.5478715329442424</v>
      </c>
      <c r="M18" s="2">
        <f>M9/(M$6+M$8-M$14)</f>
        <v>8.1507226462396356E-3</v>
      </c>
    </row>
    <row r="19" spans="1:13" x14ac:dyDescent="0.2">
      <c r="A19" t="s">
        <v>1</v>
      </c>
      <c r="B19" s="2">
        <f>B10/(B$7-B$9)</f>
        <v>6.899430507163878E-7</v>
      </c>
      <c r="C19" s="2">
        <f>C10/(C$6+C$8-C$9)</f>
        <v>4.4903924301962585E-2</v>
      </c>
      <c r="H19" s="2">
        <f>H10/(H$7-H$12)</f>
        <v>5.3889985706686662E-2</v>
      </c>
      <c r="I19" s="2">
        <f>I10/(I$6+I$8-I$12)</f>
        <v>1.9533398344572746E-2</v>
      </c>
      <c r="J19" s="2">
        <f>J10/(J$7-J$13)</f>
        <v>0</v>
      </c>
      <c r="K19" s="2">
        <f>K10/(K$6+K$8-K$13)</f>
        <v>6.4314110522687581E-2</v>
      </c>
      <c r="L19" s="2">
        <f>L10/(L$7-L$14)</f>
        <v>2.9383413521576752E-5</v>
      </c>
      <c r="M19" s="2">
        <f>M10/(M$6+M$8-M$14)</f>
        <v>0.71377771369947318</v>
      </c>
    </row>
    <row r="20" spans="1:13" x14ac:dyDescent="0.2">
      <c r="A20" t="s">
        <v>2</v>
      </c>
      <c r="B20" s="2">
        <f>B11/(B$7-B$9)</f>
        <v>0</v>
      </c>
      <c r="C20" s="2">
        <f>C11/(C$6+C$8-C$9)</f>
        <v>1.5449166691933213E-3</v>
      </c>
      <c r="H20" s="2">
        <f>H11/(H$7-H$12)</f>
        <v>2.4738202553401967E-2</v>
      </c>
      <c r="I20" s="2">
        <f>I11/(I$6+I$8-I$12)</f>
        <v>8.2455949610960241E-2</v>
      </c>
      <c r="J20" s="2">
        <f>J11/(J$7-J$13)</f>
        <v>0</v>
      </c>
      <c r="K20" s="2">
        <f>K11/(K$6+K$8-K$13)</f>
        <v>9.5926841822549201E-3</v>
      </c>
      <c r="L20" s="2">
        <f>L11/(L$7-L$14)</f>
        <v>6.7530225206244354E-2</v>
      </c>
      <c r="M20" s="2">
        <f>M11/(M$6+M$8-M$14)</f>
        <v>0.20685466399615354</v>
      </c>
    </row>
    <row r="21" spans="1:13" x14ac:dyDescent="0.2">
      <c r="A21" t="s">
        <v>9</v>
      </c>
      <c r="B21" s="2">
        <f>B12/(B$7-B$9)</f>
        <v>6.7660258120855063E-2</v>
      </c>
      <c r="C21" s="2">
        <f>C12/(C$6+C$8-C$9)</f>
        <v>8.0146205103490426E-3</v>
      </c>
      <c r="H21" s="2"/>
      <c r="I21" s="2"/>
      <c r="J21" s="2">
        <f>J12/(J$7-J$13)</f>
        <v>0</v>
      </c>
      <c r="K21" s="2">
        <f>K12/(K$6+K$8-K$13)</f>
        <v>6.1610627089689757E-3</v>
      </c>
      <c r="L21" s="2">
        <f>L12/(L$7-L$14)</f>
        <v>1.1986510779364412E-3</v>
      </c>
      <c r="M21" s="2">
        <f>M12/(M$6+M$8-M$14)</f>
        <v>3.6620294712013113E-2</v>
      </c>
    </row>
    <row r="22" spans="1:13" x14ac:dyDescent="0.2">
      <c r="A22" t="s">
        <v>10</v>
      </c>
      <c r="B22" s="2">
        <f>B13/(B$7-B$9)</f>
        <v>5.4533705953178618E-3</v>
      </c>
      <c r="C22" s="2">
        <f>C13/(C$6+C$8-C$9)</f>
        <v>0.16201930089818908</v>
      </c>
      <c r="H22" s="2">
        <f>H13/(H$7-H$12)</f>
        <v>3.5122106521164154E-2</v>
      </c>
      <c r="I22" s="2">
        <f>I13/(I$6+I$8-I$12)</f>
        <v>0</v>
      </c>
      <c r="J22" s="2"/>
      <c r="K22" s="2"/>
      <c r="L22" s="2">
        <f>L13/(L$7-L$14)</f>
        <v>9.7458849246254475E-2</v>
      </c>
      <c r="M22" s="2">
        <f>M13/(M$6+M$8-M$14)</f>
        <v>0</v>
      </c>
    </row>
    <row r="23" spans="1:13" x14ac:dyDescent="0.2">
      <c r="A23" t="s">
        <v>11</v>
      </c>
      <c r="B23" s="2">
        <f>B14/(B$7-B$9)</f>
        <v>4.7389989401702892E-3</v>
      </c>
      <c r="C23" s="2">
        <f>C14/(C$6+C$8-C$9)</f>
        <v>6.6768927471114736E-2</v>
      </c>
      <c r="H23" s="2">
        <f>H14/(H$7-H$12)</f>
        <v>0.13169597369584482</v>
      </c>
      <c r="I23" s="2">
        <f>I14/(I$6+I$8-I$12)</f>
        <v>1.6895155869504591E-3</v>
      </c>
      <c r="J23" s="2">
        <f>J14/(J$7-J$13)</f>
        <v>0</v>
      </c>
      <c r="K23" s="2">
        <f>K14/(K$6+K$8-K$13)</f>
        <v>5.0115510122784021E-2</v>
      </c>
      <c r="L23" s="2"/>
      <c r="M23" s="2"/>
    </row>
    <row r="24" spans="1:13" x14ac:dyDescent="0.2">
      <c r="B24" t="s">
        <v>16</v>
      </c>
      <c r="H24" t="s">
        <v>19</v>
      </c>
      <c r="J24" t="s">
        <v>20</v>
      </c>
      <c r="L24" t="s">
        <v>21</v>
      </c>
    </row>
    <row r="25" spans="1:13" s="2" customFormat="1" x14ac:dyDescent="0.2">
      <c r="A25" s="2" t="s">
        <v>17</v>
      </c>
      <c r="C25" s="2">
        <f>C19</f>
        <v>4.4903924301962585E-2</v>
      </c>
      <c r="I25" s="2">
        <f>C21*I19</f>
        <v>1.5655277500923077E-4</v>
      </c>
      <c r="K25" s="2">
        <f>C22*K19</f>
        <v>1.0420127224774709E-2</v>
      </c>
      <c r="M25" s="2">
        <f>C23*M19</f>
        <v>4.7658172396498222E-2</v>
      </c>
    </row>
    <row r="26" spans="1:13" s="2" customFormat="1" x14ac:dyDescent="0.2">
      <c r="A26" s="2" t="s">
        <v>18</v>
      </c>
      <c r="C26" s="2">
        <f>C20</f>
        <v>1.5449166691933213E-3</v>
      </c>
      <c r="I26" s="2">
        <f>C21*I20</f>
        <v>6.6085314495230914E-4</v>
      </c>
      <c r="K26" s="2">
        <f>C22*K20</f>
        <v>1.5541999849460588E-3</v>
      </c>
      <c r="M26" s="2">
        <f>C23*M20</f>
        <v>1.3811464057420985E-2</v>
      </c>
    </row>
    <row r="28" spans="1:13" x14ac:dyDescent="0.2">
      <c r="A28" t="s">
        <v>12</v>
      </c>
      <c r="B28" s="1">
        <f>(C6+C8-B4)/10000</f>
        <v>58661.82253506218</v>
      </c>
    </row>
    <row r="29" spans="1:13" x14ac:dyDescent="0.2">
      <c r="A29" t="s">
        <v>13</v>
      </c>
      <c r="B29" s="1">
        <f>(E6+E8-D4)/10000</f>
        <v>29394.021201173044</v>
      </c>
      <c r="C29" s="1">
        <f>B28*(C25+I25+K25+M25)</f>
        <v>6050.3086151558391</v>
      </c>
      <c r="D29" s="2">
        <f>(B29+C29)/SUM(B28:B30)</f>
        <v>0.35560237438294784</v>
      </c>
    </row>
    <row r="30" spans="1:13" x14ac:dyDescent="0.2">
      <c r="A30" t="s">
        <v>14</v>
      </c>
      <c r="B30" s="1">
        <f>(G6+G8-F4)/10000</f>
        <v>11618.208997054249</v>
      </c>
      <c r="C30" s="1">
        <f>B28*(C26+I26+K26+M26)</f>
        <v>1030.7723345773297</v>
      </c>
      <c r="D30" s="2">
        <f>(B30+C30)/SUM(B28:B30)</f>
        <v>0.12690345164832484</v>
      </c>
    </row>
  </sheetData>
  <phoneticPr fontId="3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9356F-7810-4398-A3D6-FBD663812FB0}">
  <dimension ref="A1:N30"/>
  <sheetViews>
    <sheetView workbookViewId="0"/>
  </sheetViews>
  <sheetFormatPr defaultRowHeight="14.25" x14ac:dyDescent="0.2"/>
  <cols>
    <col min="1" max="1" width="23.5" bestFit="1" customWidth="1"/>
    <col min="2" max="13" width="11.125" customWidth="1"/>
  </cols>
  <sheetData>
    <row r="1" spans="1:14" x14ac:dyDescent="0.2">
      <c r="A1" s="21"/>
      <c r="B1" s="22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2" spans="1:14" x14ac:dyDescent="0.2">
      <c r="A2" s="23"/>
      <c r="B2" s="23" t="s">
        <v>0</v>
      </c>
      <c r="C2" s="24"/>
      <c r="D2" s="23" t="s">
        <v>1</v>
      </c>
      <c r="E2" s="24"/>
      <c r="F2" s="23" t="s">
        <v>2</v>
      </c>
      <c r="G2" s="24"/>
      <c r="H2" s="23" t="s">
        <v>9</v>
      </c>
      <c r="I2" s="24"/>
      <c r="J2" s="23" t="s">
        <v>10</v>
      </c>
      <c r="K2" s="24"/>
      <c r="L2" s="25" t="s">
        <v>11</v>
      </c>
      <c r="M2" s="25"/>
    </row>
    <row r="3" spans="1:14" x14ac:dyDescent="0.2">
      <c r="A3" s="26"/>
      <c r="B3" s="26" t="s">
        <v>3</v>
      </c>
      <c r="C3" s="27" t="s">
        <v>4</v>
      </c>
      <c r="D3" s="26" t="s">
        <v>3</v>
      </c>
      <c r="E3" s="27" t="s">
        <v>4</v>
      </c>
      <c r="F3" s="26" t="s">
        <v>3</v>
      </c>
      <c r="G3" s="27" t="s">
        <v>4</v>
      </c>
      <c r="H3" s="26" t="s">
        <v>3</v>
      </c>
      <c r="I3" s="27" t="s">
        <v>4</v>
      </c>
      <c r="J3" s="26" t="s">
        <v>3</v>
      </c>
      <c r="K3" s="27" t="s">
        <v>4</v>
      </c>
      <c r="L3" s="21" t="s">
        <v>3</v>
      </c>
      <c r="M3" s="21" t="s">
        <v>4</v>
      </c>
    </row>
    <row r="4" spans="1:14" x14ac:dyDescent="0.2">
      <c r="A4" s="26" t="s">
        <v>5</v>
      </c>
      <c r="B4" s="28">
        <v>41959296.448924899</v>
      </c>
      <c r="C4" s="29">
        <v>0</v>
      </c>
      <c r="D4" s="28">
        <v>2968537.9595576199</v>
      </c>
      <c r="E4" s="29">
        <v>0</v>
      </c>
      <c r="F4" s="28">
        <v>4228576.3464299999</v>
      </c>
      <c r="G4" s="29">
        <v>0</v>
      </c>
      <c r="H4" s="28">
        <v>0</v>
      </c>
      <c r="I4" s="29">
        <v>0</v>
      </c>
      <c r="J4" s="28">
        <v>1477751.2412346599</v>
      </c>
      <c r="K4" s="29">
        <v>0</v>
      </c>
      <c r="L4" s="22">
        <v>2025290.6523</v>
      </c>
      <c r="M4" s="22">
        <v>0</v>
      </c>
      <c r="N4" s="1"/>
    </row>
    <row r="5" spans="1:14" x14ac:dyDescent="0.2">
      <c r="A5" s="26" t="s">
        <v>6</v>
      </c>
      <c r="B5" s="28">
        <v>401199460</v>
      </c>
      <c r="C5" s="29">
        <v>0</v>
      </c>
      <c r="D5" s="28">
        <v>142810009.90000001</v>
      </c>
      <c r="E5" s="29">
        <v>0</v>
      </c>
      <c r="F5" s="28">
        <v>73787637.200000003</v>
      </c>
      <c r="G5" s="29">
        <v>0</v>
      </c>
      <c r="H5" s="28">
        <v>28132947</v>
      </c>
      <c r="I5" s="29">
        <v>0</v>
      </c>
      <c r="J5" s="28">
        <v>20177290</v>
      </c>
      <c r="K5" s="29">
        <v>0</v>
      </c>
      <c r="L5" s="22">
        <v>12003411</v>
      </c>
      <c r="M5" s="22">
        <v>0</v>
      </c>
      <c r="N5" s="1"/>
    </row>
    <row r="6" spans="1:14" x14ac:dyDescent="0.2">
      <c r="A6" s="26" t="s">
        <v>7</v>
      </c>
      <c r="B6" s="28">
        <v>0</v>
      </c>
      <c r="C6" s="29">
        <v>149598535.02473399</v>
      </c>
      <c r="D6" s="28">
        <v>0</v>
      </c>
      <c r="E6" s="29">
        <v>112140530.68695299</v>
      </c>
      <c r="F6" s="28">
        <v>0</v>
      </c>
      <c r="G6" s="29">
        <v>54160442.372200899</v>
      </c>
      <c r="H6" s="28">
        <v>0</v>
      </c>
      <c r="I6" s="29">
        <v>17683471.527169399</v>
      </c>
      <c r="J6" s="28">
        <v>0</v>
      </c>
      <c r="K6" s="29">
        <v>53661241.107331</v>
      </c>
      <c r="L6" s="22">
        <v>0</v>
      </c>
      <c r="M6" s="22">
        <v>2064896.32915445</v>
      </c>
      <c r="N6" s="1"/>
    </row>
    <row r="7" spans="1:14" x14ac:dyDescent="0.2">
      <c r="A7" s="26" t="s">
        <v>22</v>
      </c>
      <c r="B7" s="28">
        <v>200423000</v>
      </c>
      <c r="C7" s="29">
        <v>0</v>
      </c>
      <c r="D7" s="28">
        <v>132457000</v>
      </c>
      <c r="E7" s="29">
        <v>0</v>
      </c>
      <c r="F7" s="28">
        <v>47997000</v>
      </c>
      <c r="G7" s="29">
        <v>0</v>
      </c>
      <c r="H7" s="28">
        <v>30521053</v>
      </c>
      <c r="I7" s="29">
        <v>0</v>
      </c>
      <c r="J7" s="28">
        <v>108450303</v>
      </c>
      <c r="K7" s="29">
        <v>0</v>
      </c>
      <c r="L7" s="22">
        <v>72344566</v>
      </c>
      <c r="M7" s="22">
        <v>0</v>
      </c>
      <c r="N7" s="1"/>
    </row>
    <row r="8" spans="1:14" x14ac:dyDescent="0.2">
      <c r="A8" s="26" t="s">
        <v>8</v>
      </c>
      <c r="B8" s="28">
        <v>0</v>
      </c>
      <c r="C8" s="29">
        <v>493983220.95791203</v>
      </c>
      <c r="D8" s="28">
        <v>0</v>
      </c>
      <c r="E8" s="29">
        <v>166095017.13319099</v>
      </c>
      <c r="F8" s="28">
        <v>0</v>
      </c>
      <c r="G8" s="29">
        <v>71852771.126861393</v>
      </c>
      <c r="H8" s="28">
        <v>0</v>
      </c>
      <c r="I8" s="29">
        <v>40970528.472830601</v>
      </c>
      <c r="J8" s="28">
        <v>0</v>
      </c>
      <c r="K8" s="29">
        <v>76444102.897913903</v>
      </c>
      <c r="L8" s="22">
        <v>0</v>
      </c>
      <c r="M8" s="22">
        <v>84308371.633935794</v>
      </c>
      <c r="N8" s="1"/>
    </row>
    <row r="9" spans="1:14" x14ac:dyDescent="0.2">
      <c r="A9" s="26" t="s">
        <v>0</v>
      </c>
      <c r="B9" s="28">
        <v>59643958.640318401</v>
      </c>
      <c r="C9" s="29">
        <v>59643958.640318401</v>
      </c>
      <c r="D9" s="28">
        <v>22251368.372105598</v>
      </c>
      <c r="E9" s="29">
        <v>93.7429538693099</v>
      </c>
      <c r="F9" s="28">
        <v>904767.30013539596</v>
      </c>
      <c r="G9" s="29">
        <v>0</v>
      </c>
      <c r="H9" s="28">
        <v>4870188.7457871204</v>
      </c>
      <c r="I9" s="29">
        <v>9363332.0480748396</v>
      </c>
      <c r="J9" s="28">
        <v>85319553.200254098</v>
      </c>
      <c r="K9" s="29">
        <v>755167.054272354</v>
      </c>
      <c r="L9" s="22">
        <v>36463598.000728898</v>
      </c>
      <c r="M9" s="22">
        <v>679892.93360691599</v>
      </c>
      <c r="N9" s="1"/>
    </row>
    <row r="10" spans="1:14" x14ac:dyDescent="0.2">
      <c r="A10" s="26" t="s">
        <v>1</v>
      </c>
      <c r="B10" s="28">
        <v>93.7429538693099</v>
      </c>
      <c r="C10" s="29">
        <v>22251368.372105598</v>
      </c>
      <c r="D10" s="28">
        <v>19105284.7010522</v>
      </c>
      <c r="E10" s="29">
        <v>19105284.7010522</v>
      </c>
      <c r="F10" s="28">
        <v>0</v>
      </c>
      <c r="G10" s="29">
        <v>0</v>
      </c>
      <c r="H10" s="28">
        <v>1313842.32555062</v>
      </c>
      <c r="I10" s="29">
        <v>889535.73349664605</v>
      </c>
      <c r="J10" s="28">
        <v>0</v>
      </c>
      <c r="K10" s="29">
        <v>8033256.8674446801</v>
      </c>
      <c r="L10" s="22">
        <v>1842.2898362369899</v>
      </c>
      <c r="M10" s="22">
        <v>53135356.470224202</v>
      </c>
      <c r="N10" s="1"/>
    </row>
    <row r="11" spans="1:14" x14ac:dyDescent="0.2">
      <c r="A11" s="26" t="s">
        <v>2</v>
      </c>
      <c r="B11" s="28">
        <v>0</v>
      </c>
      <c r="C11" s="29">
        <v>904767.30013539596</v>
      </c>
      <c r="D11" s="28">
        <v>0</v>
      </c>
      <c r="E11" s="29">
        <v>0</v>
      </c>
      <c r="F11" s="28">
        <v>3626400.98029747</v>
      </c>
      <c r="G11" s="29">
        <v>3626400.98029747</v>
      </c>
      <c r="H11" s="28">
        <v>603314.17884545901</v>
      </c>
      <c r="I11" s="29">
        <v>4103967.8592738202</v>
      </c>
      <c r="J11" s="28">
        <v>0</v>
      </c>
      <c r="K11" s="29">
        <v>1309549.4245004801</v>
      </c>
      <c r="L11" s="22">
        <v>4235396.9329202296</v>
      </c>
      <c r="M11" s="22">
        <v>18924457.7721969</v>
      </c>
      <c r="N11" s="1"/>
    </row>
    <row r="12" spans="1:14" x14ac:dyDescent="0.2">
      <c r="A12" s="26" t="s">
        <v>9</v>
      </c>
      <c r="B12" s="28">
        <v>9363332.0480748396</v>
      </c>
      <c r="C12" s="29">
        <v>4870188.7457871204</v>
      </c>
      <c r="D12" s="28">
        <v>889535.73349664605</v>
      </c>
      <c r="E12" s="29">
        <v>1313842.32555062</v>
      </c>
      <c r="F12" s="28">
        <v>4103967.8592738202</v>
      </c>
      <c r="G12" s="29">
        <v>603314.17884545901</v>
      </c>
      <c r="H12" s="28">
        <v>4551298.2303444901</v>
      </c>
      <c r="I12" s="29">
        <v>4551298.2303444901</v>
      </c>
      <c r="J12" s="28">
        <v>0</v>
      </c>
      <c r="K12" s="29">
        <v>872706.81832738803</v>
      </c>
      <c r="L12" s="22">
        <v>76545.537046544894</v>
      </c>
      <c r="M12" s="22">
        <v>3547235.3451036699</v>
      </c>
      <c r="N12" s="1"/>
    </row>
    <row r="13" spans="1:14" x14ac:dyDescent="0.2">
      <c r="A13" s="26" t="s">
        <v>10</v>
      </c>
      <c r="B13" s="28">
        <v>755167.054272354</v>
      </c>
      <c r="C13" s="29">
        <v>85319553.200254098</v>
      </c>
      <c r="D13" s="28">
        <v>8033256.8674446801</v>
      </c>
      <c r="E13" s="29">
        <v>0</v>
      </c>
      <c r="F13" s="28">
        <v>1309549.4245004801</v>
      </c>
      <c r="G13" s="29">
        <v>0</v>
      </c>
      <c r="H13" s="28">
        <v>872706.81832738803</v>
      </c>
      <c r="I13" s="29">
        <v>0</v>
      </c>
      <c r="J13" s="28">
        <v>6400328.4259492401</v>
      </c>
      <c r="K13" s="29">
        <v>6400328.4259492401</v>
      </c>
      <c r="L13" s="22">
        <v>5572329.7012321996</v>
      </c>
      <c r="M13" s="22">
        <v>0</v>
      </c>
      <c r="N13" s="1"/>
    </row>
    <row r="14" spans="1:14" x14ac:dyDescent="0.2">
      <c r="A14" s="26" t="s">
        <v>11</v>
      </c>
      <c r="B14" s="28">
        <v>679892.93360691599</v>
      </c>
      <c r="C14" s="29">
        <v>36463598.000728898</v>
      </c>
      <c r="D14" s="28">
        <v>53135356.470224202</v>
      </c>
      <c r="E14" s="29">
        <v>1842.2898362369899</v>
      </c>
      <c r="F14" s="28">
        <v>18924457.7721969</v>
      </c>
      <c r="G14" s="29">
        <v>4235396.9329202296</v>
      </c>
      <c r="H14" s="28">
        <v>3547235.3451036699</v>
      </c>
      <c r="I14" s="29">
        <v>76545.537046544894</v>
      </c>
      <c r="J14" s="28">
        <v>0</v>
      </c>
      <c r="K14" s="29">
        <v>5572329.7012321996</v>
      </c>
      <c r="L14" s="22">
        <v>6889403.4277639799</v>
      </c>
      <c r="M14" s="22">
        <v>6889403.4277639799</v>
      </c>
      <c r="N14" s="1"/>
    </row>
    <row r="16" spans="1:14" x14ac:dyDescent="0.2">
      <c r="A16" t="s">
        <v>15</v>
      </c>
      <c r="B16" s="3">
        <f>B5/B7+1</f>
        <v>3.0017635700493455</v>
      </c>
      <c r="C16" s="3"/>
      <c r="D16" s="3">
        <f>D5/D7+1</f>
        <v>2.0781612893240826</v>
      </c>
      <c r="E16" s="3"/>
      <c r="F16" s="3">
        <f>F5/F7+1</f>
        <v>2.5373385253244995</v>
      </c>
      <c r="H16" s="3">
        <f>H5/H7+1</f>
        <v>1.921755451884311</v>
      </c>
      <c r="I16" s="3"/>
      <c r="J16" s="3">
        <f>J5/J7+1</f>
        <v>1.1860510246799403</v>
      </c>
      <c r="K16" s="3"/>
      <c r="L16" s="3">
        <f>L5/L7+1</f>
        <v>1.1659200084219179</v>
      </c>
      <c r="M16" s="3"/>
    </row>
    <row r="18" spans="1:13" x14ac:dyDescent="0.2">
      <c r="A18" t="s">
        <v>0</v>
      </c>
      <c r="B18" s="2"/>
      <c r="C18" s="2"/>
      <c r="H18" s="2">
        <f>H9/(H$7-H$12)</f>
        <v>0.18753310491317063</v>
      </c>
      <c r="I18" s="2">
        <f>I9/(I$6+I$8-I$12)</f>
        <v>0.17306588657881844</v>
      </c>
      <c r="J18" s="2">
        <f>J9/(J$7-J$13)</f>
        <v>0.83605658459369314</v>
      </c>
      <c r="K18" s="2">
        <f>K9/(K$6+K$8-K$13)</f>
        <v>6.1045791129486363E-3</v>
      </c>
      <c r="L18" s="2">
        <f>L9/(L$7-L$14)</f>
        <v>0.55707749500259574</v>
      </c>
      <c r="M18" s="2">
        <f>M9/(M$6+M$8-M$14)</f>
        <v>8.5538484770671976E-3</v>
      </c>
    </row>
    <row r="19" spans="1:13" x14ac:dyDescent="0.2">
      <c r="A19" t="s">
        <v>1</v>
      </c>
      <c r="B19" s="2">
        <f>B10/(B$7-B$9)</f>
        <v>6.6588714459137808E-7</v>
      </c>
      <c r="C19" s="2">
        <f>C10/(C$6+C$8-C$9)</f>
        <v>3.8105716864669681E-2</v>
      </c>
      <c r="H19" s="2">
        <f>H10/(H$7-H$12)</f>
        <v>5.059124882787825E-2</v>
      </c>
      <c r="I19" s="2">
        <f>I10/(I$6+I$8-I$12)</f>
        <v>1.6441613900981901E-2</v>
      </c>
      <c r="J19" s="2">
        <f>J10/(J$7-J$13)</f>
        <v>0</v>
      </c>
      <c r="K19" s="2">
        <f>K10/(K$6+K$8-K$13)</f>
        <v>6.4938812948091937E-2</v>
      </c>
      <c r="L19" s="2">
        <f>L10/(L$7-L$14)</f>
        <v>2.8145829356146621E-5</v>
      </c>
      <c r="M19" s="2">
        <f>M10/(M$6+M$8-M$14)</f>
        <v>0.6685049447565351</v>
      </c>
    </row>
    <row r="20" spans="1:13" x14ac:dyDescent="0.2">
      <c r="A20" t="s">
        <v>2</v>
      </c>
      <c r="B20" s="2">
        <f>B11/(B$7-B$9)</f>
        <v>0</v>
      </c>
      <c r="C20" s="2">
        <f>C11/(C$6+C$8-C$9)</f>
        <v>1.5494241069053205E-3</v>
      </c>
      <c r="H20" s="2">
        <f>H11/(H$7-H$12)</f>
        <v>2.3231416091398924E-2</v>
      </c>
      <c r="I20" s="2">
        <f>I11/(I$6+I$8-I$12)</f>
        <v>7.5855137082555188E-2</v>
      </c>
      <c r="J20" s="2">
        <f>J11/(J$7-J$13)</f>
        <v>0</v>
      </c>
      <c r="K20" s="2">
        <f>K11/(K$6+K$8-K$13)</f>
        <v>1.0586065717449031E-2</v>
      </c>
      <c r="L20" s="2">
        <f>L11/(L$7-L$14)</f>
        <v>6.4706843073624107E-2</v>
      </c>
      <c r="M20" s="2">
        <f>M11/(M$6+M$8-M$14)</f>
        <v>0.23809181753846415</v>
      </c>
    </row>
    <row r="21" spans="1:13" x14ac:dyDescent="0.2">
      <c r="A21" t="s">
        <v>9</v>
      </c>
      <c r="B21" s="2">
        <f>B12/(B$7-B$9)</f>
        <v>6.6510838244395451E-2</v>
      </c>
      <c r="C21" s="2">
        <f>C12/(C$6+C$8-C$9)</f>
        <v>8.3402526227156042E-3</v>
      </c>
      <c r="H21" s="2"/>
      <c r="I21" s="2"/>
      <c r="J21" s="2">
        <f>J12/(J$7-J$13)</f>
        <v>0</v>
      </c>
      <c r="K21" s="2">
        <f>K12/(K$6+K$8-K$13)</f>
        <v>7.0547407818559926E-3</v>
      </c>
      <c r="L21" s="2">
        <f>L12/(L$7-L$14)</f>
        <v>1.1694346792290003E-3</v>
      </c>
      <c r="M21" s="2">
        <f>M12/(M$6+M$8-M$14)</f>
        <v>4.4628370372292565E-2</v>
      </c>
    </row>
    <row r="22" spans="1:13" x14ac:dyDescent="0.2">
      <c r="A22" t="s">
        <v>10</v>
      </c>
      <c r="B22" s="2">
        <f>B13/(B$7-B$9)</f>
        <v>5.3642008567379683E-3</v>
      </c>
      <c r="C22" s="2">
        <f>C13/(C$6+C$8-C$9)</f>
        <v>0.14611068779683117</v>
      </c>
      <c r="H22" s="2">
        <f>H13/(H$7-H$12)</f>
        <v>3.3604738514785924E-2</v>
      </c>
      <c r="I22" s="2">
        <f>I13/(I$6+I$8-I$12)</f>
        <v>0</v>
      </c>
      <c r="J22" s="2"/>
      <c r="K22" s="2"/>
      <c r="L22" s="2">
        <f>L13/(L$7-L$14)</f>
        <v>8.5132012239410484E-2</v>
      </c>
      <c r="M22" s="2">
        <f>M13/(M$6+M$8-M$14)</f>
        <v>0</v>
      </c>
    </row>
    <row r="23" spans="1:13" x14ac:dyDescent="0.2">
      <c r="A23" t="s">
        <v>11</v>
      </c>
      <c r="B23" s="2">
        <f>B14/(B$7-B$9)</f>
        <v>4.8295039307011071E-3</v>
      </c>
      <c r="C23" s="2">
        <f>C14/(C$6+C$8-C$9)</f>
        <v>6.2444318841296864E-2</v>
      </c>
      <c r="H23" s="2">
        <f>H14/(H$7-H$12)</f>
        <v>0.13659102200104156</v>
      </c>
      <c r="I23" s="2">
        <f>I14/(I$6+I$8-I$12)</f>
        <v>1.4148191225724859E-3</v>
      </c>
      <c r="J23" s="2">
        <f>J14/(J$7-J$13)</f>
        <v>0</v>
      </c>
      <c r="K23" s="2">
        <f>K14/(K$6+K$8-K$13)</f>
        <v>4.5045301317312415E-2</v>
      </c>
      <c r="L23" s="2"/>
      <c r="M23" s="2"/>
    </row>
    <row r="24" spans="1:13" x14ac:dyDescent="0.2">
      <c r="B24" t="s">
        <v>16</v>
      </c>
      <c r="H24" t="s">
        <v>19</v>
      </c>
      <c r="J24" t="s">
        <v>20</v>
      </c>
      <c r="L24" t="s">
        <v>21</v>
      </c>
    </row>
    <row r="25" spans="1:13" s="2" customFormat="1" x14ac:dyDescent="0.2">
      <c r="A25" s="2" t="s">
        <v>17</v>
      </c>
      <c r="C25" s="2">
        <f>C19</f>
        <v>3.8105716864669681E-2</v>
      </c>
      <c r="I25" s="2">
        <f>C21*I19</f>
        <v>1.3712721345934164E-4</v>
      </c>
      <c r="K25" s="2">
        <f>C22*K19</f>
        <v>9.4882546245554783E-3</v>
      </c>
      <c r="M25" s="2">
        <f>C23*M19</f>
        <v>4.1744335917360625E-2</v>
      </c>
    </row>
    <row r="26" spans="1:13" s="2" customFormat="1" x14ac:dyDescent="0.2">
      <c r="A26" s="2" t="s">
        <v>18</v>
      </c>
      <c r="C26" s="2">
        <f>C20</f>
        <v>1.5494241069053205E-3</v>
      </c>
      <c r="I26" s="2">
        <f>C21*I20</f>
        <v>6.326510059992326E-4</v>
      </c>
      <c r="K26" s="2">
        <f>C22*K20</f>
        <v>1.546737343038933E-3</v>
      </c>
      <c r="M26" s="2">
        <f>C23*M20</f>
        <v>1.4867481367875732E-2</v>
      </c>
    </row>
    <row r="28" spans="1:13" x14ac:dyDescent="0.2">
      <c r="A28" t="s">
        <v>12</v>
      </c>
      <c r="B28" s="1">
        <f>(C6+C8-B4)/10000</f>
        <v>60162.245953372112</v>
      </c>
    </row>
    <row r="29" spans="1:13" x14ac:dyDescent="0.2">
      <c r="A29" t="s">
        <v>13</v>
      </c>
      <c r="B29" s="1">
        <f>(E6+E8-D4)/10000</f>
        <v>27526.70098605864</v>
      </c>
      <c r="C29" s="1">
        <f>B28*(C25+I25+K25+M25)</f>
        <v>5383.0431043960207</v>
      </c>
      <c r="D29" s="2">
        <f>(B29+C29)/SUM(B28:B30)</f>
        <v>0.32953436836612154</v>
      </c>
    </row>
    <row r="30" spans="1:13" x14ac:dyDescent="0.2">
      <c r="A30" t="s">
        <v>14</v>
      </c>
      <c r="B30" s="1">
        <f>(G6+G8-F4)/10000</f>
        <v>12178.463715263229</v>
      </c>
      <c r="C30" s="1">
        <f>B28*(C26+I26+K26+M26)</f>
        <v>1118.7948028497865</v>
      </c>
      <c r="D30" s="2">
        <f>(B30+C30)/SUM(B28:B30)</f>
        <v>0.13314912673655083</v>
      </c>
    </row>
  </sheetData>
  <phoneticPr fontId="3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36788-643C-40E9-9682-642D979A8430}">
  <dimension ref="A1:P30"/>
  <sheetViews>
    <sheetView topLeftCell="A11" workbookViewId="0">
      <selection activeCell="H29" sqref="H29"/>
    </sheetView>
  </sheetViews>
  <sheetFormatPr defaultRowHeight="14.25" x14ac:dyDescent="0.2"/>
  <cols>
    <col min="1" max="1" width="23.5" bestFit="1" customWidth="1"/>
    <col min="2" max="13" width="11.125" customWidth="1"/>
  </cols>
  <sheetData>
    <row r="1" spans="1:16" x14ac:dyDescent="0.2">
      <c r="A1" s="21"/>
      <c r="B1" s="22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2" spans="1:16" x14ac:dyDescent="0.2">
      <c r="A2" s="23"/>
      <c r="B2" s="23" t="s">
        <v>0</v>
      </c>
      <c r="C2" s="24"/>
      <c r="D2" s="23" t="s">
        <v>1</v>
      </c>
      <c r="E2" s="24"/>
      <c r="F2" s="23" t="s">
        <v>2</v>
      </c>
      <c r="G2" s="24"/>
      <c r="H2" s="23" t="s">
        <v>9</v>
      </c>
      <c r="I2" s="24"/>
      <c r="J2" s="23" t="s">
        <v>10</v>
      </c>
      <c r="K2" s="24"/>
      <c r="L2" s="25" t="s">
        <v>11</v>
      </c>
      <c r="M2" s="25"/>
    </row>
    <row r="3" spans="1:16" x14ac:dyDescent="0.2">
      <c r="A3" s="26"/>
      <c r="B3" s="26" t="s">
        <v>3</v>
      </c>
      <c r="C3" s="27" t="s">
        <v>4</v>
      </c>
      <c r="D3" s="26" t="s">
        <v>3</v>
      </c>
      <c r="E3" s="27" t="s">
        <v>4</v>
      </c>
      <c r="F3" s="26" t="s">
        <v>3</v>
      </c>
      <c r="G3" s="27" t="s">
        <v>4</v>
      </c>
      <c r="H3" s="26" t="s">
        <v>3</v>
      </c>
      <c r="I3" s="27" t="s">
        <v>4</v>
      </c>
      <c r="J3" s="26" t="s">
        <v>3</v>
      </c>
      <c r="K3" s="27" t="s">
        <v>4</v>
      </c>
      <c r="L3" s="21" t="s">
        <v>3</v>
      </c>
      <c r="M3" s="21" t="s">
        <v>4</v>
      </c>
    </row>
    <row r="4" spans="1:16" x14ac:dyDescent="0.2">
      <c r="A4" s="26" t="s">
        <v>5</v>
      </c>
      <c r="B4" s="28">
        <v>49535074</v>
      </c>
      <c r="C4" s="29">
        <v>0</v>
      </c>
      <c r="D4" s="28">
        <v>2317884</v>
      </c>
      <c r="E4" s="29">
        <v>0</v>
      </c>
      <c r="F4" s="28">
        <v>4284899</v>
      </c>
      <c r="G4" s="29">
        <v>0</v>
      </c>
      <c r="H4" s="28">
        <v>0</v>
      </c>
      <c r="I4" s="29">
        <v>0</v>
      </c>
      <c r="J4" s="28">
        <v>2468962</v>
      </c>
      <c r="K4" s="29">
        <v>0</v>
      </c>
      <c r="L4" s="22">
        <v>2291757</v>
      </c>
      <c r="M4" s="22">
        <v>0</v>
      </c>
      <c r="N4" s="1"/>
    </row>
    <row r="5" spans="1:16" x14ac:dyDescent="0.2">
      <c r="A5" s="26" t="s">
        <v>6</v>
      </c>
      <c r="B5" s="28">
        <v>466439690</v>
      </c>
      <c r="C5" s="29">
        <v>0</v>
      </c>
      <c r="D5" s="28">
        <v>205342130</v>
      </c>
      <c r="E5" s="29">
        <v>0</v>
      </c>
      <c r="F5" s="28">
        <v>76747923</v>
      </c>
      <c r="G5" s="29">
        <v>0</v>
      </c>
      <c r="H5" s="28">
        <v>33653399</v>
      </c>
      <c r="I5" s="29">
        <v>0</v>
      </c>
      <c r="J5" s="28">
        <v>20307625</v>
      </c>
      <c r="K5" s="29">
        <v>0</v>
      </c>
      <c r="L5" s="22">
        <v>16179705</v>
      </c>
      <c r="M5" s="22">
        <v>0</v>
      </c>
      <c r="N5" s="1"/>
    </row>
    <row r="6" spans="1:16" x14ac:dyDescent="0.2">
      <c r="A6" s="26" t="s">
        <v>7</v>
      </c>
      <c r="B6" s="28">
        <v>0</v>
      </c>
      <c r="C6" s="29">
        <v>190741634</v>
      </c>
      <c r="D6" s="28">
        <v>0</v>
      </c>
      <c r="E6" s="29">
        <v>163733684</v>
      </c>
      <c r="F6" s="28">
        <v>0</v>
      </c>
      <c r="G6" s="29">
        <v>62625136</v>
      </c>
      <c r="H6" s="28">
        <v>0</v>
      </c>
      <c r="I6" s="29">
        <v>19639628</v>
      </c>
      <c r="J6" s="28">
        <v>0</v>
      </c>
      <c r="K6" s="29">
        <v>55574880</v>
      </c>
      <c r="L6" s="22">
        <v>0</v>
      </c>
      <c r="M6" s="22">
        <v>5779554</v>
      </c>
      <c r="N6" s="1"/>
    </row>
    <row r="7" spans="1:16" x14ac:dyDescent="0.2">
      <c r="A7" s="26" t="s">
        <v>22</v>
      </c>
      <c r="B7" s="28">
        <v>241449984</v>
      </c>
      <c r="C7" s="29">
        <v>0</v>
      </c>
      <c r="D7" s="28">
        <v>159550253</v>
      </c>
      <c r="E7" s="29">
        <v>0</v>
      </c>
      <c r="F7" s="28">
        <v>51369879</v>
      </c>
      <c r="G7" s="29">
        <v>0</v>
      </c>
      <c r="H7" s="28">
        <v>36644933</v>
      </c>
      <c r="I7" s="29">
        <v>0</v>
      </c>
      <c r="J7" s="28">
        <v>112540812</v>
      </c>
      <c r="K7" s="29">
        <v>0</v>
      </c>
      <c r="L7" s="22">
        <v>94274887</v>
      </c>
      <c r="M7" s="22">
        <v>0</v>
      </c>
      <c r="N7" s="1"/>
    </row>
    <row r="8" spans="1:16" x14ac:dyDescent="0.2">
      <c r="A8" s="26" t="s">
        <v>8</v>
      </c>
      <c r="B8" s="28">
        <v>0</v>
      </c>
      <c r="C8" s="29">
        <v>566683113</v>
      </c>
      <c r="D8" s="28">
        <v>0</v>
      </c>
      <c r="E8" s="29">
        <v>203476583</v>
      </c>
      <c r="F8" s="28">
        <v>0</v>
      </c>
      <c r="G8" s="29">
        <v>69777566</v>
      </c>
      <c r="H8" s="28">
        <v>0</v>
      </c>
      <c r="I8" s="29">
        <v>50658704</v>
      </c>
      <c r="J8" s="28">
        <v>0</v>
      </c>
      <c r="K8" s="29">
        <v>79742519</v>
      </c>
      <c r="L8" s="22">
        <v>0</v>
      </c>
      <c r="M8" s="22">
        <v>106966795</v>
      </c>
      <c r="N8" s="1"/>
    </row>
    <row r="9" spans="1:16" x14ac:dyDescent="0.2">
      <c r="A9" s="26" t="s">
        <v>0</v>
      </c>
      <c r="B9" s="28">
        <v>81659022</v>
      </c>
      <c r="C9" s="29">
        <v>81659022</v>
      </c>
      <c r="D9" s="28">
        <v>28912192</v>
      </c>
      <c r="E9" s="29">
        <v>149</v>
      </c>
      <c r="F9" s="28">
        <v>1003088</v>
      </c>
      <c r="G9" s="29">
        <v>0</v>
      </c>
      <c r="H9" s="28">
        <v>6240358</v>
      </c>
      <c r="I9" s="29">
        <v>14857171</v>
      </c>
      <c r="J9" s="28">
        <v>89891080</v>
      </c>
      <c r="K9" s="29">
        <v>930384</v>
      </c>
      <c r="L9" s="22">
        <v>45826416</v>
      </c>
      <c r="M9" s="22">
        <v>896645</v>
      </c>
      <c r="N9" s="1"/>
    </row>
    <row r="10" spans="1:16" x14ac:dyDescent="0.2">
      <c r="A10" s="26" t="s">
        <v>1</v>
      </c>
      <c r="B10" s="28">
        <v>149</v>
      </c>
      <c r="C10" s="29">
        <v>28912192</v>
      </c>
      <c r="D10" s="28">
        <v>22735172</v>
      </c>
      <c r="E10" s="29">
        <v>22735172</v>
      </c>
      <c r="F10" s="28">
        <v>0</v>
      </c>
      <c r="G10" s="29">
        <v>0</v>
      </c>
      <c r="H10" s="28">
        <v>1888112</v>
      </c>
      <c r="I10" s="29">
        <v>773802</v>
      </c>
      <c r="J10" s="28">
        <v>0</v>
      </c>
      <c r="K10" s="29">
        <v>6416877</v>
      </c>
      <c r="L10" s="22">
        <v>4141</v>
      </c>
      <c r="M10" s="22">
        <v>69552790</v>
      </c>
      <c r="N10" s="1"/>
    </row>
    <row r="11" spans="1:16" x14ac:dyDescent="0.2">
      <c r="A11" s="26" t="s">
        <v>2</v>
      </c>
      <c r="B11" s="28">
        <v>0</v>
      </c>
      <c r="C11" s="29">
        <v>1003088</v>
      </c>
      <c r="D11" s="28">
        <v>0</v>
      </c>
      <c r="E11" s="29">
        <v>0</v>
      </c>
      <c r="F11" s="28">
        <v>3757309</v>
      </c>
      <c r="G11" s="29">
        <v>3757309</v>
      </c>
      <c r="H11" s="28">
        <v>700123</v>
      </c>
      <c r="I11" s="29">
        <v>4114588</v>
      </c>
      <c r="J11" s="28">
        <v>0</v>
      </c>
      <c r="K11" s="29">
        <v>1406424</v>
      </c>
      <c r="L11" s="22">
        <v>5606715</v>
      </c>
      <c r="M11" s="22">
        <v>21755974</v>
      </c>
      <c r="N11" s="1"/>
      <c r="P11" t="s">
        <v>65</v>
      </c>
    </row>
    <row r="12" spans="1:16" x14ac:dyDescent="0.2">
      <c r="A12" s="26" t="s">
        <v>9</v>
      </c>
      <c r="B12" s="28">
        <v>14857171</v>
      </c>
      <c r="C12" s="29">
        <v>6240358</v>
      </c>
      <c r="D12" s="28">
        <v>773802</v>
      </c>
      <c r="E12" s="29">
        <v>1888112</v>
      </c>
      <c r="F12" s="28">
        <v>4114588</v>
      </c>
      <c r="G12" s="29">
        <v>700123</v>
      </c>
      <c r="H12" s="28">
        <v>5660937</v>
      </c>
      <c r="I12" s="29">
        <v>5660937</v>
      </c>
      <c r="J12" s="28">
        <v>0</v>
      </c>
      <c r="K12" s="29">
        <v>1049765</v>
      </c>
      <c r="L12" s="22">
        <v>120211</v>
      </c>
      <c r="M12" s="22">
        <v>4567458</v>
      </c>
      <c r="N12" s="1"/>
    </row>
    <row r="13" spans="1:16" x14ac:dyDescent="0.2">
      <c r="A13" s="26" t="s">
        <v>10</v>
      </c>
      <c r="B13" s="28">
        <v>930384</v>
      </c>
      <c r="C13" s="29">
        <v>89891080</v>
      </c>
      <c r="D13" s="28">
        <v>6416877</v>
      </c>
      <c r="E13" s="29">
        <v>0</v>
      </c>
      <c r="F13" s="28">
        <v>1406424</v>
      </c>
      <c r="G13" s="29">
        <v>0</v>
      </c>
      <c r="H13" s="28">
        <v>1049765</v>
      </c>
      <c r="I13" s="29">
        <v>0</v>
      </c>
      <c r="J13" s="28">
        <v>6520181</v>
      </c>
      <c r="K13" s="29">
        <v>6520181</v>
      </c>
      <c r="L13" s="22">
        <v>7061621</v>
      </c>
      <c r="M13" s="22">
        <v>0</v>
      </c>
      <c r="N13" s="1"/>
    </row>
    <row r="14" spans="1:16" x14ac:dyDescent="0.2">
      <c r="A14" s="26" t="s">
        <v>11</v>
      </c>
      <c r="B14" s="28">
        <v>896645</v>
      </c>
      <c r="C14" s="29">
        <v>45826416</v>
      </c>
      <c r="D14" s="28">
        <v>69552790</v>
      </c>
      <c r="E14" s="29">
        <v>4141</v>
      </c>
      <c r="F14" s="28">
        <v>21755974</v>
      </c>
      <c r="G14" s="29">
        <v>5606715</v>
      </c>
      <c r="H14" s="28">
        <v>4567458</v>
      </c>
      <c r="I14" s="29">
        <v>120211</v>
      </c>
      <c r="J14" s="28">
        <v>0</v>
      </c>
      <c r="K14" s="29">
        <v>7061621</v>
      </c>
      <c r="L14" s="22">
        <v>9317049</v>
      </c>
      <c r="M14" s="22">
        <v>9317049</v>
      </c>
      <c r="N14" s="1"/>
    </row>
    <row r="16" spans="1:16" x14ac:dyDescent="0.2">
      <c r="A16" t="s">
        <v>15</v>
      </c>
      <c r="B16" s="3">
        <f>B5/B7+1</f>
        <v>2.931827380034119</v>
      </c>
      <c r="C16" s="3"/>
      <c r="D16" s="3">
        <f>D5/D7+1</f>
        <v>2.2870059817454504</v>
      </c>
      <c r="E16" s="3"/>
      <c r="F16" s="3">
        <f>F5/F7+1</f>
        <v>2.4940257694591805</v>
      </c>
      <c r="H16" s="3">
        <f>H5/H7+1</f>
        <v>1.9183643206551912</v>
      </c>
      <c r="I16" s="3"/>
      <c r="J16" s="3">
        <f>J5/J7+1</f>
        <v>1.1804467609492635</v>
      </c>
      <c r="K16" s="3"/>
      <c r="L16" s="3">
        <f>L5/L7+1</f>
        <v>1.1716226400780518</v>
      </c>
      <c r="M16" s="3"/>
    </row>
    <row r="18" spans="1:13" x14ac:dyDescent="0.2">
      <c r="A18" t="s">
        <v>0</v>
      </c>
      <c r="B18" s="2"/>
      <c r="C18" s="2"/>
      <c r="H18" s="2">
        <f>H9/(H$7-H$12)</f>
        <v>0.20140584836119912</v>
      </c>
      <c r="I18" s="2">
        <f>I9/(I$6+I$8-I$12)</f>
        <v>0.22985411154023147</v>
      </c>
      <c r="J18" s="2">
        <f>J9/(J$7-J$13)</f>
        <v>0.84786403506691066</v>
      </c>
      <c r="K18" s="2">
        <f>K9/(K$6+K$8-K$13)</f>
        <v>7.2236342868834324E-3</v>
      </c>
      <c r="L18" s="2">
        <f>L9/(L$7-L$14)</f>
        <v>0.5394018618976627</v>
      </c>
      <c r="M18" s="2">
        <f>M9/(M$6+M$8-M$14)</f>
        <v>8.6691585459826182E-3</v>
      </c>
    </row>
    <row r="19" spans="1:13" x14ac:dyDescent="0.2">
      <c r="A19" t="s">
        <v>1</v>
      </c>
      <c r="B19" s="2">
        <f>B10/(B$7-B$9)</f>
        <v>9.3246825812338498E-7</v>
      </c>
      <c r="C19" s="2">
        <f>C10/(C$6+C$8-C$9)</f>
        <v>4.2784342162366998E-2</v>
      </c>
      <c r="H19" s="2">
        <f>H10/(H$7-H$12)</f>
        <v>6.0938298597766408E-2</v>
      </c>
      <c r="I19" s="2">
        <f>I10/(I$6+I$8-I$12)</f>
        <v>1.197142923225789E-2</v>
      </c>
      <c r="J19" s="2">
        <f>J10/(J$7-J$13)</f>
        <v>0</v>
      </c>
      <c r="K19" s="2">
        <f>K10/(K$6+K$8-K$13)</f>
        <v>4.9821549717013296E-2</v>
      </c>
      <c r="L19" s="2">
        <f>L10/(L$7-L$14)</f>
        <v>4.8741824150468614E-5</v>
      </c>
      <c r="M19" s="2">
        <f>M10/(M$6+M$8-M$14)</f>
        <v>0.67246698952811246</v>
      </c>
    </row>
    <row r="20" spans="1:13" x14ac:dyDescent="0.2">
      <c r="A20" t="s">
        <v>2</v>
      </c>
      <c r="B20" s="2">
        <f>B11/(B$7-B$9)</f>
        <v>0</v>
      </c>
      <c r="C20" s="2">
        <f>C11/(C$6+C$8-C$9)</f>
        <v>1.4843724132353709E-3</v>
      </c>
      <c r="H20" s="2">
        <f>H11/(H$7-H$12)</f>
        <v>2.259627841418518E-2</v>
      </c>
      <c r="I20" s="2">
        <f>I11/(I$6+I$8-I$12)</f>
        <v>6.3656463878224059E-2</v>
      </c>
      <c r="J20" s="2">
        <f>J11/(J$7-J$13)</f>
        <v>0</v>
      </c>
      <c r="K20" s="2">
        <f>K11/(K$6+K$8-K$13)</f>
        <v>1.0919676852026416E-2</v>
      </c>
      <c r="L20" s="2">
        <f>L11/(L$7-L$14)</f>
        <v>6.5994087561408996E-2</v>
      </c>
      <c r="M20" s="2">
        <f>M11/(M$6+M$8-M$14)</f>
        <v>0.21034633319571922</v>
      </c>
    </row>
    <row r="21" spans="1:13" x14ac:dyDescent="0.2">
      <c r="A21" t="s">
        <v>9</v>
      </c>
      <c r="B21" s="2">
        <f>B12/(B$7-B$9)</f>
        <v>9.2978794382625976E-2</v>
      </c>
      <c r="C21" s="2">
        <f>C12/(C$6+C$8-C$9)</f>
        <v>9.2344991305973682E-3</v>
      </c>
      <c r="H21" s="2"/>
      <c r="I21" s="2"/>
      <c r="J21" s="2">
        <f>J12/(J$7-J$13)</f>
        <v>0</v>
      </c>
      <c r="K21" s="2">
        <f>K12/(K$6+K$8-K$13)</f>
        <v>8.1505254251687323E-3</v>
      </c>
      <c r="L21" s="2">
        <f>L12/(L$7-L$14)</f>
        <v>1.4149489067742048E-3</v>
      </c>
      <c r="M21" s="2">
        <f>M12/(M$6+M$8-M$14)</f>
        <v>4.4160194451668917E-2</v>
      </c>
    </row>
    <row r="22" spans="1:13" x14ac:dyDescent="0.2">
      <c r="A22" t="s">
        <v>10</v>
      </c>
      <c r="B22" s="2">
        <f>B13/(B$7-B$9)</f>
        <v>5.822507032656828E-3</v>
      </c>
      <c r="C22" s="2">
        <f>C13/(C$6+C$8-C$9)</f>
        <v>0.13302107028290019</v>
      </c>
      <c r="H22" s="2">
        <f>H13/(H$7-H$12)</f>
        <v>3.3880878373467385E-2</v>
      </c>
      <c r="I22" s="2">
        <f>I13/(I$6+I$8-I$12)</f>
        <v>0</v>
      </c>
      <c r="J22" s="2"/>
      <c r="K22" s="2"/>
      <c r="L22" s="2">
        <f>L13/(L$7-L$14)</f>
        <v>8.3119123158477734E-2</v>
      </c>
      <c r="M22" s="2">
        <f>M13/(M$6+M$8-M$14)</f>
        <v>0</v>
      </c>
    </row>
    <row r="23" spans="1:13" x14ac:dyDescent="0.2">
      <c r="A23" t="s">
        <v>11</v>
      </c>
      <c r="B23" s="2">
        <f>B14/(B$7-B$9)</f>
        <v>5.6113624248660572E-3</v>
      </c>
      <c r="C23" s="2">
        <f>C14/(C$6+C$8-C$9)</f>
        <v>6.781405789706188E-2</v>
      </c>
      <c r="H23" s="2">
        <f>H14/(H$7-H$12)</f>
        <v>0.14741345822533672</v>
      </c>
      <c r="I23" s="2">
        <f>I14/(I$6+I$8-I$12)</f>
        <v>1.8597748253932572E-3</v>
      </c>
      <c r="J23" s="2">
        <f>J14/(J$7-J$13)</f>
        <v>0</v>
      </c>
      <c r="K23" s="2">
        <f>K14/(K$6+K$8-K$13)</f>
        <v>5.4827434238525243E-2</v>
      </c>
      <c r="L23" s="2"/>
      <c r="M23" s="2"/>
    </row>
    <row r="24" spans="1:13" x14ac:dyDescent="0.2">
      <c r="B24" t="s">
        <v>16</v>
      </c>
      <c r="H24" t="s">
        <v>19</v>
      </c>
      <c r="J24" t="s">
        <v>20</v>
      </c>
      <c r="L24" t="s">
        <v>21</v>
      </c>
    </row>
    <row r="25" spans="1:13" s="2" customFormat="1" x14ac:dyDescent="0.2">
      <c r="A25" s="2" t="s">
        <v>17</v>
      </c>
      <c r="C25" s="2">
        <f>C19</f>
        <v>4.2784342162366998E-2</v>
      </c>
      <c r="I25" s="2">
        <f>C21*I19</f>
        <v>1.105501528372934E-4</v>
      </c>
      <c r="K25" s="2">
        <f>C22*K19</f>
        <v>6.6273158665098317E-3</v>
      </c>
      <c r="M25" s="2">
        <f>C23*M19</f>
        <v>4.5602715361722321E-2</v>
      </c>
    </row>
    <row r="26" spans="1:13" s="2" customFormat="1" x14ac:dyDescent="0.2">
      <c r="A26" s="2" t="s">
        <v>18</v>
      </c>
      <c r="C26" s="2">
        <f>C20</f>
        <v>1.4843724132353709E-3</v>
      </c>
      <c r="I26" s="2">
        <f>C21*I20</f>
        <v>5.8783556034036285E-4</v>
      </c>
      <c r="K26" s="2">
        <f>C22*K20</f>
        <v>1.4525471019999642E-3</v>
      </c>
      <c r="M26" s="2">
        <f>C23*M20</f>
        <v>1.4264438417769172E-2</v>
      </c>
    </row>
    <row r="28" spans="1:13" x14ac:dyDescent="0.2">
      <c r="A28" t="s">
        <v>12</v>
      </c>
      <c r="B28" s="1">
        <f>(C6+C8-B4)/10000</f>
        <v>70788.967300000004</v>
      </c>
    </row>
    <row r="29" spans="1:13" x14ac:dyDescent="0.2">
      <c r="A29" t="s">
        <v>13</v>
      </c>
      <c r="B29" s="1">
        <f>(E6+E8-D4)/10000</f>
        <v>36489.238299999997</v>
      </c>
      <c r="C29" s="1">
        <f>B28*(C25+I25+K25+M25)</f>
        <v>6733.795102131322</v>
      </c>
      <c r="D29" s="2">
        <f>(B29+C29)/SUM(B28:B30)</f>
        <v>0.35992204577427067</v>
      </c>
    </row>
    <row r="30" spans="1:13" x14ac:dyDescent="0.2">
      <c r="A30" t="s">
        <v>14</v>
      </c>
      <c r="B30" s="1">
        <f>(G6+G8-F4)/10000</f>
        <v>12811.7803</v>
      </c>
      <c r="C30" s="1">
        <f>B28*(C26+I26+K26+M26)</f>
        <v>1259.2786364937629</v>
      </c>
      <c r="D30" s="2">
        <f>(B30+C30)/SUM(B28:B30)</f>
        <v>0.11717096001835539</v>
      </c>
    </row>
  </sheetData>
  <phoneticPr fontId="3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92BC5-A5E9-40D8-895B-B59303B2B695}">
  <dimension ref="A1:BC30"/>
  <sheetViews>
    <sheetView workbookViewId="0"/>
  </sheetViews>
  <sheetFormatPr defaultRowHeight="14.25" x14ac:dyDescent="0.2"/>
  <cols>
    <col min="1" max="1" width="27.625" bestFit="1" customWidth="1"/>
    <col min="2" max="7" width="10.5" customWidth="1"/>
  </cols>
  <sheetData>
    <row r="1" spans="1:55" x14ac:dyDescent="0.2">
      <c r="B1" s="20" t="s">
        <v>44</v>
      </c>
      <c r="C1" s="20"/>
      <c r="D1" s="20"/>
      <c r="E1" s="20"/>
      <c r="F1" s="20"/>
      <c r="G1" s="5"/>
      <c r="I1" s="20" t="s">
        <v>45</v>
      </c>
      <c r="J1" s="20"/>
      <c r="K1" s="20"/>
      <c r="L1" s="20"/>
      <c r="M1" s="20"/>
    </row>
    <row r="2" spans="1:55" x14ac:dyDescent="0.2">
      <c r="B2">
        <v>2002</v>
      </c>
      <c r="C2">
        <v>2007</v>
      </c>
      <c r="D2">
        <v>2012</v>
      </c>
      <c r="E2">
        <v>2017</v>
      </c>
      <c r="F2">
        <v>2018</v>
      </c>
      <c r="G2">
        <v>2020</v>
      </c>
      <c r="I2">
        <v>2002</v>
      </c>
      <c r="J2">
        <v>2007</v>
      </c>
      <c r="K2">
        <v>2012</v>
      </c>
      <c r="L2">
        <v>2017</v>
      </c>
      <c r="M2">
        <v>2018</v>
      </c>
      <c r="N2">
        <v>2019</v>
      </c>
      <c r="O2">
        <v>2020</v>
      </c>
      <c r="P2">
        <v>2021</v>
      </c>
      <c r="Q2">
        <v>2022</v>
      </c>
      <c r="R2">
        <v>2023</v>
      </c>
      <c r="S2">
        <v>2024</v>
      </c>
      <c r="T2">
        <v>2025</v>
      </c>
      <c r="U2">
        <v>2026</v>
      </c>
      <c r="V2">
        <v>2027</v>
      </c>
      <c r="W2">
        <v>2028</v>
      </c>
      <c r="X2">
        <v>2029</v>
      </c>
      <c r="Y2">
        <v>2030</v>
      </c>
      <c r="Z2">
        <v>2031</v>
      </c>
      <c r="AA2">
        <v>2032</v>
      </c>
      <c r="AB2">
        <v>2033</v>
      </c>
      <c r="AC2">
        <v>2034</v>
      </c>
      <c r="AD2">
        <v>2035</v>
      </c>
      <c r="AE2">
        <v>2036</v>
      </c>
      <c r="AF2">
        <v>2037</v>
      </c>
      <c r="AG2">
        <v>2038</v>
      </c>
      <c r="AH2">
        <v>2039</v>
      </c>
      <c r="AI2">
        <v>2040</v>
      </c>
      <c r="AJ2">
        <v>2041</v>
      </c>
      <c r="AK2">
        <v>2042</v>
      </c>
      <c r="AL2">
        <v>2043</v>
      </c>
      <c r="AM2">
        <v>2044</v>
      </c>
      <c r="AN2">
        <v>2045</v>
      </c>
      <c r="AO2">
        <v>2046</v>
      </c>
      <c r="AP2">
        <v>2047</v>
      </c>
      <c r="AQ2">
        <v>2048</v>
      </c>
      <c r="AR2">
        <v>2049</v>
      </c>
      <c r="AS2">
        <v>2050</v>
      </c>
      <c r="AT2">
        <v>2051</v>
      </c>
      <c r="AU2">
        <v>2052</v>
      </c>
      <c r="AV2">
        <v>2053</v>
      </c>
      <c r="AW2">
        <v>2054</v>
      </c>
      <c r="AX2">
        <v>2055</v>
      </c>
      <c r="AY2">
        <v>2056</v>
      </c>
      <c r="AZ2">
        <v>2057</v>
      </c>
      <c r="BA2">
        <v>2058</v>
      </c>
      <c r="BB2">
        <v>2059</v>
      </c>
      <c r="BC2">
        <v>2060</v>
      </c>
    </row>
    <row r="3" spans="1:55" x14ac:dyDescent="0.2">
      <c r="B3" s="14">
        <f>SUM(B4:B6)</f>
        <v>24846.342207578655</v>
      </c>
      <c r="C3" s="14">
        <f t="shared" ref="C3:F3" si="0">SUM(C4:C6)</f>
        <v>42596.609044912591</v>
      </c>
      <c r="D3" s="14">
        <f t="shared" si="0"/>
        <v>82170.664658453563</v>
      </c>
      <c r="E3" s="14">
        <f t="shared" si="0"/>
        <v>99674.052733289471</v>
      </c>
      <c r="F3" s="14">
        <f>SUM(F4:F6)</f>
        <v>99867.410654693987</v>
      </c>
      <c r="G3" s="14">
        <f>SUM(G4:G6)</f>
        <v>120089.9859</v>
      </c>
      <c r="I3" s="14">
        <f>B3*Deflator!M2</f>
        <v>6390.0437642724428</v>
      </c>
      <c r="J3" s="14">
        <f>C3*Deflator!N2</f>
        <v>8580.1125507140114</v>
      </c>
      <c r="K3" s="14">
        <f>D3*Deflator!O2</f>
        <v>13016.898020627792</v>
      </c>
      <c r="L3" s="14">
        <f>E3*Deflator!P2</f>
        <v>14473.119253719049</v>
      </c>
      <c r="M3" s="14">
        <f>F3*Deflator!Q2</f>
        <v>14010.851255108484</v>
      </c>
      <c r="N3" s="30">
        <f>SUM(N4:N6)</f>
        <v>15270.659616920486</v>
      </c>
      <c r="O3" s="14">
        <f>G3*Deflator!S2</f>
        <v>16530.467978732489</v>
      </c>
      <c r="P3" s="1">
        <f>SLOPE($K3:O3,$K$2:O$2)*P$2+INTERCEPT($K3:O3,$K$2:O$2)</f>
        <v>16070.579724211129</v>
      </c>
      <c r="Q3" s="1">
        <f>SLOPE($K3:P3,$K$2:P$2)*Q$2+INTERCEPT($K3:P3,$K$2:P$2)</f>
        <v>16441.679855576716</v>
      </c>
      <c r="R3" s="1">
        <f>SLOPE($K3:Q3,$K$2:Q$2)*R$2+INTERCEPT($K3:Q3,$K$2:Q$2)</f>
        <v>16812.77998694242</v>
      </c>
      <c r="S3" s="1">
        <f>SLOPE($K3:R3,$K$2:R$2)*S$2+INTERCEPT($K3:R3,$K$2:R$2)</f>
        <v>17183.880118308007</v>
      </c>
      <c r="T3" s="1">
        <f>SLOPE($K3:S3,$K$2:S$2)*T$2+INTERCEPT($K3:S3,$K$2:S$2)</f>
        <v>17554.980249673477</v>
      </c>
      <c r="U3" s="1">
        <f>SLOPE($K3:T3,$K$2:T$2)*U$2+INTERCEPT($K3:T3,$K$2:T$2)</f>
        <v>17926.080381039181</v>
      </c>
      <c r="V3" s="1">
        <f>SLOPE($K3:U3,$K$2:U$2)*V$2+INTERCEPT($K3:U3,$K$2:U$2)</f>
        <v>18297.180512404768</v>
      </c>
      <c r="W3" s="1">
        <f>SLOPE($K3:V3,$K$2:V$2)*W$2+INTERCEPT($K3:V3,$K$2:V$2)</f>
        <v>18668.280643770355</v>
      </c>
      <c r="X3" s="1">
        <f>SLOPE($K3:W3,$K$2:W$2)*X$2+INTERCEPT($K3:W3,$K$2:W$2)</f>
        <v>19039.380775136058</v>
      </c>
      <c r="Y3" s="1">
        <f>SLOPE($K3:X3,$K$2:X$2)*Y$2+INTERCEPT($K3:X3,$K$2:X$2)</f>
        <v>19410.480906501529</v>
      </c>
      <c r="Z3" s="1">
        <f>SLOPE($K3:Y3,$K$2:Y$2)*Z$2+INTERCEPT($K3:Y3,$K$2:Y$2)</f>
        <v>19781.581037867232</v>
      </c>
      <c r="AA3" s="1">
        <f>SLOPE($K3:Z3,$K$2:Z$2)*AA$2+INTERCEPT($K3:Z3,$K$2:Z$2)</f>
        <v>20152.681169232819</v>
      </c>
      <c r="AB3" s="1">
        <f>SLOPE($K3:AA3,$K$2:AA$2)*AB$2+INTERCEPT($K3:AA3,$K$2:AA$2)</f>
        <v>20523.781300598523</v>
      </c>
      <c r="AC3" s="1">
        <f>SLOPE($K3:AB3,$K$2:AB$2)*AC$2+INTERCEPT($K3:AB3,$K$2:AB$2)</f>
        <v>20894.881431963993</v>
      </c>
      <c r="AD3" s="1">
        <f>SLOPE($K3:AC3,$K$2:AC$2)*AD$2+INTERCEPT($K3:AC3,$K$2:AC$2)</f>
        <v>21265.98156332958</v>
      </c>
      <c r="AE3" s="1">
        <f>SLOPE($K3:AD3,$K$2:AD$2)*AE$2+INTERCEPT($K3:AD3,$K$2:AD$2)</f>
        <v>21637.081694695284</v>
      </c>
      <c r="AF3" s="1">
        <f>SLOPE($K3:AE3,$K$2:AE$2)*AF$2+INTERCEPT($K3:AE3,$K$2:AE$2)</f>
        <v>22008.181826060871</v>
      </c>
      <c r="AG3" s="1">
        <f>SLOPE($K3:AF3,$K$2:AF$2)*AG$2+INTERCEPT($K3:AF3,$K$2:AF$2)</f>
        <v>22379.281957426574</v>
      </c>
      <c r="AH3" s="1">
        <f>SLOPE($K3:AG3,$K$2:AG$2)*AH$2+INTERCEPT($K3:AG3,$K$2:AG$2)</f>
        <v>22750.382088792161</v>
      </c>
      <c r="AI3" s="1">
        <f>SLOPE($K3:AH3,$K$2:AH$2)*AI$2+INTERCEPT($K3:AH3,$K$2:AH$2)</f>
        <v>23121.482220157748</v>
      </c>
      <c r="AJ3" s="1">
        <f>SLOPE($K3:AI3,$K$2:AI$2)*AJ$2+INTERCEPT($K3:AI3,$K$2:AI$2)</f>
        <v>23492.582351523335</v>
      </c>
      <c r="AK3" s="1">
        <f>SLOPE($K3:AJ3,$K$2:AJ$2)*AK$2+INTERCEPT($K3:AJ3,$K$2:AJ$2)</f>
        <v>23863.682482889039</v>
      </c>
      <c r="AL3" s="1">
        <f>SLOPE($K3:AK3,$K$2:AK$2)*AL$2+INTERCEPT($K3:AK3,$K$2:AK$2)</f>
        <v>24234.782614254626</v>
      </c>
      <c r="AM3" s="1">
        <f>SLOPE($K3:AL3,$K$2:AL$2)*AM$2+INTERCEPT($K3:AL3,$K$2:AL$2)</f>
        <v>24605.882745620329</v>
      </c>
      <c r="AN3" s="1">
        <f>SLOPE($K3:AM3,$K$2:AM$2)*AN$2+INTERCEPT($K3:AM3,$K$2:AM$2)</f>
        <v>24976.9828769858</v>
      </c>
      <c r="AO3" s="1">
        <f>SLOPE($K3:AN3,$K$2:AN$2)*AO$2+INTERCEPT($K3:AN3,$K$2:AN$2)</f>
        <v>25348.083008351503</v>
      </c>
      <c r="AP3" s="1">
        <f>SLOPE($K3:AO3,$K$2:AO$2)*AP$2+INTERCEPT($K3:AO3,$K$2:AO$2)</f>
        <v>25719.18313971709</v>
      </c>
      <c r="AQ3" s="1">
        <f>SLOPE($K3:AP3,$K$2:AP$2)*AQ$2+INTERCEPT($K3:AP3,$K$2:AP$2)</f>
        <v>26090.283271082677</v>
      </c>
      <c r="AR3" s="1">
        <f>SLOPE($K3:AQ3,$K$2:AQ$2)*AR$2+INTERCEPT($K3:AQ3,$K$2:AQ$2)</f>
        <v>26461.383402448264</v>
      </c>
      <c r="AS3" s="1">
        <f>SLOPE($K3:AR3,$K$2:AR$2)*AS$2+INTERCEPT($K3:AR3,$K$2:AR$2)</f>
        <v>26832.483533813967</v>
      </c>
      <c r="AT3" s="1">
        <f>SLOPE($K3:AS3,$K$2:AS$2)*AT$2+INTERCEPT($K3:AS3,$K$2:AS$2)</f>
        <v>27203.583665179554</v>
      </c>
      <c r="AU3" s="1">
        <f>SLOPE($K3:AT3,$K$2:AT$2)*AU$2+INTERCEPT($K3:AT3,$K$2:AT$2)</f>
        <v>27574.683796545141</v>
      </c>
      <c r="AV3" s="1">
        <f>SLOPE($K3:AU3,$K$2:AU$2)*AV$2+INTERCEPT($K3:AU3,$K$2:AU$2)</f>
        <v>27945.783927910728</v>
      </c>
      <c r="AW3" s="1">
        <f>SLOPE($K3:AV3,$K$2:AV$2)*AW$2+INTERCEPT($K3:AV3,$K$2:AV$2)</f>
        <v>28316.884059276432</v>
      </c>
      <c r="AX3" s="1">
        <f>SLOPE($K3:AW3,$K$2:AW$2)*AX$2+INTERCEPT($K3:AW3,$K$2:AW$2)</f>
        <v>28687.984190642135</v>
      </c>
      <c r="AY3" s="1">
        <f>SLOPE($K3:AX3,$K$2:AX$2)*AY$2+INTERCEPT($K3:AX3,$K$2:AX$2)</f>
        <v>29059.084322007606</v>
      </c>
      <c r="AZ3" s="1">
        <f>SLOPE($K3:AY3,$K$2:AY$2)*AZ$2+INTERCEPT($K3:AY3,$K$2:AY$2)</f>
        <v>29430.184453373193</v>
      </c>
      <c r="BA3" s="1">
        <f>SLOPE($K3:AZ3,$K$2:AZ$2)*BA$2+INTERCEPT($K3:AZ3,$K$2:AZ$2)</f>
        <v>29801.284584738896</v>
      </c>
      <c r="BB3" s="1">
        <f>SLOPE($K3:BA3,$K$2:BA$2)*BB$2+INTERCEPT($K3:BA3,$K$2:BA$2)</f>
        <v>30172.384716104483</v>
      </c>
      <c r="BC3" s="1">
        <f>SLOPE($K3:BB3,$K$2:BB$2)*BC$2+INTERCEPT($K3:BB3,$K$2:BB$2)</f>
        <v>30543.48484747007</v>
      </c>
    </row>
    <row r="4" spans="1:55" x14ac:dyDescent="0.2">
      <c r="A4" t="s">
        <v>12</v>
      </c>
      <c r="B4" s="14">
        <f>'2002'!B28</f>
        <v>13817.472545171384</v>
      </c>
      <c r="C4" s="14">
        <f>'2007'!B28</f>
        <v>23454.034588228067</v>
      </c>
      <c r="D4" s="14">
        <f>'2012'!B28</f>
        <v>46625.508485906677</v>
      </c>
      <c r="E4" s="14">
        <f>'2017'!B28</f>
        <v>58661.82253506218</v>
      </c>
      <c r="F4" s="14">
        <f>'2018'!B28</f>
        <v>60162.245953372112</v>
      </c>
      <c r="G4" s="14">
        <f>'2020'!B28</f>
        <v>70788.967300000004</v>
      </c>
      <c r="I4" s="14">
        <f>B4*Deflator!M2</f>
        <v>3553.611776639963</v>
      </c>
      <c r="J4" s="14">
        <f>C4*Deflator!N2</f>
        <v>4724.2787876179664</v>
      </c>
      <c r="K4" s="14">
        <f>D4*Deflator!O2</f>
        <v>7386.0847011966362</v>
      </c>
      <c r="L4" s="14">
        <f>E4*Deflator!P2</f>
        <v>8517.9595883623588</v>
      </c>
      <c r="M4" s="14">
        <f>F4*Deflator!Q2</f>
        <v>8440.4339083195173</v>
      </c>
      <c r="N4" s="30">
        <f>AVERAGE(M4,O4)</f>
        <v>9092.2916256257304</v>
      </c>
      <c r="O4" s="14">
        <f>O$3*O8</f>
        <v>9744.1493429319435</v>
      </c>
      <c r="P4" s="1">
        <f t="shared" ref="O4:BC6" si="1">P$3*P8</f>
        <v>9623.4444585297042</v>
      </c>
      <c r="Q4" s="1">
        <f t="shared" si="1"/>
        <v>9890.3296031746486</v>
      </c>
      <c r="R4" s="1">
        <f t="shared" si="1"/>
        <v>10159.230833593063</v>
      </c>
      <c r="S4" s="1">
        <f t="shared" si="1"/>
        <v>10430.148149784804</v>
      </c>
      <c r="T4" s="1">
        <f t="shared" si="1"/>
        <v>10703.08155174987</v>
      </c>
      <c r="U4" s="1">
        <f t="shared" si="1"/>
        <v>10978.031039488462</v>
      </c>
      <c r="V4" s="1">
        <f t="shared" si="1"/>
        <v>11254.996613000396</v>
      </c>
      <c r="W4" s="1">
        <f t="shared" si="1"/>
        <v>11533.978272285727</v>
      </c>
      <c r="X4" s="1">
        <f t="shared" si="1"/>
        <v>11814.976017344528</v>
      </c>
      <c r="Y4" s="1">
        <f t="shared" si="1"/>
        <v>12097.989848176567</v>
      </c>
      <c r="Z4" s="1">
        <f t="shared" si="1"/>
        <v>12383.019764782164</v>
      </c>
      <c r="AA4" s="1">
        <f t="shared" si="1"/>
        <v>12670.065767161086</v>
      </c>
      <c r="AB4" s="1">
        <f t="shared" si="1"/>
        <v>12959.12785531348</v>
      </c>
      <c r="AC4" s="1">
        <f t="shared" si="1"/>
        <v>13250.206029239123</v>
      </c>
      <c r="AD4" s="1">
        <f t="shared" si="1"/>
        <v>13543.300288938239</v>
      </c>
      <c r="AE4" s="1">
        <f t="shared" si="1"/>
        <v>13838.410634410808</v>
      </c>
      <c r="AF4" s="1">
        <f t="shared" si="1"/>
        <v>14135.537065656699</v>
      </c>
      <c r="AG4" s="1">
        <f t="shared" si="1"/>
        <v>14434.679582676103</v>
      </c>
      <c r="AH4" s="1">
        <f t="shared" si="1"/>
        <v>14735.83818546881</v>
      </c>
      <c r="AI4" s="1">
        <f t="shared" si="1"/>
        <v>15039.012874034916</v>
      </c>
      <c r="AJ4" s="1">
        <f t="shared" si="1"/>
        <v>15344.203648374376</v>
      </c>
      <c r="AK4" s="1">
        <f t="shared" si="1"/>
        <v>15651.410508487374</v>
      </c>
      <c r="AL4" s="1">
        <f t="shared" si="1"/>
        <v>15960.633454373672</v>
      </c>
      <c r="AM4" s="1">
        <f t="shared" si="1"/>
        <v>16271.872486033422</v>
      </c>
      <c r="AN4" s="1">
        <f t="shared" si="1"/>
        <v>16585.127603466459</v>
      </c>
      <c r="AO4" s="1">
        <f t="shared" si="1"/>
        <v>16900.398806673005</v>
      </c>
      <c r="AP4" s="1">
        <f t="shared" si="1"/>
        <v>17217.686095652894</v>
      </c>
      <c r="AQ4" s="1">
        <f t="shared" si="1"/>
        <v>17536.989470406184</v>
      </c>
      <c r="AR4" s="1">
        <f t="shared" si="1"/>
        <v>17858.308930932868</v>
      </c>
      <c r="AS4" s="1">
        <f t="shared" si="1"/>
        <v>18181.644477233029</v>
      </c>
      <c r="AT4" s="1">
        <f t="shared" si="1"/>
        <v>18506.99610930651</v>
      </c>
      <c r="AU4" s="1">
        <f t="shared" si="1"/>
        <v>18834.363827153338</v>
      </c>
      <c r="AV4" s="1">
        <f t="shared" si="1"/>
        <v>19163.747630773636</v>
      </c>
      <c r="AW4" s="1">
        <f t="shared" si="1"/>
        <v>19495.147520167367</v>
      </c>
      <c r="AX4" s="1">
        <f t="shared" si="1"/>
        <v>19828.563495334543</v>
      </c>
      <c r="AY4" s="1">
        <f t="shared" si="1"/>
        <v>20163.995556274906</v>
      </c>
      <c r="AZ4" s="1">
        <f t="shared" si="1"/>
        <v>20501.44370298877</v>
      </c>
      <c r="BA4" s="1">
        <f t="shared" si="1"/>
        <v>20840.907935476091</v>
      </c>
      <c r="BB4" s="1">
        <f t="shared" si="1"/>
        <v>21182.388253736754</v>
      </c>
      <c r="BC4" s="1">
        <f t="shared" si="1"/>
        <v>21525.884657770814</v>
      </c>
    </row>
    <row r="5" spans="1:55" x14ac:dyDescent="0.2">
      <c r="A5" t="s">
        <v>27</v>
      </c>
      <c r="B5" s="14">
        <f>'2002'!B29</f>
        <v>8152.252847037953</v>
      </c>
      <c r="C5" s="14">
        <f>'2007'!B29</f>
        <v>14856.421127916219</v>
      </c>
      <c r="D5" s="14">
        <f>'2012'!B29</f>
        <v>26988.374037243713</v>
      </c>
      <c r="E5" s="14">
        <f>'2017'!B29</f>
        <v>29394.021201173044</v>
      </c>
      <c r="F5" s="14">
        <f>'2018'!B29</f>
        <v>27526.70098605864</v>
      </c>
      <c r="G5" s="14">
        <f>'2020'!B29</f>
        <v>36489.238299999997</v>
      </c>
      <c r="I5" s="14">
        <f>B5*Deflator!M2</f>
        <v>2096.6165576717208</v>
      </c>
      <c r="J5" s="14">
        <f>C5*Deflator!N2</f>
        <v>2992.4862151333796</v>
      </c>
      <c r="K5" s="14">
        <f>D5*Deflator!O2</f>
        <v>4275.308153409449</v>
      </c>
      <c r="L5" s="14">
        <f>E5*Deflator!P2</f>
        <v>4268.1436394412731</v>
      </c>
      <c r="M5" s="14">
        <f>F5*Deflator!Q2</f>
        <v>3861.8455262952011</v>
      </c>
      <c r="N5" s="30">
        <f t="shared" ref="N5:N6" si="2">AVERAGE(M5,O5)</f>
        <v>4442.306958782222</v>
      </c>
      <c r="O5" s="14">
        <f t="shared" ref="N5:AC6" si="3">O$3*O9</f>
        <v>5022.7683912692428</v>
      </c>
      <c r="P5" s="1">
        <f>P$3*P9</f>
        <v>4621.7714699252292</v>
      </c>
      <c r="Q5" s="1">
        <f t="shared" si="3"/>
        <v>4679.0773477418252</v>
      </c>
      <c r="R5" s="1">
        <f t="shared" si="3"/>
        <v>4734.1523570242935</v>
      </c>
      <c r="S5" s="1">
        <f t="shared" si="3"/>
        <v>4786.996497772584</v>
      </c>
      <c r="T5" s="1">
        <f t="shared" si="3"/>
        <v>4837.6097699866523</v>
      </c>
      <c r="U5" s="1">
        <f t="shared" si="3"/>
        <v>4885.9921736666402</v>
      </c>
      <c r="V5" s="1">
        <f t="shared" si="3"/>
        <v>4932.143708812453</v>
      </c>
      <c r="W5" s="1">
        <f t="shared" si="3"/>
        <v>4976.0643754240728</v>
      </c>
      <c r="X5" s="1">
        <f t="shared" si="3"/>
        <v>5017.7541735015975</v>
      </c>
      <c r="Y5" s="1">
        <f t="shared" si="3"/>
        <v>5057.2131030448836</v>
      </c>
      <c r="Z5" s="1">
        <f t="shared" si="3"/>
        <v>5094.4411640540538</v>
      </c>
      <c r="AA5" s="1">
        <f t="shared" si="3"/>
        <v>5129.4383565290864</v>
      </c>
      <c r="AB5" s="1">
        <f t="shared" si="3"/>
        <v>5162.2046804699357</v>
      </c>
      <c r="AC5" s="1">
        <f t="shared" si="3"/>
        <v>5192.7401358765837</v>
      </c>
      <c r="AD5" s="1">
        <f t="shared" si="1"/>
        <v>5221.0447227491204</v>
      </c>
      <c r="AE5" s="1">
        <f t="shared" si="1"/>
        <v>5247.1184410875076</v>
      </c>
      <c r="AF5" s="1">
        <f t="shared" si="1"/>
        <v>5270.9612908917061</v>
      </c>
      <c r="AG5" s="1">
        <f t="shared" si="1"/>
        <v>5292.5732721617724</v>
      </c>
      <c r="AH5" s="1">
        <f t="shared" si="1"/>
        <v>5311.9543848976509</v>
      </c>
      <c r="AI5" s="1">
        <f t="shared" si="1"/>
        <v>5329.10462909937</v>
      </c>
      <c r="AJ5" s="1">
        <f t="shared" si="1"/>
        <v>5344.0240047669286</v>
      </c>
      <c r="AK5" s="1">
        <f t="shared" si="1"/>
        <v>5356.712511900354</v>
      </c>
      <c r="AL5" s="1">
        <f t="shared" si="1"/>
        <v>5367.1701504995935</v>
      </c>
      <c r="AM5" s="1">
        <f t="shared" si="1"/>
        <v>5375.3969205647199</v>
      </c>
      <c r="AN5" s="1">
        <f t="shared" si="1"/>
        <v>5381.3928220956141</v>
      </c>
      <c r="AO5" s="1">
        <f t="shared" si="1"/>
        <v>5385.1578550923996</v>
      </c>
      <c r="AP5" s="1">
        <f t="shared" si="1"/>
        <v>5386.6920195549765</v>
      </c>
      <c r="AQ5" s="1">
        <f t="shared" si="1"/>
        <v>5385.9953154834393</v>
      </c>
      <c r="AR5" s="1">
        <f t="shared" si="1"/>
        <v>5383.0677428777199</v>
      </c>
      <c r="AS5" s="1">
        <f t="shared" si="1"/>
        <v>5377.90930173784</v>
      </c>
      <c r="AT5" s="1">
        <f t="shared" si="1"/>
        <v>5370.5199920638006</v>
      </c>
      <c r="AU5" s="1">
        <f t="shared" si="1"/>
        <v>5360.8998138556253</v>
      </c>
      <c r="AV5" s="1">
        <f t="shared" si="1"/>
        <v>5349.0487671132914</v>
      </c>
      <c r="AW5" s="1">
        <f t="shared" si="1"/>
        <v>5334.9668518367953</v>
      </c>
      <c r="AX5" s="1">
        <f t="shared" si="1"/>
        <v>5318.6540680261378</v>
      </c>
      <c r="AY5" s="1">
        <f t="shared" si="1"/>
        <v>5300.1104156812526</v>
      </c>
      <c r="AZ5" s="1">
        <f t="shared" si="1"/>
        <v>5279.3358948022542</v>
      </c>
      <c r="BA5" s="1">
        <f t="shared" si="1"/>
        <v>5256.3305053891427</v>
      </c>
      <c r="BB5" s="1">
        <f t="shared" si="1"/>
        <v>5231.0942474418252</v>
      </c>
      <c r="BC5" s="1">
        <f t="shared" si="1"/>
        <v>5203.6271209603474</v>
      </c>
    </row>
    <row r="6" spans="1:55" x14ac:dyDescent="0.2">
      <c r="A6" t="s">
        <v>14</v>
      </c>
      <c r="B6" s="14">
        <f>'2002'!B30</f>
        <v>2876.6168153693184</v>
      </c>
      <c r="C6" s="14">
        <f>'2007'!B30</f>
        <v>4286.1533287683078</v>
      </c>
      <c r="D6" s="14">
        <f>'2012'!B30</f>
        <v>8556.7821353031723</v>
      </c>
      <c r="E6" s="14">
        <f>'2017'!B30</f>
        <v>11618.208997054249</v>
      </c>
      <c r="F6" s="14">
        <f>'2018'!B30</f>
        <v>12178.463715263229</v>
      </c>
      <c r="G6" s="14">
        <f>'2020'!B30</f>
        <v>12811.7803</v>
      </c>
      <c r="I6" s="14">
        <f>B6*Deflator!M2</f>
        <v>739.81542996075939</v>
      </c>
      <c r="J6" s="14">
        <f>C6*Deflator!N2</f>
        <v>863.34754796266577</v>
      </c>
      <c r="K6" s="14">
        <f>D6*Deflator!O2</f>
        <v>1355.5051660217071</v>
      </c>
      <c r="L6" s="14">
        <f>E6*Deflator!P2</f>
        <v>1687.0160259154172</v>
      </c>
      <c r="M6" s="14">
        <f>F6*Deflator!Q2</f>
        <v>1708.5718204937652</v>
      </c>
      <c r="N6" s="30">
        <f t="shared" si="2"/>
        <v>1736.061032512534</v>
      </c>
      <c r="O6" s="14">
        <f t="shared" si="1"/>
        <v>1763.550244531303</v>
      </c>
      <c r="P6" s="1">
        <f t="shared" si="1"/>
        <v>1825.3637957561905</v>
      </c>
      <c r="Q6" s="1">
        <f t="shared" si="1"/>
        <v>1872.2729046602387</v>
      </c>
      <c r="R6" s="1">
        <f t="shared" si="1"/>
        <v>1919.3967963250607</v>
      </c>
      <c r="S6" s="1">
        <f t="shared" si="1"/>
        <v>1966.7354707506352</v>
      </c>
      <c r="T6" s="1">
        <f t="shared" si="1"/>
        <v>2014.2889279369563</v>
      </c>
      <c r="U6" s="1">
        <f t="shared" si="1"/>
        <v>2062.0571678840656</v>
      </c>
      <c r="V6" s="1">
        <f t="shared" si="1"/>
        <v>2110.0401905919234</v>
      </c>
      <c r="W6" s="1">
        <f t="shared" si="1"/>
        <v>2158.2379960605454</v>
      </c>
      <c r="X6" s="1">
        <f t="shared" si="1"/>
        <v>2206.650584289941</v>
      </c>
      <c r="Y6" s="1">
        <f t="shared" si="1"/>
        <v>2255.2779552800725</v>
      </c>
      <c r="Z6" s="1">
        <f t="shared" si="1"/>
        <v>2304.1201090309924</v>
      </c>
      <c r="AA6" s="1">
        <f t="shared" si="1"/>
        <v>2353.1770455426604</v>
      </c>
      <c r="AB6" s="1">
        <f t="shared" si="1"/>
        <v>2402.4487648151057</v>
      </c>
      <c r="AC6" s="1">
        <f t="shared" si="1"/>
        <v>2451.9352668482866</v>
      </c>
      <c r="AD6" s="1">
        <f t="shared" si="1"/>
        <v>2501.6365516422388</v>
      </c>
      <c r="AE6" s="1">
        <f t="shared" si="1"/>
        <v>2551.5526191969702</v>
      </c>
      <c r="AF6" s="1">
        <f t="shared" si="1"/>
        <v>2601.6834695124498</v>
      </c>
      <c r="AG6" s="1">
        <f t="shared" si="1"/>
        <v>2652.0291025887059</v>
      </c>
      <c r="AH6" s="1">
        <f t="shared" si="1"/>
        <v>2702.589518425711</v>
      </c>
      <c r="AI6" s="1">
        <f t="shared" si="1"/>
        <v>2753.3647170234758</v>
      </c>
      <c r="AJ6" s="1">
        <f t="shared" si="1"/>
        <v>2804.3546983820015</v>
      </c>
      <c r="AK6" s="1">
        <f t="shared" si="1"/>
        <v>2855.5594625013046</v>
      </c>
      <c r="AL6" s="1">
        <f t="shared" si="1"/>
        <v>2906.9790093813572</v>
      </c>
      <c r="AM6" s="1">
        <f t="shared" si="1"/>
        <v>2958.6133390221858</v>
      </c>
      <c r="AN6" s="1">
        <f t="shared" si="1"/>
        <v>3010.462451423748</v>
      </c>
      <c r="AO6" s="1">
        <f t="shared" si="1"/>
        <v>3062.526346586098</v>
      </c>
      <c r="AP6" s="1">
        <f t="shared" si="1"/>
        <v>3114.8050245092004</v>
      </c>
      <c r="AQ6" s="1">
        <f t="shared" si="1"/>
        <v>3167.2984851930637</v>
      </c>
      <c r="AR6" s="1">
        <f t="shared" si="1"/>
        <v>3220.0067286376857</v>
      </c>
      <c r="AS6" s="1">
        <f t="shared" si="1"/>
        <v>3272.9297548430868</v>
      </c>
      <c r="AT6" s="1">
        <f t="shared" si="1"/>
        <v>3326.0675638092362</v>
      </c>
      <c r="AU6" s="1">
        <f t="shared" si="1"/>
        <v>3379.4201555361428</v>
      </c>
      <c r="AV6" s="1">
        <f t="shared" si="1"/>
        <v>3432.9875300238182</v>
      </c>
      <c r="AW6" s="1">
        <f t="shared" si="1"/>
        <v>3486.7696872722677</v>
      </c>
      <c r="AX6" s="1">
        <f t="shared" si="1"/>
        <v>3540.7666272814768</v>
      </c>
      <c r="AY6" s="1">
        <f t="shared" si="1"/>
        <v>3594.9783500514254</v>
      </c>
      <c r="AZ6" s="1">
        <f t="shared" si="1"/>
        <v>3649.4048555821437</v>
      </c>
      <c r="BA6" s="1">
        <f t="shared" si="1"/>
        <v>3704.0461438736438</v>
      </c>
      <c r="BB6" s="1">
        <f t="shared" si="1"/>
        <v>3758.9022149258899</v>
      </c>
      <c r="BC6" s="1">
        <f t="shared" si="1"/>
        <v>3813.9730687388947</v>
      </c>
    </row>
    <row r="7" spans="1:55" x14ac:dyDescent="0.2">
      <c r="N7" s="31"/>
    </row>
    <row r="8" spans="1:55" x14ac:dyDescent="0.2">
      <c r="A8" t="s">
        <v>26</v>
      </c>
      <c r="B8" s="13">
        <f>B4/SUM(B4:B6)</f>
        <v>0.55611697004465976</v>
      </c>
      <c r="C8" s="13">
        <f t="shared" ref="C8:F8" si="4">C4/SUM(C4:C6)</f>
        <v>0.55060802054686642</v>
      </c>
      <c r="D8" s="13">
        <f t="shared" si="4"/>
        <v>0.5674227983880612</v>
      </c>
      <c r="E8" s="13">
        <f t="shared" si="4"/>
        <v>0.58853654412980549</v>
      </c>
      <c r="F8" s="13">
        <f>F4/SUM(F4:F6)</f>
        <v>0.60242120586656422</v>
      </c>
      <c r="G8" s="13">
        <f>G4/SUM(G4:G6)</f>
        <v>0.58946603057266245</v>
      </c>
      <c r="I8" s="13">
        <f>B8</f>
        <v>0.55611697004465976</v>
      </c>
      <c r="J8" s="13">
        <f>C8</f>
        <v>0.55060802054686642</v>
      </c>
      <c r="K8" s="13">
        <f>D8</f>
        <v>0.5674227983880612</v>
      </c>
      <c r="L8" s="13">
        <f>E8</f>
        <v>0.58853654412980549</v>
      </c>
      <c r="M8" s="13">
        <f>F8</f>
        <v>0.60242120586656422</v>
      </c>
      <c r="N8" s="32">
        <f>AVERAGE(M8,O8)</f>
        <v>0.59594361821961339</v>
      </c>
      <c r="O8" s="13">
        <f>G8</f>
        <v>0.58946603057266245</v>
      </c>
      <c r="P8" s="3">
        <f>SLOPE($I8:O8,$I$2:O$2)*P$2+INTERCEPT($I8:O8,$I$2:O$2)</f>
        <v>0.59882372781060944</v>
      </c>
      <c r="Q8" s="3">
        <f>SLOPE($I8:P8,$I$2:P$2)*Q$2+INTERCEPT($I8:P8,$I$2:P$2)</f>
        <v>0.60154009140495646</v>
      </c>
      <c r="R8" s="3">
        <f>SLOPE($I8:Q8,$I$2:Q$2)*R$2+INTERCEPT($I8:Q8,$I$2:Q$2)</f>
        <v>0.60425645499930347</v>
      </c>
      <c r="S8" s="3">
        <f>SLOPE($I8:R8,$I$2:R$2)*S$2+INTERCEPT($I8:R8,$I$2:R$2)</f>
        <v>0.60697281859365049</v>
      </c>
      <c r="T8" s="3">
        <f>SLOPE($I8:S8,$I$2:S$2)*T$2+INTERCEPT($I8:S8,$I$2:S$2)</f>
        <v>0.6096891821879975</v>
      </c>
      <c r="U8" s="3">
        <f>SLOPE($I8:T8,$I$2:T$2)*U$2+INTERCEPT($I8:T8,$I$2:T$2)</f>
        <v>0.61240554578234363</v>
      </c>
      <c r="V8" s="3">
        <f>SLOPE($I8:U8,$I$2:U$2)*V$2+INTERCEPT($I8:U8,$I$2:U$2)</f>
        <v>0.61512190937669065</v>
      </c>
      <c r="W8" s="3">
        <f>SLOPE($I8:V8,$I$2:V$2)*W$2+INTERCEPT($I8:V8,$I$2:V$2)</f>
        <v>0.61783827297103766</v>
      </c>
      <c r="X8" s="3">
        <f>SLOPE($I8:W8,$I$2:W$2)*X$2+INTERCEPT($I8:W8,$I$2:W$2)</f>
        <v>0.62055463656538468</v>
      </c>
      <c r="Y8" s="3">
        <f>SLOPE($I8:X8,$I$2:X$2)*Y$2+INTERCEPT($I8:X8,$I$2:X$2)</f>
        <v>0.6232710001597308</v>
      </c>
      <c r="Z8" s="3">
        <f>SLOPE($I8:Y8,$I$2:Y$2)*Z$2+INTERCEPT($I8:Y8,$I$2:Y$2)</f>
        <v>0.62598736375407782</v>
      </c>
      <c r="AA8" s="3">
        <f>SLOPE($I8:Z8,$I$2:Z$2)*AA$2+INTERCEPT($I8:Z8,$I$2:Z$2)</f>
        <v>0.62870372734842483</v>
      </c>
      <c r="AB8" s="3">
        <f>SLOPE($I8:AA8,$I$2:AA$2)*AB$2+INTERCEPT($I8:AA8,$I$2:AA$2)</f>
        <v>0.63142009094277185</v>
      </c>
      <c r="AC8" s="3">
        <f>SLOPE($I8:AB8,$I$2:AB$2)*AC$2+INTERCEPT($I8:AB8,$I$2:AB$2)</f>
        <v>0.63413645453711887</v>
      </c>
      <c r="AD8" s="3">
        <f>SLOPE($I8:AC8,$I$2:AC$2)*AD$2+INTERCEPT($I8:AC8,$I$2:AC$2)</f>
        <v>0.63685281813146588</v>
      </c>
      <c r="AE8" s="3">
        <f>SLOPE($I8:AD8,$I$2:AD$2)*AE$2+INTERCEPT($I8:AD8,$I$2:AD$2)</f>
        <v>0.63956918172581201</v>
      </c>
      <c r="AF8" s="3">
        <f>SLOPE($I8:AE8,$I$2:AE$2)*AF$2+INTERCEPT($I8:AE8,$I$2:AE$2)</f>
        <v>0.64228554532015814</v>
      </c>
      <c r="AG8" s="3">
        <f>SLOPE($I8:AF8,$I$2:AF$2)*AG$2+INTERCEPT($I8:AF8,$I$2:AF$2)</f>
        <v>0.64500190891450604</v>
      </c>
      <c r="AH8" s="3">
        <f>SLOPE($I8:AG8,$I$2:AG$2)*AH$2+INTERCEPT($I8:AG8,$I$2:AG$2)</f>
        <v>0.64771827250885305</v>
      </c>
      <c r="AI8" s="3">
        <f>SLOPE($I8:AH8,$I$2:AH$2)*AI$2+INTERCEPT($I8:AH8,$I$2:AH$2)</f>
        <v>0.65043463610320007</v>
      </c>
      <c r="AJ8" s="3">
        <f>SLOPE($I8:AI8,$I$2:AI$2)*AJ$2+INTERCEPT($I8:AI8,$I$2:AI$2)</f>
        <v>0.65315099969754531</v>
      </c>
      <c r="AK8" s="3">
        <f>SLOPE($I8:AJ8,$I$2:AJ$2)*AK$2+INTERCEPT($I8:AJ8,$I$2:AJ$2)</f>
        <v>0.65586736329189321</v>
      </c>
      <c r="AL8" s="3">
        <f>SLOPE($I8:AK8,$I$2:AK$2)*AL$2+INTERCEPT($I8:AK8,$I$2:AK$2)</f>
        <v>0.65858372688624023</v>
      </c>
      <c r="AM8" s="3">
        <f>SLOPE($I8:AL8,$I$2:AL$2)*AM$2+INTERCEPT($I8:AL8,$I$2:AL$2)</f>
        <v>0.66130009048058636</v>
      </c>
      <c r="AN8" s="3">
        <f>SLOPE($I8:AM8,$I$2:AM$2)*AN$2+INTERCEPT($I8:AM8,$I$2:AM$2)</f>
        <v>0.66401645407493426</v>
      </c>
      <c r="AO8" s="3">
        <f>SLOPE($I8:AN8,$I$2:AN$2)*AO$2+INTERCEPT($I8:AN8,$I$2:AN$2)</f>
        <v>0.66673281766928039</v>
      </c>
      <c r="AP8" s="3">
        <f>SLOPE($I8:AO8,$I$2:AO$2)*AP$2+INTERCEPT($I8:AO8,$I$2:AO$2)</f>
        <v>0.6694491812636274</v>
      </c>
      <c r="AQ8" s="3">
        <f>SLOPE($I8:AP8,$I$2:AP$2)*AQ$2+INTERCEPT($I8:AP8,$I$2:AP$2)</f>
        <v>0.67216554485797442</v>
      </c>
      <c r="AR8" s="3">
        <f>SLOPE($I8:AQ8,$I$2:AQ$2)*AR$2+INTERCEPT($I8:AQ8,$I$2:AQ$2)</f>
        <v>0.67488190845232143</v>
      </c>
      <c r="AS8" s="3">
        <f>SLOPE($I8:AR8,$I$2:AR$2)*AS$2+INTERCEPT($I8:AR8,$I$2:AR$2)</f>
        <v>0.67759827204666845</v>
      </c>
      <c r="AT8" s="3">
        <f>SLOPE($I8:AS8,$I$2:AS$2)*AT$2+INTERCEPT($I8:AS8,$I$2:AS$2)</f>
        <v>0.68031463564101546</v>
      </c>
      <c r="AU8" s="3">
        <f>SLOPE($I8:AT8,$I$2:AT$2)*AU$2+INTERCEPT($I8:AT8,$I$2:AT$2)</f>
        <v>0.6830309992353607</v>
      </c>
      <c r="AV8" s="3">
        <f>SLOPE($I8:AU8,$I$2:AU$2)*AV$2+INTERCEPT($I8:AU8,$I$2:AU$2)</f>
        <v>0.68574736282970861</v>
      </c>
      <c r="AW8" s="3">
        <f>SLOPE($I8:AV8,$I$2:AV$2)*AW$2+INTERCEPT($I8:AV8,$I$2:AV$2)</f>
        <v>0.68846372642405473</v>
      </c>
      <c r="AX8" s="3">
        <f>SLOPE($I8:AW8,$I$2:AW$2)*AX$2+INTERCEPT($I8:AW8,$I$2:AW$2)</f>
        <v>0.69118009001840264</v>
      </c>
      <c r="AY8" s="3">
        <f>SLOPE($I8:AX8,$I$2:AX$2)*AY$2+INTERCEPT($I8:AX8,$I$2:AX$2)</f>
        <v>0.69389645361274876</v>
      </c>
      <c r="AZ8" s="3">
        <f>SLOPE($I8:AY8,$I$2:AY$2)*AZ$2+INTERCEPT($I8:AY8,$I$2:AY$2)</f>
        <v>0.69661281720709578</v>
      </c>
      <c r="BA8" s="3">
        <f>SLOPE($I8:AZ8,$I$2:AZ$2)*BA$2+INTERCEPT($I8:AZ8,$I$2:AZ$2)</f>
        <v>0.69932918080144191</v>
      </c>
      <c r="BB8" s="3">
        <f>SLOPE($I8:BA8,$I$2:BA$2)*BB$2+INTERCEPT($I8:BA8,$I$2:BA$2)</f>
        <v>0.70204554439578892</v>
      </c>
      <c r="BC8" s="3">
        <f>SLOPE($I8:BB8,$I$2:BB$2)*BC$2+INTERCEPT($I8:BB8,$I$2:BB$2)</f>
        <v>0.70476190799013594</v>
      </c>
    </row>
    <row r="9" spans="1:55" x14ac:dyDescent="0.2">
      <c r="A9" t="s">
        <v>28</v>
      </c>
      <c r="B9" s="13">
        <f>B5/SUM(B4:B6)</f>
        <v>0.32810676030016783</v>
      </c>
      <c r="C9" s="13">
        <f t="shared" ref="C9:F9" si="5">C5/SUM(C4:C6)</f>
        <v>0.34877004205316092</v>
      </c>
      <c r="D9" s="13">
        <f t="shared" si="5"/>
        <v>0.32844293215130033</v>
      </c>
      <c r="E9" s="13">
        <f t="shared" si="5"/>
        <v>0.2949014351791871</v>
      </c>
      <c r="F9" s="13">
        <f t="shared" si="5"/>
        <v>0.27563246914687906</v>
      </c>
      <c r="G9" s="13">
        <f t="shared" ref="G9" si="6">G5/SUM(G4:G6)</f>
        <v>0.30384913468459318</v>
      </c>
      <c r="I9" s="13">
        <f t="shared" ref="I9:I10" si="7">B9</f>
        <v>0.32810676030016783</v>
      </c>
      <c r="J9" s="13">
        <f>C9</f>
        <v>0.34877004205316092</v>
      </c>
      <c r="K9" s="13">
        <f>D9</f>
        <v>0.32844293215130033</v>
      </c>
      <c r="L9" s="13">
        <f>E9</f>
        <v>0.2949014351791871</v>
      </c>
      <c r="M9" s="13">
        <f>F9</f>
        <v>0.27563246914687906</v>
      </c>
      <c r="N9" s="32">
        <f t="shared" ref="N9:N13" si="8">AVERAGE(M9,O9)</f>
        <v>0.28974080191573615</v>
      </c>
      <c r="O9" s="13">
        <f t="shared" ref="O9:O10" si="9">G9</f>
        <v>0.30384913468459318</v>
      </c>
      <c r="P9" s="3">
        <f>SLOPE($I9:O9,$I$2:O$2)*P$2+INTERCEPT($I9:O9,$I$2:O$2)</f>
        <v>0.28759208125904134</v>
      </c>
      <c r="Q9" s="3">
        <f>SLOPE($I9:P9,$I$2:P$2)*Q$2+INTERCEPT($I9:P9,$I$2:P$2)</f>
        <v>0.28458633113177711</v>
      </c>
      <c r="R9" s="3">
        <f>SLOPE($I9:Q9,$I$2:Q$2)*R$2+INTERCEPT($I9:Q9,$I$2:Q$2)</f>
        <v>0.28158058100451289</v>
      </c>
      <c r="S9" s="3">
        <f>SLOPE($I9:R9,$I$2:R$2)*S$2+INTERCEPT($I9:R9,$I$2:R$2)</f>
        <v>0.27857483087724955</v>
      </c>
      <c r="T9" s="3">
        <f>SLOPE($I9:S9,$I$2:S$2)*T$2+INTERCEPT($I9:S9,$I$2:S$2)</f>
        <v>0.27556908074998443</v>
      </c>
      <c r="U9" s="3">
        <f>SLOPE($I9:T9,$I$2:T$2)*U$2+INTERCEPT($I9:T9,$I$2:T$2)</f>
        <v>0.2725633306227202</v>
      </c>
      <c r="V9" s="3">
        <f>SLOPE($I9:U9,$I$2:U$2)*V$2+INTERCEPT($I9:U9,$I$2:U$2)</f>
        <v>0.26955758049545686</v>
      </c>
      <c r="W9" s="3">
        <f>SLOPE($I9:V9,$I$2:V$2)*W$2+INTERCEPT($I9:V9,$I$2:V$2)</f>
        <v>0.26655183036819174</v>
      </c>
      <c r="X9" s="3">
        <f>SLOPE($I9:W9,$I$2:W$2)*X$2+INTERCEPT($I9:W9,$I$2:W$2)</f>
        <v>0.2635460802409284</v>
      </c>
      <c r="Y9" s="3">
        <f>SLOPE($I9:X9,$I$2:X$2)*Y$2+INTERCEPT($I9:X9,$I$2:X$2)</f>
        <v>0.26054033011366418</v>
      </c>
      <c r="Z9" s="3">
        <f>SLOPE($I9:Y9,$I$2:Y$2)*Z$2+INTERCEPT($I9:Y9,$I$2:Y$2)</f>
        <v>0.25753457998639906</v>
      </c>
      <c r="AA9" s="3">
        <f>SLOPE($I9:Z9,$I$2:Z$2)*AA$2+INTERCEPT($I9:Z9,$I$2:Z$2)</f>
        <v>0.25452882985913661</v>
      </c>
      <c r="AB9" s="3">
        <f>SLOPE($I9:AA9,$I$2:AA$2)*AB$2+INTERCEPT($I9:AA9,$I$2:AA$2)</f>
        <v>0.25152307973187149</v>
      </c>
      <c r="AC9" s="3">
        <f>SLOPE($I9:AB9,$I$2:AB$2)*AC$2+INTERCEPT($I9:AB9,$I$2:AB$2)</f>
        <v>0.24851732960460726</v>
      </c>
      <c r="AD9" s="3">
        <f>SLOPE($I9:AC9,$I$2:AC$2)*AD$2+INTERCEPT($I9:AC9,$I$2:AC$2)</f>
        <v>0.24551157947734392</v>
      </c>
      <c r="AE9" s="3">
        <f>SLOPE($I9:AD9,$I$2:AD$2)*AE$2+INTERCEPT($I9:AD9,$I$2:AD$2)</f>
        <v>0.24250582935007969</v>
      </c>
      <c r="AF9" s="3">
        <f>SLOPE($I9:AE9,$I$2:AE$2)*AF$2+INTERCEPT($I9:AE9,$I$2:AE$2)</f>
        <v>0.23950007922281547</v>
      </c>
      <c r="AG9" s="3">
        <f>SLOPE($I9:AF9,$I$2:AF$2)*AG$2+INTERCEPT($I9:AF9,$I$2:AF$2)</f>
        <v>0.23649432909555124</v>
      </c>
      <c r="AH9" s="3">
        <f>SLOPE($I9:AG9,$I$2:AG$2)*AH$2+INTERCEPT($I9:AG9,$I$2:AG$2)</f>
        <v>0.23348857896828701</v>
      </c>
      <c r="AI9" s="3">
        <f>SLOPE($I9:AH9,$I$2:AH$2)*AI$2+INTERCEPT($I9:AH9,$I$2:AH$2)</f>
        <v>0.23048282884102278</v>
      </c>
      <c r="AJ9" s="3">
        <f>SLOPE($I9:AI9,$I$2:AI$2)*AJ$2+INTERCEPT($I9:AI9,$I$2:AI$2)</f>
        <v>0.22747707871375855</v>
      </c>
      <c r="AK9" s="3">
        <f>SLOPE($I9:AJ9,$I$2:AJ$2)*AK$2+INTERCEPT($I9:AJ9,$I$2:AJ$2)</f>
        <v>0.22447132858649432</v>
      </c>
      <c r="AL9" s="3">
        <f>SLOPE($I9:AK9,$I$2:AK$2)*AL$2+INTERCEPT($I9:AK9,$I$2:AK$2)</f>
        <v>0.22146557845923009</v>
      </c>
      <c r="AM9" s="3">
        <f>SLOPE($I9:AL9,$I$2:AL$2)*AM$2+INTERCEPT($I9:AL9,$I$2:AL$2)</f>
        <v>0.21845982833196675</v>
      </c>
      <c r="AN9" s="3">
        <f>SLOPE($I9:AM9,$I$2:AM$2)*AN$2+INTERCEPT($I9:AM9,$I$2:AM$2)</f>
        <v>0.21545407820470253</v>
      </c>
      <c r="AO9" s="3">
        <f>SLOPE($I9:AN9,$I$2:AN$2)*AO$2+INTERCEPT($I9:AN9,$I$2:AN$2)</f>
        <v>0.2124483280774383</v>
      </c>
      <c r="AP9" s="3">
        <f>SLOPE($I9:AO9,$I$2:AO$2)*AP$2+INTERCEPT($I9:AO9,$I$2:AO$2)</f>
        <v>0.20944257795017318</v>
      </c>
      <c r="AQ9" s="3">
        <f>SLOPE($I9:AP9,$I$2:AP$2)*AQ$2+INTERCEPT($I9:AP9,$I$2:AP$2)</f>
        <v>0.20643682782290984</v>
      </c>
      <c r="AR9" s="3">
        <f>SLOPE($I9:AQ9,$I$2:AQ$2)*AR$2+INTERCEPT($I9:AQ9,$I$2:AQ$2)</f>
        <v>0.20343107769564561</v>
      </c>
      <c r="AS9" s="3">
        <f>SLOPE($I9:AR9,$I$2:AR$2)*AS$2+INTERCEPT($I9:AR9,$I$2:AR$2)</f>
        <v>0.2004253275683805</v>
      </c>
      <c r="AT9" s="3">
        <f>SLOPE($I9:AS9,$I$2:AS$2)*AT$2+INTERCEPT($I9:AS9,$I$2:AS$2)</f>
        <v>0.19741957744111627</v>
      </c>
      <c r="AU9" s="3">
        <f>SLOPE($I9:AT9,$I$2:AT$2)*AU$2+INTERCEPT($I9:AT9,$I$2:AT$2)</f>
        <v>0.19441382731385293</v>
      </c>
      <c r="AV9" s="3">
        <f>SLOPE($I9:AU9,$I$2:AU$2)*AV$2+INTERCEPT($I9:AU9,$I$2:AU$2)</f>
        <v>0.19140807718658959</v>
      </c>
      <c r="AW9" s="3">
        <f>SLOPE($I9:AV9,$I$2:AV$2)*AW$2+INTERCEPT($I9:AV9,$I$2:AV$2)</f>
        <v>0.18840232705932536</v>
      </c>
      <c r="AX9" s="3">
        <f>SLOPE($I9:AW9,$I$2:AW$2)*AX$2+INTERCEPT($I9:AW9,$I$2:AW$2)</f>
        <v>0.18539657693206113</v>
      </c>
      <c r="AY9" s="3">
        <f>SLOPE($I9:AX9,$I$2:AX$2)*AY$2+INTERCEPT($I9:AX9,$I$2:AX$2)</f>
        <v>0.18239082680479601</v>
      </c>
      <c r="AZ9" s="3">
        <f>SLOPE($I9:AY9,$I$2:AY$2)*AZ$2+INTERCEPT($I9:AY9,$I$2:AY$2)</f>
        <v>0.17938507667753179</v>
      </c>
      <c r="BA9" s="3">
        <f>SLOPE($I9:AZ9,$I$2:AZ$2)*BA$2+INTERCEPT($I9:AZ9,$I$2:AZ$2)</f>
        <v>0.17637932655026844</v>
      </c>
      <c r="BB9" s="3">
        <f>SLOPE($I9:BA9,$I$2:BA$2)*BB$2+INTERCEPT($I9:BA9,$I$2:BA$2)</f>
        <v>0.17337357642300422</v>
      </c>
      <c r="BC9" s="3">
        <f>SLOPE($I9:BB9,$I$2:BB$2)*BC$2+INTERCEPT($I9:BB9,$I$2:BB$2)</f>
        <v>0.17036782629573999</v>
      </c>
    </row>
    <row r="10" spans="1:55" x14ac:dyDescent="0.2">
      <c r="A10" t="s">
        <v>25</v>
      </c>
      <c r="B10" s="13">
        <f>B6/SUM(B4:B6)</f>
        <v>0.11577626965517242</v>
      </c>
      <c r="C10" s="13">
        <f t="shared" ref="C10:F10" si="10">C6/SUM(C4:C6)</f>
        <v>0.10062193739997274</v>
      </c>
      <c r="D10" s="13">
        <f t="shared" si="10"/>
        <v>0.10413426946063856</v>
      </c>
      <c r="E10" s="13">
        <f t="shared" si="10"/>
        <v>0.11656202069100739</v>
      </c>
      <c r="F10" s="13">
        <f t="shared" si="10"/>
        <v>0.12194632498655671</v>
      </c>
      <c r="G10" s="13">
        <f t="shared" ref="G10" si="11">G6/SUM(G4:G6)</f>
        <v>0.10668483474274436</v>
      </c>
      <c r="I10" s="13">
        <f t="shared" si="7"/>
        <v>0.11577626965517242</v>
      </c>
      <c r="J10" s="13">
        <f>C10</f>
        <v>0.10062193739997274</v>
      </c>
      <c r="K10" s="13">
        <f>D10</f>
        <v>0.10413426946063856</v>
      </c>
      <c r="L10" s="13">
        <f>E10</f>
        <v>0.11656202069100739</v>
      </c>
      <c r="M10" s="13">
        <f>F10</f>
        <v>0.12194632498655671</v>
      </c>
      <c r="N10" s="32">
        <f t="shared" si="8"/>
        <v>0.11431557986465053</v>
      </c>
      <c r="O10" s="13">
        <f t="shared" si="9"/>
        <v>0.10668483474274436</v>
      </c>
      <c r="P10" s="3">
        <f>SLOPE($I10:O10,$I$2:O$2)*P$2+INTERCEPT($I10:O10,$I$2:O$2)</f>
        <v>0.11358419093034888</v>
      </c>
      <c r="Q10" s="3">
        <f>SLOPE($I10:P10,$I$2:P$2)*Q$2+INTERCEPT($I10:P10,$I$2:P$2)</f>
        <v>0.11387357746326621</v>
      </c>
      <c r="R10" s="3">
        <f>SLOPE($I10:Q10,$I$2:Q$2)*R$2+INTERCEPT($I10:Q10,$I$2:Q$2)</f>
        <v>0.11416296399618342</v>
      </c>
      <c r="S10" s="3">
        <f>SLOPE($I10:R10,$I$2:R$2)*S$2+INTERCEPT($I10:R10,$I$2:R$2)</f>
        <v>0.11445235052910085</v>
      </c>
      <c r="T10" s="3">
        <f>SLOPE($I10:S10,$I$2:S$2)*T$2+INTERCEPT($I10:S10,$I$2:S$2)</f>
        <v>0.11474173706201818</v>
      </c>
      <c r="U10" s="3">
        <f>SLOPE($I10:T10,$I$2:T$2)*U$2+INTERCEPT($I10:T10,$I$2:T$2)</f>
        <v>0.11503112359493545</v>
      </c>
      <c r="V10" s="3">
        <f>SLOPE($I10:U10,$I$2:U$2)*V$2+INTERCEPT($I10:U10,$I$2:U$2)</f>
        <v>0.11532051012785272</v>
      </c>
      <c r="W10" s="3">
        <f>SLOPE($I10:V10,$I$2:V$2)*W$2+INTERCEPT($I10:V10,$I$2:V$2)</f>
        <v>0.1156098966607701</v>
      </c>
      <c r="X10" s="3">
        <f>SLOPE($I10:W10,$I$2:W$2)*X$2+INTERCEPT($I10:W10,$I$2:W$2)</f>
        <v>0.11589928319368736</v>
      </c>
      <c r="Y10" s="3">
        <f>SLOPE($I10:X10,$I$2:X$2)*Y$2+INTERCEPT($I10:X10,$I$2:X$2)</f>
        <v>0.11618866972660469</v>
      </c>
      <c r="Z10" s="3">
        <f>SLOPE($I10:Y10,$I$2:Y$2)*Z$2+INTERCEPT($I10:Y10,$I$2:Y$2)</f>
        <v>0.11647805625952196</v>
      </c>
      <c r="AA10" s="3">
        <f>SLOPE($I10:Z10,$I$2:Z$2)*AA$2+INTERCEPT($I10:Z10,$I$2:Z$2)</f>
        <v>0.11676744279243922</v>
      </c>
      <c r="AB10" s="3">
        <f>SLOPE($I10:AA10,$I$2:AA$2)*AB$2+INTERCEPT($I10:AA10,$I$2:AA$2)</f>
        <v>0.11705682932535655</v>
      </c>
      <c r="AC10" s="3">
        <f>SLOPE($I10:AB10,$I$2:AB$2)*AC$2+INTERCEPT($I10:AB10,$I$2:AB$2)</f>
        <v>0.11734621585827393</v>
      </c>
      <c r="AD10" s="3">
        <f>SLOPE($I10:AC10,$I$2:AC$2)*AD$2+INTERCEPT($I10:AC10,$I$2:AC$2)</f>
        <v>0.11763560239119109</v>
      </c>
      <c r="AE10" s="3">
        <f>SLOPE($I10:AD10,$I$2:AD$2)*AE$2+INTERCEPT($I10:AD10,$I$2:AD$2)</f>
        <v>0.11792498892410841</v>
      </c>
      <c r="AF10" s="3">
        <f>SLOPE($I10:AE10,$I$2:AE$2)*AF$2+INTERCEPT($I10:AE10,$I$2:AE$2)</f>
        <v>0.11821437545702573</v>
      </c>
      <c r="AG10" s="3">
        <f>SLOPE($I10:AF10,$I$2:AF$2)*AG$2+INTERCEPT($I10:AF10,$I$2:AF$2)</f>
        <v>0.11850376198994306</v>
      </c>
      <c r="AH10" s="3">
        <f>SLOPE($I10:AG10,$I$2:AG$2)*AH$2+INTERCEPT($I10:AG10,$I$2:AG$2)</f>
        <v>0.11879314852286044</v>
      </c>
      <c r="AI10" s="3">
        <f>SLOPE($I10:AH10,$I$2:AH$2)*AI$2+INTERCEPT($I10:AH10,$I$2:AH$2)</f>
        <v>0.11908253505577771</v>
      </c>
      <c r="AJ10" s="3">
        <f>SLOPE($I10:AI10,$I$2:AI$2)*AJ$2+INTERCEPT($I10:AI10,$I$2:AI$2)</f>
        <v>0.11937192158869492</v>
      </c>
      <c r="AK10" s="3">
        <f>SLOPE($I10:AJ10,$I$2:AJ$2)*AK$2+INTERCEPT($I10:AJ10,$I$2:AJ$2)</f>
        <v>0.11966130812161219</v>
      </c>
      <c r="AL10" s="3">
        <f>SLOPE($I10:AK10,$I$2:AK$2)*AL$2+INTERCEPT($I10:AK10,$I$2:AK$2)</f>
        <v>0.11995069465452951</v>
      </c>
      <c r="AM10" s="3">
        <f>SLOPE($I10:AL10,$I$2:AL$2)*AM$2+INTERCEPT($I10:AL10,$I$2:AL$2)</f>
        <v>0.12024008118744683</v>
      </c>
      <c r="AN10" s="3">
        <f>SLOPE($I10:AM10,$I$2:AM$2)*AN$2+INTERCEPT($I10:AM10,$I$2:AM$2)</f>
        <v>0.12052946772036416</v>
      </c>
      <c r="AO10" s="3">
        <f>SLOPE($I10:AN10,$I$2:AN$2)*AO$2+INTERCEPT($I10:AN10,$I$2:AN$2)</f>
        <v>0.12081885425328137</v>
      </c>
      <c r="AP10" s="3">
        <f>SLOPE($I10:AO10,$I$2:AO$2)*AP$2+INTERCEPT($I10:AO10,$I$2:AO$2)</f>
        <v>0.12110824078619875</v>
      </c>
      <c r="AQ10" s="3">
        <f>SLOPE($I10:AP10,$I$2:AP$2)*AQ$2+INTERCEPT($I10:AP10,$I$2:AP$2)</f>
        <v>0.12139762731911607</v>
      </c>
      <c r="AR10" s="3">
        <f>SLOPE($I10:AQ10,$I$2:AQ$2)*AR$2+INTERCEPT($I10:AQ10,$I$2:AQ$2)</f>
        <v>0.12168701385203329</v>
      </c>
      <c r="AS10" s="3">
        <f>SLOPE($I10:AR10,$I$2:AR$2)*AS$2+INTERCEPT($I10:AR10,$I$2:AR$2)</f>
        <v>0.12197640038495061</v>
      </c>
      <c r="AT10" s="3">
        <f>SLOPE($I10:AS10,$I$2:AS$2)*AT$2+INTERCEPT($I10:AS10,$I$2:AS$2)</f>
        <v>0.12226578691786794</v>
      </c>
      <c r="AU10" s="3">
        <f>SLOPE($I10:AT10,$I$2:AT$2)*AU$2+INTERCEPT($I10:AT10,$I$2:AT$2)</f>
        <v>0.12255517345078509</v>
      </c>
      <c r="AV10" s="3">
        <f>SLOPE($I10:AU10,$I$2:AU$2)*AV$2+INTERCEPT($I10:AU10,$I$2:AU$2)</f>
        <v>0.12284455998370247</v>
      </c>
      <c r="AW10" s="3">
        <f>SLOPE($I10:AV10,$I$2:AV$2)*AW$2+INTERCEPT($I10:AV10,$I$2:AV$2)</f>
        <v>0.1231339465166198</v>
      </c>
      <c r="AX10" s="3">
        <f>SLOPE($I10:AW10,$I$2:AW$2)*AX$2+INTERCEPT($I10:AW10,$I$2:AW$2)</f>
        <v>0.12342333304953701</v>
      </c>
      <c r="AY10" s="3">
        <f>SLOPE($I10:AX10,$I$2:AX$2)*AY$2+INTERCEPT($I10:AX10,$I$2:AX$2)</f>
        <v>0.12371271958245444</v>
      </c>
      <c r="AZ10" s="3">
        <f>SLOPE($I10:AY10,$I$2:AY$2)*AZ$2+INTERCEPT($I10:AY10,$I$2:AY$2)</f>
        <v>0.12400210611537166</v>
      </c>
      <c r="BA10" s="3">
        <f>SLOPE($I10:AZ10,$I$2:AZ$2)*BA$2+INTERCEPT($I10:AZ10,$I$2:AZ$2)</f>
        <v>0.12429149264828904</v>
      </c>
      <c r="BB10" s="3">
        <f>SLOPE($I10:BA10,$I$2:BA$2)*BB$2+INTERCEPT($I10:BA10,$I$2:BA$2)</f>
        <v>0.12458087918120636</v>
      </c>
      <c r="BC10" s="3">
        <f>SLOPE($I10:BB10,$I$2:BB$2)*BC$2+INTERCEPT($I10:BB10,$I$2:BB$2)</f>
        <v>0.12487026571412357</v>
      </c>
    </row>
    <row r="11" spans="1:55" x14ac:dyDescent="0.2">
      <c r="N11" s="32"/>
    </row>
    <row r="12" spans="1:55" x14ac:dyDescent="0.2">
      <c r="A12" t="s">
        <v>23</v>
      </c>
      <c r="B12" s="13">
        <f>SUM('2002'!$B25:$M25)</f>
        <v>0.16746415981446552</v>
      </c>
      <c r="C12" s="13">
        <f>SUM('2007'!$B25:$M25)</f>
        <v>0.16142339009231155</v>
      </c>
      <c r="D12" s="13">
        <f>SUM('2012'!$B25:$M25)</f>
        <v>0.13049730630944134</v>
      </c>
      <c r="E12" s="13">
        <f>SUM('2017'!$B25:$M25)</f>
        <v>0.10313877669824474</v>
      </c>
      <c r="F12" s="13">
        <f>SUM('2018'!$B25:$M25)</f>
        <v>8.9475434620045119E-2</v>
      </c>
      <c r="G12" s="13">
        <f>SUM('2020'!B25:M25)</f>
        <v>9.5124923543436435E-2</v>
      </c>
      <c r="I12" s="13">
        <f>B12</f>
        <v>0.16746415981446552</v>
      </c>
      <c r="J12" s="13">
        <f>C12</f>
        <v>0.16142339009231155</v>
      </c>
      <c r="K12" s="13">
        <f>D12</f>
        <v>0.13049730630944134</v>
      </c>
      <c r="L12" s="13">
        <f>E12</f>
        <v>0.10313877669824474</v>
      </c>
      <c r="M12" s="13">
        <f>F12</f>
        <v>8.9475434620045119E-2</v>
      </c>
      <c r="N12" s="32">
        <f t="shared" si="8"/>
        <v>9.2300179081740777E-2</v>
      </c>
      <c r="O12" s="13">
        <f>G12</f>
        <v>9.5124923543436435E-2</v>
      </c>
      <c r="P12" s="2">
        <f>P18/P4</f>
        <v>9.6080976104910176E-2</v>
      </c>
      <c r="Q12" s="2">
        <f t="shared" ref="O12:BC12" si="12">Q18/Q4</f>
        <v>9.4647455435676431E-2</v>
      </c>
      <c r="R12" s="2">
        <f t="shared" si="12"/>
        <v>9.3226823212483836E-2</v>
      </c>
      <c r="S12" s="2">
        <f t="shared" si="12"/>
        <v>9.1818906397737612E-2</v>
      </c>
      <c r="T12" s="2">
        <f t="shared" si="12"/>
        <v>9.0423535037596786E-2</v>
      </c>
      <c r="U12" s="2">
        <f t="shared" si="12"/>
        <v>8.9040542193586356E-2</v>
      </c>
      <c r="V12" s="2">
        <f t="shared" si="12"/>
        <v>8.7669763876015314E-2</v>
      </c>
      <c r="W12" s="2">
        <f t="shared" si="12"/>
        <v>8.6311038979154792E-2</v>
      </c>
      <c r="X12" s="2">
        <f t="shared" si="12"/>
        <v>8.4964209218120409E-2</v>
      </c>
      <c r="Y12" s="2">
        <f t="shared" si="12"/>
        <v>8.3629119067398922E-2</v>
      </c>
      <c r="Z12" s="2">
        <f t="shared" si="12"/>
        <v>8.2305615700981577E-2</v>
      </c>
      <c r="AA12" s="2">
        <f t="shared" si="12"/>
        <v>8.0993548934047935E-2</v>
      </c>
      <c r="AB12" s="2">
        <f t="shared" si="12"/>
        <v>7.9692771166149673E-2</v>
      </c>
      <c r="AC12" s="2">
        <f t="shared" si="12"/>
        <v>7.8403137325864666E-2</v>
      </c>
      <c r="AD12" s="2">
        <f t="shared" si="12"/>
        <v>7.7124504816857897E-2</v>
      </c>
      <c r="AE12" s="2">
        <f t="shared" si="12"/>
        <v>7.5856733465321499E-2</v>
      </c>
      <c r="AF12" s="2">
        <f t="shared" si="12"/>
        <v>7.4599685468748844E-2</v>
      </c>
      <c r="AG12" s="2">
        <f t="shared" si="12"/>
        <v>7.3353225346000972E-2</v>
      </c>
      <c r="AH12" s="2">
        <f t="shared" si="12"/>
        <v>7.211721988863147E-2</v>
      </c>
      <c r="AI12" s="2">
        <f t="shared" si="12"/>
        <v>7.0891538113429131E-2</v>
      </c>
      <c r="AJ12" s="2">
        <f t="shared" si="12"/>
        <v>6.9676051216146326E-2</v>
      </c>
      <c r="AK12" s="2">
        <f t="shared" si="12"/>
        <v>6.8470632526375863E-2</v>
      </c>
      <c r="AL12" s="2">
        <f t="shared" si="12"/>
        <v>6.7275157463546634E-2</v>
      </c>
      <c r="AM12" s="2">
        <f t="shared" si="12"/>
        <v>6.6089503494001625E-2</v>
      </c>
      <c r="AN12" s="2">
        <f t="shared" si="12"/>
        <v>6.4913550089129246E-2</v>
      </c>
      <c r="AO12" s="2">
        <f t="shared" si="12"/>
        <v>6.3747178684521594E-2</v>
      </c>
      <c r="AP12" s="2">
        <f t="shared" si="12"/>
        <v>6.2590272640122041E-2</v>
      </c>
      <c r="AQ12" s="2">
        <f t="shared" si="12"/>
        <v>6.1442717201344282E-2</v>
      </c>
      <c r="AR12" s="2">
        <f t="shared" si="12"/>
        <v>6.0304399461124647E-2</v>
      </c>
      <c r="AS12" s="2">
        <f t="shared" si="12"/>
        <v>5.9175208322892664E-2</v>
      </c>
      <c r="AT12" s="2">
        <f t="shared" si="12"/>
        <v>5.8055034464426086E-2</v>
      </c>
      <c r="AU12" s="2">
        <f t="shared" si="12"/>
        <v>5.6943770302567788E-2</v>
      </c>
      <c r="AV12" s="2">
        <f t="shared" si="12"/>
        <v>5.5841309958781629E-2</v>
      </c>
      <c r="AW12" s="2">
        <f t="shared" si="12"/>
        <v>5.474754922552566E-2</v>
      </c>
      <c r="AX12" s="2">
        <f t="shared" si="12"/>
        <v>5.3662385533416006E-2</v>
      </c>
      <c r="AY12" s="2">
        <f t="shared" si="12"/>
        <v>5.2585717919162819E-2</v>
      </c>
      <c r="AZ12" s="2">
        <f t="shared" si="12"/>
        <v>5.1517446994256692E-2</v>
      </c>
      <c r="BA12" s="2">
        <f t="shared" si="12"/>
        <v>5.0457474914384029E-2</v>
      </c>
      <c r="BB12" s="2">
        <f t="shared" si="12"/>
        <v>4.9405705349552347E-2</v>
      </c>
      <c r="BC12" s="2">
        <f t="shared" si="12"/>
        <v>4.8362043454908736E-2</v>
      </c>
    </row>
    <row r="13" spans="1:55" x14ac:dyDescent="0.2">
      <c r="A13" t="s">
        <v>24</v>
      </c>
      <c r="B13" s="13">
        <f>SUM('2002'!$B26:$M26)</f>
        <v>1.6676081286712836E-2</v>
      </c>
      <c r="C13" s="13">
        <f>SUM('2007'!$B26:$M26)</f>
        <v>1.6390427399059052E-2</v>
      </c>
      <c r="D13" s="13">
        <f>SUM('2012'!$B26:$M26)</f>
        <v>1.9486137806804867E-2</v>
      </c>
      <c r="E13" s="13">
        <f>SUM('2017'!$B26:$M26)</f>
        <v>1.7571433856512674E-2</v>
      </c>
      <c r="F13" s="13">
        <f>SUM('2018'!$B26:$M26)</f>
        <v>1.8596293823819218E-2</v>
      </c>
      <c r="G13" s="13">
        <f>SUM('2020'!B26:M26)</f>
        <v>1.778919349334487E-2</v>
      </c>
      <c r="I13" s="13">
        <f>B13</f>
        <v>1.6676081286712836E-2</v>
      </c>
      <c r="J13" s="13">
        <f>C13</f>
        <v>1.6390427399059052E-2</v>
      </c>
      <c r="K13" s="13">
        <f>D13</f>
        <v>1.9486137806804867E-2</v>
      </c>
      <c r="L13" s="13">
        <f>E13</f>
        <v>1.7571433856512674E-2</v>
      </c>
      <c r="M13" s="13">
        <f>F13</f>
        <v>1.8596293823819218E-2</v>
      </c>
      <c r="N13" s="32">
        <f t="shared" si="8"/>
        <v>1.8192743658582044E-2</v>
      </c>
      <c r="O13" s="13">
        <f>G13</f>
        <v>1.778919349334487E-2</v>
      </c>
      <c r="P13" s="2">
        <f>P19/P4</f>
        <v>1.6691215046037544E-2</v>
      </c>
      <c r="Q13" s="2">
        <f t="shared" ref="O13:BC13" si="13">Q19/Q4</f>
        <v>1.6658176197570422E-2</v>
      </c>
      <c r="R13" s="2">
        <f t="shared" si="13"/>
        <v>1.6625434393593028E-2</v>
      </c>
      <c r="S13" s="2">
        <f t="shared" si="13"/>
        <v>1.6592985646047893E-2</v>
      </c>
      <c r="T13" s="2">
        <f t="shared" si="13"/>
        <v>1.6560826037949825E-2</v>
      </c>
      <c r="U13" s="2">
        <f t="shared" si="13"/>
        <v>1.6528951721809841E-2</v>
      </c>
      <c r="V13" s="2">
        <f t="shared" si="13"/>
        <v>1.6497358918100585E-2</v>
      </c>
      <c r="W13" s="2">
        <f t="shared" si="13"/>
        <v>1.6466043913762451E-2</v>
      </c>
      <c r="X13" s="2">
        <f t="shared" si="13"/>
        <v>1.6435003060748708E-2</v>
      </c>
      <c r="Y13" s="2">
        <f t="shared" si="13"/>
        <v>1.6404232774608934E-2</v>
      </c>
      <c r="Z13" s="2">
        <f t="shared" si="13"/>
        <v>1.6373729533108998E-2</v>
      </c>
      <c r="AA13" s="2">
        <f t="shared" si="13"/>
        <v>1.6343489874887207E-2</v>
      </c>
      <c r="AB13" s="2">
        <f t="shared" si="13"/>
        <v>1.6313510398144854E-2</v>
      </c>
      <c r="AC13" s="2">
        <f t="shared" si="13"/>
        <v>1.6283787759370474E-2</v>
      </c>
      <c r="AD13" s="2">
        <f t="shared" si="13"/>
        <v>1.6254318672096812E-2</v>
      </c>
      <c r="AE13" s="2">
        <f t="shared" si="13"/>
        <v>1.6225099905689537E-2</v>
      </c>
      <c r="AF13" s="2">
        <f t="shared" si="13"/>
        <v>1.6196128284166399E-2</v>
      </c>
      <c r="AG13" s="2">
        <f t="shared" si="13"/>
        <v>1.6167400685046525E-2</v>
      </c>
      <c r="AH13" s="2">
        <f t="shared" si="13"/>
        <v>1.6138914038228667E-2</v>
      </c>
      <c r="AI13" s="2">
        <f t="shared" si="13"/>
        <v>1.6110665324897258E-2</v>
      </c>
      <c r="AJ13" s="2">
        <f t="shared" si="13"/>
        <v>1.608265157645614E-2</v>
      </c>
      <c r="AK13" s="2">
        <f t="shared" si="13"/>
        <v>1.6054869873488375E-2</v>
      </c>
      <c r="AL13" s="2">
        <f t="shared" si="13"/>
        <v>1.6027317344742383E-2</v>
      </c>
      <c r="AM13" s="2">
        <f t="shared" si="13"/>
        <v>1.5999991166142424E-2</v>
      </c>
      <c r="AN13" s="2">
        <f t="shared" si="13"/>
        <v>1.5972888559823692E-2</v>
      </c>
      <c r="AO13" s="2">
        <f t="shared" si="13"/>
        <v>1.5946006793191192E-2</v>
      </c>
      <c r="AP13" s="2">
        <f t="shared" si="13"/>
        <v>1.591934317800103E-2</v>
      </c>
      <c r="AQ13" s="2">
        <f t="shared" si="13"/>
        <v>1.589289506946439E-2</v>
      </c>
      <c r="AR13" s="2">
        <f t="shared" si="13"/>
        <v>1.5866659865373001E-2</v>
      </c>
      <c r="AS13" s="2">
        <f t="shared" si="13"/>
        <v>1.584063500524566E-2</v>
      </c>
      <c r="AT13" s="2">
        <f t="shared" si="13"/>
        <v>1.5814817969495149E-2</v>
      </c>
      <c r="AU13" s="2">
        <f t="shared" si="13"/>
        <v>1.5789206278615107E-2</v>
      </c>
      <c r="AV13" s="2">
        <f t="shared" si="13"/>
        <v>1.5763797492386131E-2</v>
      </c>
      <c r="AW13" s="2">
        <f t="shared" si="13"/>
        <v>1.573858920910088E-2</v>
      </c>
      <c r="AX13" s="2">
        <f t="shared" si="13"/>
        <v>1.5713579064807078E-2</v>
      </c>
      <c r="AY13" s="2">
        <f t="shared" si="13"/>
        <v>1.5688764732568868E-2</v>
      </c>
      <c r="AZ13" s="2">
        <f t="shared" si="13"/>
        <v>1.5664143921744637E-2</v>
      </c>
      <c r="BA13" s="2">
        <f t="shared" si="13"/>
        <v>1.5639714377282621E-2</v>
      </c>
      <c r="BB13" s="2">
        <f t="shared" si="13"/>
        <v>1.5615473879031991E-2</v>
      </c>
      <c r="BC13" s="2">
        <f t="shared" si="13"/>
        <v>1.55914202410705E-2</v>
      </c>
    </row>
    <row r="14" spans="1:55" x14ac:dyDescent="0.2">
      <c r="N14" s="31"/>
    </row>
    <row r="15" spans="1:55" x14ac:dyDescent="0.2">
      <c r="A15" t="s">
        <v>38</v>
      </c>
      <c r="B15" s="13">
        <f>B8*B12</f>
        <v>9.3129661147095241E-2</v>
      </c>
      <c r="C15" s="13">
        <f t="shared" ref="C15:F15" si="14">C8*C12</f>
        <v>8.8881013288692315E-2</v>
      </c>
      <c r="D15" s="13">
        <f t="shared" si="14"/>
        <v>7.4047146728207197E-2</v>
      </c>
      <c r="E15" s="13">
        <f t="shared" si="14"/>
        <v>6.070093920376067E-2</v>
      </c>
      <c r="F15" s="13">
        <f>F8*F12</f>
        <v>5.3901899219242509E-2</v>
      </c>
      <c r="G15" s="13">
        <f>G8*G12</f>
        <v>5.6072911089677477E-2</v>
      </c>
      <c r="I15" s="13">
        <f>I8*I12</f>
        <v>9.3129661147095241E-2</v>
      </c>
      <c r="J15" s="13">
        <f t="shared" ref="J15:L15" si="15">J8*J12</f>
        <v>8.8881013288692315E-2</v>
      </c>
      <c r="K15" s="13">
        <f t="shared" si="15"/>
        <v>7.4047146728207197E-2</v>
      </c>
      <c r="L15" s="13">
        <f t="shared" si="15"/>
        <v>6.070093920376067E-2</v>
      </c>
      <c r="M15" s="13">
        <f>M8*M12</f>
        <v>5.3901899219242509E-2</v>
      </c>
      <c r="N15" s="32">
        <f>N8*N12</f>
        <v>5.5005702684290871E-2</v>
      </c>
      <c r="O15" s="13">
        <f>O8*O12</f>
        <v>5.6072911089677477E-2</v>
      </c>
      <c r="P15" s="2">
        <f t="shared" ref="N15:W15" si="16">P8*P12</f>
        <v>5.7535568282824398E-2</v>
      </c>
      <c r="Q15" s="2">
        <f t="shared" si="16"/>
        <v>5.6934238994023341E-2</v>
      </c>
      <c r="R15" s="2">
        <f t="shared" si="16"/>
        <v>5.6332909705222263E-2</v>
      </c>
      <c r="S15" s="2">
        <f t="shared" si="16"/>
        <v>5.5731580416421365E-2</v>
      </c>
      <c r="T15" s="2">
        <f t="shared" si="16"/>
        <v>5.5130251127620121E-2</v>
      </c>
      <c r="U15" s="2">
        <f t="shared" si="16"/>
        <v>5.452892183881905E-2</v>
      </c>
      <c r="V15" s="2">
        <f t="shared" si="16"/>
        <v>5.3927592550018159E-2</v>
      </c>
      <c r="W15" s="2">
        <f t="shared" si="16"/>
        <v>5.3326263261216908E-2</v>
      </c>
      <c r="X15" s="2">
        <f t="shared" ref="X15:BC15" si="17">X8*X12</f>
        <v>5.2724933972416017E-2</v>
      </c>
      <c r="Y15" s="2">
        <f t="shared" si="17"/>
        <v>5.2123604683614939E-2</v>
      </c>
      <c r="Z15" s="2">
        <f t="shared" si="17"/>
        <v>5.1522275394813695E-2</v>
      </c>
      <c r="AA15" s="2">
        <f t="shared" si="17"/>
        <v>5.0920946106012978E-2</v>
      </c>
      <c r="AB15" s="2">
        <f t="shared" si="17"/>
        <v>5.0319616817211733E-2</v>
      </c>
      <c r="AC15" s="2">
        <f t="shared" si="17"/>
        <v>4.9718287528410669E-2</v>
      </c>
      <c r="AD15" s="2">
        <f t="shared" si="17"/>
        <v>4.9116958239609765E-2</v>
      </c>
      <c r="AE15" s="2">
        <f t="shared" si="17"/>
        <v>4.8515628950808694E-2</v>
      </c>
      <c r="AF15" s="2">
        <f t="shared" si="17"/>
        <v>4.791429966200763E-2</v>
      </c>
      <c r="AG15" s="2">
        <f t="shared" si="17"/>
        <v>4.7312970373206552E-2</v>
      </c>
      <c r="AH15" s="2">
        <f t="shared" si="17"/>
        <v>4.6711641084405474E-2</v>
      </c>
      <c r="AI15" s="2">
        <f t="shared" si="17"/>
        <v>4.6110311795604417E-2</v>
      </c>
      <c r="AJ15" s="2">
        <f t="shared" si="17"/>
        <v>4.5508982506803339E-2</v>
      </c>
      <c r="AK15" s="2">
        <f t="shared" si="17"/>
        <v>4.4907653218002275E-2</v>
      </c>
      <c r="AL15" s="2">
        <f t="shared" si="17"/>
        <v>4.4306323929201204E-2</v>
      </c>
      <c r="AM15" s="2">
        <f t="shared" si="17"/>
        <v>4.3704994640400306E-2</v>
      </c>
      <c r="AN15" s="2">
        <f t="shared" si="17"/>
        <v>4.3103665351599235E-2</v>
      </c>
      <c r="AO15" s="2">
        <f t="shared" si="17"/>
        <v>4.2502336062798171E-2</v>
      </c>
      <c r="AP15" s="2">
        <f t="shared" si="17"/>
        <v>4.190100677399692E-2</v>
      </c>
      <c r="AQ15" s="2">
        <f t="shared" si="17"/>
        <v>4.1299677485196015E-2</v>
      </c>
      <c r="AR15" s="2">
        <f t="shared" si="17"/>
        <v>4.0698348196394944E-2</v>
      </c>
      <c r="AS15" s="2">
        <f t="shared" si="17"/>
        <v>4.00970189075937E-2</v>
      </c>
      <c r="AT15" s="2">
        <f t="shared" si="17"/>
        <v>3.9495689618792629E-2</v>
      </c>
      <c r="AU15" s="2">
        <f t="shared" si="17"/>
        <v>3.8894360329991731E-2</v>
      </c>
      <c r="AV15" s="2">
        <f t="shared" si="17"/>
        <v>3.8293031041190848E-2</v>
      </c>
      <c r="AW15" s="2">
        <f t="shared" si="17"/>
        <v>3.769170175238977E-2</v>
      </c>
      <c r="AX15" s="2">
        <f t="shared" si="17"/>
        <v>3.7090372463588706E-2</v>
      </c>
      <c r="AY15" s="2">
        <f t="shared" si="17"/>
        <v>3.6489043174787454E-2</v>
      </c>
      <c r="AZ15" s="2">
        <f t="shared" si="17"/>
        <v>3.5887713885986383E-2</v>
      </c>
      <c r="BA15" s="2">
        <f t="shared" si="17"/>
        <v>3.5286384597185486E-2</v>
      </c>
      <c r="BB15" s="2">
        <f t="shared" si="17"/>
        <v>3.4685055308384422E-2</v>
      </c>
      <c r="BC15" s="2">
        <f t="shared" si="17"/>
        <v>3.4083726019583344E-2</v>
      </c>
    </row>
    <row r="16" spans="1:55" x14ac:dyDescent="0.2">
      <c r="A16" t="s">
        <v>39</v>
      </c>
      <c r="B16" s="13">
        <f>B8*B13</f>
        <v>9.273851797385194E-3</v>
      </c>
      <c r="C16" s="13">
        <f t="shared" ref="C16:F16" si="18">C8*C13</f>
        <v>9.0247007861130289E-3</v>
      </c>
      <c r="D16" s="13">
        <f t="shared" si="18"/>
        <v>1.1056878844112614E-2</v>
      </c>
      <c r="E16" s="13">
        <f t="shared" si="18"/>
        <v>1.0341430957317431E-2</v>
      </c>
      <c r="F16" s="13">
        <f t="shared" si="18"/>
        <v>1.1202801749994114E-2</v>
      </c>
      <c r="G16" s="13">
        <f t="shared" ref="G16" si="19">G8*G13</f>
        <v>1.0486125275611035E-2</v>
      </c>
      <c r="I16" s="13">
        <f>I8*I13</f>
        <v>9.273851797385194E-3</v>
      </c>
      <c r="J16" s="13">
        <f t="shared" ref="J16:M16" si="20">J8*J13</f>
        <v>9.0247007861130289E-3</v>
      </c>
      <c r="K16" s="13">
        <f t="shared" si="20"/>
        <v>1.1056878844112614E-2</v>
      </c>
      <c r="L16" s="13">
        <f t="shared" si="20"/>
        <v>1.0341430957317431E-2</v>
      </c>
      <c r="M16" s="13">
        <f>M8*M13</f>
        <v>1.1202801749994114E-2</v>
      </c>
      <c r="N16" s="32">
        <f>N8*N13</f>
        <v>1.0841849481237309E-2</v>
      </c>
      <c r="O16" s="13">
        <f>O8*O13</f>
        <v>1.0486125275611035E-2</v>
      </c>
      <c r="P16" s="2">
        <f t="shared" ref="N16:W16" si="21">P8*P13</f>
        <v>9.9950956155567348E-3</v>
      </c>
      <c r="Q16" s="2">
        <f t="shared" si="21"/>
        <v>1.0020560832526382E-2</v>
      </c>
      <c r="R16" s="2">
        <f t="shared" si="21"/>
        <v>1.0046026049496018E-2</v>
      </c>
      <c r="S16" s="2">
        <f t="shared" si="21"/>
        <v>1.0071491266465674E-2</v>
      </c>
      <c r="T16" s="2">
        <f t="shared" si="21"/>
        <v>1.0096956483435324E-2</v>
      </c>
      <c r="U16" s="2">
        <f t="shared" si="21"/>
        <v>1.0122421700404964E-2</v>
      </c>
      <c r="V16" s="2">
        <f t="shared" si="21"/>
        <v>1.0147886917374607E-2</v>
      </c>
      <c r="W16" s="2">
        <f t="shared" si="21"/>
        <v>1.0173352134344258E-2</v>
      </c>
      <c r="X16" s="2">
        <f t="shared" ref="X16:BC16" si="22">X8*X13</f>
        <v>1.0198817351313899E-2</v>
      </c>
      <c r="Y16" s="2">
        <f t="shared" si="22"/>
        <v>1.0224282568283546E-2</v>
      </c>
      <c r="Z16" s="2">
        <f t="shared" si="22"/>
        <v>1.0249747785253189E-2</v>
      </c>
      <c r="AA16" s="2">
        <f t="shared" si="22"/>
        <v>1.0275213002222828E-2</v>
      </c>
      <c r="AB16" s="2">
        <f t="shared" si="22"/>
        <v>1.0300678219192477E-2</v>
      </c>
      <c r="AC16" s="2">
        <f t="shared" si="22"/>
        <v>1.0326143436162127E-2</v>
      </c>
      <c r="AD16" s="2">
        <f t="shared" si="22"/>
        <v>1.035160865313176E-2</v>
      </c>
      <c r="AE16" s="2">
        <f t="shared" si="22"/>
        <v>1.0377073870101406E-2</v>
      </c>
      <c r="AF16" s="2">
        <f t="shared" si="22"/>
        <v>1.0402539087071052E-2</v>
      </c>
      <c r="AG16" s="2">
        <f t="shared" si="22"/>
        <v>1.0428004304040702E-2</v>
      </c>
      <c r="AH16" s="2">
        <f t="shared" si="22"/>
        <v>1.0453469521010349E-2</v>
      </c>
      <c r="AI16" s="2">
        <f t="shared" si="22"/>
        <v>1.0478934737979992E-2</v>
      </c>
      <c r="AJ16" s="2">
        <f t="shared" si="22"/>
        <v>1.0504399954949631E-2</v>
      </c>
      <c r="AK16" s="2">
        <f t="shared" si="22"/>
        <v>1.0529865171919272E-2</v>
      </c>
      <c r="AL16" s="2">
        <f t="shared" si="22"/>
        <v>1.0555330388888919E-2</v>
      </c>
      <c r="AM16" s="2">
        <f t="shared" si="22"/>
        <v>1.0580795605858567E-2</v>
      </c>
      <c r="AN16" s="2">
        <f t="shared" si="22"/>
        <v>1.0606260822828211E-2</v>
      </c>
      <c r="AO16" s="2">
        <f t="shared" si="22"/>
        <v>1.063172603979785E-2</v>
      </c>
      <c r="AP16" s="2">
        <f t="shared" si="22"/>
        <v>1.0657191256767501E-2</v>
      </c>
      <c r="AQ16" s="2">
        <f t="shared" si="22"/>
        <v>1.0682656473737147E-2</v>
      </c>
      <c r="AR16" s="2">
        <f t="shared" si="22"/>
        <v>1.0708121690706784E-2</v>
      </c>
      <c r="AS16" s="2">
        <f t="shared" si="22"/>
        <v>1.0733586907676429E-2</v>
      </c>
      <c r="AT16" s="2">
        <f t="shared" si="22"/>
        <v>1.0759052124646076E-2</v>
      </c>
      <c r="AU16" s="2">
        <f t="shared" si="22"/>
        <v>1.0784517341615707E-2</v>
      </c>
      <c r="AV16" s="2">
        <f t="shared" si="22"/>
        <v>1.0809982558585363E-2</v>
      </c>
      <c r="AW16" s="2">
        <f t="shared" si="22"/>
        <v>1.0835447775555007E-2</v>
      </c>
      <c r="AX16" s="2">
        <f t="shared" si="22"/>
        <v>1.0860912992524643E-2</v>
      </c>
      <c r="AY16" s="2">
        <f t="shared" si="22"/>
        <v>1.0886378209494302E-2</v>
      </c>
      <c r="AZ16" s="2">
        <f t="shared" si="22"/>
        <v>1.0911843426463938E-2</v>
      </c>
      <c r="BA16" s="2">
        <f t="shared" si="22"/>
        <v>1.0937308643433589E-2</v>
      </c>
      <c r="BB16" s="2">
        <f t="shared" si="22"/>
        <v>1.0962773860403235E-2</v>
      </c>
      <c r="BC16" s="2">
        <f t="shared" si="22"/>
        <v>1.0988239077372871E-2</v>
      </c>
    </row>
    <row r="17" spans="1:55" x14ac:dyDescent="0.2">
      <c r="N17" s="31"/>
    </row>
    <row r="18" spans="1:55" s="1" customFormat="1" x14ac:dyDescent="0.2">
      <c r="A18" s="1" t="s">
        <v>43</v>
      </c>
      <c r="B18" s="14">
        <f>B4*B12</f>
        <v>2313.9314305365701</v>
      </c>
      <c r="C18" s="14">
        <f>C4*C12</f>
        <v>3786.0297745741068</v>
      </c>
      <c r="D18" s="14">
        <f>D4*D12</f>
        <v>6084.5032627188202</v>
      </c>
      <c r="E18" s="14">
        <f>E4*E12</f>
        <v>6050.3086151558391</v>
      </c>
      <c r="F18" s="14">
        <f>F4*F12</f>
        <v>5383.0431043960207</v>
      </c>
      <c r="G18" s="14">
        <f>G4*G12</f>
        <v>6733.795102131322</v>
      </c>
      <c r="I18" s="14">
        <f>I4*I12</f>
        <v>595.10261048180155</v>
      </c>
      <c r="J18" s="14">
        <f>J4*J12</f>
        <v>762.6090976384877</v>
      </c>
      <c r="K18" s="14">
        <f>K4*K12</f>
        <v>963.86415767953599</v>
      </c>
      <c r="L18" s="14">
        <f>L4*L12</f>
        <v>878.53193190877801</v>
      </c>
      <c r="M18" s="14">
        <f>M4*M12</f>
        <v>755.21149232865491</v>
      </c>
      <c r="N18" s="30">
        <f>N4*N12</f>
        <v>839.22014530866693</v>
      </c>
      <c r="O18" s="14">
        <f>O4*O12</f>
        <v>926.91146124222746</v>
      </c>
      <c r="P18" s="1">
        <f>P5*P28</f>
        <v>924.62993706692282</v>
      </c>
      <c r="Q18" s="1">
        <f t="shared" ref="O18:BC18" si="23">Q5*Q28</f>
        <v>936.09453036062393</v>
      </c>
      <c r="R18" s="1">
        <f t="shared" si="23"/>
        <v>947.11281689819532</v>
      </c>
      <c r="S18" s="1">
        <f t="shared" si="23"/>
        <v>957.68479667962708</v>
      </c>
      <c r="T18" s="1">
        <f t="shared" si="23"/>
        <v>967.81046970491025</v>
      </c>
      <c r="U18" s="1">
        <f t="shared" si="23"/>
        <v>977.48983597407312</v>
      </c>
      <c r="V18" s="1">
        <f t="shared" si="23"/>
        <v>986.72289548709682</v>
      </c>
      <c r="W18" s="1">
        <f t="shared" si="23"/>
        <v>995.50964824397784</v>
      </c>
      <c r="X18" s="1">
        <f t="shared" si="23"/>
        <v>1003.8500942447356</v>
      </c>
      <c r="Y18" s="1">
        <f t="shared" si="23"/>
        <v>1011.7442334893416</v>
      </c>
      <c r="Z18" s="1">
        <f t="shared" si="23"/>
        <v>1019.1920659778201</v>
      </c>
      <c r="AA18" s="1">
        <f t="shared" si="23"/>
        <v>1026.1935917101671</v>
      </c>
      <c r="AB18" s="1">
        <f t="shared" si="23"/>
        <v>1032.7488106863732</v>
      </c>
      <c r="AC18" s="1">
        <f t="shared" si="23"/>
        <v>1038.8577229064349</v>
      </c>
      <c r="AD18" s="1">
        <f t="shared" si="23"/>
        <v>1044.5203283703702</v>
      </c>
      <c r="AE18" s="1">
        <f t="shared" si="23"/>
        <v>1049.7366270781713</v>
      </c>
      <c r="AF18" s="1">
        <f t="shared" si="23"/>
        <v>1054.5066190298307</v>
      </c>
      <c r="AG18" s="1">
        <f t="shared" si="23"/>
        <v>1058.8303042253594</v>
      </c>
      <c r="AH18" s="1">
        <f t="shared" si="23"/>
        <v>1062.7076826647465</v>
      </c>
      <c r="AI18" s="1">
        <f t="shared" si="23"/>
        <v>1066.1387543479975</v>
      </c>
      <c r="AJ18" s="1">
        <f t="shared" si="23"/>
        <v>1069.1235192751124</v>
      </c>
      <c r="AK18" s="1">
        <f t="shared" si="23"/>
        <v>1071.6619774460964</v>
      </c>
      <c r="AL18" s="1">
        <f t="shared" si="23"/>
        <v>1073.7541288609391</v>
      </c>
      <c r="AM18" s="1">
        <f t="shared" si="23"/>
        <v>1075.3999735196548</v>
      </c>
      <c r="AN18" s="1">
        <f t="shared" si="23"/>
        <v>1076.5995114222201</v>
      </c>
      <c r="AO18" s="1">
        <f t="shared" si="23"/>
        <v>1077.3527425686596</v>
      </c>
      <c r="AP18" s="1">
        <f t="shared" si="23"/>
        <v>1077.659666958953</v>
      </c>
      <c r="AQ18" s="1">
        <f t="shared" si="23"/>
        <v>1077.5202845931196</v>
      </c>
      <c r="AR18" s="1">
        <f t="shared" si="23"/>
        <v>1076.9345954711455</v>
      </c>
      <c r="AS18" s="1">
        <f t="shared" si="23"/>
        <v>1075.9025995930353</v>
      </c>
      <c r="AT18" s="1">
        <f t="shared" si="23"/>
        <v>1074.424296958789</v>
      </c>
      <c r="AU18" s="1">
        <f t="shared" si="23"/>
        <v>1072.4996875684112</v>
      </c>
      <c r="AV18" s="1">
        <f t="shared" si="23"/>
        <v>1070.1287714218977</v>
      </c>
      <c r="AW18" s="1">
        <f t="shared" si="23"/>
        <v>1067.3115485192475</v>
      </c>
      <c r="AX18" s="1">
        <f t="shared" si="23"/>
        <v>1064.0480188604611</v>
      </c>
      <c r="AY18" s="1">
        <f t="shared" si="23"/>
        <v>1060.3381824455248</v>
      </c>
      <c r="AZ18" s="1">
        <f t="shared" si="23"/>
        <v>1056.1820392744617</v>
      </c>
      <c r="BA18" s="1">
        <f t="shared" si="23"/>
        <v>1051.5795893472718</v>
      </c>
      <c r="BB18" s="1">
        <f t="shared" si="23"/>
        <v>1046.5308326639367</v>
      </c>
      <c r="BC18" s="1">
        <f t="shared" si="23"/>
        <v>1041.0357692244654</v>
      </c>
    </row>
    <row r="19" spans="1:55" s="1" customFormat="1" x14ac:dyDescent="0.2">
      <c r="A19" s="1" t="s">
        <v>37</v>
      </c>
      <c r="B19" s="14">
        <f>B4*B13</f>
        <v>230.42129534020091</v>
      </c>
      <c r="C19" s="14">
        <f t="shared" ref="C19:F19" si="24">C4*C13</f>
        <v>384.421651133372</v>
      </c>
      <c r="D19" s="14">
        <f t="shared" si="24"/>
        <v>908.55108366872719</v>
      </c>
      <c r="E19" s="14">
        <f t="shared" si="24"/>
        <v>1030.7723345773297</v>
      </c>
      <c r="F19" s="14">
        <f t="shared" si="24"/>
        <v>1118.7948028497865</v>
      </c>
      <c r="G19" s="14">
        <f t="shared" ref="G19" si="25">G4*G13</f>
        <v>1259.2786364937629</v>
      </c>
      <c r="I19" s="14">
        <f>I4*I13</f>
        <v>59.260318848668042</v>
      </c>
      <c r="J19" s="14">
        <f t="shared" ref="J19:N19" si="26">J4*J13</f>
        <v>77.432948481366992</v>
      </c>
      <c r="K19" s="14">
        <f t="shared" si="26"/>
        <v>143.92626434025081</v>
      </c>
      <c r="L19" s="14">
        <f t="shared" si="26"/>
        <v>149.6727634993571</v>
      </c>
      <c r="M19" s="14">
        <f t="shared" si="26"/>
        <v>156.96078895963655</v>
      </c>
      <c r="N19" s="30">
        <f t="shared" si="26"/>
        <v>165.41373081408113</v>
      </c>
      <c r="O19" s="14">
        <f>O4*O16</f>
        <v>102.17837071424731</v>
      </c>
      <c r="P19" s="1">
        <f>P6*P30</f>
        <v>160.62698094091763</v>
      </c>
      <c r="Q19" s="1">
        <f t="shared" ref="O19:BC19" si="27">Q6*Q30</f>
        <v>164.75485318173006</v>
      </c>
      <c r="R19" s="1">
        <f t="shared" si="27"/>
        <v>168.90162571326888</v>
      </c>
      <c r="S19" s="1">
        <f t="shared" si="27"/>
        <v>173.06729853553225</v>
      </c>
      <c r="T19" s="1">
        <f t="shared" si="27"/>
        <v>177.25187164851965</v>
      </c>
      <c r="U19" s="1">
        <f t="shared" si="27"/>
        <v>181.45534505223469</v>
      </c>
      <c r="V19" s="1">
        <f t="shared" si="27"/>
        <v>185.67771874667395</v>
      </c>
      <c r="W19" s="1">
        <f t="shared" si="27"/>
        <v>189.91899273183873</v>
      </c>
      <c r="X19" s="1">
        <f t="shared" si="27"/>
        <v>194.17916700772992</v>
      </c>
      <c r="Y19" s="1">
        <f t="shared" si="27"/>
        <v>198.45824157434419</v>
      </c>
      <c r="Z19" s="1">
        <f t="shared" si="27"/>
        <v>202.75621643168614</v>
      </c>
      <c r="AA19" s="1">
        <f t="shared" si="27"/>
        <v>207.07309157975223</v>
      </c>
      <c r="AB19" s="1">
        <f t="shared" si="27"/>
        <v>211.40886701854507</v>
      </c>
      <c r="AC19" s="1">
        <f t="shared" si="27"/>
        <v>215.7635427480609</v>
      </c>
      <c r="AD19" s="1">
        <f t="shared" si="27"/>
        <v>220.13711876830297</v>
      </c>
      <c r="AE19" s="1">
        <f t="shared" si="27"/>
        <v>224.5295950792719</v>
      </c>
      <c r="AF19" s="1">
        <f t="shared" si="27"/>
        <v>228.94097168096499</v>
      </c>
      <c r="AG19" s="1">
        <f t="shared" si="27"/>
        <v>233.37124857338472</v>
      </c>
      <c r="AH19" s="1">
        <f t="shared" si="27"/>
        <v>237.82042575652866</v>
      </c>
      <c r="AI19" s="1">
        <f t="shared" si="27"/>
        <v>242.28850323039779</v>
      </c>
      <c r="AJ19" s="1">
        <f t="shared" si="27"/>
        <v>246.77548099499219</v>
      </c>
      <c r="AK19" s="1">
        <f t="shared" si="27"/>
        <v>251.28135905031331</v>
      </c>
      <c r="AL19" s="1">
        <f t="shared" si="27"/>
        <v>255.80613739635871</v>
      </c>
      <c r="AM19" s="1">
        <f t="shared" si="27"/>
        <v>260.34981603313071</v>
      </c>
      <c r="AN19" s="1">
        <f t="shared" si="27"/>
        <v>264.91239496062553</v>
      </c>
      <c r="AO19" s="1">
        <f t="shared" si="27"/>
        <v>269.49387417884805</v>
      </c>
      <c r="AP19" s="1">
        <f t="shared" si="27"/>
        <v>274.09425368779506</v>
      </c>
      <c r="AQ19" s="1">
        <f t="shared" si="27"/>
        <v>278.71353348746737</v>
      </c>
      <c r="AR19" s="1">
        <f t="shared" si="27"/>
        <v>283.35171357786476</v>
      </c>
      <c r="AS19" s="1">
        <f t="shared" si="27"/>
        <v>288.00879395898897</v>
      </c>
      <c r="AT19" s="1">
        <f t="shared" si="27"/>
        <v>292.68477463083741</v>
      </c>
      <c r="AU19" s="1">
        <f t="shared" si="27"/>
        <v>297.37965559341075</v>
      </c>
      <c r="AV19" s="1">
        <f t="shared" si="27"/>
        <v>302.09343684671012</v>
      </c>
      <c r="AW19" s="1">
        <f t="shared" si="27"/>
        <v>306.82611839073587</v>
      </c>
      <c r="AX19" s="1">
        <f t="shared" si="27"/>
        <v>311.57770022548675</v>
      </c>
      <c r="AY19" s="1">
        <f t="shared" si="27"/>
        <v>316.34818235096111</v>
      </c>
      <c r="AZ19" s="1">
        <f t="shared" si="27"/>
        <v>321.13756476716145</v>
      </c>
      <c r="BA19" s="1">
        <f t="shared" si="27"/>
        <v>325.94584747408891</v>
      </c>
      <c r="BB19" s="1">
        <f t="shared" si="27"/>
        <v>330.77303047174036</v>
      </c>
      <c r="BC19" s="1">
        <f t="shared" si="27"/>
        <v>335.61911376011682</v>
      </c>
    </row>
    <row r="20" spans="1:55" x14ac:dyDescent="0.2">
      <c r="N20" s="31"/>
    </row>
    <row r="21" spans="1:55" x14ac:dyDescent="0.2">
      <c r="N21" s="31"/>
    </row>
    <row r="22" spans="1:55" x14ac:dyDescent="0.2">
      <c r="A22" t="s">
        <v>40</v>
      </c>
      <c r="B22" s="13">
        <f>B5/SUM(B4:B6)+B18/SUM(B4:B6)</f>
        <v>0.42123642144726303</v>
      </c>
      <c r="C22" s="13">
        <f>C5/SUM(C4:C6)+C18/SUM(C4:C6)</f>
        <v>0.43765105534185322</v>
      </c>
      <c r="D22" s="13">
        <f>D5/SUM(D4:D6)+D18/SUM(D4:D6)</f>
        <v>0.4024900788795075</v>
      </c>
      <c r="E22" s="13">
        <f>E5/SUM(E4:E6)+E18/SUM(E4:E6)</f>
        <v>0.35560237438294778</v>
      </c>
      <c r="F22" s="13">
        <f>F5/SUM(F4:F6)+F18/SUM(F4:F6)</f>
        <v>0.32953436836612154</v>
      </c>
      <c r="G22" s="13">
        <f>G5/SUM(G4:G6)+G18/SUM(G4:G6)</f>
        <v>0.35992204577427067</v>
      </c>
      <c r="I22" s="13">
        <f>I5/SUM(I4:I6)+I18/SUM(I4:I6)</f>
        <v>0.42123642144726314</v>
      </c>
      <c r="J22" s="13">
        <f>J5/SUM(J4:J6)+J18/SUM(J4:J6)</f>
        <v>0.43765105534185322</v>
      </c>
      <c r="K22" s="13">
        <f>K5/SUM(K4:K6)+K18/SUM(K4:K6)</f>
        <v>0.4024900788795075</v>
      </c>
      <c r="L22" s="13">
        <f>L5/SUM(L4:L6)+L18/SUM(L4:L6)</f>
        <v>0.35560237438294778</v>
      </c>
      <c r="M22" s="13">
        <f>M5/SUM(M4:M6)+M18/SUM(M4:M6)</f>
        <v>0.32953436836612154</v>
      </c>
      <c r="N22" s="32">
        <f>N5/SUM(N4:N6)+N18/SUM(N4:N6)</f>
        <v>0.34586109811777555</v>
      </c>
      <c r="O22" s="13">
        <f>O5/SUM(O4:O6)+O18/SUM(O4:O6)</f>
        <v>0.35992204577427067</v>
      </c>
      <c r="P22" s="2">
        <f>P5/SUM(P4:P6)+P18/SUM(P4:P6)</f>
        <v>0.34512764954186581</v>
      </c>
      <c r="Q22" s="2">
        <f t="shared" ref="N22:R22" si="28">Q5/SUM(Q4:Q6)+Q18/SUM(Q4:Q6)</f>
        <v>0.34152057012580056</v>
      </c>
      <c r="R22" s="2">
        <f t="shared" si="28"/>
        <v>0.3379134907097352</v>
      </c>
      <c r="S22" s="2">
        <f t="shared" ref="S22:BC22" si="29">S5/SUM(S4:S6)+S18/SUM(S4:S6)</f>
        <v>0.33430641129367067</v>
      </c>
      <c r="T22" s="2">
        <f t="shared" si="29"/>
        <v>0.33069933187760459</v>
      </c>
      <c r="U22" s="2">
        <f t="shared" si="29"/>
        <v>0.3270922524615395</v>
      </c>
      <c r="V22" s="2">
        <f t="shared" si="29"/>
        <v>0.32348517304547497</v>
      </c>
      <c r="W22" s="2">
        <f t="shared" si="29"/>
        <v>0.31987809362940878</v>
      </c>
      <c r="X22" s="2">
        <f t="shared" si="29"/>
        <v>0.3162710142133443</v>
      </c>
      <c r="Y22" s="2">
        <f t="shared" si="29"/>
        <v>0.31266393479727927</v>
      </c>
      <c r="Z22" s="2">
        <f t="shared" si="29"/>
        <v>0.30905685538121308</v>
      </c>
      <c r="AA22" s="2">
        <f t="shared" si="29"/>
        <v>0.30544977596514938</v>
      </c>
      <c r="AB22" s="2">
        <f t="shared" si="29"/>
        <v>0.3018426965490833</v>
      </c>
      <c r="AC22" s="2">
        <f t="shared" si="29"/>
        <v>0.29823561713301794</v>
      </c>
      <c r="AD22" s="2">
        <f t="shared" si="29"/>
        <v>0.29462853771695346</v>
      </c>
      <c r="AE22" s="2">
        <f t="shared" si="29"/>
        <v>0.29102145830088838</v>
      </c>
      <c r="AF22" s="2">
        <f t="shared" si="29"/>
        <v>0.2874143788848233</v>
      </c>
      <c r="AG22" s="2">
        <f t="shared" si="29"/>
        <v>0.28380729946875771</v>
      </c>
      <c r="AH22" s="2">
        <f t="shared" si="29"/>
        <v>0.28020022005269235</v>
      </c>
      <c r="AI22" s="2">
        <f t="shared" si="29"/>
        <v>0.27659314063662704</v>
      </c>
      <c r="AJ22" s="2">
        <f t="shared" si="29"/>
        <v>0.27298606122056224</v>
      </c>
      <c r="AK22" s="2">
        <f t="shared" si="29"/>
        <v>0.26937898180449665</v>
      </c>
      <c r="AL22" s="2">
        <f t="shared" si="29"/>
        <v>0.26577190238843135</v>
      </c>
      <c r="AM22" s="2">
        <f t="shared" si="29"/>
        <v>0.26216482297236704</v>
      </c>
      <c r="AN22" s="2">
        <f t="shared" si="29"/>
        <v>0.25855774355630151</v>
      </c>
      <c r="AO22" s="2">
        <f t="shared" si="29"/>
        <v>0.25495066414023648</v>
      </c>
      <c r="AP22" s="2">
        <f t="shared" si="29"/>
        <v>0.25134358472417029</v>
      </c>
      <c r="AQ22" s="2">
        <f t="shared" si="29"/>
        <v>0.24773650530810576</v>
      </c>
      <c r="AR22" s="2">
        <f t="shared" si="29"/>
        <v>0.24412942589204045</v>
      </c>
      <c r="AS22" s="2">
        <f t="shared" si="29"/>
        <v>0.24052234647597431</v>
      </c>
      <c r="AT22" s="2">
        <f t="shared" si="29"/>
        <v>0.23691526705990895</v>
      </c>
      <c r="AU22" s="2">
        <f t="shared" si="29"/>
        <v>0.23330818764384498</v>
      </c>
      <c r="AV22" s="2">
        <f t="shared" si="29"/>
        <v>0.22970110822778028</v>
      </c>
      <c r="AW22" s="2">
        <f t="shared" si="29"/>
        <v>0.22609402881171517</v>
      </c>
      <c r="AX22" s="2">
        <f t="shared" si="29"/>
        <v>0.22248694939564967</v>
      </c>
      <c r="AY22" s="2">
        <f t="shared" si="29"/>
        <v>0.21887986997958364</v>
      </c>
      <c r="AZ22" s="2">
        <f t="shared" si="29"/>
        <v>0.21527279056351836</v>
      </c>
      <c r="BA22" s="2">
        <f t="shared" si="29"/>
        <v>0.21166571114745408</v>
      </c>
      <c r="BB22" s="2">
        <f t="shared" si="29"/>
        <v>0.20805863173138872</v>
      </c>
      <c r="BC22" s="2">
        <f t="shared" si="29"/>
        <v>0.20445155231532344</v>
      </c>
    </row>
    <row r="23" spans="1:55" x14ac:dyDescent="0.2">
      <c r="A23" t="s">
        <v>41</v>
      </c>
      <c r="B23" s="13">
        <f>B6/SUM(B4:B6)+B19/SUM(B4:B6)</f>
        <v>0.12505012145255762</v>
      </c>
      <c r="C23" s="13">
        <f>C6/SUM(C4:C6)+C19/SUM(C4:C6)</f>
        <v>0.10964663818608578</v>
      </c>
      <c r="D23" s="13">
        <f>D6/SUM(D4:D6)+D19/SUM(D4:D6)</f>
        <v>0.11519114830475118</v>
      </c>
      <c r="E23" s="13">
        <f>E6/SUM(E4:E6)+E19/SUM(E4:E6)</f>
        <v>0.12690345164832481</v>
      </c>
      <c r="F23" s="13">
        <f>F6/SUM(F4:F6)+F19/SUM(F4:F6)</f>
        <v>0.13314912673655083</v>
      </c>
      <c r="G23" s="13">
        <f>G6/SUM(G4:G6)+G19/SUM(G4:G6)</f>
        <v>0.11717096001835539</v>
      </c>
      <c r="I23" s="13">
        <f t="shared" ref="I23:N23" si="30">I6/SUM(I4:I6)+I19/SUM(I4:I6)</f>
        <v>0.12505012145255762</v>
      </c>
      <c r="J23" s="13">
        <f t="shared" si="30"/>
        <v>0.10964663818608578</v>
      </c>
      <c r="K23" s="13">
        <f t="shared" si="30"/>
        <v>0.11519114830475116</v>
      </c>
      <c r="L23" s="13">
        <f t="shared" si="30"/>
        <v>0.12690345164832481</v>
      </c>
      <c r="M23" s="13">
        <f>M6/SUM(M4:M6)+M19/SUM(M4:M6)</f>
        <v>0.13314912673655083</v>
      </c>
      <c r="N23" s="32">
        <f>N6/SUM(N4:N6)+N19/SUM(N4:N6)</f>
        <v>0.12451818133774045</v>
      </c>
      <c r="O23" s="13">
        <f>O6/SUM(O4:O6)+O19/SUM(O4:O6)</f>
        <v>0.11286604938504646</v>
      </c>
      <c r="P23" s="2">
        <f>P6/SUM(P4:P6)+P19/SUM(P4:P6)</f>
        <v>0.12357928654590565</v>
      </c>
      <c r="Q23" s="2">
        <f t="shared" ref="O23:R23" si="31">Q6/SUM(Q4:Q6)+Q19/SUM(Q4:Q6)</f>
        <v>0.12389413829579261</v>
      </c>
      <c r="R23" s="2">
        <f t="shared" si="31"/>
        <v>0.12420899004567947</v>
      </c>
      <c r="S23" s="2">
        <f t="shared" ref="S23:BC23" si="32">S6/SUM(S4:S6)+S19/SUM(S4:S6)</f>
        <v>0.12452384179556643</v>
      </c>
      <c r="T23" s="2">
        <f t="shared" si="32"/>
        <v>0.1248386935454535</v>
      </c>
      <c r="U23" s="2">
        <f t="shared" si="32"/>
        <v>0.12515354529534051</v>
      </c>
      <c r="V23" s="2">
        <f t="shared" si="32"/>
        <v>0.1254683970452273</v>
      </c>
      <c r="W23" s="2">
        <f t="shared" si="32"/>
        <v>0.12578324879511441</v>
      </c>
      <c r="X23" s="2">
        <f t="shared" si="32"/>
        <v>0.1260981005450012</v>
      </c>
      <c r="Y23" s="2">
        <f t="shared" si="32"/>
        <v>0.12641295229488828</v>
      </c>
      <c r="Z23" s="2">
        <f t="shared" si="32"/>
        <v>0.12672780404477529</v>
      </c>
      <c r="AA23" s="2">
        <f t="shared" si="32"/>
        <v>0.12704265579466195</v>
      </c>
      <c r="AB23" s="2">
        <f t="shared" si="32"/>
        <v>0.12735750754454905</v>
      </c>
      <c r="AC23" s="2">
        <f t="shared" si="32"/>
        <v>0.12767235929443604</v>
      </c>
      <c r="AD23" s="2">
        <f t="shared" si="32"/>
        <v>0.12798721104432276</v>
      </c>
      <c r="AE23" s="2">
        <f t="shared" si="32"/>
        <v>0.1283020627942098</v>
      </c>
      <c r="AF23" s="2">
        <f t="shared" si="32"/>
        <v>0.12861691454409685</v>
      </c>
      <c r="AG23" s="2">
        <f t="shared" si="32"/>
        <v>0.12893176629398373</v>
      </c>
      <c r="AH23" s="2">
        <f t="shared" si="32"/>
        <v>0.12924661804387072</v>
      </c>
      <c r="AI23" s="2">
        <f t="shared" si="32"/>
        <v>0.1295614697937576</v>
      </c>
      <c r="AJ23" s="2">
        <f t="shared" si="32"/>
        <v>0.1298763215436447</v>
      </c>
      <c r="AK23" s="2">
        <f t="shared" si="32"/>
        <v>0.1301911732935315</v>
      </c>
      <c r="AL23" s="2">
        <f t="shared" si="32"/>
        <v>0.13050602504341846</v>
      </c>
      <c r="AM23" s="2">
        <f t="shared" si="32"/>
        <v>0.13082087679330542</v>
      </c>
      <c r="AN23" s="2">
        <f t="shared" si="32"/>
        <v>0.13113572854319225</v>
      </c>
      <c r="AO23" s="2">
        <f t="shared" si="32"/>
        <v>0.13145058029307921</v>
      </c>
      <c r="AP23" s="2">
        <f t="shared" si="32"/>
        <v>0.13176543204296634</v>
      </c>
      <c r="AQ23" s="2">
        <f t="shared" si="32"/>
        <v>0.13208028379285316</v>
      </c>
      <c r="AR23" s="2">
        <f t="shared" si="32"/>
        <v>0.13239513554274002</v>
      </c>
      <c r="AS23" s="2">
        <f t="shared" si="32"/>
        <v>0.13270998729262709</v>
      </c>
      <c r="AT23" s="2">
        <f t="shared" si="32"/>
        <v>0.13302483904251405</v>
      </c>
      <c r="AU23" s="2">
        <f t="shared" si="32"/>
        <v>0.13333969079240096</v>
      </c>
      <c r="AV23" s="2">
        <f t="shared" si="32"/>
        <v>0.13365454254228779</v>
      </c>
      <c r="AW23" s="2">
        <f t="shared" si="32"/>
        <v>0.13396939429217483</v>
      </c>
      <c r="AX23" s="2">
        <f t="shared" si="32"/>
        <v>0.13428424604206154</v>
      </c>
      <c r="AY23" s="2">
        <f t="shared" si="32"/>
        <v>0.13459909779194884</v>
      </c>
      <c r="AZ23" s="2">
        <f t="shared" si="32"/>
        <v>0.13491394954183569</v>
      </c>
      <c r="BA23" s="2">
        <f t="shared" si="32"/>
        <v>0.13522880129172271</v>
      </c>
      <c r="BB23" s="2">
        <f t="shared" si="32"/>
        <v>0.13554365304160965</v>
      </c>
      <c r="BC23" s="2">
        <f t="shared" si="32"/>
        <v>0.1358585047914965</v>
      </c>
    </row>
    <row r="24" spans="1:55" x14ac:dyDescent="0.2">
      <c r="A24" t="s">
        <v>42</v>
      </c>
      <c r="B24" s="13">
        <f>B22+B23</f>
        <v>0.5462865428998207</v>
      </c>
      <c r="C24" s="13">
        <f t="shared" ref="C24:F24" si="33">C22+C23</f>
        <v>0.547297693527939</v>
      </c>
      <c r="D24" s="13">
        <f t="shared" si="33"/>
        <v>0.51768122718425869</v>
      </c>
      <c r="E24" s="13">
        <f t="shared" si="33"/>
        <v>0.48250582603127257</v>
      </c>
      <c r="F24" s="13">
        <f t="shared" si="33"/>
        <v>0.46268349510267237</v>
      </c>
      <c r="G24" s="13">
        <f t="shared" ref="G24" si="34">G22+G23</f>
        <v>0.47709300579262603</v>
      </c>
      <c r="I24" s="13">
        <f>I22+I23</f>
        <v>0.5462865428998207</v>
      </c>
      <c r="J24" s="13">
        <f t="shared" ref="J24:M24" si="35">J22+J23</f>
        <v>0.547297693527939</v>
      </c>
      <c r="K24" s="13">
        <f t="shared" si="35"/>
        <v>0.51768122718425869</v>
      </c>
      <c r="L24" s="13">
        <f t="shared" si="35"/>
        <v>0.48250582603127257</v>
      </c>
      <c r="M24" s="13">
        <f>M22+M23</f>
        <v>0.46268349510267237</v>
      </c>
      <c r="N24" s="32">
        <f>N22+N23</f>
        <v>0.470379279455516</v>
      </c>
      <c r="O24" s="13">
        <f>O22+O23</f>
        <v>0.47278809515931713</v>
      </c>
      <c r="P24" s="2">
        <f t="shared" ref="N24:R24" si="36">P22+P23</f>
        <v>0.46870693608777148</v>
      </c>
      <c r="Q24" s="2">
        <f t="shared" si="36"/>
        <v>0.46541470842159316</v>
      </c>
      <c r="R24" s="2">
        <f t="shared" si="36"/>
        <v>0.46212248075541468</v>
      </c>
      <c r="S24" s="2">
        <f t="shared" ref="S24:BC24" si="37">S22+S23</f>
        <v>0.45883025308923708</v>
      </c>
      <c r="T24" s="2">
        <f t="shared" si="37"/>
        <v>0.4555380254230581</v>
      </c>
      <c r="U24" s="2">
        <f t="shared" si="37"/>
        <v>0.45224579775688001</v>
      </c>
      <c r="V24" s="2">
        <f t="shared" si="37"/>
        <v>0.44895357009070225</v>
      </c>
      <c r="W24" s="2">
        <f t="shared" si="37"/>
        <v>0.44566134242452315</v>
      </c>
      <c r="X24" s="2">
        <f t="shared" si="37"/>
        <v>0.44236911475834551</v>
      </c>
      <c r="Y24" s="2">
        <f t="shared" si="37"/>
        <v>0.43907688709216752</v>
      </c>
      <c r="Z24" s="2">
        <f t="shared" si="37"/>
        <v>0.43578465942598837</v>
      </c>
      <c r="AA24" s="2">
        <f t="shared" si="37"/>
        <v>0.43249243175981134</v>
      </c>
      <c r="AB24" s="2">
        <f t="shared" si="37"/>
        <v>0.42920020409363235</v>
      </c>
      <c r="AC24" s="2">
        <f t="shared" si="37"/>
        <v>0.42590797642745398</v>
      </c>
      <c r="AD24" s="2">
        <f t="shared" si="37"/>
        <v>0.42261574876127622</v>
      </c>
      <c r="AE24" s="2">
        <f t="shared" si="37"/>
        <v>0.41932352109509818</v>
      </c>
      <c r="AF24" s="2">
        <f t="shared" si="37"/>
        <v>0.41603129342892015</v>
      </c>
      <c r="AG24" s="2">
        <f t="shared" si="37"/>
        <v>0.41273906576274144</v>
      </c>
      <c r="AH24" s="2">
        <f t="shared" si="37"/>
        <v>0.40944683809656307</v>
      </c>
      <c r="AI24" s="2">
        <f t="shared" si="37"/>
        <v>0.40615461043038464</v>
      </c>
      <c r="AJ24" s="2">
        <f t="shared" si="37"/>
        <v>0.40286238276420694</v>
      </c>
      <c r="AK24" s="2">
        <f t="shared" si="37"/>
        <v>0.39957015509802818</v>
      </c>
      <c r="AL24" s="2">
        <f t="shared" si="37"/>
        <v>0.39627792743184981</v>
      </c>
      <c r="AM24" s="2">
        <f t="shared" si="37"/>
        <v>0.39298569976567244</v>
      </c>
      <c r="AN24" s="2">
        <f t="shared" si="37"/>
        <v>0.38969347209949379</v>
      </c>
      <c r="AO24" s="2">
        <f t="shared" si="37"/>
        <v>0.38640124443331569</v>
      </c>
      <c r="AP24" s="2">
        <f t="shared" si="37"/>
        <v>0.3831090167671366</v>
      </c>
      <c r="AQ24" s="2">
        <f t="shared" si="37"/>
        <v>0.37981678910095895</v>
      </c>
      <c r="AR24" s="2">
        <f t="shared" si="37"/>
        <v>0.37652456143478047</v>
      </c>
      <c r="AS24" s="2">
        <f t="shared" si="37"/>
        <v>0.37323233376860143</v>
      </c>
      <c r="AT24" s="2">
        <f t="shared" si="37"/>
        <v>0.36994010610242301</v>
      </c>
      <c r="AU24" s="2">
        <f t="shared" si="37"/>
        <v>0.36664787843624591</v>
      </c>
      <c r="AV24" s="2">
        <f t="shared" si="37"/>
        <v>0.36335565077006804</v>
      </c>
      <c r="AW24" s="2">
        <f t="shared" si="37"/>
        <v>0.36006342310389</v>
      </c>
      <c r="AX24" s="2">
        <f t="shared" si="37"/>
        <v>0.35677119543771119</v>
      </c>
      <c r="AY24" s="2">
        <f t="shared" si="37"/>
        <v>0.35347896777153248</v>
      </c>
      <c r="AZ24" s="2">
        <f t="shared" si="37"/>
        <v>0.35018674010535406</v>
      </c>
      <c r="BA24" s="2">
        <f t="shared" si="37"/>
        <v>0.34689451243917679</v>
      </c>
      <c r="BB24" s="2">
        <f t="shared" si="37"/>
        <v>0.34360228477299837</v>
      </c>
      <c r="BC24" s="2">
        <f t="shared" si="37"/>
        <v>0.34031005710681994</v>
      </c>
    </row>
    <row r="25" spans="1:55" x14ac:dyDescent="0.2">
      <c r="N25" s="31"/>
    </row>
    <row r="26" spans="1:55" x14ac:dyDescent="0.2">
      <c r="N26" s="31"/>
    </row>
    <row r="27" spans="1:55" x14ac:dyDescent="0.2">
      <c r="B27" s="13">
        <f>B18/B4</f>
        <v>0.1674641598144655</v>
      </c>
      <c r="C27" s="13">
        <f t="shared" ref="C27:F27" si="38">C18/C4</f>
        <v>0.16142339009231155</v>
      </c>
      <c r="D27" s="13">
        <f t="shared" si="38"/>
        <v>0.13049730630944134</v>
      </c>
      <c r="E27" s="13">
        <f t="shared" si="38"/>
        <v>0.10313877669824474</v>
      </c>
      <c r="F27" s="13">
        <f>F18/F4</f>
        <v>8.9475434620045119E-2</v>
      </c>
      <c r="G27" s="13">
        <f>G18/G4</f>
        <v>9.5124923543436435E-2</v>
      </c>
      <c r="I27" s="13">
        <f>I18/I4</f>
        <v>0.16746415981446552</v>
      </c>
      <c r="J27" s="13">
        <f t="shared" ref="J27:L27" si="39">J18/J4</f>
        <v>0.16142339009231155</v>
      </c>
      <c r="K27" s="13">
        <f t="shared" si="39"/>
        <v>0.13049730630944134</v>
      </c>
      <c r="L27" s="13">
        <f t="shared" si="39"/>
        <v>0.10313877669824474</v>
      </c>
      <c r="M27" s="13">
        <f>M18/M4</f>
        <v>8.9475434620045119E-2</v>
      </c>
      <c r="N27" s="32">
        <f>N18/N4</f>
        <v>9.2300179081740777E-2</v>
      </c>
      <c r="O27" s="13">
        <f>O18/O4</f>
        <v>9.5124923543436435E-2</v>
      </c>
    </row>
    <row r="28" spans="1:55" x14ac:dyDescent="0.2">
      <c r="B28" s="13">
        <f>B18/B5</f>
        <v>0.28383950718325868</v>
      </c>
      <c r="C28" s="13">
        <f t="shared" ref="C28:F28" si="40">C18/C5</f>
        <v>0.25484130679763117</v>
      </c>
      <c r="D28" s="13">
        <f t="shared" si="40"/>
        <v>0.22544904907284374</v>
      </c>
      <c r="E28" s="13">
        <f t="shared" si="40"/>
        <v>0.20583466868134348</v>
      </c>
      <c r="F28" s="13">
        <f t="shared" si="40"/>
        <v>0.19555714675443139</v>
      </c>
      <c r="G28" s="13">
        <f t="shared" ref="G28" si="41">G18/G5</f>
        <v>0.18454194759476036</v>
      </c>
      <c r="I28" s="13">
        <f>I18/I5</f>
        <v>0.28383950718325873</v>
      </c>
      <c r="J28" s="13">
        <f t="shared" ref="J28:L28" si="42">J18/J5</f>
        <v>0.25484130679763117</v>
      </c>
      <c r="K28" s="13">
        <f t="shared" si="42"/>
        <v>0.22544904907284377</v>
      </c>
      <c r="L28" s="13">
        <f t="shared" si="42"/>
        <v>0.20583466868134348</v>
      </c>
      <c r="M28" s="13">
        <f>M18/M5</f>
        <v>0.19555714675443137</v>
      </c>
      <c r="N28" s="33">
        <f>N18/N5</f>
        <v>0.18891538857970408</v>
      </c>
      <c r="O28" s="13">
        <f>O18/O5</f>
        <v>0.18454194759476036</v>
      </c>
      <c r="P28" s="3">
        <f>AVERAGE($K28:$O28)</f>
        <v>0.20005964013661659</v>
      </c>
      <c r="Q28" s="3">
        <f t="shared" ref="Q28:BC28" si="43">AVERAGE($K28:$O28)</f>
        <v>0.20005964013661659</v>
      </c>
      <c r="R28" s="3">
        <f t="shared" si="43"/>
        <v>0.20005964013661659</v>
      </c>
      <c r="S28" s="3">
        <f t="shared" si="43"/>
        <v>0.20005964013661659</v>
      </c>
      <c r="T28" s="3">
        <f t="shared" si="43"/>
        <v>0.20005964013661659</v>
      </c>
      <c r="U28" s="3">
        <f t="shared" si="43"/>
        <v>0.20005964013661659</v>
      </c>
      <c r="V28" s="3">
        <f t="shared" si="43"/>
        <v>0.20005964013661659</v>
      </c>
      <c r="W28" s="3">
        <f t="shared" si="43"/>
        <v>0.20005964013661659</v>
      </c>
      <c r="X28" s="3">
        <f t="shared" si="43"/>
        <v>0.20005964013661659</v>
      </c>
      <c r="Y28" s="3">
        <f t="shared" si="43"/>
        <v>0.20005964013661659</v>
      </c>
      <c r="Z28" s="3">
        <f t="shared" si="43"/>
        <v>0.20005964013661659</v>
      </c>
      <c r="AA28" s="3">
        <f t="shared" si="43"/>
        <v>0.20005964013661659</v>
      </c>
      <c r="AB28" s="3">
        <f t="shared" si="43"/>
        <v>0.20005964013661659</v>
      </c>
      <c r="AC28" s="3">
        <f t="shared" si="43"/>
        <v>0.20005964013661659</v>
      </c>
      <c r="AD28" s="3">
        <f t="shared" si="43"/>
        <v>0.20005964013661659</v>
      </c>
      <c r="AE28" s="3">
        <f t="shared" si="43"/>
        <v>0.20005964013661659</v>
      </c>
      <c r="AF28" s="3">
        <f t="shared" si="43"/>
        <v>0.20005964013661659</v>
      </c>
      <c r="AG28" s="3">
        <f t="shared" si="43"/>
        <v>0.20005964013661659</v>
      </c>
      <c r="AH28" s="3">
        <f t="shared" si="43"/>
        <v>0.20005964013661659</v>
      </c>
      <c r="AI28" s="3">
        <f t="shared" si="43"/>
        <v>0.20005964013661659</v>
      </c>
      <c r="AJ28" s="3">
        <f t="shared" si="43"/>
        <v>0.20005964013661659</v>
      </c>
      <c r="AK28" s="3">
        <f t="shared" si="43"/>
        <v>0.20005964013661659</v>
      </c>
      <c r="AL28" s="3">
        <f t="shared" si="43"/>
        <v>0.20005964013661659</v>
      </c>
      <c r="AM28" s="3">
        <f t="shared" si="43"/>
        <v>0.20005964013661659</v>
      </c>
      <c r="AN28" s="3">
        <f t="shared" si="43"/>
        <v>0.20005964013661659</v>
      </c>
      <c r="AO28" s="3">
        <f t="shared" si="43"/>
        <v>0.20005964013661659</v>
      </c>
      <c r="AP28" s="3">
        <f t="shared" si="43"/>
        <v>0.20005964013661659</v>
      </c>
      <c r="AQ28" s="3">
        <f t="shared" si="43"/>
        <v>0.20005964013661659</v>
      </c>
      <c r="AR28" s="3">
        <f t="shared" si="43"/>
        <v>0.20005964013661659</v>
      </c>
      <c r="AS28" s="3">
        <f t="shared" si="43"/>
        <v>0.20005964013661659</v>
      </c>
      <c r="AT28" s="3">
        <f t="shared" si="43"/>
        <v>0.20005964013661659</v>
      </c>
      <c r="AU28" s="3">
        <f t="shared" si="43"/>
        <v>0.20005964013661659</v>
      </c>
      <c r="AV28" s="3">
        <f t="shared" si="43"/>
        <v>0.20005964013661659</v>
      </c>
      <c r="AW28" s="3">
        <f t="shared" si="43"/>
        <v>0.20005964013661659</v>
      </c>
      <c r="AX28" s="3">
        <f t="shared" si="43"/>
        <v>0.20005964013661659</v>
      </c>
      <c r="AY28" s="3">
        <f t="shared" si="43"/>
        <v>0.20005964013661659</v>
      </c>
      <c r="AZ28" s="3">
        <f t="shared" si="43"/>
        <v>0.20005964013661659</v>
      </c>
      <c r="BA28" s="3">
        <f t="shared" si="43"/>
        <v>0.20005964013661659</v>
      </c>
      <c r="BB28" s="3">
        <f t="shared" si="43"/>
        <v>0.20005964013661659</v>
      </c>
      <c r="BC28" s="3">
        <f t="shared" si="43"/>
        <v>0.20005964013661659</v>
      </c>
    </row>
    <row r="29" spans="1:55" x14ac:dyDescent="0.2">
      <c r="B29" s="13">
        <f>B19/B4</f>
        <v>1.6676081286712836E-2</v>
      </c>
      <c r="C29" s="13">
        <f t="shared" ref="C29:F29" si="44">C19/C4</f>
        <v>1.6390427399059052E-2</v>
      </c>
      <c r="D29" s="13">
        <f t="shared" si="44"/>
        <v>1.9486137806804867E-2</v>
      </c>
      <c r="E29" s="13">
        <f t="shared" si="44"/>
        <v>1.7571433856512674E-2</v>
      </c>
      <c r="F29" s="13">
        <f t="shared" si="44"/>
        <v>1.8596293823819218E-2</v>
      </c>
      <c r="G29" s="13">
        <f t="shared" ref="G29" si="45">G19/G4</f>
        <v>1.778919349334487E-2</v>
      </c>
      <c r="I29" s="13">
        <f>I19/I4</f>
        <v>1.6676081286712836E-2</v>
      </c>
      <c r="J29" s="13">
        <f t="shared" ref="J29:L29" si="46">J19/J4</f>
        <v>1.6390427399059052E-2</v>
      </c>
      <c r="K29" s="13">
        <f t="shared" si="46"/>
        <v>1.9486137806804867E-2</v>
      </c>
      <c r="L29" s="13">
        <f t="shared" si="46"/>
        <v>1.7571433856512674E-2</v>
      </c>
      <c r="M29" s="13">
        <f>M19/M4</f>
        <v>1.8596293823819218E-2</v>
      </c>
      <c r="N29" s="32">
        <f>N19/N4</f>
        <v>1.8192743658582044E-2</v>
      </c>
      <c r="O29" s="13">
        <f>O19/O4</f>
        <v>1.0486125275611035E-2</v>
      </c>
    </row>
    <row r="30" spans="1:55" x14ac:dyDescent="0.2">
      <c r="B30" s="13">
        <f>B19/B6</f>
        <v>8.0101490789143553E-2</v>
      </c>
      <c r="C30" s="13">
        <f t="shared" ref="C30:F30" si="47">C19/C6</f>
        <v>8.9689197200008119E-2</v>
      </c>
      <c r="D30" s="13">
        <f t="shared" si="47"/>
        <v>0.10617905999035193</v>
      </c>
      <c r="E30" s="13">
        <f t="shared" si="47"/>
        <v>8.872041592974253E-2</v>
      </c>
      <c r="F30" s="13">
        <f t="shared" si="47"/>
        <v>9.1866661428535071E-2</v>
      </c>
      <c r="G30" s="13">
        <f t="shared" ref="G30" si="48">G19/G6</f>
        <v>9.8290683028162976E-2</v>
      </c>
      <c r="I30" s="13">
        <f>I19/I6</f>
        <v>8.0101490789143553E-2</v>
      </c>
      <c r="J30" s="13">
        <f t="shared" ref="J30:L30" si="49">J19/J6</f>
        <v>8.9689197200008106E-2</v>
      </c>
      <c r="K30" s="13">
        <f t="shared" si="49"/>
        <v>0.10617905999035195</v>
      </c>
      <c r="L30" s="13">
        <f t="shared" si="49"/>
        <v>8.8720415929742516E-2</v>
      </c>
      <c r="M30" s="13">
        <f>M19/M6</f>
        <v>9.1866661428535085E-2</v>
      </c>
      <c r="N30" s="33">
        <f>N19/N6</f>
        <v>9.5281057357001001E-2</v>
      </c>
      <c r="O30" s="13">
        <f>O19/O6</f>
        <v>5.7939018766886993E-2</v>
      </c>
      <c r="P30" s="3">
        <f>AVERAGE($K30:$O30)</f>
        <v>8.7997242694503514E-2</v>
      </c>
      <c r="Q30" s="3">
        <f t="shared" ref="Q30:BC30" si="50">AVERAGE($K30:$O30)</f>
        <v>8.7997242694503514E-2</v>
      </c>
      <c r="R30" s="3">
        <f t="shared" si="50"/>
        <v>8.7997242694503514E-2</v>
      </c>
      <c r="S30" s="3">
        <f t="shared" si="50"/>
        <v>8.7997242694503514E-2</v>
      </c>
      <c r="T30" s="3">
        <f t="shared" si="50"/>
        <v>8.7997242694503514E-2</v>
      </c>
      <c r="U30" s="3">
        <f t="shared" si="50"/>
        <v>8.7997242694503514E-2</v>
      </c>
      <c r="V30" s="3">
        <f t="shared" si="50"/>
        <v>8.7997242694503514E-2</v>
      </c>
      <c r="W30" s="3">
        <f t="shared" si="50"/>
        <v>8.7997242694503514E-2</v>
      </c>
      <c r="X30" s="3">
        <f t="shared" si="50"/>
        <v>8.7997242694503514E-2</v>
      </c>
      <c r="Y30" s="3">
        <f t="shared" si="50"/>
        <v>8.7997242694503514E-2</v>
      </c>
      <c r="Z30" s="3">
        <f t="shared" si="50"/>
        <v>8.7997242694503514E-2</v>
      </c>
      <c r="AA30" s="3">
        <f t="shared" si="50"/>
        <v>8.7997242694503514E-2</v>
      </c>
      <c r="AB30" s="3">
        <f t="shared" si="50"/>
        <v>8.7997242694503514E-2</v>
      </c>
      <c r="AC30" s="3">
        <f t="shared" si="50"/>
        <v>8.7997242694503514E-2</v>
      </c>
      <c r="AD30" s="3">
        <f t="shared" si="50"/>
        <v>8.7997242694503514E-2</v>
      </c>
      <c r="AE30" s="3">
        <f t="shared" si="50"/>
        <v>8.7997242694503514E-2</v>
      </c>
      <c r="AF30" s="3">
        <f t="shared" si="50"/>
        <v>8.7997242694503514E-2</v>
      </c>
      <c r="AG30" s="3">
        <f t="shared" si="50"/>
        <v>8.7997242694503514E-2</v>
      </c>
      <c r="AH30" s="3">
        <f t="shared" si="50"/>
        <v>8.7997242694503514E-2</v>
      </c>
      <c r="AI30" s="3">
        <f t="shared" si="50"/>
        <v>8.7997242694503514E-2</v>
      </c>
      <c r="AJ30" s="3">
        <f t="shared" si="50"/>
        <v>8.7997242694503514E-2</v>
      </c>
      <c r="AK30" s="3">
        <f t="shared" si="50"/>
        <v>8.7997242694503514E-2</v>
      </c>
      <c r="AL30" s="3">
        <f t="shared" si="50"/>
        <v>8.7997242694503514E-2</v>
      </c>
      <c r="AM30" s="3">
        <f t="shared" si="50"/>
        <v>8.7997242694503514E-2</v>
      </c>
      <c r="AN30" s="3">
        <f t="shared" si="50"/>
        <v>8.7997242694503514E-2</v>
      </c>
      <c r="AO30" s="3">
        <f t="shared" si="50"/>
        <v>8.7997242694503514E-2</v>
      </c>
      <c r="AP30" s="3">
        <f t="shared" si="50"/>
        <v>8.7997242694503514E-2</v>
      </c>
      <c r="AQ30" s="3">
        <f t="shared" si="50"/>
        <v>8.7997242694503514E-2</v>
      </c>
      <c r="AR30" s="3">
        <f t="shared" si="50"/>
        <v>8.7997242694503514E-2</v>
      </c>
      <c r="AS30" s="3">
        <f t="shared" si="50"/>
        <v>8.7997242694503514E-2</v>
      </c>
      <c r="AT30" s="3">
        <f t="shared" si="50"/>
        <v>8.7997242694503514E-2</v>
      </c>
      <c r="AU30" s="3">
        <f t="shared" si="50"/>
        <v>8.7997242694503514E-2</v>
      </c>
      <c r="AV30" s="3">
        <f t="shared" si="50"/>
        <v>8.7997242694503514E-2</v>
      </c>
      <c r="AW30" s="3">
        <f t="shared" si="50"/>
        <v>8.7997242694503514E-2</v>
      </c>
      <c r="AX30" s="3">
        <f t="shared" si="50"/>
        <v>8.7997242694503514E-2</v>
      </c>
      <c r="AY30" s="3">
        <f t="shared" si="50"/>
        <v>8.7997242694503514E-2</v>
      </c>
      <c r="AZ30" s="3">
        <f t="shared" si="50"/>
        <v>8.7997242694503514E-2</v>
      </c>
      <c r="BA30" s="3">
        <f t="shared" si="50"/>
        <v>8.7997242694503514E-2</v>
      </c>
      <c r="BB30" s="3">
        <f t="shared" si="50"/>
        <v>8.7997242694503514E-2</v>
      </c>
      <c r="BC30" s="3">
        <f t="shared" si="50"/>
        <v>8.7997242694503514E-2</v>
      </c>
    </row>
  </sheetData>
  <mergeCells count="2">
    <mergeCell ref="B1:F1"/>
    <mergeCell ref="I1:M1"/>
  </mergeCells>
  <phoneticPr fontId="3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AE92B-7BC6-48EB-8C3C-5F03C64F0ED9}">
  <dimension ref="A1:U24"/>
  <sheetViews>
    <sheetView workbookViewId="0"/>
  </sheetViews>
  <sheetFormatPr defaultRowHeight="14.25" x14ac:dyDescent="0.2"/>
  <sheetData>
    <row r="1" spans="1:21" ht="57" x14ac:dyDescent="0.2">
      <c r="A1" s="4" t="s">
        <v>29</v>
      </c>
      <c r="B1" s="4" t="s">
        <v>30</v>
      </c>
      <c r="C1" s="4" t="s">
        <v>31</v>
      </c>
      <c r="D1" s="5" t="s">
        <v>32</v>
      </c>
      <c r="F1" t="s">
        <v>33</v>
      </c>
      <c r="G1" s="6" t="s">
        <v>34</v>
      </c>
      <c r="H1" s="6" t="s">
        <v>35</v>
      </c>
      <c r="I1" s="6" t="s">
        <v>36</v>
      </c>
      <c r="L1" s="4" t="s">
        <v>29</v>
      </c>
      <c r="M1" s="4">
        <v>2002</v>
      </c>
      <c r="N1" s="4">
        <v>2007</v>
      </c>
      <c r="O1" s="4">
        <v>2012</v>
      </c>
      <c r="P1" s="4">
        <v>2017</v>
      </c>
      <c r="Q1" s="4">
        <v>2018</v>
      </c>
      <c r="R1" s="4">
        <v>2019</v>
      </c>
      <c r="S1" s="4">
        <v>2020</v>
      </c>
      <c r="T1" s="5">
        <v>2021</v>
      </c>
      <c r="U1" s="5">
        <v>2022</v>
      </c>
    </row>
    <row r="2" spans="1:21" ht="42.75" x14ac:dyDescent="0.2">
      <c r="A2" s="4">
        <v>2000</v>
      </c>
      <c r="B2" s="7">
        <v>0.26402731839314614</v>
      </c>
      <c r="C2" s="7">
        <v>3.7874868634273828</v>
      </c>
      <c r="D2" s="5"/>
      <c r="F2" s="8">
        <v>2000</v>
      </c>
      <c r="G2" s="9">
        <v>2.2354744058489899</v>
      </c>
      <c r="H2" s="9">
        <f t="shared" ref="H2:H13" si="0">H3/(1+G3/100)</f>
        <v>0.78077491379916109</v>
      </c>
      <c r="I2" s="9">
        <f>1/H2</f>
        <v>1.2807788548611467</v>
      </c>
      <c r="L2" s="4" t="s">
        <v>30</v>
      </c>
      <c r="M2" s="7">
        <v>0.25718247422042451</v>
      </c>
      <c r="N2" s="7">
        <v>0.20142712631579188</v>
      </c>
      <c r="O2" s="7">
        <v>0.15841295765019273</v>
      </c>
      <c r="P2" s="7">
        <v>0.14520448257929888</v>
      </c>
      <c r="Q2" s="7">
        <v>0.14029452814745572</v>
      </c>
      <c r="R2" s="7">
        <v>0.13851126202725372</v>
      </c>
      <c r="S2" s="7">
        <v>0.13765067798823424</v>
      </c>
      <c r="T2" s="11">
        <v>0.13467373608703884</v>
      </c>
      <c r="U2" s="11">
        <v>0.13155443307027065</v>
      </c>
    </row>
    <row r="3" spans="1:21" ht="57" x14ac:dyDescent="0.2">
      <c r="A3" s="4">
        <v>2001</v>
      </c>
      <c r="B3" s="7">
        <v>0.25873096752649349</v>
      </c>
      <c r="C3" s="7">
        <v>3.865018592710987</v>
      </c>
      <c r="D3" s="10">
        <v>1.0204704945731333</v>
      </c>
      <c r="F3" s="8">
        <v>2001</v>
      </c>
      <c r="G3" s="9">
        <v>2.1934253449968999</v>
      </c>
      <c r="H3" s="9">
        <f t="shared" si="0"/>
        <v>0.79790062864580946</v>
      </c>
      <c r="I3" s="9">
        <f t="shared" ref="I3:I24" si="1">1/H3</f>
        <v>1.2532888985150845</v>
      </c>
      <c r="L3" s="4" t="s">
        <v>31</v>
      </c>
      <c r="M3" s="7">
        <v>3.8882898340223822</v>
      </c>
      <c r="N3" s="7">
        <v>4.9645746245330811</v>
      </c>
      <c r="O3" s="7">
        <v>6.3126149201014137</v>
      </c>
      <c r="P3" s="7">
        <v>6.8868397327464139</v>
      </c>
      <c r="Q3" s="7">
        <v>7.1278617434669727</v>
      </c>
      <c r="R3" s="7">
        <v>7.2196295475471031</v>
      </c>
      <c r="S3" s="7">
        <v>7.2647662518994309</v>
      </c>
      <c r="T3" s="11">
        <v>7.4253527751966857</v>
      </c>
      <c r="U3" s="11">
        <v>7.6014162097133093</v>
      </c>
    </row>
    <row r="4" spans="1:21" x14ac:dyDescent="0.2">
      <c r="A4" s="4">
        <v>2002</v>
      </c>
      <c r="B4" s="7">
        <v>0.25718247422042451</v>
      </c>
      <c r="C4" s="7">
        <v>3.8882898340223822</v>
      </c>
      <c r="D4" s="10">
        <v>1.0060209907800397</v>
      </c>
      <c r="F4" s="8">
        <v>2002</v>
      </c>
      <c r="G4" s="9">
        <v>1.5817630059122401</v>
      </c>
      <c r="H4" s="9">
        <f t="shared" si="0"/>
        <v>0.81052152561367008</v>
      </c>
      <c r="I4" s="9">
        <f t="shared" si="1"/>
        <v>1.2337735253149138</v>
      </c>
      <c r="L4" s="5" t="s">
        <v>32</v>
      </c>
      <c r="M4" s="10">
        <v>1.0060209907800397</v>
      </c>
      <c r="N4" s="10">
        <v>1.0774968649314771</v>
      </c>
      <c r="O4" s="10">
        <v>1.0233121757577326</v>
      </c>
      <c r="P4" s="10">
        <v>1.0423268197526645</v>
      </c>
      <c r="Q4" s="10">
        <v>1.034997476356901</v>
      </c>
      <c r="R4" s="10">
        <v>1.01287452077255</v>
      </c>
      <c r="S4" s="10">
        <v>1.006251941883592</v>
      </c>
      <c r="T4" s="10">
        <v>1.0221048438076406</v>
      </c>
      <c r="U4" s="10">
        <v>1.0237111205146694</v>
      </c>
    </row>
    <row r="5" spans="1:21" x14ac:dyDescent="0.2">
      <c r="A5" s="4">
        <v>2003</v>
      </c>
      <c r="B5" s="7">
        <v>0.25065741621071408</v>
      </c>
      <c r="C5" s="7">
        <v>3.9895089286301202</v>
      </c>
      <c r="D5" s="10">
        <v>1.0260317771895693</v>
      </c>
      <c r="F5" s="8">
        <v>2003</v>
      </c>
      <c r="G5" s="9">
        <v>1.85709520165997</v>
      </c>
      <c r="H5" s="9">
        <f t="shared" si="0"/>
        <v>0.82557368197426273</v>
      </c>
      <c r="I5" s="9">
        <f t="shared" si="1"/>
        <v>1.2112789225652363</v>
      </c>
    </row>
    <row r="6" spans="1:21" x14ac:dyDescent="0.2">
      <c r="A6" s="4">
        <v>2004</v>
      </c>
      <c r="B6" s="7">
        <v>0.23436441895908319</v>
      </c>
      <c r="C6" s="7">
        <v>4.266859297334662</v>
      </c>
      <c r="D6" s="10">
        <v>1.0695199268045694</v>
      </c>
      <c r="F6" s="8">
        <v>2004</v>
      </c>
      <c r="G6" s="9">
        <v>2.6922121263310999</v>
      </c>
      <c r="H6" s="9">
        <f t="shared" si="0"/>
        <v>0.84779987675217205</v>
      </c>
      <c r="I6" s="9">
        <f t="shared" si="1"/>
        <v>1.1795236439888266</v>
      </c>
    </row>
    <row r="7" spans="1:21" x14ac:dyDescent="0.2">
      <c r="A7" s="4">
        <v>2005</v>
      </c>
      <c r="B7" s="7">
        <v>0.22555916594478426</v>
      </c>
      <c r="C7" s="7">
        <v>4.4334265726305926</v>
      </c>
      <c r="D7" s="10">
        <v>1.0390374426923286</v>
      </c>
      <c r="F7" s="8">
        <v>2005</v>
      </c>
      <c r="G7" s="9">
        <v>3.1149423478132299</v>
      </c>
      <c r="H7" s="9">
        <f t="shared" si="0"/>
        <v>0.87420835413783371</v>
      </c>
      <c r="I7" s="9">
        <f t="shared" si="1"/>
        <v>1.1438920656234464</v>
      </c>
    </row>
    <row r="8" spans="1:21" x14ac:dyDescent="0.2">
      <c r="A8" s="4">
        <v>2006</v>
      </c>
      <c r="B8" s="7">
        <v>0.21703709711742236</v>
      </c>
      <c r="C8" s="7">
        <v>4.6075072569689581</v>
      </c>
      <c r="D8" s="10">
        <v>1.039265493966459</v>
      </c>
      <c r="F8" s="8">
        <v>2006</v>
      </c>
      <c r="G8" s="9">
        <v>3.0262046413329702</v>
      </c>
      <c r="H8" s="9">
        <f t="shared" si="0"/>
        <v>0.90066368792567331</v>
      </c>
      <c r="I8" s="9">
        <f t="shared" si="1"/>
        <v>1.1102923470836368</v>
      </c>
    </row>
    <row r="9" spans="1:21" x14ac:dyDescent="0.2">
      <c r="A9" s="4">
        <v>2007</v>
      </c>
      <c r="B9" s="7">
        <v>0.20142712631579188</v>
      </c>
      <c r="C9" s="7">
        <v>4.9645746245330811</v>
      </c>
      <c r="D9" s="10">
        <v>1.0774968649314771</v>
      </c>
      <c r="F9" s="8">
        <v>2007</v>
      </c>
      <c r="G9" s="9">
        <v>2.6862789090300798</v>
      </c>
      <c r="H9" s="9">
        <f t="shared" si="0"/>
        <v>0.92485802661571315</v>
      </c>
      <c r="I9" s="9">
        <f t="shared" si="1"/>
        <v>1.0812470360010282</v>
      </c>
    </row>
    <row r="10" spans="1:21" x14ac:dyDescent="0.2">
      <c r="A10" s="4">
        <v>2008</v>
      </c>
      <c r="B10" s="7">
        <v>0.18686068900134839</v>
      </c>
      <c r="C10" s="7">
        <v>5.3515803957716539</v>
      </c>
      <c r="D10" s="10">
        <v>1.0779534603682124</v>
      </c>
      <c r="F10" s="8">
        <v>2008</v>
      </c>
      <c r="G10" s="9">
        <v>1.9451317033458699</v>
      </c>
      <c r="H10" s="9">
        <f t="shared" si="0"/>
        <v>0.94284773330235438</v>
      </c>
      <c r="I10" s="9">
        <f t="shared" si="1"/>
        <v>1.0606166453807637</v>
      </c>
    </row>
    <row r="11" spans="1:21" x14ac:dyDescent="0.2">
      <c r="A11" s="4">
        <v>2009</v>
      </c>
      <c r="B11" s="7">
        <v>0.18725304660343919</v>
      </c>
      <c r="C11" s="7">
        <v>5.3403670495026994</v>
      </c>
      <c r="D11" s="10">
        <v>0.99790466639017239</v>
      </c>
      <c r="F11" s="8">
        <v>2009</v>
      </c>
      <c r="G11" s="9">
        <v>0.76234998842377899</v>
      </c>
      <c r="H11" s="9">
        <f t="shared" si="0"/>
        <v>0.95003553288803866</v>
      </c>
      <c r="I11" s="9">
        <f t="shared" si="1"/>
        <v>1.0525922087988362</v>
      </c>
    </row>
    <row r="12" spans="1:21" x14ac:dyDescent="0.2">
      <c r="A12" s="4">
        <v>2010</v>
      </c>
      <c r="B12" s="7">
        <v>0.17519707002278173</v>
      </c>
      <c r="C12" s="7">
        <v>5.7078580130932846</v>
      </c>
      <c r="D12" s="10">
        <v>1.0688138025315708</v>
      </c>
      <c r="F12" s="8">
        <v>2010</v>
      </c>
      <c r="G12" s="9">
        <v>1.16525054364868</v>
      </c>
      <c r="H12" s="9">
        <f t="shared" si="0"/>
        <v>0.96110582709987225</v>
      </c>
      <c r="I12" s="9">
        <f t="shared" si="1"/>
        <v>1.0404681480472244</v>
      </c>
    </row>
    <row r="13" spans="1:21" x14ac:dyDescent="0.2">
      <c r="A13" s="4">
        <v>2011</v>
      </c>
      <c r="B13" s="7">
        <v>0.16210590836123626</v>
      </c>
      <c r="C13" s="7">
        <v>6.1688066160525343</v>
      </c>
      <c r="D13" s="10">
        <v>1.080756844669555</v>
      </c>
      <c r="F13" s="8">
        <v>2011</v>
      </c>
      <c r="G13" s="9">
        <v>2.0889037776684201</v>
      </c>
      <c r="H13" s="9">
        <f t="shared" si="0"/>
        <v>0.98118240302955273</v>
      </c>
      <c r="I13" s="9">
        <f t="shared" si="1"/>
        <v>1.0191784900670304</v>
      </c>
    </row>
    <row r="14" spans="1:21" x14ac:dyDescent="0.2">
      <c r="A14" s="4">
        <v>2012</v>
      </c>
      <c r="B14" s="7">
        <v>0.15841295765019273</v>
      </c>
      <c r="C14" s="7">
        <v>6.3126149201014137</v>
      </c>
      <c r="D14" s="10">
        <v>1.0233121757577326</v>
      </c>
      <c r="F14" s="8">
        <v>2012</v>
      </c>
      <c r="G14" s="9">
        <v>1.91784900670304</v>
      </c>
      <c r="H14" s="9">
        <v>1</v>
      </c>
      <c r="I14" s="9">
        <f t="shared" si="1"/>
        <v>1</v>
      </c>
    </row>
    <row r="15" spans="1:21" x14ac:dyDescent="0.2">
      <c r="A15" s="4">
        <v>2013</v>
      </c>
      <c r="B15" s="7">
        <v>0.15505846920337668</v>
      </c>
      <c r="C15" s="7">
        <v>6.4491801391924435</v>
      </c>
      <c r="D15" s="10">
        <v>1.0216337002683566</v>
      </c>
      <c r="F15" s="8">
        <v>2013</v>
      </c>
      <c r="G15" s="9">
        <v>1.7549157850116199</v>
      </c>
      <c r="H15" s="9">
        <f t="shared" ref="H15:H24" si="2">(1+G15/100)*H14</f>
        <v>1.0175491578501161</v>
      </c>
      <c r="I15" s="9">
        <f t="shared" si="1"/>
        <v>0.98275350363692104</v>
      </c>
    </row>
    <row r="16" spans="1:21" x14ac:dyDescent="0.2">
      <c r="A16" s="4">
        <v>2014</v>
      </c>
      <c r="B16" s="7">
        <v>0.15347603355213138</v>
      </c>
      <c r="C16" s="7">
        <v>6.5156752937606308</v>
      </c>
      <c r="D16" s="10">
        <v>1.0103106368767851</v>
      </c>
      <c r="F16" s="8">
        <v>2014</v>
      </c>
      <c r="G16" s="9">
        <v>1.8498274708142799</v>
      </c>
      <c r="H16" s="9">
        <f t="shared" si="2"/>
        <v>1.036372061701067</v>
      </c>
      <c r="I16" s="9">
        <f t="shared" si="1"/>
        <v>0.96490443630700828</v>
      </c>
    </row>
    <row r="17" spans="1:9" x14ac:dyDescent="0.2">
      <c r="A17" s="4">
        <v>2015</v>
      </c>
      <c r="B17" s="7">
        <v>0.15348055216320364</v>
      </c>
      <c r="C17" s="7">
        <v>6.5154834661830598</v>
      </c>
      <c r="D17" s="10">
        <v>0.99997055906426857</v>
      </c>
      <c r="F17" s="8">
        <v>2015</v>
      </c>
      <c r="G17" s="9">
        <v>0.95253153279801905</v>
      </c>
      <c r="H17" s="9">
        <f t="shared" si="2"/>
        <v>1.0462438323858785</v>
      </c>
      <c r="I17" s="9">
        <f t="shared" si="1"/>
        <v>0.95580013859635093</v>
      </c>
    </row>
    <row r="18" spans="1:9" x14ac:dyDescent="0.2">
      <c r="A18" s="4">
        <v>2016</v>
      </c>
      <c r="B18" s="7">
        <v>0.15135052654071177</v>
      </c>
      <c r="C18" s="7">
        <v>6.6071788639004838</v>
      </c>
      <c r="D18" s="10">
        <v>1.0140734602724948</v>
      </c>
      <c r="F18" s="8">
        <v>2016</v>
      </c>
      <c r="G18" s="9">
        <v>1.04924737000228</v>
      </c>
      <c r="H18" s="9">
        <f t="shared" si="2"/>
        <v>1.0572215182809983</v>
      </c>
      <c r="I18" s="9">
        <f t="shared" si="1"/>
        <v>0.94587556411636575</v>
      </c>
    </row>
    <row r="19" spans="1:9" x14ac:dyDescent="0.2">
      <c r="A19" s="4">
        <v>2017</v>
      </c>
      <c r="B19" s="7">
        <v>0.14520448257929888</v>
      </c>
      <c r="C19" s="7">
        <v>6.8868397327464139</v>
      </c>
      <c r="D19" s="10">
        <v>1.0423268197526645</v>
      </c>
      <c r="F19" s="8">
        <v>2017</v>
      </c>
      <c r="G19" s="9">
        <v>1.88006787244998</v>
      </c>
      <c r="H19" s="9">
        <f t="shared" si="2"/>
        <v>1.0770980003868273</v>
      </c>
      <c r="I19" s="9">
        <f t="shared" si="1"/>
        <v>0.92842062620194399</v>
      </c>
    </row>
    <row r="20" spans="1:9" x14ac:dyDescent="0.2">
      <c r="A20" s="4">
        <v>2018</v>
      </c>
      <c r="B20" s="7">
        <v>0.14029452814745572</v>
      </c>
      <c r="C20" s="7">
        <v>7.1278617434669727</v>
      </c>
      <c r="D20" s="10">
        <v>1.034997476356901</v>
      </c>
      <c r="F20" s="8">
        <v>2018</v>
      </c>
      <c r="G20" s="9">
        <v>2.4009811141159099</v>
      </c>
      <c r="H20" s="9">
        <f t="shared" si="2"/>
        <v>1.1029589199566352</v>
      </c>
      <c r="I20" s="9">
        <f t="shared" si="1"/>
        <v>0.90665208096718308</v>
      </c>
    </row>
    <row r="21" spans="1:9" x14ac:dyDescent="0.2">
      <c r="A21" s="4">
        <v>2019</v>
      </c>
      <c r="B21" s="7">
        <v>0.13851126202725372</v>
      </c>
      <c r="C21" s="7">
        <v>7.2196295475471031</v>
      </c>
      <c r="D21" s="10">
        <v>1.01287452077255</v>
      </c>
      <c r="F21" s="8">
        <v>2019</v>
      </c>
      <c r="G21" s="9">
        <v>1.7851515374362801</v>
      </c>
      <c r="H21" s="9">
        <f t="shared" si="2"/>
        <v>1.1226484080735317</v>
      </c>
      <c r="I21" s="9">
        <f t="shared" si="1"/>
        <v>0.89075082885121903</v>
      </c>
    </row>
    <row r="22" spans="1:9" x14ac:dyDescent="0.2">
      <c r="A22" s="4">
        <v>2020</v>
      </c>
      <c r="B22" s="7">
        <v>0.13765067798823424</v>
      </c>
      <c r="C22" s="7">
        <v>7.2647662518994309</v>
      </c>
      <c r="D22" s="10">
        <v>1.006251941883592</v>
      </c>
      <c r="F22" s="8">
        <v>2020</v>
      </c>
      <c r="G22" s="9">
        <v>1.21128887945865</v>
      </c>
      <c r="H22" s="9">
        <f t="shared" si="2"/>
        <v>1.136246923395946</v>
      </c>
      <c r="I22" s="9">
        <f t="shared" si="1"/>
        <v>0.88009039180608784</v>
      </c>
    </row>
    <row r="23" spans="1:9" x14ac:dyDescent="0.2">
      <c r="A23" s="5">
        <v>2021</v>
      </c>
      <c r="B23" s="11">
        <v>0.13467373608703884</v>
      </c>
      <c r="C23" s="11">
        <v>7.4253527751966857</v>
      </c>
      <c r="D23" s="10">
        <v>1.0221048438076406</v>
      </c>
      <c r="F23" s="8">
        <v>2021</v>
      </c>
      <c r="G23" s="12">
        <f>(D23-1)*100</f>
        <v>2.2104843807640551</v>
      </c>
      <c r="H23" s="9">
        <f t="shared" si="2"/>
        <v>1.1613634841645255</v>
      </c>
      <c r="I23" s="9">
        <f t="shared" si="1"/>
        <v>0.86105686431099648</v>
      </c>
    </row>
    <row r="24" spans="1:9" x14ac:dyDescent="0.2">
      <c r="A24" s="5">
        <v>2022</v>
      </c>
      <c r="B24" s="11">
        <v>0.13155443307027065</v>
      </c>
      <c r="C24" s="11">
        <v>7.6014162097133093</v>
      </c>
      <c r="D24" s="10">
        <v>1.0237111205146694</v>
      </c>
      <c r="F24" s="8">
        <v>2022</v>
      </c>
      <c r="G24" s="12">
        <f>(D24-1)*100</f>
        <v>2.3711120514669393</v>
      </c>
      <c r="H24" s="9">
        <f t="shared" si="2"/>
        <v>1.1889007136988869</v>
      </c>
      <c r="I24" s="9">
        <f t="shared" si="1"/>
        <v>0.84111312953023443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D939-B82D-438E-96B0-59AA84F23D40}">
  <sheetPr>
    <tabColor theme="8" tint="-0.249977111117893"/>
  </sheetPr>
  <dimension ref="A1:AR2"/>
  <sheetViews>
    <sheetView tabSelected="1" topLeftCell="Y1" workbookViewId="0">
      <selection activeCell="AK12" sqref="AK11:AK12"/>
    </sheetView>
  </sheetViews>
  <sheetFormatPr defaultRowHeight="14.25" x14ac:dyDescent="0.2"/>
  <sheetData>
    <row r="1" spans="1:44" x14ac:dyDescent="0.2">
      <c r="A1" t="s">
        <v>46</v>
      </c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2">
      <c r="A2" t="s">
        <v>47</v>
      </c>
      <c r="B2" s="15">
        <f>Extrapolation!M24</f>
        <v>0.46268349510267237</v>
      </c>
      <c r="C2" s="15">
        <f>Extrapolation!N24</f>
        <v>0.470379279455516</v>
      </c>
      <c r="D2" s="15">
        <f>Extrapolation!O24</f>
        <v>0.47278809515931713</v>
      </c>
      <c r="E2" s="15">
        <f>Extrapolation!P24</f>
        <v>0.46870693608777148</v>
      </c>
      <c r="F2" s="15">
        <f>Extrapolation!Q24</f>
        <v>0.46541470842159316</v>
      </c>
      <c r="G2" s="15">
        <f>Extrapolation!R24</f>
        <v>0.46212248075541468</v>
      </c>
      <c r="H2" s="15">
        <f>Extrapolation!S24</f>
        <v>0.45883025308923708</v>
      </c>
      <c r="I2" s="15">
        <f>Extrapolation!T24</f>
        <v>0.4555380254230581</v>
      </c>
      <c r="J2" s="15">
        <f>Extrapolation!U24</f>
        <v>0.45224579775688001</v>
      </c>
      <c r="K2" s="15">
        <f>Extrapolation!V24</f>
        <v>0.44895357009070225</v>
      </c>
      <c r="L2" s="15">
        <f>Extrapolation!W24</f>
        <v>0.44566134242452315</v>
      </c>
      <c r="M2" s="15">
        <f>Extrapolation!X24</f>
        <v>0.44236911475834551</v>
      </c>
      <c r="N2" s="15">
        <f>Extrapolation!Y24</f>
        <v>0.43907688709216752</v>
      </c>
      <c r="O2" s="15">
        <f>Extrapolation!Z24</f>
        <v>0.43578465942598837</v>
      </c>
      <c r="P2" s="15">
        <f>Extrapolation!AA24</f>
        <v>0.43249243175981134</v>
      </c>
      <c r="Q2" s="15">
        <f>Extrapolation!AB24</f>
        <v>0.42920020409363235</v>
      </c>
      <c r="R2" s="15">
        <f>Extrapolation!AC24</f>
        <v>0.42590797642745398</v>
      </c>
      <c r="S2" s="15">
        <f>Extrapolation!AD24</f>
        <v>0.42261574876127622</v>
      </c>
      <c r="T2" s="15">
        <f>Extrapolation!AE24</f>
        <v>0.41932352109509818</v>
      </c>
      <c r="U2" s="15">
        <f>Extrapolation!AF24</f>
        <v>0.41603129342892015</v>
      </c>
      <c r="V2" s="15">
        <f>Extrapolation!AG24</f>
        <v>0.41273906576274144</v>
      </c>
      <c r="W2" s="15">
        <f>Extrapolation!AH24</f>
        <v>0.40944683809656307</v>
      </c>
      <c r="X2" s="15">
        <f>Extrapolation!AI24</f>
        <v>0.40615461043038464</v>
      </c>
      <c r="Y2" s="15">
        <f>Extrapolation!AJ24</f>
        <v>0.40286238276420694</v>
      </c>
      <c r="Z2" s="15">
        <f>Extrapolation!AK24</f>
        <v>0.39957015509802818</v>
      </c>
      <c r="AA2" s="15">
        <f>Extrapolation!AL24</f>
        <v>0.39627792743184981</v>
      </c>
      <c r="AB2" s="15">
        <f>Extrapolation!AM24</f>
        <v>0.39298569976567244</v>
      </c>
      <c r="AC2" s="15">
        <f>Extrapolation!AN24</f>
        <v>0.38969347209949379</v>
      </c>
      <c r="AD2" s="15">
        <f>Extrapolation!AO24</f>
        <v>0.38640124443331569</v>
      </c>
      <c r="AE2" s="15">
        <f>Extrapolation!AP24</f>
        <v>0.3831090167671366</v>
      </c>
      <c r="AF2" s="15">
        <f>Extrapolation!AQ24</f>
        <v>0.37981678910095895</v>
      </c>
      <c r="AG2" s="15">
        <f>Extrapolation!AR24</f>
        <v>0.37652456143478047</v>
      </c>
      <c r="AH2" s="15">
        <f>Extrapolation!AS24</f>
        <v>0.37323233376860143</v>
      </c>
      <c r="AI2" s="15">
        <f>Extrapolation!AT24</f>
        <v>0.36994010610242301</v>
      </c>
      <c r="AJ2" s="15">
        <f>Extrapolation!AU24</f>
        <v>0.36664787843624591</v>
      </c>
      <c r="AK2" s="15">
        <f>Extrapolation!AV24</f>
        <v>0.36335565077006804</v>
      </c>
      <c r="AL2" s="15">
        <f>Extrapolation!AW24</f>
        <v>0.36006342310389</v>
      </c>
      <c r="AM2" s="15">
        <f>Extrapolation!AX24</f>
        <v>0.35677119543771119</v>
      </c>
      <c r="AN2" s="15">
        <f>Extrapolation!AY24</f>
        <v>0.35347896777153248</v>
      </c>
      <c r="AO2" s="15">
        <f>Extrapolation!AZ24</f>
        <v>0.35018674010535406</v>
      </c>
      <c r="AP2" s="15">
        <f>Extrapolation!BA24</f>
        <v>0.34689451243917679</v>
      </c>
      <c r="AQ2" s="15">
        <f>Extrapolation!BB24</f>
        <v>0.34360228477299837</v>
      </c>
      <c r="AR2" s="15">
        <f>Extrapolation!BC24</f>
        <v>0.34031005710681994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About</vt:lpstr>
      <vt:lpstr>2002</vt:lpstr>
      <vt:lpstr>2007</vt:lpstr>
      <vt:lpstr>2012</vt:lpstr>
      <vt:lpstr>2017</vt:lpstr>
      <vt:lpstr>2018</vt:lpstr>
      <vt:lpstr>2020</vt:lpstr>
      <vt:lpstr>Extrapolation</vt:lpstr>
      <vt:lpstr>Deflator</vt:lpstr>
      <vt:lpstr>BSoAIGtAP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cjwdllj@163.com</cp:lastModifiedBy>
  <dcterms:created xsi:type="dcterms:W3CDTF">2022-02-11T03:24:16Z</dcterms:created>
  <dcterms:modified xsi:type="dcterms:W3CDTF">2026-03-27T06:01:56Z</dcterms:modified>
</cp:coreProperties>
</file>