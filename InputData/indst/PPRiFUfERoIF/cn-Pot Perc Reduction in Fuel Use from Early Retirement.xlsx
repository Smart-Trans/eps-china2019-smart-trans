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EPS in github\Github China\eps-china2019-smart-trans\InputData\indst\PPRiFUfERoIF\"/>
    </mc:Choice>
  </mc:AlternateContent>
  <xr:revisionPtr revIDLastSave="0" documentId="13_ncr:1_{37D83177-3D46-4257-99A2-E399E3FFA47B}" xr6:coauthVersionLast="47" xr6:coauthVersionMax="47" xr10:uidLastSave="{00000000-0000-0000-0000-000000000000}"/>
  <bookViews>
    <workbookView xWindow="-23148" yWindow="-108" windowWidth="23256" windowHeight="12456" firstSheet="8" activeTab="9" xr2:uid="{00000000-000D-0000-FFFF-FFFF00000000}"/>
  </bookViews>
  <sheets>
    <sheet name="About" sheetId="13" r:id="rId1"/>
    <sheet name="Sector &amp; Policy Match" sheetId="2" r:id="rId2"/>
    <sheet name="BIFUbC" sheetId="3" r:id="rId3"/>
    <sheet name="工业节能技术装备推荐目录" sheetId="1" r:id="rId4"/>
    <sheet name="用能设备节能分配" sheetId="4" r:id="rId5"/>
    <sheet name="Early Facility Retirement" sheetId="5" r:id="rId6"/>
    <sheet name="Installation&amp;System Integration" sheetId="7" r:id="rId7"/>
    <sheet name="Cogeneration&amp;Waste Heat Recover" sheetId="10" r:id="rId8"/>
    <sheet name="Improvement in Eqpt Efficiency" sheetId="11" r:id="rId9"/>
    <sheet name="Total 技术节能" sheetId="15" r:id="rId10"/>
    <sheet name="PPRiFUfERoIF" sheetId="6" r:id="rId11"/>
    <sheet name="PPRiFUfIIaIoE" sheetId="9" r:id="rId12"/>
    <sheet name="PPRiFUfICaWHR" sheetId="8" r:id="rId13"/>
    <sheet name="Eqpt Efficiency Standards" sheetId="12" r:id="rId14"/>
  </sheets>
  <externalReferences>
    <externalReference r:id="rId15"/>
  </externalReferences>
  <definedNames>
    <definedName name="_xlnm._FilterDatabase" localSheetId="3" hidden="1">工业节能技术装备推荐目录!$A$1:$M$249</definedName>
    <definedName name="_xlnm._FilterDatabase" localSheetId="4" hidden="1">用能设备节能分配!$N$1:$R$409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4" i="15" l="1"/>
  <c r="K64" i="15"/>
  <c r="L64" i="15"/>
  <c r="J65" i="15"/>
  <c r="K65" i="15"/>
  <c r="L65" i="15"/>
  <c r="J66" i="15"/>
  <c r="K66" i="15"/>
  <c r="L66" i="15"/>
  <c r="J67" i="15"/>
  <c r="K67" i="15"/>
  <c r="L67" i="15"/>
  <c r="J68" i="15"/>
  <c r="K68" i="15"/>
  <c r="L68" i="15"/>
  <c r="J69" i="15"/>
  <c r="K69" i="15"/>
  <c r="L69" i="15"/>
  <c r="J70" i="15"/>
  <c r="K70" i="15"/>
  <c r="L70" i="15"/>
  <c r="J71" i="15"/>
  <c r="K71" i="15"/>
  <c r="L71" i="15"/>
  <c r="J72" i="15"/>
  <c r="K72" i="15"/>
  <c r="L72" i="15"/>
  <c r="J73" i="15"/>
  <c r="K73" i="15"/>
  <c r="L73" i="15"/>
  <c r="J74" i="15"/>
  <c r="K74" i="15"/>
  <c r="L74" i="15"/>
  <c r="J75" i="15"/>
  <c r="K75" i="15"/>
  <c r="L75" i="15"/>
  <c r="J76" i="15"/>
  <c r="K76" i="15"/>
  <c r="L76" i="15"/>
  <c r="J77" i="15"/>
  <c r="K77" i="15"/>
  <c r="L77" i="15"/>
  <c r="J78" i="15"/>
  <c r="K78" i="15"/>
  <c r="L78" i="15"/>
  <c r="J79" i="15"/>
  <c r="K79" i="15"/>
  <c r="L79" i="15"/>
  <c r="J80" i="15"/>
  <c r="K80" i="15"/>
  <c r="L80" i="15"/>
  <c r="J81" i="15"/>
  <c r="K81" i="15"/>
  <c r="L81" i="15"/>
  <c r="J82" i="15"/>
  <c r="K82" i="15"/>
  <c r="L82" i="15"/>
  <c r="J83" i="15"/>
  <c r="K83" i="15"/>
  <c r="L83" i="15"/>
  <c r="J84" i="15"/>
  <c r="K84" i="15"/>
  <c r="L84" i="15"/>
  <c r="J85" i="15"/>
  <c r="K85" i="15"/>
  <c r="L85" i="15"/>
  <c r="J86" i="15"/>
  <c r="K86" i="15"/>
  <c r="L86" i="15"/>
  <c r="J87" i="15"/>
  <c r="K87" i="15"/>
  <c r="L87" i="15"/>
  <c r="J63" i="15"/>
  <c r="K63" i="15"/>
  <c r="L63" i="15"/>
  <c r="I63" i="15"/>
  <c r="J58" i="15"/>
  <c r="K58" i="15"/>
  <c r="L58" i="15"/>
  <c r="I58" i="15"/>
  <c r="I34" i="15"/>
  <c r="J34" i="15"/>
  <c r="K34" i="15"/>
  <c r="L34" i="15"/>
  <c r="I35" i="15"/>
  <c r="J35" i="15"/>
  <c r="K35" i="15"/>
  <c r="L35" i="15"/>
  <c r="I36" i="15"/>
  <c r="J36" i="15"/>
  <c r="K36" i="15"/>
  <c r="L36" i="15"/>
  <c r="I37" i="15"/>
  <c r="J37" i="15"/>
  <c r="K37" i="15"/>
  <c r="L37" i="15"/>
  <c r="I38" i="15"/>
  <c r="J38" i="15"/>
  <c r="K38" i="15"/>
  <c r="L38" i="15"/>
  <c r="I39" i="15"/>
  <c r="J39" i="15"/>
  <c r="K39" i="15"/>
  <c r="L39" i="15"/>
  <c r="I40" i="15"/>
  <c r="J40" i="15"/>
  <c r="K40" i="15"/>
  <c r="L40" i="15"/>
  <c r="I41" i="15"/>
  <c r="J41" i="15"/>
  <c r="K41" i="15"/>
  <c r="L41" i="15"/>
  <c r="I42" i="15"/>
  <c r="J42" i="15"/>
  <c r="K42" i="15"/>
  <c r="L42" i="15"/>
  <c r="I43" i="15"/>
  <c r="J43" i="15"/>
  <c r="K43" i="15"/>
  <c r="L43" i="15"/>
  <c r="I44" i="15"/>
  <c r="J44" i="15"/>
  <c r="K44" i="15"/>
  <c r="L44" i="15"/>
  <c r="I45" i="15"/>
  <c r="J45" i="15"/>
  <c r="K45" i="15"/>
  <c r="L45" i="15"/>
  <c r="I46" i="15"/>
  <c r="J46" i="15"/>
  <c r="K46" i="15"/>
  <c r="L46" i="15"/>
  <c r="I47" i="15"/>
  <c r="J47" i="15"/>
  <c r="K47" i="15"/>
  <c r="L47" i="15"/>
  <c r="I48" i="15"/>
  <c r="J48" i="15"/>
  <c r="K48" i="15"/>
  <c r="L48" i="15"/>
  <c r="I49" i="15"/>
  <c r="J49" i="15"/>
  <c r="K49" i="15"/>
  <c r="L49" i="15"/>
  <c r="I50" i="15"/>
  <c r="J50" i="15"/>
  <c r="K50" i="15"/>
  <c r="L50" i="15"/>
  <c r="I51" i="15"/>
  <c r="J51" i="15"/>
  <c r="K51" i="15"/>
  <c r="L51" i="15"/>
  <c r="I52" i="15"/>
  <c r="J52" i="15"/>
  <c r="K52" i="15"/>
  <c r="L52" i="15"/>
  <c r="I53" i="15"/>
  <c r="J53" i="15"/>
  <c r="K53" i="15"/>
  <c r="L53" i="15"/>
  <c r="I54" i="15"/>
  <c r="J54" i="15"/>
  <c r="K54" i="15"/>
  <c r="L54" i="15"/>
  <c r="I55" i="15"/>
  <c r="J55" i="15"/>
  <c r="K55" i="15"/>
  <c r="L55" i="15"/>
  <c r="I56" i="15"/>
  <c r="J56" i="15"/>
  <c r="K56" i="15"/>
  <c r="L56" i="15"/>
  <c r="I57" i="15"/>
  <c r="J57" i="15"/>
  <c r="K57" i="15"/>
  <c r="L57" i="15"/>
  <c r="J33" i="15"/>
  <c r="K33" i="15"/>
  <c r="L33" i="15"/>
  <c r="I33" i="15"/>
  <c r="K4" i="15"/>
  <c r="L4" i="15"/>
  <c r="K5" i="15"/>
  <c r="L5" i="15"/>
  <c r="K6" i="15"/>
  <c r="L6" i="15"/>
  <c r="K7" i="15"/>
  <c r="L7" i="15"/>
  <c r="K8" i="15"/>
  <c r="L8" i="15"/>
  <c r="K9" i="15"/>
  <c r="L9" i="15"/>
  <c r="K10" i="15"/>
  <c r="L10" i="15"/>
  <c r="K11" i="15"/>
  <c r="L11" i="15"/>
  <c r="K12" i="15"/>
  <c r="L12" i="15"/>
  <c r="K13" i="15"/>
  <c r="L13" i="15"/>
  <c r="K14" i="15"/>
  <c r="L14" i="15"/>
  <c r="K15" i="15"/>
  <c r="L15" i="15"/>
  <c r="K16" i="15"/>
  <c r="L16" i="15"/>
  <c r="K17" i="15"/>
  <c r="L17" i="15"/>
  <c r="K18" i="15"/>
  <c r="L18" i="15"/>
  <c r="K19" i="15"/>
  <c r="L19" i="15"/>
  <c r="K20" i="15"/>
  <c r="L20" i="15"/>
  <c r="K21" i="15"/>
  <c r="L21" i="15"/>
  <c r="K22" i="15"/>
  <c r="L22" i="15"/>
  <c r="K23" i="15"/>
  <c r="L23" i="15"/>
  <c r="K24" i="15"/>
  <c r="L24" i="15"/>
  <c r="K25" i="15"/>
  <c r="L25" i="15"/>
  <c r="K26" i="15"/>
  <c r="L26" i="15"/>
  <c r="K27" i="15"/>
  <c r="L27" i="15"/>
  <c r="L3" i="15"/>
  <c r="K3" i="15"/>
  <c r="J4" i="15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3" i="15"/>
  <c r="L28" i="15"/>
  <c r="K28" i="15"/>
  <c r="J28" i="15"/>
  <c r="H28" i="15"/>
  <c r="D28" i="15"/>
  <c r="E28" i="15"/>
  <c r="F28" i="15"/>
  <c r="G28" i="15"/>
  <c r="I28" i="15"/>
  <c r="C28" i="15"/>
  <c r="M28" i="15" s="1"/>
  <c r="B28" i="15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AQ2" i="3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T4" i="11"/>
  <c r="T5" i="11"/>
  <c r="T6" i="11"/>
  <c r="T7" i="11"/>
  <c r="T8" i="11"/>
  <c r="T9" i="11"/>
  <c r="T10" i="11"/>
  <c r="T13" i="11"/>
  <c r="T14" i="11"/>
  <c r="T15" i="11"/>
  <c r="T17" i="11"/>
  <c r="T18" i="11"/>
  <c r="T19" i="11"/>
  <c r="T20" i="11"/>
  <c r="T21" i="11"/>
  <c r="T22" i="11"/>
  <c r="T23" i="11"/>
  <c r="T24" i="11"/>
  <c r="T25" i="11"/>
  <c r="T26" i="11"/>
  <c r="T27" i="11"/>
  <c r="T3" i="11"/>
  <c r="S3" i="11"/>
  <c r="S4" i="11"/>
  <c r="S5" i="11"/>
  <c r="S6" i="11"/>
  <c r="S7" i="11"/>
  <c r="S8" i="11"/>
  <c r="S9" i="11"/>
  <c r="S10" i="11"/>
  <c r="S13" i="11"/>
  <c r="S14" i="11"/>
  <c r="S15" i="11"/>
  <c r="S17" i="11"/>
  <c r="S18" i="11"/>
  <c r="S19" i="11"/>
  <c r="S20" i="11"/>
  <c r="S21" i="11"/>
  <c r="S22" i="11"/>
  <c r="S23" i="11"/>
  <c r="S24" i="11"/>
  <c r="S25" i="11"/>
  <c r="S26" i="11"/>
  <c r="S27" i="11"/>
  <c r="R4" i="11"/>
  <c r="R5" i="11"/>
  <c r="R6" i="11"/>
  <c r="R7" i="11"/>
  <c r="R8" i="11"/>
  <c r="R9" i="11"/>
  <c r="R10" i="11"/>
  <c r="R13" i="11"/>
  <c r="R14" i="11"/>
  <c r="R15" i="11"/>
  <c r="R17" i="11"/>
  <c r="R18" i="11"/>
  <c r="R19" i="11"/>
  <c r="R20" i="11"/>
  <c r="R21" i="11"/>
  <c r="R22" i="11"/>
  <c r="R23" i="11"/>
  <c r="R24" i="11"/>
  <c r="R25" i="11"/>
  <c r="R26" i="11"/>
  <c r="R27" i="11"/>
  <c r="R3" i="11"/>
  <c r="Q4" i="11"/>
  <c r="Q5" i="11"/>
  <c r="Q6" i="11"/>
  <c r="Q7" i="11"/>
  <c r="Q8" i="11"/>
  <c r="Q9" i="11"/>
  <c r="Q10" i="11"/>
  <c r="Q13" i="11"/>
  <c r="Q14" i="11"/>
  <c r="Q15" i="11"/>
  <c r="Q17" i="11"/>
  <c r="Q18" i="11"/>
  <c r="Q19" i="11"/>
  <c r="Q20" i="11"/>
  <c r="Q21" i="11"/>
  <c r="Q24" i="11"/>
  <c r="Q25" i="11"/>
  <c r="Q26" i="11"/>
  <c r="Q27" i="11"/>
  <c r="Q3" i="11"/>
  <c r="P4" i="10"/>
  <c r="P5" i="10"/>
  <c r="P6" i="10"/>
  <c r="P7" i="10"/>
  <c r="P8" i="10"/>
  <c r="P9" i="10"/>
  <c r="P10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4" i="11"/>
  <c r="P5" i="11"/>
  <c r="P6" i="11"/>
  <c r="P7" i="11"/>
  <c r="P8" i="11"/>
  <c r="P9" i="11"/>
  <c r="P10" i="11"/>
  <c r="P13" i="11"/>
  <c r="P14" i="11"/>
  <c r="P15" i="11"/>
  <c r="P17" i="11"/>
  <c r="P18" i="11"/>
  <c r="P19" i="11"/>
  <c r="P20" i="11"/>
  <c r="P21" i="11"/>
  <c r="P24" i="11"/>
  <c r="P25" i="11"/>
  <c r="P26" i="11"/>
  <c r="P27" i="11"/>
  <c r="P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4" i="11"/>
  <c r="O25" i="11"/>
  <c r="O26" i="11"/>
  <c r="O27" i="11"/>
  <c r="O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3" i="11"/>
  <c r="M4" i="11"/>
  <c r="M5" i="11"/>
  <c r="M6" i="11"/>
  <c r="M7" i="11"/>
  <c r="M8" i="11"/>
  <c r="M9" i="11"/>
  <c r="M10" i="11"/>
  <c r="M13" i="11"/>
  <c r="M14" i="11"/>
  <c r="M15" i="11"/>
  <c r="M17" i="11"/>
  <c r="M18" i="11"/>
  <c r="M19" i="11"/>
  <c r="M20" i="11"/>
  <c r="M21" i="11"/>
  <c r="M24" i="11"/>
  <c r="M25" i="11"/>
  <c r="M26" i="11"/>
  <c r="M27" i="11"/>
  <c r="M3" i="11"/>
  <c r="T4" i="10"/>
  <c r="T5" i="10"/>
  <c r="T6" i="10"/>
  <c r="T7" i="10"/>
  <c r="T8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3" i="10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3" i="10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3" i="10"/>
  <c r="Q4" i="10"/>
  <c r="Q5" i="10"/>
  <c r="Q6" i="10"/>
  <c r="Q7" i="10"/>
  <c r="Q8" i="10"/>
  <c r="Q9" i="10"/>
  <c r="Q10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3" i="10"/>
  <c r="P3" i="10"/>
  <c r="O4" i="10"/>
  <c r="O5" i="10"/>
  <c r="O6" i="10"/>
  <c r="O7" i="10"/>
  <c r="O8" i="10"/>
  <c r="O9" i="10"/>
  <c r="O10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3" i="10"/>
  <c r="M4" i="10"/>
  <c r="M5" i="10"/>
  <c r="M6" i="10"/>
  <c r="M7" i="10"/>
  <c r="M8" i="10"/>
  <c r="M9" i="10"/>
  <c r="M10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3" i="10"/>
  <c r="S4" i="7"/>
  <c r="T4" i="7"/>
  <c r="S5" i="7"/>
  <c r="T5" i="7"/>
  <c r="S6" i="7"/>
  <c r="T6" i="7"/>
  <c r="S7" i="7"/>
  <c r="T7" i="7"/>
  <c r="S8" i="7"/>
  <c r="T8" i="7"/>
  <c r="S9" i="7"/>
  <c r="T9" i="7"/>
  <c r="S10" i="7"/>
  <c r="T10" i="7"/>
  <c r="S11" i="7"/>
  <c r="T11" i="7"/>
  <c r="S12" i="7"/>
  <c r="T12" i="7"/>
  <c r="S13" i="7"/>
  <c r="T13" i="7"/>
  <c r="S14" i="7"/>
  <c r="T14" i="7"/>
  <c r="S15" i="7"/>
  <c r="T15" i="7"/>
  <c r="S16" i="7"/>
  <c r="T16" i="7"/>
  <c r="S17" i="7"/>
  <c r="T17" i="7"/>
  <c r="S18" i="7"/>
  <c r="T18" i="7"/>
  <c r="S19" i="7"/>
  <c r="T19" i="7"/>
  <c r="S20" i="7"/>
  <c r="T20" i="7"/>
  <c r="S21" i="7"/>
  <c r="T21" i="7"/>
  <c r="S22" i="7"/>
  <c r="T22" i="7"/>
  <c r="S23" i="7"/>
  <c r="T23" i="7"/>
  <c r="S24" i="7"/>
  <c r="T24" i="7"/>
  <c r="S25" i="7"/>
  <c r="T25" i="7"/>
  <c r="S26" i="7"/>
  <c r="T26" i="7"/>
  <c r="S27" i="7"/>
  <c r="T27" i="7"/>
  <c r="T3" i="7"/>
  <c r="S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3" i="7"/>
  <c r="S4" i="5"/>
  <c r="T4" i="5"/>
  <c r="I4" i="15" s="1"/>
  <c r="S5" i="5"/>
  <c r="H5" i="15" s="1"/>
  <c r="T5" i="5"/>
  <c r="S6" i="5"/>
  <c r="H6" i="15" s="1"/>
  <c r="T6" i="5"/>
  <c r="I6" i="15" s="1"/>
  <c r="S7" i="5"/>
  <c r="H7" i="15" s="1"/>
  <c r="T7" i="5"/>
  <c r="I7" i="15" s="1"/>
  <c r="S8" i="5"/>
  <c r="H8" i="15" s="1"/>
  <c r="T8" i="5"/>
  <c r="I8" i="15" s="1"/>
  <c r="S9" i="5"/>
  <c r="H9" i="15" s="1"/>
  <c r="T9" i="5"/>
  <c r="S10" i="5"/>
  <c r="T10" i="5"/>
  <c r="I10" i="15" s="1"/>
  <c r="S13" i="5"/>
  <c r="H13" i="15" s="1"/>
  <c r="T13" i="5"/>
  <c r="I13" i="15" s="1"/>
  <c r="S14" i="5"/>
  <c r="T14" i="5"/>
  <c r="I14" i="15" s="1"/>
  <c r="S15" i="5"/>
  <c r="H15" i="15" s="1"/>
  <c r="T15" i="5"/>
  <c r="S18" i="5"/>
  <c r="H18" i="15" s="1"/>
  <c r="T18" i="5"/>
  <c r="I18" i="15" s="1"/>
  <c r="S19" i="5"/>
  <c r="H19" i="15" s="1"/>
  <c r="T19" i="5"/>
  <c r="I19" i="15" s="1"/>
  <c r="S20" i="5"/>
  <c r="T20" i="5"/>
  <c r="S21" i="5"/>
  <c r="T21" i="5"/>
  <c r="S22" i="5"/>
  <c r="H22" i="15" s="1"/>
  <c r="T22" i="5"/>
  <c r="I22" i="15" s="1"/>
  <c r="S23" i="5"/>
  <c r="H23" i="15" s="1"/>
  <c r="T23" i="5"/>
  <c r="I23" i="15" s="1"/>
  <c r="S24" i="5"/>
  <c r="H24" i="15" s="1"/>
  <c r="T24" i="5"/>
  <c r="I24" i="15" s="1"/>
  <c r="S25" i="5"/>
  <c r="H25" i="15" s="1"/>
  <c r="T25" i="5"/>
  <c r="I25" i="15" s="1"/>
  <c r="S26" i="5"/>
  <c r="H26" i="15" s="1"/>
  <c r="T26" i="5"/>
  <c r="I26" i="15" s="1"/>
  <c r="S27" i="5"/>
  <c r="H27" i="15" s="1"/>
  <c r="T27" i="5"/>
  <c r="I27" i="15" s="1"/>
  <c r="T3" i="5"/>
  <c r="S3" i="5"/>
  <c r="R4" i="5"/>
  <c r="G4" i="15" s="1"/>
  <c r="R5" i="5"/>
  <c r="R6" i="5"/>
  <c r="G6" i="15" s="1"/>
  <c r="R7" i="5"/>
  <c r="G7" i="15" s="1"/>
  <c r="R8" i="5"/>
  <c r="G8" i="15" s="1"/>
  <c r="R9" i="5"/>
  <c r="G9" i="15" s="1"/>
  <c r="R10" i="5"/>
  <c r="G10" i="15" s="1"/>
  <c r="R13" i="5"/>
  <c r="G13" i="15" s="1"/>
  <c r="R14" i="5"/>
  <c r="G14" i="15" s="1"/>
  <c r="R18" i="5"/>
  <c r="G18" i="15" s="1"/>
  <c r="R19" i="5"/>
  <c r="R20" i="5"/>
  <c r="G20" i="15" s="1"/>
  <c r="R21" i="5"/>
  <c r="G21" i="15" s="1"/>
  <c r="R22" i="5"/>
  <c r="G22" i="15" s="1"/>
  <c r="R23" i="5"/>
  <c r="G23" i="15" s="1"/>
  <c r="R24" i="5"/>
  <c r="R25" i="5"/>
  <c r="R26" i="5"/>
  <c r="G26" i="15" s="1"/>
  <c r="R27" i="5"/>
  <c r="R3" i="5"/>
  <c r="G3" i="15" s="1"/>
  <c r="Q4" i="5"/>
  <c r="F4" i="15" s="1"/>
  <c r="Q5" i="5"/>
  <c r="F5" i="15" s="1"/>
  <c r="Q6" i="5"/>
  <c r="F6" i="15" s="1"/>
  <c r="Q7" i="5"/>
  <c r="Q8" i="5"/>
  <c r="Q9" i="5"/>
  <c r="F9" i="15" s="1"/>
  <c r="Q10" i="5"/>
  <c r="Q13" i="5"/>
  <c r="F13" i="15" s="1"/>
  <c r="Q14" i="5"/>
  <c r="F14" i="15" s="1"/>
  <c r="Q18" i="5"/>
  <c r="F18" i="15" s="1"/>
  <c r="Q19" i="5"/>
  <c r="Q20" i="5"/>
  <c r="Q21" i="5"/>
  <c r="F21" i="15" s="1"/>
  <c r="Q22" i="5"/>
  <c r="Q23" i="5"/>
  <c r="Q24" i="5"/>
  <c r="Q25" i="5"/>
  <c r="F25" i="15" s="1"/>
  <c r="Q26" i="5"/>
  <c r="F26" i="15" s="1"/>
  <c r="Q27" i="5"/>
  <c r="Q3" i="5"/>
  <c r="P4" i="5"/>
  <c r="E4" i="15" s="1"/>
  <c r="P5" i="5"/>
  <c r="P6" i="5"/>
  <c r="E6" i="15" s="1"/>
  <c r="P7" i="5"/>
  <c r="P8" i="5"/>
  <c r="E8" i="15" s="1"/>
  <c r="P9" i="5"/>
  <c r="E9" i="15" s="1"/>
  <c r="P10" i="5"/>
  <c r="P13" i="5"/>
  <c r="P14" i="5"/>
  <c r="E14" i="15" s="1"/>
  <c r="P18" i="5"/>
  <c r="E18" i="15" s="1"/>
  <c r="P19" i="5"/>
  <c r="E19" i="15" s="1"/>
  <c r="P20" i="5"/>
  <c r="E20" i="15" s="1"/>
  <c r="P21" i="5"/>
  <c r="P22" i="5"/>
  <c r="P23" i="5"/>
  <c r="P24" i="5"/>
  <c r="E24" i="15" s="1"/>
  <c r="P25" i="5"/>
  <c r="E25" i="15" s="1"/>
  <c r="P26" i="5"/>
  <c r="P27" i="5"/>
  <c r="E27" i="15" s="1"/>
  <c r="P3" i="5"/>
  <c r="E3" i="15" s="1"/>
  <c r="O4" i="5"/>
  <c r="D4" i="15" s="1"/>
  <c r="O5" i="5"/>
  <c r="D5" i="15" s="1"/>
  <c r="O6" i="5"/>
  <c r="O7" i="5"/>
  <c r="D7" i="15" s="1"/>
  <c r="O8" i="5"/>
  <c r="D8" i="15" s="1"/>
  <c r="O9" i="5"/>
  <c r="O10" i="5"/>
  <c r="O11" i="5"/>
  <c r="O12" i="5"/>
  <c r="O13" i="5"/>
  <c r="D13" i="15" s="1"/>
  <c r="O14" i="5"/>
  <c r="O17" i="5"/>
  <c r="O18" i="5"/>
  <c r="D18" i="15" s="1"/>
  <c r="O19" i="5"/>
  <c r="D19" i="15" s="1"/>
  <c r="O20" i="5"/>
  <c r="O21" i="5"/>
  <c r="D21" i="15" s="1"/>
  <c r="O22" i="5"/>
  <c r="O23" i="5"/>
  <c r="O24" i="5"/>
  <c r="O25" i="5"/>
  <c r="D25" i="15" s="1"/>
  <c r="O26" i="5"/>
  <c r="D26" i="15" s="1"/>
  <c r="O27" i="5"/>
  <c r="D27" i="15" s="1"/>
  <c r="O3" i="5"/>
  <c r="N4" i="5"/>
  <c r="C4" i="15" s="1"/>
  <c r="N5" i="5"/>
  <c r="N6" i="5"/>
  <c r="C6" i="15" s="1"/>
  <c r="N7" i="5"/>
  <c r="N8" i="5"/>
  <c r="C8" i="15" s="1"/>
  <c r="N9" i="5"/>
  <c r="C9" i="15" s="1"/>
  <c r="N10" i="5"/>
  <c r="N11" i="5"/>
  <c r="N12" i="5"/>
  <c r="C12" i="15" s="1"/>
  <c r="N13" i="5"/>
  <c r="N14" i="5"/>
  <c r="C14" i="15" s="1"/>
  <c r="N17" i="5"/>
  <c r="N18" i="5"/>
  <c r="N19" i="5"/>
  <c r="N20" i="5"/>
  <c r="C20" i="15" s="1"/>
  <c r="N21" i="5"/>
  <c r="N22" i="5"/>
  <c r="C22" i="15" s="1"/>
  <c r="N23" i="5"/>
  <c r="C23" i="15" s="1"/>
  <c r="N24" i="5"/>
  <c r="C24" i="15" s="1"/>
  <c r="N25" i="5"/>
  <c r="N26" i="5"/>
  <c r="N27" i="5"/>
  <c r="N3" i="5"/>
  <c r="C3" i="15" s="1"/>
  <c r="M4" i="5"/>
  <c r="M5" i="5"/>
  <c r="B5" i="15" s="1"/>
  <c r="M6" i="5"/>
  <c r="B6" i="15" s="1"/>
  <c r="M7" i="5"/>
  <c r="B7" i="15" s="1"/>
  <c r="M8" i="5"/>
  <c r="M9" i="5"/>
  <c r="M10" i="5"/>
  <c r="M13" i="5"/>
  <c r="B13" i="15" s="1"/>
  <c r="M14" i="5"/>
  <c r="B14" i="15" s="1"/>
  <c r="M18" i="5"/>
  <c r="B18" i="15" s="1"/>
  <c r="M19" i="5"/>
  <c r="B19" i="15" s="1"/>
  <c r="M20" i="5"/>
  <c r="B20" i="15" s="1"/>
  <c r="M21" i="5"/>
  <c r="B21" i="15" s="1"/>
  <c r="M22" i="5"/>
  <c r="M23" i="5"/>
  <c r="M24" i="5"/>
  <c r="B24" i="15" s="1"/>
  <c r="M25" i="5"/>
  <c r="B25" i="15" s="1"/>
  <c r="M26" i="5"/>
  <c r="B26" i="15" s="1"/>
  <c r="M27" i="5"/>
  <c r="B27" i="15" s="1"/>
  <c r="M3" i="5"/>
  <c r="B3" i="15" s="1"/>
  <c r="B33" i="15" s="1"/>
  <c r="M4" i="15" l="1"/>
  <c r="C13" i="15"/>
  <c r="C5" i="15"/>
  <c r="E21" i="15"/>
  <c r="E7" i="15"/>
  <c r="F24" i="15"/>
  <c r="C11" i="15"/>
  <c r="D20" i="15"/>
  <c r="G19" i="15"/>
  <c r="G5" i="15"/>
  <c r="I21" i="15"/>
  <c r="I15" i="15"/>
  <c r="I9" i="15"/>
  <c r="I5" i="15"/>
  <c r="D3" i="15"/>
  <c r="M3" i="15" s="1"/>
  <c r="E26" i="15"/>
  <c r="B10" i="15"/>
  <c r="F8" i="15"/>
  <c r="M8" i="15" s="1"/>
  <c r="H21" i="15"/>
  <c r="F10" i="15"/>
  <c r="C19" i="15"/>
  <c r="G25" i="15"/>
  <c r="B9" i="15"/>
  <c r="C18" i="15"/>
  <c r="M18" i="15" s="1"/>
  <c r="D17" i="15"/>
  <c r="F20" i="15"/>
  <c r="G24" i="15"/>
  <c r="H3" i="15"/>
  <c r="I20" i="15"/>
  <c r="B4" i="15"/>
  <c r="C21" i="15"/>
  <c r="M21" i="15" s="1"/>
  <c r="D10" i="15"/>
  <c r="G27" i="15"/>
  <c r="H10" i="15"/>
  <c r="C10" i="15"/>
  <c r="D9" i="15"/>
  <c r="M9" i="15" s="1"/>
  <c r="E5" i="15"/>
  <c r="C27" i="15"/>
  <c r="M27" i="15" s="1"/>
  <c r="C26" i="15"/>
  <c r="E13" i="15"/>
  <c r="F3" i="15"/>
  <c r="F7" i="15"/>
  <c r="B8" i="15"/>
  <c r="C25" i="15"/>
  <c r="C17" i="15"/>
  <c r="C7" i="15"/>
  <c r="M7" i="15" s="1"/>
  <c r="D24" i="15"/>
  <c r="M24" i="15" s="1"/>
  <c r="D14" i="15"/>
  <c r="M14" i="15" s="1"/>
  <c r="D6" i="15"/>
  <c r="M6" i="15" s="1"/>
  <c r="E10" i="15"/>
  <c r="F27" i="15"/>
  <c r="F19" i="15"/>
  <c r="I3" i="15"/>
  <c r="H20" i="15"/>
  <c r="H14" i="15"/>
  <c r="H4" i="15"/>
  <c r="M28" i="7"/>
  <c r="C63" i="15"/>
  <c r="B2" i="12"/>
  <c r="D2" i="12" s="1"/>
  <c r="N28" i="11"/>
  <c r="R28" i="10"/>
  <c r="T28" i="10"/>
  <c r="N28" i="10"/>
  <c r="S28" i="10"/>
  <c r="O28" i="7"/>
  <c r="R28" i="7"/>
  <c r="T28" i="7"/>
  <c r="S28" i="7"/>
  <c r="N28" i="7"/>
  <c r="Q28" i="7"/>
  <c r="P28" i="7"/>
  <c r="M19" i="15" l="1"/>
  <c r="M20" i="15"/>
  <c r="M26" i="15"/>
  <c r="M25" i="15"/>
  <c r="M10" i="15"/>
  <c r="M5" i="15"/>
  <c r="M13" i="15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2" i="4"/>
  <c r="L2" i="1"/>
  <c r="K242" i="1" l="1"/>
  <c r="K241" i="1"/>
  <c r="K240" i="1"/>
  <c r="K245" i="1"/>
  <c r="K246" i="1"/>
  <c r="K244" i="1"/>
  <c r="K225" i="1"/>
  <c r="K236" i="1"/>
  <c r="K235" i="1"/>
  <c r="K234" i="1"/>
  <c r="K227" i="1"/>
  <c r="K232" i="1"/>
  <c r="K231" i="1"/>
  <c r="K230" i="1"/>
  <c r="K229" i="1"/>
  <c r="K226" i="1"/>
  <c r="K181" i="1"/>
  <c r="K180" i="1"/>
  <c r="K178" i="1"/>
  <c r="K177" i="1"/>
  <c r="K168" i="1"/>
  <c r="K174" i="1"/>
  <c r="K173" i="1"/>
  <c r="K169" i="1"/>
  <c r="K123" i="1"/>
  <c r="K124" i="1"/>
  <c r="K15" i="1"/>
  <c r="S16" i="5" l="1"/>
  <c r="T16" i="5"/>
  <c r="P12" i="5"/>
  <c r="S12" i="5"/>
  <c r="T12" i="5"/>
  <c r="R12" i="5"/>
  <c r="Q12" i="5"/>
  <c r="Q12" i="11"/>
  <c r="T12" i="11"/>
  <c r="P12" i="11"/>
  <c r="S12" i="11"/>
  <c r="R12" i="11"/>
  <c r="T11" i="11"/>
  <c r="P11" i="11"/>
  <c r="S11" i="11"/>
  <c r="R11" i="11"/>
  <c r="Q11" i="11"/>
  <c r="P17" i="5"/>
  <c r="E17" i="15" s="1"/>
  <c r="R17" i="5"/>
  <c r="G17" i="15" s="1"/>
  <c r="Q17" i="5"/>
  <c r="F17" i="15" s="1"/>
  <c r="S17" i="5"/>
  <c r="H17" i="15" s="1"/>
  <c r="T17" i="5"/>
  <c r="I17" i="15" s="1"/>
  <c r="S11" i="5"/>
  <c r="R11" i="5"/>
  <c r="Q11" i="5"/>
  <c r="T11" i="5"/>
  <c r="P11" i="5"/>
  <c r="R15" i="5"/>
  <c r="G15" i="15" s="1"/>
  <c r="O15" i="5"/>
  <c r="N15" i="5"/>
  <c r="P15" i="5"/>
  <c r="E15" i="15" s="1"/>
  <c r="Q15" i="5"/>
  <c r="F15" i="15" s="1"/>
  <c r="S16" i="11"/>
  <c r="R16" i="11"/>
  <c r="Q16" i="11"/>
  <c r="T16" i="11"/>
  <c r="P16" i="11"/>
  <c r="Q12" i="10"/>
  <c r="P12" i="10"/>
  <c r="O12" i="10"/>
  <c r="D12" i="15" s="1"/>
  <c r="Q11" i="10"/>
  <c r="P11" i="10"/>
  <c r="O11" i="10"/>
  <c r="K16" i="1"/>
  <c r="K102" i="1"/>
  <c r="K2" i="4"/>
  <c r="K103" i="1"/>
  <c r="M17" i="15" l="1"/>
  <c r="S28" i="11"/>
  <c r="F12" i="15"/>
  <c r="Q28" i="10"/>
  <c r="D11" i="15"/>
  <c r="O28" i="10"/>
  <c r="G11" i="15"/>
  <c r="R28" i="11"/>
  <c r="O23" i="11"/>
  <c r="D23" i="15" s="1"/>
  <c r="Q23" i="11"/>
  <c r="F23" i="15" s="1"/>
  <c r="P23" i="11"/>
  <c r="E23" i="15" s="1"/>
  <c r="H11" i="15"/>
  <c r="S28" i="5"/>
  <c r="C15" i="15"/>
  <c r="M15" i="15" s="1"/>
  <c r="G12" i="15"/>
  <c r="Q22" i="11"/>
  <c r="F22" i="15" s="1"/>
  <c r="P22" i="11"/>
  <c r="E22" i="15" s="1"/>
  <c r="O22" i="11"/>
  <c r="D15" i="15"/>
  <c r="T28" i="11"/>
  <c r="I12" i="15"/>
  <c r="O16" i="5"/>
  <c r="D16" i="15" s="1"/>
  <c r="Q16" i="5"/>
  <c r="F16" i="15" s="1"/>
  <c r="N16" i="5"/>
  <c r="C16" i="15" s="1"/>
  <c r="M16" i="15" s="1"/>
  <c r="P16" i="5"/>
  <c r="E16" i="15" s="1"/>
  <c r="R16" i="5"/>
  <c r="G16" i="15" s="1"/>
  <c r="H12" i="15"/>
  <c r="E11" i="15"/>
  <c r="E12" i="15"/>
  <c r="P28" i="10"/>
  <c r="I11" i="15"/>
  <c r="T28" i="5"/>
  <c r="I16" i="15"/>
  <c r="F11" i="15"/>
  <c r="H16" i="15"/>
  <c r="L130" i="1"/>
  <c r="L131" i="1"/>
  <c r="L132" i="1"/>
  <c r="L133" i="1"/>
  <c r="L134" i="1"/>
  <c r="L135" i="1"/>
  <c r="L129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5" i="1"/>
  <c r="L126" i="1"/>
  <c r="L127" i="1"/>
  <c r="L128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70" i="1"/>
  <c r="L171" i="1"/>
  <c r="L172" i="1"/>
  <c r="L175" i="1"/>
  <c r="L176" i="1"/>
  <c r="L179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8" i="1"/>
  <c r="L233" i="1"/>
  <c r="L237" i="1"/>
  <c r="L238" i="1"/>
  <c r="L239" i="1"/>
  <c r="L241" i="1"/>
  <c r="L243" i="1"/>
  <c r="L247" i="1"/>
  <c r="L248" i="1"/>
  <c r="L249" i="1"/>
  <c r="L65" i="1"/>
  <c r="D65" i="1"/>
  <c r="L3" i="1"/>
  <c r="L4" i="1"/>
  <c r="L5" i="1"/>
  <c r="L6" i="1"/>
  <c r="L7" i="1"/>
  <c r="L8" i="1"/>
  <c r="L9" i="1"/>
  <c r="L10" i="1"/>
  <c r="L11" i="1"/>
  <c r="L12" i="1"/>
  <c r="L13" i="1"/>
  <c r="L14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O307" i="4"/>
  <c r="O407" i="4" s="1"/>
  <c r="O308" i="4"/>
  <c r="O408" i="4" s="1"/>
  <c r="O309" i="4"/>
  <c r="O409" i="4" s="1"/>
  <c r="O303" i="4"/>
  <c r="O403" i="4" s="1"/>
  <c r="O304" i="4"/>
  <c r="O404" i="4" s="1"/>
  <c r="O305" i="4"/>
  <c r="O405" i="4" s="1"/>
  <c r="O299" i="4"/>
  <c r="O399" i="4" s="1"/>
  <c r="O300" i="4"/>
  <c r="O400" i="4" s="1"/>
  <c r="O301" i="4"/>
  <c r="O401" i="4" s="1"/>
  <c r="O295" i="4"/>
  <c r="O395" i="4" s="1"/>
  <c r="O296" i="4"/>
  <c r="O396" i="4" s="1"/>
  <c r="O297" i="4"/>
  <c r="O397" i="4" s="1"/>
  <c r="O291" i="4"/>
  <c r="O391" i="4" s="1"/>
  <c r="O292" i="4"/>
  <c r="O392" i="4" s="1"/>
  <c r="O293" i="4"/>
  <c r="O393" i="4" s="1"/>
  <c r="O287" i="4"/>
  <c r="O387" i="4" s="1"/>
  <c r="O288" i="4"/>
  <c r="O388" i="4" s="1"/>
  <c r="O289" i="4"/>
  <c r="O389" i="4" s="1"/>
  <c r="O283" i="4"/>
  <c r="O383" i="4" s="1"/>
  <c r="O284" i="4"/>
  <c r="O384" i="4" s="1"/>
  <c r="O285" i="4"/>
  <c r="O385" i="4" s="1"/>
  <c r="O286" i="4"/>
  <c r="O386" i="4" s="1"/>
  <c r="O279" i="4"/>
  <c r="O379" i="4" s="1"/>
  <c r="O280" i="4"/>
  <c r="O380" i="4" s="1"/>
  <c r="O281" i="4"/>
  <c r="O381" i="4" s="1"/>
  <c r="O275" i="4"/>
  <c r="O375" i="4" s="1"/>
  <c r="O276" i="4"/>
  <c r="O376" i="4" s="1"/>
  <c r="O277" i="4"/>
  <c r="O377" i="4" s="1"/>
  <c r="O271" i="4"/>
  <c r="O371" i="4" s="1"/>
  <c r="O272" i="4"/>
  <c r="O372" i="4" s="1"/>
  <c r="O273" i="4"/>
  <c r="O373" i="4" s="1"/>
  <c r="O267" i="4"/>
  <c r="O367" i="4" s="1"/>
  <c r="O268" i="4"/>
  <c r="O368" i="4" s="1"/>
  <c r="O269" i="4"/>
  <c r="O369" i="4" s="1"/>
  <c r="O263" i="4"/>
  <c r="O363" i="4" s="1"/>
  <c r="O264" i="4"/>
  <c r="O364" i="4" s="1"/>
  <c r="O265" i="4"/>
  <c r="O365" i="4" s="1"/>
  <c r="O259" i="4"/>
  <c r="O359" i="4" s="1"/>
  <c r="O260" i="4"/>
  <c r="O360" i="4" s="1"/>
  <c r="O261" i="4"/>
  <c r="O361" i="4" s="1"/>
  <c r="O255" i="4"/>
  <c r="O355" i="4" s="1"/>
  <c r="O256" i="4"/>
  <c r="O356" i="4" s="1"/>
  <c r="O257" i="4"/>
  <c r="O357" i="4" s="1"/>
  <c r="O251" i="4"/>
  <c r="O351" i="4" s="1"/>
  <c r="O252" i="4"/>
  <c r="O352" i="4" s="1"/>
  <c r="O253" i="4"/>
  <c r="O353" i="4" s="1"/>
  <c r="O247" i="4"/>
  <c r="O347" i="4" s="1"/>
  <c r="O248" i="4"/>
  <c r="O348" i="4" s="1"/>
  <c r="O249" i="4"/>
  <c r="O349" i="4" s="1"/>
  <c r="O243" i="4"/>
  <c r="O343" i="4" s="1"/>
  <c r="O244" i="4"/>
  <c r="O344" i="4" s="1"/>
  <c r="O245" i="4"/>
  <c r="O345" i="4" s="1"/>
  <c r="O239" i="4"/>
  <c r="O339" i="4" s="1"/>
  <c r="O240" i="4"/>
  <c r="O340" i="4" s="1"/>
  <c r="O241" i="4"/>
  <c r="O341" i="4" s="1"/>
  <c r="O235" i="4"/>
  <c r="O335" i="4" s="1"/>
  <c r="O236" i="4"/>
  <c r="O336" i="4" s="1"/>
  <c r="O237" i="4"/>
  <c r="O337" i="4" s="1"/>
  <c r="O231" i="4"/>
  <c r="O331" i="4" s="1"/>
  <c r="O232" i="4"/>
  <c r="O332" i="4" s="1"/>
  <c r="O233" i="4"/>
  <c r="O333" i="4" s="1"/>
  <c r="O227" i="4"/>
  <c r="O327" i="4" s="1"/>
  <c r="O228" i="4"/>
  <c r="O328" i="4" s="1"/>
  <c r="O229" i="4"/>
  <c r="O329" i="4" s="1"/>
  <c r="O223" i="4"/>
  <c r="O323" i="4" s="1"/>
  <c r="O224" i="4"/>
  <c r="O324" i="4" s="1"/>
  <c r="O225" i="4"/>
  <c r="O325" i="4" s="1"/>
  <c r="O219" i="4"/>
  <c r="O319" i="4" s="1"/>
  <c r="O220" i="4"/>
  <c r="O320" i="4" s="1"/>
  <c r="O221" i="4"/>
  <c r="O321" i="4" s="1"/>
  <c r="O215" i="4"/>
  <c r="O315" i="4" s="1"/>
  <c r="O216" i="4"/>
  <c r="O316" i="4" s="1"/>
  <c r="O217" i="4"/>
  <c r="O317" i="4" s="1"/>
  <c r="O211" i="4"/>
  <c r="O311" i="4" s="1"/>
  <c r="O212" i="4"/>
  <c r="O312" i="4" s="1"/>
  <c r="O213" i="4"/>
  <c r="O313" i="4" s="1"/>
  <c r="O306" i="4"/>
  <c r="O406" i="4" s="1"/>
  <c r="O302" i="4"/>
  <c r="O402" i="4" s="1"/>
  <c r="O298" i="4"/>
  <c r="O398" i="4" s="1"/>
  <c r="O294" i="4"/>
  <c r="O394" i="4" s="1"/>
  <c r="O290" i="4"/>
  <c r="O390" i="4" s="1"/>
  <c r="O282" i="4"/>
  <c r="O382" i="4" s="1"/>
  <c r="O278" i="4"/>
  <c r="O378" i="4" s="1"/>
  <c r="O274" i="4"/>
  <c r="O374" i="4" s="1"/>
  <c r="O270" i="4"/>
  <c r="O370" i="4" s="1"/>
  <c r="O266" i="4"/>
  <c r="O366" i="4" s="1"/>
  <c r="O262" i="4"/>
  <c r="O362" i="4" s="1"/>
  <c r="O258" i="4"/>
  <c r="O358" i="4" s="1"/>
  <c r="O254" i="4"/>
  <c r="O354" i="4" s="1"/>
  <c r="O250" i="4"/>
  <c r="O350" i="4" s="1"/>
  <c r="O246" i="4"/>
  <c r="O346" i="4" s="1"/>
  <c r="O242" i="4"/>
  <c r="O342" i="4" s="1"/>
  <c r="O238" i="4"/>
  <c r="O338" i="4" s="1"/>
  <c r="O234" i="4"/>
  <c r="O334" i="4" s="1"/>
  <c r="O230" i="4"/>
  <c r="O330" i="4" s="1"/>
  <c r="O226" i="4"/>
  <c r="O326" i="4" s="1"/>
  <c r="O222" i="4"/>
  <c r="O322" i="4" s="1"/>
  <c r="O218" i="4"/>
  <c r="O318" i="4" s="1"/>
  <c r="O214" i="4"/>
  <c r="O314" i="4" s="1"/>
  <c r="O210" i="4"/>
  <c r="O310" i="4" s="1"/>
  <c r="N207" i="4"/>
  <c r="N208" i="4"/>
  <c r="N209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194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6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46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30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1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94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7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58" i="4"/>
  <c r="N55" i="4"/>
  <c r="N56" i="4"/>
  <c r="N57" i="4"/>
  <c r="N54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26" i="4"/>
  <c r="P7" i="4"/>
  <c r="P8" i="4"/>
  <c r="P9" i="4"/>
  <c r="P6" i="4"/>
  <c r="I3" i="4"/>
  <c r="O5" i="4" s="1"/>
  <c r="I4" i="4"/>
  <c r="I5" i="4"/>
  <c r="O12" i="4" s="1"/>
  <c r="I6" i="4"/>
  <c r="I7" i="4"/>
  <c r="I8" i="4"/>
  <c r="I9" i="4"/>
  <c r="O28" i="4" s="1"/>
  <c r="I10" i="4"/>
  <c r="I11" i="4"/>
  <c r="O36" i="4" s="1"/>
  <c r="I12" i="4"/>
  <c r="O40" i="4" s="1"/>
  <c r="I13" i="4"/>
  <c r="O44" i="4" s="1"/>
  <c r="I14" i="4"/>
  <c r="I15" i="4"/>
  <c r="I16" i="4"/>
  <c r="I17" i="4"/>
  <c r="I18" i="4"/>
  <c r="I19" i="4"/>
  <c r="O60" i="4" s="1"/>
  <c r="I20" i="4"/>
  <c r="O62" i="4" s="1"/>
  <c r="I21" i="4"/>
  <c r="O67" i="4" s="1"/>
  <c r="I22" i="4"/>
  <c r="I23" i="4"/>
  <c r="I24" i="4"/>
  <c r="I25" i="4"/>
  <c r="O84" i="4" s="1"/>
  <c r="I26" i="4"/>
  <c r="I27" i="4"/>
  <c r="I28" i="4"/>
  <c r="I29" i="4"/>
  <c r="I30" i="4"/>
  <c r="I31" i="4"/>
  <c r="I32" i="4"/>
  <c r="O108" i="4" s="1"/>
  <c r="I33" i="4"/>
  <c r="I34" i="4"/>
  <c r="I35" i="4"/>
  <c r="I36" i="4"/>
  <c r="I37" i="4"/>
  <c r="O124" i="4" s="1"/>
  <c r="I38" i="4"/>
  <c r="I39" i="4"/>
  <c r="I40" i="4"/>
  <c r="O137" i="4" s="1"/>
  <c r="I41" i="4"/>
  <c r="I42" i="4"/>
  <c r="O144" i="4" s="1"/>
  <c r="I43" i="4"/>
  <c r="I44" i="4"/>
  <c r="I45" i="4"/>
  <c r="I46" i="4"/>
  <c r="I47" i="4"/>
  <c r="I48" i="4"/>
  <c r="O163" i="4" s="1"/>
  <c r="I49" i="4"/>
  <c r="O169" i="4" s="1"/>
  <c r="I50" i="4"/>
  <c r="I51" i="4"/>
  <c r="O177" i="4" s="1"/>
  <c r="I52" i="4"/>
  <c r="I53" i="4"/>
  <c r="I54" i="4"/>
  <c r="I55" i="4"/>
  <c r="I56" i="4"/>
  <c r="I57" i="4"/>
  <c r="I58" i="4"/>
  <c r="I59" i="4"/>
  <c r="I60" i="4"/>
  <c r="I61" i="4"/>
  <c r="O208" i="4" s="1"/>
  <c r="I2" i="4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" i="1"/>
  <c r="L246" i="1"/>
  <c r="L245" i="1"/>
  <c r="L244" i="1"/>
  <c r="L225" i="1"/>
  <c r="M11" i="11" s="1"/>
  <c r="L242" i="1"/>
  <c r="L240" i="1"/>
  <c r="L236" i="1"/>
  <c r="L235" i="1"/>
  <c r="L234" i="1"/>
  <c r="L226" i="1"/>
  <c r="M12" i="11" s="1"/>
  <c r="L227" i="1"/>
  <c r="M16" i="11" s="1"/>
  <c r="L232" i="1"/>
  <c r="L231" i="1"/>
  <c r="L230" i="1"/>
  <c r="M17" i="5" s="1"/>
  <c r="B17" i="15" s="1"/>
  <c r="L229" i="1"/>
  <c r="M12" i="15" l="1"/>
  <c r="M23" i="15"/>
  <c r="M11" i="15"/>
  <c r="Q28" i="11"/>
  <c r="P28" i="5"/>
  <c r="P28" i="11"/>
  <c r="Q28" i="5"/>
  <c r="N28" i="5"/>
  <c r="R28" i="5"/>
  <c r="O28" i="5"/>
  <c r="O28" i="11"/>
  <c r="D22" i="15"/>
  <c r="M22" i="15" s="1"/>
  <c r="D53" i="4"/>
  <c r="D136" i="4"/>
  <c r="E148" i="4"/>
  <c r="D37" i="4"/>
  <c r="E28" i="4"/>
  <c r="D123" i="4"/>
  <c r="D155" i="4"/>
  <c r="D107" i="4"/>
  <c r="E43" i="4"/>
  <c r="E142" i="4"/>
  <c r="D139" i="4"/>
  <c r="D34" i="4"/>
  <c r="D154" i="4"/>
  <c r="D106" i="4"/>
  <c r="E33" i="4"/>
  <c r="E132" i="4"/>
  <c r="E143" i="4"/>
  <c r="D15" i="4"/>
  <c r="D96" i="4"/>
  <c r="E11" i="4"/>
  <c r="E126" i="4"/>
  <c r="E134" i="4"/>
  <c r="D13" i="4"/>
  <c r="D133" i="4"/>
  <c r="D74" i="4"/>
  <c r="E9" i="4"/>
  <c r="E108" i="4"/>
  <c r="E35" i="4"/>
  <c r="E84" i="4"/>
  <c r="D10" i="4"/>
  <c r="D131" i="4"/>
  <c r="D72" i="4"/>
  <c r="E167" i="4"/>
  <c r="E103" i="4"/>
  <c r="D55" i="4"/>
  <c r="D176" i="4"/>
  <c r="D130" i="4"/>
  <c r="E52" i="4"/>
  <c r="E166" i="4"/>
  <c r="E102" i="4"/>
  <c r="D48" i="4"/>
  <c r="D168" i="4"/>
  <c r="D115" i="4"/>
  <c r="E49" i="4"/>
  <c r="E156" i="4"/>
  <c r="E95" i="4"/>
  <c r="D47" i="4"/>
  <c r="D157" i="4"/>
  <c r="D114" i="4"/>
  <c r="E36" i="4"/>
  <c r="E94" i="4"/>
  <c r="D32" i="4"/>
  <c r="E51" i="4"/>
  <c r="D31" i="4"/>
  <c r="D170" i="4"/>
  <c r="D152" i="4"/>
  <c r="D112" i="4"/>
  <c r="D90" i="4"/>
  <c r="D67" i="4"/>
  <c r="E164" i="4"/>
  <c r="E119" i="4"/>
  <c r="D171" i="4"/>
  <c r="D29" i="4"/>
  <c r="D88" i="4"/>
  <c r="E152" i="4"/>
  <c r="D92" i="4"/>
  <c r="D33" i="4"/>
  <c r="E30" i="4"/>
  <c r="D93" i="4"/>
  <c r="E90" i="4"/>
  <c r="E31" i="4"/>
  <c r="D150" i="4"/>
  <c r="E91" i="4"/>
  <c r="E32" i="4"/>
  <c r="D151" i="4"/>
  <c r="D153" i="4"/>
  <c r="D30" i="4"/>
  <c r="E82" i="4"/>
  <c r="E144" i="4"/>
  <c r="D84" i="4"/>
  <c r="D25" i="4"/>
  <c r="E22" i="4"/>
  <c r="D85" i="4"/>
  <c r="D142" i="4"/>
  <c r="E24" i="4"/>
  <c r="D143" i="4"/>
  <c r="D145" i="4"/>
  <c r="D22" i="4"/>
  <c r="D147" i="4"/>
  <c r="D66" i="4"/>
  <c r="E3" i="4"/>
  <c r="E159" i="4"/>
  <c r="E118" i="4"/>
  <c r="D18" i="4"/>
  <c r="D45" i="4"/>
  <c r="D7" i="4"/>
  <c r="D146" i="4"/>
  <c r="D83" i="4"/>
  <c r="D64" i="4"/>
  <c r="E20" i="4"/>
  <c r="E180" i="4"/>
  <c r="E158" i="4"/>
  <c r="E135" i="4"/>
  <c r="E116" i="4"/>
  <c r="E69" i="4"/>
  <c r="E45" i="4"/>
  <c r="D164" i="4"/>
  <c r="D165" i="4"/>
  <c r="D42" i="4"/>
  <c r="E162" i="4"/>
  <c r="D102" i="4"/>
  <c r="D43" i="4"/>
  <c r="E163" i="4"/>
  <c r="D103" i="4"/>
  <c r="D44" i="4"/>
  <c r="E165" i="4"/>
  <c r="E42" i="4"/>
  <c r="D105" i="4"/>
  <c r="E66" i="4"/>
  <c r="E128" i="4"/>
  <c r="D68" i="4"/>
  <c r="D9" i="4"/>
  <c r="E129" i="4"/>
  <c r="E6" i="4"/>
  <c r="D69" i="4"/>
  <c r="E7" i="4"/>
  <c r="D126" i="4"/>
  <c r="D127" i="4"/>
  <c r="E67" i="4"/>
  <c r="D129" i="4"/>
  <c r="D6" i="4"/>
  <c r="D8" i="4"/>
  <c r="E44" i="4"/>
  <c r="E140" i="4"/>
  <c r="E176" i="4"/>
  <c r="D116" i="4"/>
  <c r="D57" i="4"/>
  <c r="D117" i="4"/>
  <c r="E54" i="4"/>
  <c r="E114" i="4"/>
  <c r="E55" i="4"/>
  <c r="D174" i="4"/>
  <c r="E115" i="4"/>
  <c r="E56" i="4"/>
  <c r="D175" i="4"/>
  <c r="E117" i="4"/>
  <c r="D177" i="4"/>
  <c r="D54" i="4"/>
  <c r="E112" i="4"/>
  <c r="E53" i="4"/>
  <c r="D172" i="4"/>
  <c r="D173" i="4"/>
  <c r="D50" i="4"/>
  <c r="E113" i="4"/>
  <c r="D110" i="4"/>
  <c r="D51" i="4"/>
  <c r="E171" i="4"/>
  <c r="D111" i="4"/>
  <c r="D52" i="4"/>
  <c r="E173" i="4"/>
  <c r="E50" i="4"/>
  <c r="D113" i="4"/>
  <c r="D24" i="4"/>
  <c r="D163" i="4"/>
  <c r="D128" i="4"/>
  <c r="D40" i="4"/>
  <c r="D23" i="4"/>
  <c r="D5" i="4"/>
  <c r="D162" i="4"/>
  <c r="D144" i="4"/>
  <c r="D104" i="4"/>
  <c r="D82" i="4"/>
  <c r="E60" i="4"/>
  <c r="E41" i="4"/>
  <c r="E19" i="4"/>
  <c r="E175" i="4"/>
  <c r="E111" i="4"/>
  <c r="E92" i="4"/>
  <c r="D124" i="4"/>
  <c r="D125" i="4"/>
  <c r="E62" i="4"/>
  <c r="E63" i="4"/>
  <c r="E122" i="4"/>
  <c r="D62" i="4"/>
  <c r="D3" i="4"/>
  <c r="E64" i="4"/>
  <c r="E123" i="4"/>
  <c r="D63" i="4"/>
  <c r="D4" i="4"/>
  <c r="D65" i="4"/>
  <c r="D2" i="4"/>
  <c r="D91" i="4"/>
  <c r="D149" i="4"/>
  <c r="D26" i="4"/>
  <c r="E74" i="4"/>
  <c r="E136" i="4"/>
  <c r="D76" i="4"/>
  <c r="D17" i="4"/>
  <c r="E14" i="4"/>
  <c r="D77" i="4"/>
  <c r="E15" i="4"/>
  <c r="D134" i="4"/>
  <c r="E16" i="4"/>
  <c r="D135" i="4"/>
  <c r="E76" i="4"/>
  <c r="D137" i="4"/>
  <c r="D14" i="4"/>
  <c r="D61" i="4"/>
  <c r="D21" i="4"/>
  <c r="D99" i="4"/>
  <c r="D80" i="4"/>
  <c r="E59" i="4"/>
  <c r="E174" i="4"/>
  <c r="E151" i="4"/>
  <c r="E110" i="4"/>
  <c r="E120" i="4"/>
  <c r="E61" i="4"/>
  <c r="D180" i="4"/>
  <c r="D181" i="4"/>
  <c r="D58" i="4"/>
  <c r="E121" i="4"/>
  <c r="E178" i="4"/>
  <c r="D118" i="4"/>
  <c r="D59" i="4"/>
  <c r="E179" i="4"/>
  <c r="D119" i="4"/>
  <c r="D60" i="4"/>
  <c r="E58" i="4"/>
  <c r="D121" i="4"/>
  <c r="E160" i="4"/>
  <c r="D100" i="4"/>
  <c r="D41" i="4"/>
  <c r="D101" i="4"/>
  <c r="E38" i="4"/>
  <c r="E98" i="4"/>
  <c r="E39" i="4"/>
  <c r="D158" i="4"/>
  <c r="E99" i="4"/>
  <c r="E40" i="4"/>
  <c r="D159" i="4"/>
  <c r="D161" i="4"/>
  <c r="D38" i="4"/>
  <c r="D39" i="4"/>
  <c r="D179" i="4"/>
  <c r="D160" i="4"/>
  <c r="D122" i="4"/>
  <c r="D56" i="4"/>
  <c r="D16" i="4"/>
  <c r="D178" i="4"/>
  <c r="D138" i="4"/>
  <c r="D120" i="4"/>
  <c r="D98" i="4"/>
  <c r="D75" i="4"/>
  <c r="E57" i="4"/>
  <c r="E172" i="4"/>
  <c r="E150" i="4"/>
  <c r="E127" i="4"/>
  <c r="E86" i="4"/>
  <c r="D46" i="4"/>
  <c r="D169" i="4"/>
  <c r="D97" i="4"/>
  <c r="D89" i="4"/>
  <c r="D81" i="4"/>
  <c r="D73" i="4"/>
  <c r="E34" i="4"/>
  <c r="E26" i="4"/>
  <c r="E18" i="4"/>
  <c r="E10" i="4"/>
  <c r="E157" i="4"/>
  <c r="E149" i="4"/>
  <c r="E133" i="4"/>
  <c r="E109" i="4"/>
  <c r="D36" i="4"/>
  <c r="D28" i="4"/>
  <c r="D20" i="4"/>
  <c r="D12" i="4"/>
  <c r="D167" i="4"/>
  <c r="D95" i="4"/>
  <c r="D87" i="4"/>
  <c r="D79" i="4"/>
  <c r="D71" i="4"/>
  <c r="E48" i="4"/>
  <c r="E155" i="4"/>
  <c r="E147" i="4"/>
  <c r="E139" i="4"/>
  <c r="E131" i="4"/>
  <c r="E107" i="4"/>
  <c r="E73" i="4"/>
  <c r="D35" i="4"/>
  <c r="D27" i="4"/>
  <c r="D19" i="4"/>
  <c r="D11" i="4"/>
  <c r="D166" i="4"/>
  <c r="D94" i="4"/>
  <c r="D86" i="4"/>
  <c r="D78" i="4"/>
  <c r="D70" i="4"/>
  <c r="E47" i="4"/>
  <c r="E154" i="4"/>
  <c r="E146" i="4"/>
  <c r="E138" i="4"/>
  <c r="E130" i="4"/>
  <c r="E72" i="4"/>
  <c r="E46" i="4"/>
  <c r="E169" i="4"/>
  <c r="E89" i="4"/>
  <c r="E80" i="4"/>
  <c r="E71" i="4"/>
  <c r="D141" i="4"/>
  <c r="D109" i="4"/>
  <c r="D49" i="4"/>
  <c r="D156" i="4"/>
  <c r="D148" i="4"/>
  <c r="D140" i="4"/>
  <c r="D132" i="4"/>
  <c r="D108" i="4"/>
  <c r="E37" i="4"/>
  <c r="E29" i="4"/>
  <c r="E13" i="4"/>
  <c r="E168" i="4"/>
  <c r="E96" i="4"/>
  <c r="E88" i="4"/>
  <c r="E79" i="4"/>
  <c r="E70" i="4"/>
  <c r="P11" i="4"/>
  <c r="P15" i="4" s="1"/>
  <c r="K66" i="4"/>
  <c r="K114" i="4"/>
  <c r="K98" i="4"/>
  <c r="K113" i="4"/>
  <c r="K105" i="4"/>
  <c r="K99" i="4"/>
  <c r="K112" i="4"/>
  <c r="K104" i="4"/>
  <c r="K96" i="4"/>
  <c r="K106" i="4"/>
  <c r="K111" i="4"/>
  <c r="K103" i="4"/>
  <c r="K95" i="4"/>
  <c r="K110" i="4"/>
  <c r="K102" i="4"/>
  <c r="K94" i="4"/>
  <c r="K109" i="4"/>
  <c r="K101" i="4"/>
  <c r="K93" i="4"/>
  <c r="K108" i="4"/>
  <c r="K100" i="4"/>
  <c r="K92" i="4"/>
  <c r="K91" i="4"/>
  <c r="K97" i="4"/>
  <c r="K115" i="4"/>
  <c r="K107" i="4"/>
  <c r="K85" i="4"/>
  <c r="O59" i="4"/>
  <c r="O209" i="4"/>
  <c r="O35" i="4"/>
  <c r="O176" i="4"/>
  <c r="O68" i="4"/>
  <c r="O85" i="4"/>
  <c r="O125" i="4"/>
  <c r="O132" i="4"/>
  <c r="O133" i="4"/>
  <c r="O102" i="4"/>
  <c r="O103" i="4"/>
  <c r="O104" i="4"/>
  <c r="O105" i="4"/>
  <c r="O52" i="4"/>
  <c r="O51" i="4"/>
  <c r="K77" i="4"/>
  <c r="Q1071" i="4" s="1"/>
  <c r="K69" i="4"/>
  <c r="O187" i="4"/>
  <c r="O188" i="4"/>
  <c r="O155" i="4"/>
  <c r="O127" i="4"/>
  <c r="O128" i="4"/>
  <c r="O129" i="4"/>
  <c r="O99" i="4"/>
  <c r="O100" i="4"/>
  <c r="O71" i="4"/>
  <c r="O72" i="4"/>
  <c r="O73" i="4"/>
  <c r="K84" i="4"/>
  <c r="K76" i="4"/>
  <c r="K68" i="4"/>
  <c r="O158" i="4"/>
  <c r="O159" i="4"/>
  <c r="O160" i="4"/>
  <c r="O161" i="4"/>
  <c r="O74" i="4"/>
  <c r="O77" i="4"/>
  <c r="O20" i="4"/>
  <c r="O19" i="4"/>
  <c r="O206" i="4"/>
  <c r="O207" i="4"/>
  <c r="O182" i="4"/>
  <c r="O184" i="4"/>
  <c r="O185" i="4"/>
  <c r="O150" i="4"/>
  <c r="O151" i="4"/>
  <c r="O152" i="4"/>
  <c r="O153" i="4"/>
  <c r="O122" i="4"/>
  <c r="O123" i="4"/>
  <c r="O94" i="4"/>
  <c r="O96" i="4"/>
  <c r="O97" i="4"/>
  <c r="O66" i="4"/>
  <c r="O69" i="4"/>
  <c r="O131" i="4"/>
  <c r="O198" i="4"/>
  <c r="O199" i="4"/>
  <c r="O200" i="4"/>
  <c r="O201" i="4"/>
  <c r="O175" i="4"/>
  <c r="O115" i="4"/>
  <c r="O116" i="4"/>
  <c r="O117" i="4"/>
  <c r="O91" i="4"/>
  <c r="O90" i="4"/>
  <c r="K89" i="4"/>
  <c r="Q1119" i="4" s="1"/>
  <c r="K81" i="4"/>
  <c r="P13" i="4"/>
  <c r="O58" i="4"/>
  <c r="O95" i="4"/>
  <c r="O183" i="4"/>
  <c r="O41" i="4"/>
  <c r="O39" i="4"/>
  <c r="P10" i="4"/>
  <c r="O170" i="4"/>
  <c r="O171" i="4"/>
  <c r="O172" i="4"/>
  <c r="O173" i="4"/>
  <c r="O145" i="4"/>
  <c r="O142" i="4"/>
  <c r="O111" i="4"/>
  <c r="O113" i="4"/>
  <c r="O110" i="4"/>
  <c r="O86" i="4"/>
  <c r="O87" i="4"/>
  <c r="O88" i="4"/>
  <c r="O89" i="4"/>
  <c r="O33" i="4"/>
  <c r="O32" i="4"/>
  <c r="P12" i="4"/>
  <c r="O101" i="4"/>
  <c r="O143" i="4"/>
  <c r="O189" i="4"/>
  <c r="O146" i="4"/>
  <c r="O147" i="4"/>
  <c r="O148" i="4"/>
  <c r="O149" i="4"/>
  <c r="O118" i="4"/>
  <c r="O119" i="4"/>
  <c r="O120" i="4"/>
  <c r="O121" i="4"/>
  <c r="O63" i="4"/>
  <c r="O64" i="4"/>
  <c r="O65" i="4"/>
  <c r="O8" i="4"/>
  <c r="O7" i="4"/>
  <c r="O194" i="4"/>
  <c r="O197" i="4"/>
  <c r="O166" i="4"/>
  <c r="O167" i="4"/>
  <c r="O168" i="4"/>
  <c r="O138" i="4"/>
  <c r="O139" i="4"/>
  <c r="O140" i="4"/>
  <c r="O141" i="4"/>
  <c r="O83" i="4"/>
  <c r="K87" i="4"/>
  <c r="K79" i="4"/>
  <c r="K71" i="4"/>
  <c r="O174" i="4"/>
  <c r="O157" i="4"/>
  <c r="O196" i="4"/>
  <c r="O202" i="4"/>
  <c r="O203" i="4"/>
  <c r="O204" i="4"/>
  <c r="O205" i="4"/>
  <c r="O178" i="4"/>
  <c r="O179" i="4"/>
  <c r="O180" i="4"/>
  <c r="O181" i="4"/>
  <c r="O191" i="4"/>
  <c r="O192" i="4"/>
  <c r="O193" i="4"/>
  <c r="O162" i="4"/>
  <c r="O164" i="4"/>
  <c r="O165" i="4"/>
  <c r="O134" i="4"/>
  <c r="O135" i="4"/>
  <c r="O136" i="4"/>
  <c r="O106" i="4"/>
  <c r="O109" i="4"/>
  <c r="O79" i="4"/>
  <c r="O80" i="4"/>
  <c r="O81" i="4"/>
  <c r="O78" i="4"/>
  <c r="K16" i="4"/>
  <c r="O55" i="4"/>
  <c r="O25" i="4"/>
  <c r="O23" i="4"/>
  <c r="K86" i="4"/>
  <c r="K78" i="4"/>
  <c r="K70" i="4"/>
  <c r="O31" i="4"/>
  <c r="O190" i="4"/>
  <c r="O107" i="4"/>
  <c r="O156" i="4"/>
  <c r="O195" i="4"/>
  <c r="K90" i="4"/>
  <c r="K82" i="4"/>
  <c r="K74" i="4"/>
  <c r="O4" i="4"/>
  <c r="K73" i="4"/>
  <c r="O3" i="4"/>
  <c r="K83" i="4"/>
  <c r="Q1095" i="4" s="1"/>
  <c r="K75" i="4"/>
  <c r="K67" i="4"/>
  <c r="O11" i="4"/>
  <c r="O27" i="4"/>
  <c r="O43" i="4"/>
  <c r="O2" i="4"/>
  <c r="O14" i="4"/>
  <c r="O22" i="4"/>
  <c r="O30" i="4"/>
  <c r="O38" i="4"/>
  <c r="O46" i="4"/>
  <c r="O54" i="4"/>
  <c r="O82" i="4"/>
  <c r="O114" i="4"/>
  <c r="O61" i="4"/>
  <c r="O17" i="4"/>
  <c r="O24" i="4"/>
  <c r="O49" i="4"/>
  <c r="O56" i="4"/>
  <c r="O57" i="4"/>
  <c r="K88" i="4"/>
  <c r="Q1115" i="4" s="1"/>
  <c r="K80" i="4"/>
  <c r="K72" i="4"/>
  <c r="Q1051" i="4" s="1"/>
  <c r="O16" i="4"/>
  <c r="O48" i="4"/>
  <c r="O154" i="4"/>
  <c r="O186" i="4"/>
  <c r="O15" i="4"/>
  <c r="O47" i="4"/>
  <c r="O126" i="4"/>
  <c r="O6" i="4"/>
  <c r="O10" i="4"/>
  <c r="O18" i="4"/>
  <c r="O26" i="4"/>
  <c r="O34" i="4"/>
  <c r="O42" i="4"/>
  <c r="O50" i="4"/>
  <c r="O98" i="4"/>
  <c r="O130" i="4"/>
  <c r="O76" i="4"/>
  <c r="O93" i="4"/>
  <c r="O112" i="4"/>
  <c r="O9" i="4"/>
  <c r="O13" i="4"/>
  <c r="O21" i="4"/>
  <c r="O29" i="4"/>
  <c r="O37" i="4"/>
  <c r="O45" i="4"/>
  <c r="O53" i="4"/>
  <c r="O70" i="4"/>
  <c r="O75" i="4"/>
  <c r="O92" i="4"/>
  <c r="Q1062" i="4" l="1"/>
  <c r="Q1167" i="4"/>
  <c r="R776" i="4"/>
  <c r="Q1150" i="4"/>
  <c r="Q1054" i="4"/>
  <c r="Q1055" i="4"/>
  <c r="Q629" i="4"/>
  <c r="Q731" i="4"/>
  <c r="Q1223" i="4"/>
  <c r="R619" i="4"/>
  <c r="Q1116" i="4"/>
  <c r="R741" i="4"/>
  <c r="Q1137" i="4"/>
  <c r="Q1132" i="4"/>
  <c r="Q726" i="4"/>
  <c r="Q1127" i="4"/>
  <c r="Q1074" i="4"/>
  <c r="R1106" i="4"/>
  <c r="Q1097" i="4"/>
  <c r="R684" i="4"/>
  <c r="Q1084" i="4"/>
  <c r="R1042" i="4"/>
  <c r="R1103" i="4"/>
  <c r="R744" i="4"/>
  <c r="R800" i="4"/>
  <c r="R817" i="4"/>
  <c r="R742" i="4"/>
  <c r="R696" i="4"/>
  <c r="R1146" i="4"/>
  <c r="Q1085" i="4"/>
  <c r="Q1094" i="4"/>
  <c r="Q1040" i="4"/>
  <c r="Q1106" i="4"/>
  <c r="Q1052" i="4"/>
  <c r="Q1060" i="4"/>
  <c r="Q1066" i="4"/>
  <c r="R725" i="4"/>
  <c r="R737" i="4"/>
  <c r="R691" i="4"/>
  <c r="R715" i="4"/>
  <c r="R692" i="4"/>
  <c r="R764" i="4"/>
  <c r="R627" i="4"/>
  <c r="R655" i="4"/>
  <c r="Q750" i="4"/>
  <c r="Q1184" i="4"/>
  <c r="R671" i="4"/>
  <c r="Q1204" i="4"/>
  <c r="Q1136" i="4"/>
  <c r="Q1156" i="4"/>
  <c r="R631" i="4"/>
  <c r="Q1155" i="4"/>
  <c r="R624" i="4"/>
  <c r="Q1180" i="4"/>
  <c r="Q790" i="4"/>
  <c r="Q1191" i="4"/>
  <c r="Q1179" i="4"/>
  <c r="Q1141" i="4"/>
  <c r="R1162" i="4"/>
  <c r="R675" i="4"/>
  <c r="Q1173" i="4"/>
  <c r="Q1213" i="4"/>
  <c r="Q1189" i="4"/>
  <c r="R1126" i="4"/>
  <c r="Q1205" i="4"/>
  <c r="R659" i="4"/>
  <c r="R464" i="4"/>
  <c r="R703" i="4"/>
  <c r="R643" i="4"/>
  <c r="Q1108" i="4"/>
  <c r="Q1188" i="4"/>
  <c r="Q1221" i="4"/>
  <c r="R687" i="4"/>
  <c r="Q680" i="4"/>
  <c r="R1087" i="4"/>
  <c r="Q681" i="4"/>
  <c r="Q679" i="4"/>
  <c r="Q678" i="4"/>
  <c r="R1088" i="4"/>
  <c r="R1196" i="4"/>
  <c r="Q788" i="4"/>
  <c r="Q787" i="4"/>
  <c r="R1195" i="4"/>
  <c r="Q786" i="4"/>
  <c r="R786" i="4"/>
  <c r="Q1194" i="4"/>
  <c r="R1177" i="4"/>
  <c r="R766" i="4"/>
  <c r="R1176" i="4"/>
  <c r="Q768" i="4"/>
  <c r="Q767" i="4"/>
  <c r="R1175" i="4"/>
  <c r="Q1176" i="4"/>
  <c r="Q769" i="4"/>
  <c r="Q1174" i="4"/>
  <c r="Q1177" i="4"/>
  <c r="Q808" i="4"/>
  <c r="Q807" i="4"/>
  <c r="R1215" i="4"/>
  <c r="Q809" i="4"/>
  <c r="R1217" i="4"/>
  <c r="R1216" i="4"/>
  <c r="Q806" i="4"/>
  <c r="R1214" i="4"/>
  <c r="R806" i="4"/>
  <c r="R1194" i="4"/>
  <c r="Q685" i="4"/>
  <c r="Q684" i="4"/>
  <c r="R1092" i="4"/>
  <c r="Q683" i="4"/>
  <c r="R1090" i="4"/>
  <c r="R1091" i="4"/>
  <c r="Q669" i="4"/>
  <c r="R1076" i="4"/>
  <c r="Q667" i="4"/>
  <c r="Q668" i="4"/>
  <c r="Q666" i="4"/>
  <c r="Q704" i="4"/>
  <c r="R1111" i="4"/>
  <c r="Q703" i="4"/>
  <c r="Q705" i="4"/>
  <c r="R1110" i="4"/>
  <c r="Q1083" i="4"/>
  <c r="Q1219" i="4"/>
  <c r="Q1187" i="4"/>
  <c r="Q1102" i="4"/>
  <c r="Q1070" i="4"/>
  <c r="Q1038" i="4"/>
  <c r="R708" i="4"/>
  <c r="R680" i="4"/>
  <c r="R668" i="4"/>
  <c r="R804" i="4"/>
  <c r="R772" i="4"/>
  <c r="R740" i="4"/>
  <c r="Q1112" i="4"/>
  <c r="Q1080" i="4"/>
  <c r="Q1048" i="4"/>
  <c r="Q1140" i="4"/>
  <c r="R801" i="4"/>
  <c r="R757" i="4"/>
  <c r="R777" i="4"/>
  <c r="Q873" i="4"/>
  <c r="Q1093" i="4"/>
  <c r="Q1057" i="4"/>
  <c r="Q1129" i="4"/>
  <c r="Q1185" i="4"/>
  <c r="Q1149" i="4"/>
  <c r="Q1130" i="4"/>
  <c r="R1086" i="4"/>
  <c r="R1174" i="4"/>
  <c r="Q462" i="4"/>
  <c r="Q802" i="4"/>
  <c r="Q771" i="4"/>
  <c r="R1144" i="4"/>
  <c r="R734" i="4"/>
  <c r="Q789" i="4"/>
  <c r="Q1042" i="4"/>
  <c r="R809" i="4"/>
  <c r="Q645" i="4"/>
  <c r="Q644" i="4"/>
  <c r="Q643" i="4"/>
  <c r="R1052" i="4"/>
  <c r="R1051" i="4"/>
  <c r="Q642" i="4"/>
  <c r="R1050" i="4"/>
  <c r="Q623" i="4"/>
  <c r="Q625" i="4"/>
  <c r="R1032" i="4"/>
  <c r="Q622" i="4"/>
  <c r="R1030" i="4"/>
  <c r="R1031" i="4"/>
  <c r="Q1111" i="4"/>
  <c r="Q1079" i="4"/>
  <c r="Q1047" i="4"/>
  <c r="Q1147" i="4"/>
  <c r="Q1215" i="4"/>
  <c r="H25" i="7" s="1"/>
  <c r="H55" i="7" s="1"/>
  <c r="Q1183" i="4"/>
  <c r="Q1098" i="4"/>
  <c r="Q1034" i="4"/>
  <c r="R664" i="4"/>
  <c r="R652" i="4"/>
  <c r="R768" i="4"/>
  <c r="R736" i="4"/>
  <c r="Q1076" i="4"/>
  <c r="Q1044" i="4"/>
  <c r="Q1216" i="4"/>
  <c r="Q1144" i="4"/>
  <c r="R769" i="4"/>
  <c r="R745" i="4"/>
  <c r="Q1121" i="4"/>
  <c r="Q1089" i="4"/>
  <c r="Q1053" i="4"/>
  <c r="Q1181" i="4"/>
  <c r="R1074" i="4"/>
  <c r="Q682" i="4"/>
  <c r="Q1087" i="4"/>
  <c r="R1212" i="4"/>
  <c r="Q715" i="4"/>
  <c r="Q717" i="4"/>
  <c r="Q716" i="4"/>
  <c r="R1124" i="4"/>
  <c r="R1123" i="4"/>
  <c r="R1122" i="4"/>
  <c r="Q714" i="4"/>
  <c r="Q699" i="4"/>
  <c r="R1108" i="4"/>
  <c r="Q701" i="4"/>
  <c r="R1107" i="4"/>
  <c r="Q698" i="4"/>
  <c r="Q661" i="4"/>
  <c r="Q659" i="4"/>
  <c r="R1067" i="4"/>
  <c r="Q660" i="4"/>
  <c r="R1066" i="4"/>
  <c r="Q784" i="4"/>
  <c r="Q783" i="4"/>
  <c r="R1191" i="4"/>
  <c r="Q785" i="4"/>
  <c r="R1193" i="4"/>
  <c r="R782" i="4"/>
  <c r="Q1190" i="4"/>
  <c r="Q1193" i="4"/>
  <c r="Q782" i="4"/>
  <c r="R1190" i="4"/>
  <c r="R1192" i="4"/>
  <c r="R1169" i="4"/>
  <c r="R758" i="4"/>
  <c r="R1168" i="4"/>
  <c r="Q761" i="4"/>
  <c r="Q760" i="4"/>
  <c r="Q759" i="4"/>
  <c r="Q1166" i="4"/>
  <c r="Q758" i="4"/>
  <c r="R1166" i="4"/>
  <c r="Q1169" i="4"/>
  <c r="Q780" i="4"/>
  <c r="Q779" i="4"/>
  <c r="R1187" i="4"/>
  <c r="Q781" i="4"/>
  <c r="R778" i="4"/>
  <c r="R1188" i="4"/>
  <c r="R1189" i="4"/>
  <c r="Q1186" i="4"/>
  <c r="Q778" i="4"/>
  <c r="R1186" i="4"/>
  <c r="Q812" i="4"/>
  <c r="Q811" i="4"/>
  <c r="R1219" i="4"/>
  <c r="Q813" i="4"/>
  <c r="R810" i="4"/>
  <c r="R1221" i="4"/>
  <c r="R1220" i="4"/>
  <c r="Q1218" i="4"/>
  <c r="Q810" i="4"/>
  <c r="R1218" i="4"/>
  <c r="R699" i="4"/>
  <c r="Q692" i="4"/>
  <c r="Q691" i="4"/>
  <c r="Q690" i="4"/>
  <c r="R1098" i="4"/>
  <c r="R1099" i="4"/>
  <c r="R1100" i="4"/>
  <c r="Q816" i="4"/>
  <c r="Q815" i="4"/>
  <c r="R1223" i="4"/>
  <c r="Q817" i="4"/>
  <c r="R1225" i="4"/>
  <c r="R814" i="4"/>
  <c r="R1224" i="4"/>
  <c r="Q1222" i="4"/>
  <c r="Q1225" i="4"/>
  <c r="Q814" i="4"/>
  <c r="R1222" i="4"/>
  <c r="R790" i="4"/>
  <c r="R1200" i="4"/>
  <c r="R1201" i="4"/>
  <c r="Q793" i="4"/>
  <c r="Q1198" i="4"/>
  <c r="Q792" i="4"/>
  <c r="Q791" i="4"/>
  <c r="R1199" i="4"/>
  <c r="R1198" i="4"/>
  <c r="Q741" i="4"/>
  <c r="R1148" i="4"/>
  <c r="R1149" i="4"/>
  <c r="R738" i="4"/>
  <c r="R1147" i="4"/>
  <c r="Q738" i="4"/>
  <c r="Q740" i="4"/>
  <c r="Q739" i="4"/>
  <c r="Q1146" i="4"/>
  <c r="Q619" i="4"/>
  <c r="R1027" i="4"/>
  <c r="Q620" i="4"/>
  <c r="Q621" i="4"/>
  <c r="R1028" i="4"/>
  <c r="R1026" i="4"/>
  <c r="Q618" i="4"/>
  <c r="R623" i="4"/>
  <c r="R683" i="4"/>
  <c r="Q1043" i="4"/>
  <c r="Q1143" i="4"/>
  <c r="Q1211" i="4"/>
  <c r="Q1030" i="4"/>
  <c r="R704" i="4"/>
  <c r="R676" i="4"/>
  <c r="R648" i="4"/>
  <c r="R640" i="4"/>
  <c r="R796" i="4"/>
  <c r="R720" i="4"/>
  <c r="Q1104" i="4"/>
  <c r="Q1072" i="4"/>
  <c r="Q1200" i="4"/>
  <c r="Q1168" i="4"/>
  <c r="Q1160" i="4"/>
  <c r="R785" i="4"/>
  <c r="R721" i="4"/>
  <c r="Q1113" i="4"/>
  <c r="Q1045" i="4"/>
  <c r="Q1217" i="4"/>
  <c r="R1054" i="4"/>
  <c r="Q702" i="4"/>
  <c r="Q766" i="4"/>
  <c r="Q700" i="4"/>
  <c r="Q1192" i="4"/>
  <c r="R873" i="4"/>
  <c r="Q870" i="4"/>
  <c r="Q463" i="4"/>
  <c r="R871" i="4"/>
  <c r="Q465" i="4"/>
  <c r="R872" i="4"/>
  <c r="R462" i="4"/>
  <c r="R870" i="4"/>
  <c r="Q464" i="4"/>
  <c r="Q713" i="4"/>
  <c r="Q711" i="4"/>
  <c r="Q712" i="4"/>
  <c r="R1120" i="4"/>
  <c r="R1119" i="4"/>
  <c r="R1035" i="4"/>
  <c r="Q627" i="4"/>
  <c r="Q628" i="4"/>
  <c r="R1036" i="4"/>
  <c r="R1034" i="4"/>
  <c r="R1104" i="4"/>
  <c r="Q695" i="4"/>
  <c r="Q696" i="4"/>
  <c r="Q697" i="4"/>
  <c r="Q694" i="4"/>
  <c r="R1102" i="4"/>
  <c r="R1137" i="4"/>
  <c r="R726" i="4"/>
  <c r="Q727" i="4"/>
  <c r="R1135" i="4"/>
  <c r="Q729" i="4"/>
  <c r="Q1134" i="4"/>
  <c r="Q728" i="4"/>
  <c r="R1134" i="4"/>
  <c r="R1136" i="4"/>
  <c r="Q1208" i="4"/>
  <c r="R798" i="4"/>
  <c r="R1208" i="4"/>
  <c r="Q800" i="4"/>
  <c r="Q799" i="4"/>
  <c r="R1207" i="4"/>
  <c r="Q801" i="4"/>
  <c r="Q1206" i="4"/>
  <c r="Q1209" i="4"/>
  <c r="R1209" i="4"/>
  <c r="Q798" i="4"/>
  <c r="R1156" i="4"/>
  <c r="Q748" i="4"/>
  <c r="Q747" i="4"/>
  <c r="Q749" i="4"/>
  <c r="R1155" i="4"/>
  <c r="R1157" i="4"/>
  <c r="R746" i="4"/>
  <c r="Q746" i="4"/>
  <c r="Q1154" i="4"/>
  <c r="R1154" i="4"/>
  <c r="R711" i="4"/>
  <c r="Q676" i="4"/>
  <c r="Q677" i="4"/>
  <c r="R1084" i="4"/>
  <c r="Q674" i="4"/>
  <c r="Q675" i="4"/>
  <c r="R1083" i="4"/>
  <c r="R1082" i="4"/>
  <c r="Q655" i="4"/>
  <c r="R1063" i="4"/>
  <c r="Q657" i="4"/>
  <c r="R1064" i="4"/>
  <c r="Q656" i="4"/>
  <c r="R1062" i="4"/>
  <c r="R695" i="4"/>
  <c r="Q1107" i="4"/>
  <c r="Q1075" i="4"/>
  <c r="Q708" i="4"/>
  <c r="R1116" i="4"/>
  <c r="Q709" i="4"/>
  <c r="R1115" i="4"/>
  <c r="Q707" i="4"/>
  <c r="Q1117" i="4"/>
  <c r="Q706" i="4"/>
  <c r="R1114" i="4"/>
  <c r="R1095" i="4"/>
  <c r="Q687" i="4"/>
  <c r="Q689" i="4"/>
  <c r="R1096" i="4"/>
  <c r="R1094" i="4"/>
  <c r="Q688" i="4"/>
  <c r="Q686" i="4"/>
  <c r="Q633" i="4"/>
  <c r="R1040" i="4"/>
  <c r="R1039" i="4"/>
  <c r="Q632" i="4"/>
  <c r="Q630" i="4"/>
  <c r="R1038" i="4"/>
  <c r="Q744" i="4"/>
  <c r="Q743" i="4"/>
  <c r="Q745" i="4"/>
  <c r="R1152" i="4"/>
  <c r="Q742" i="4"/>
  <c r="R1151" i="4"/>
  <c r="R1150" i="4"/>
  <c r="R730" i="4"/>
  <c r="R1141" i="4"/>
  <c r="R1140" i="4"/>
  <c r="Q732" i="4"/>
  <c r="R1139" i="4"/>
  <c r="Q1138" i="4"/>
  <c r="R1138" i="4"/>
  <c r="Q730" i="4"/>
  <c r="Q733" i="4"/>
  <c r="Q773" i="4"/>
  <c r="R770" i="4"/>
  <c r="R1181" i="4"/>
  <c r="Q770" i="4"/>
  <c r="R1178" i="4"/>
  <c r="R1180" i="4"/>
  <c r="Q1178" i="4"/>
  <c r="Q1224" i="4"/>
  <c r="R463" i="4"/>
  <c r="R707" i="4"/>
  <c r="R679" i="4"/>
  <c r="R667" i="4"/>
  <c r="Q1103" i="4"/>
  <c r="Q1039" i="4"/>
  <c r="Q1159" i="4"/>
  <c r="Q1207" i="4"/>
  <c r="Q1175" i="4"/>
  <c r="Q1122" i="4"/>
  <c r="Q1090" i="4"/>
  <c r="Q1058" i="4"/>
  <c r="Q1026" i="4"/>
  <c r="R656" i="4"/>
  <c r="R660" i="4"/>
  <c r="R636" i="4"/>
  <c r="R728" i="4"/>
  <c r="R792" i="4"/>
  <c r="R760" i="4"/>
  <c r="R724" i="4"/>
  <c r="Q1100" i="4"/>
  <c r="Q1068" i="4"/>
  <c r="Q1036" i="4"/>
  <c r="Q1148" i="4"/>
  <c r="R1075" i="4"/>
  <c r="R465" i="4"/>
  <c r="R797" i="4"/>
  <c r="R753" i="4"/>
  <c r="Q1125" i="4"/>
  <c r="Q1077" i="4"/>
  <c r="Q1041" i="4"/>
  <c r="Q1153" i="4"/>
  <c r="Q1162" i="4"/>
  <c r="Q654" i="4"/>
  <c r="R1167" i="4"/>
  <c r="Q624" i="4"/>
  <c r="R1197" i="4"/>
  <c r="R1043" i="4"/>
  <c r="Q637" i="4"/>
  <c r="R1044" i="4"/>
  <c r="Q636" i="4"/>
  <c r="Q634" i="4"/>
  <c r="Q635" i="4"/>
  <c r="Q1061" i="4"/>
  <c r="R1072" i="4"/>
  <c r="Q662" i="4"/>
  <c r="Q665" i="4"/>
  <c r="Q664" i="4"/>
  <c r="Q663" i="4"/>
  <c r="R1071" i="4"/>
  <c r="R1070" i="4"/>
  <c r="R1128" i="4"/>
  <c r="R1127" i="4"/>
  <c r="Q720" i="4"/>
  <c r="R718" i="4"/>
  <c r="Q721" i="4"/>
  <c r="R1129" i="4"/>
  <c r="Q719" i="4"/>
  <c r="Q718" i="4"/>
  <c r="Q1126" i="4"/>
  <c r="R1173" i="4"/>
  <c r="R762" i="4"/>
  <c r="R1172" i="4"/>
  <c r="R1171" i="4"/>
  <c r="Q764" i="4"/>
  <c r="Q763" i="4"/>
  <c r="Q765" i="4"/>
  <c r="Q1170" i="4"/>
  <c r="Q762" i="4"/>
  <c r="Q805" i="4"/>
  <c r="R1213" i="4"/>
  <c r="R802" i="4"/>
  <c r="R1210" i="4"/>
  <c r="Q804" i="4"/>
  <c r="Q803" i="4"/>
  <c r="R1211" i="4"/>
  <c r="Q1210" i="4"/>
  <c r="R639" i="4"/>
  <c r="R663" i="4"/>
  <c r="R651" i="4"/>
  <c r="Q1099" i="4"/>
  <c r="Q1067" i="4"/>
  <c r="Q1035" i="4"/>
  <c r="Q1163" i="4"/>
  <c r="Q1203" i="4"/>
  <c r="Q1139" i="4"/>
  <c r="Q1118" i="4"/>
  <c r="Q1086" i="4"/>
  <c r="R688" i="4"/>
  <c r="R644" i="4"/>
  <c r="R628" i="4"/>
  <c r="R732" i="4"/>
  <c r="R788" i="4"/>
  <c r="R756" i="4"/>
  <c r="Q872" i="4"/>
  <c r="Q1096" i="4"/>
  <c r="Q1064" i="4"/>
  <c r="Q1032" i="4"/>
  <c r="Q1164" i="4"/>
  <c r="Q1172" i="4"/>
  <c r="R765" i="4"/>
  <c r="R813" i="4"/>
  <c r="R729" i="4"/>
  <c r="Q1109" i="4"/>
  <c r="Q1073" i="4"/>
  <c r="Q1037" i="4"/>
  <c r="Q1157" i="4"/>
  <c r="Q1214" i="4"/>
  <c r="Q658" i="4"/>
  <c r="R1179" i="4"/>
  <c r="Q772" i="4"/>
  <c r="R1153" i="4"/>
  <c r="R789" i="4"/>
  <c r="R1055" i="4"/>
  <c r="Q648" i="4"/>
  <c r="Q647" i="4"/>
  <c r="Q646" i="4"/>
  <c r="Q649" i="4"/>
  <c r="R1056" i="4"/>
  <c r="R1132" i="4"/>
  <c r="R722" i="4"/>
  <c r="Q1133" i="4"/>
  <c r="Q724" i="4"/>
  <c r="R1131" i="4"/>
  <c r="Q725" i="4"/>
  <c r="Q723" i="4"/>
  <c r="R1130" i="4"/>
  <c r="R1133" i="4"/>
  <c r="Q722" i="4"/>
  <c r="R794" i="4"/>
  <c r="R1204" i="4"/>
  <c r="R1205" i="4"/>
  <c r="Q796" i="4"/>
  <c r="Q795" i="4"/>
  <c r="R1203" i="4"/>
  <c r="Q797" i="4"/>
  <c r="Q794" i="4"/>
  <c r="R1202" i="4"/>
  <c r="Q752" i="4"/>
  <c r="Q751" i="4"/>
  <c r="Q753" i="4"/>
  <c r="Q1158" i="4"/>
  <c r="R1161" i="4"/>
  <c r="R750" i="4"/>
  <c r="R1160" i="4"/>
  <c r="R1159" i="4"/>
  <c r="R1158" i="4"/>
  <c r="R647" i="4"/>
  <c r="Q871" i="4"/>
  <c r="Q1063" i="4"/>
  <c r="Q1031" i="4"/>
  <c r="Q1135" i="4"/>
  <c r="Q1199" i="4"/>
  <c r="Q1151" i="4"/>
  <c r="H9" i="7" s="1"/>
  <c r="H39" i="7" s="1"/>
  <c r="Q1114" i="4"/>
  <c r="Q1082" i="4"/>
  <c r="Q1050" i="4"/>
  <c r="R632" i="4"/>
  <c r="R620" i="4"/>
  <c r="R716" i="4"/>
  <c r="R816" i="4"/>
  <c r="R784" i="4"/>
  <c r="R752" i="4"/>
  <c r="Q1120" i="4"/>
  <c r="Q1092" i="4"/>
  <c r="Q1028" i="4"/>
  <c r="Q1212" i="4"/>
  <c r="Q1128" i="4"/>
  <c r="R805" i="4"/>
  <c r="R793" i="4"/>
  <c r="R781" i="4"/>
  <c r="R733" i="4"/>
  <c r="Q1105" i="4"/>
  <c r="Q1069" i="4"/>
  <c r="Q1033" i="4"/>
  <c r="Q1201" i="4"/>
  <c r="Q1161" i="4"/>
  <c r="Q1202" i="4"/>
  <c r="R1170" i="4"/>
  <c r="Q710" i="4"/>
  <c r="R1112" i="4"/>
  <c r="Q652" i="4"/>
  <c r="R1059" i="4"/>
  <c r="R1060" i="4"/>
  <c r="R1058" i="4"/>
  <c r="Q653" i="4"/>
  <c r="Q650" i="4"/>
  <c r="Q651" i="4"/>
  <c r="Q672" i="4"/>
  <c r="Q671" i="4"/>
  <c r="R1079" i="4"/>
  <c r="R1080" i="4"/>
  <c r="Q673" i="4"/>
  <c r="Q1081" i="4"/>
  <c r="Q670" i="4"/>
  <c r="R1078" i="4"/>
  <c r="R808" i="4"/>
  <c r="Q640" i="4"/>
  <c r="R1047" i="4"/>
  <c r="Q641" i="4"/>
  <c r="R1048" i="4"/>
  <c r="Q638" i="4"/>
  <c r="Q1049" i="4"/>
  <c r="Q639" i="4"/>
  <c r="R1046" i="4"/>
  <c r="Q756" i="4"/>
  <c r="Q755" i="4"/>
  <c r="Q754" i="4"/>
  <c r="R1164" i="4"/>
  <c r="R1163" i="4"/>
  <c r="R754" i="4"/>
  <c r="Q757" i="4"/>
  <c r="R1165" i="4"/>
  <c r="R1143" i="4"/>
  <c r="R1145" i="4"/>
  <c r="Q735" i="4"/>
  <c r="Q734" i="4"/>
  <c r="Q736" i="4"/>
  <c r="Q737" i="4"/>
  <c r="Q1145" i="4"/>
  <c r="Q1142" i="4"/>
  <c r="R1142" i="4"/>
  <c r="Q776" i="4"/>
  <c r="Q775" i="4"/>
  <c r="R1183" i="4"/>
  <c r="Q777" i="4"/>
  <c r="R1185" i="4"/>
  <c r="R1184" i="4"/>
  <c r="R774" i="4"/>
  <c r="Q774" i="4"/>
  <c r="R1182" i="4"/>
  <c r="R635" i="4"/>
  <c r="Q1123" i="4"/>
  <c r="Q1091" i="4"/>
  <c r="Q1059" i="4"/>
  <c r="Q1027" i="4"/>
  <c r="Q1171" i="4"/>
  <c r="Q1195" i="4"/>
  <c r="Q1131" i="4"/>
  <c r="Q1110" i="4"/>
  <c r="Q1078" i="4"/>
  <c r="Q1046" i="4"/>
  <c r="R672" i="4"/>
  <c r="R712" i="4"/>
  <c r="R700" i="4"/>
  <c r="R812" i="4"/>
  <c r="R780" i="4"/>
  <c r="R748" i="4"/>
  <c r="Q1124" i="4"/>
  <c r="Q1088" i="4"/>
  <c r="Q1056" i="4"/>
  <c r="Q1220" i="4"/>
  <c r="Q1196" i="4"/>
  <c r="Q1152" i="4"/>
  <c r="R773" i="4"/>
  <c r="R761" i="4"/>
  <c r="R749" i="4"/>
  <c r="Q1101" i="4"/>
  <c r="Q1065" i="4"/>
  <c r="Q1029" i="4"/>
  <c r="Q1197" i="4"/>
  <c r="Q1165" i="4"/>
  <c r="Q1182" i="4"/>
  <c r="R1118" i="4"/>
  <c r="R1206" i="4"/>
  <c r="Q626" i="4"/>
  <c r="Q631" i="4"/>
  <c r="R1068" i="4"/>
  <c r="Q693" i="4"/>
  <c r="K35" i="4"/>
  <c r="K22" i="4"/>
  <c r="K56" i="4"/>
  <c r="K40" i="4"/>
  <c r="K57" i="4"/>
  <c r="K17" i="4"/>
  <c r="K34" i="4"/>
  <c r="P17" i="4"/>
  <c r="K27" i="4"/>
  <c r="K52" i="4"/>
  <c r="K32" i="4"/>
  <c r="K55" i="4"/>
  <c r="K23" i="4"/>
  <c r="K48" i="4"/>
  <c r="K54" i="4"/>
  <c r="P16" i="4"/>
  <c r="K29" i="4"/>
  <c r="K3" i="4"/>
  <c r="R3" i="4" s="1"/>
  <c r="P14" i="4"/>
  <c r="P19" i="4"/>
  <c r="K36" i="4"/>
  <c r="K9" i="4"/>
  <c r="K10" i="4"/>
  <c r="K12" i="4"/>
  <c r="K5" i="4"/>
  <c r="Q10" i="4" s="1"/>
  <c r="K41" i="4"/>
  <c r="K11" i="4"/>
  <c r="K38" i="4"/>
  <c r="K50" i="4"/>
  <c r="K37" i="4"/>
  <c r="K7" i="4"/>
  <c r="K49" i="4"/>
  <c r="K19" i="4"/>
  <c r="K44" i="4"/>
  <c r="K26" i="4"/>
  <c r="K39" i="4"/>
  <c r="K20" i="4"/>
  <c r="K59" i="4"/>
  <c r="K60" i="4"/>
  <c r="K21" i="4"/>
  <c r="K61" i="4"/>
  <c r="K13" i="4"/>
  <c r="K6" i="4"/>
  <c r="Q15" i="4" s="1"/>
  <c r="K15" i="4"/>
  <c r="K58" i="4"/>
  <c r="K28" i="4"/>
  <c r="K31" i="4"/>
  <c r="K53" i="4"/>
  <c r="K25" i="4"/>
  <c r="K43" i="4"/>
  <c r="K30" i="4"/>
  <c r="K46" i="4"/>
  <c r="K8" i="4"/>
  <c r="K33" i="4"/>
  <c r="K51" i="4"/>
  <c r="K47" i="4"/>
  <c r="K4" i="4"/>
  <c r="Q6" i="4" s="1"/>
  <c r="K24" i="4"/>
  <c r="K14" i="4"/>
  <c r="K45" i="4"/>
  <c r="K18" i="4"/>
  <c r="K42" i="4"/>
  <c r="L181" i="1"/>
  <c r="L180" i="1"/>
  <c r="L178" i="1"/>
  <c r="L177" i="1"/>
  <c r="L174" i="1"/>
  <c r="L173" i="1"/>
  <c r="L168" i="1"/>
  <c r="L169" i="1"/>
  <c r="L124" i="1"/>
  <c r="M12" i="10" s="1"/>
  <c r="L123" i="1"/>
  <c r="M11" i="10" s="1"/>
  <c r="M28" i="10" s="1"/>
  <c r="L103" i="1"/>
  <c r="M23" i="11" s="1"/>
  <c r="B23" i="15" s="1"/>
  <c r="L102" i="1"/>
  <c r="M22" i="11" s="1"/>
  <c r="L16" i="1"/>
  <c r="M16" i="5" s="1"/>
  <c r="B16" i="15" s="1"/>
  <c r="L15" i="1"/>
  <c r="M15" i="5" s="1"/>
  <c r="B15" i="15" s="1"/>
  <c r="B22" i="15" l="1"/>
  <c r="M28" i="11"/>
  <c r="M12" i="5"/>
  <c r="B12" i="15" s="1"/>
  <c r="M11" i="5"/>
  <c r="I18" i="7"/>
  <c r="I48" i="7" s="1"/>
  <c r="H23" i="11"/>
  <c r="H53" i="11" s="1"/>
  <c r="I23" i="11"/>
  <c r="I53" i="11" s="1"/>
  <c r="I18" i="10"/>
  <c r="I48" i="10" s="1"/>
  <c r="H18" i="10"/>
  <c r="H48" i="10" s="1"/>
  <c r="H13" i="7"/>
  <c r="H43" i="7" s="1"/>
  <c r="I13" i="7"/>
  <c r="I43" i="7" s="1"/>
  <c r="H21" i="11"/>
  <c r="H51" i="11" s="1"/>
  <c r="I21" i="11"/>
  <c r="I51" i="11" s="1"/>
  <c r="H19" i="7"/>
  <c r="H49" i="7" s="1"/>
  <c r="I19" i="7"/>
  <c r="I49" i="7" s="1"/>
  <c r="H27" i="10"/>
  <c r="H57" i="10" s="1"/>
  <c r="I27" i="10"/>
  <c r="I57" i="10" s="1"/>
  <c r="H27" i="7"/>
  <c r="H57" i="7" s="1"/>
  <c r="I27" i="7"/>
  <c r="I57" i="7" s="1"/>
  <c r="I21" i="7"/>
  <c r="I51" i="7" s="1"/>
  <c r="H25" i="11"/>
  <c r="H55" i="11" s="1"/>
  <c r="I25" i="11"/>
  <c r="I55" i="11" s="1"/>
  <c r="I25" i="10"/>
  <c r="I55" i="10" s="1"/>
  <c r="H25" i="10"/>
  <c r="H55" i="10" s="1"/>
  <c r="I9" i="10"/>
  <c r="I39" i="10" s="1"/>
  <c r="H9" i="10"/>
  <c r="H39" i="10" s="1"/>
  <c r="I23" i="10"/>
  <c r="I53" i="10" s="1"/>
  <c r="H23" i="10"/>
  <c r="H53" i="10" s="1"/>
  <c r="H13" i="11"/>
  <c r="H43" i="11" s="1"/>
  <c r="I13" i="11"/>
  <c r="I43" i="11" s="1"/>
  <c r="I13" i="10"/>
  <c r="I43" i="10" s="1"/>
  <c r="H13" i="10"/>
  <c r="H43" i="10" s="1"/>
  <c r="H9" i="11"/>
  <c r="H39" i="11" s="1"/>
  <c r="I9" i="11"/>
  <c r="I39" i="11" s="1"/>
  <c r="I25" i="7"/>
  <c r="I55" i="7" s="1"/>
  <c r="H19" i="10"/>
  <c r="H49" i="10" s="1"/>
  <c r="I19" i="10"/>
  <c r="I49" i="10" s="1"/>
  <c r="H23" i="7"/>
  <c r="H53" i="7" s="1"/>
  <c r="I23" i="7"/>
  <c r="I53" i="7" s="1"/>
  <c r="I27" i="11"/>
  <c r="I57" i="11" s="1"/>
  <c r="H27" i="11"/>
  <c r="H57" i="11" s="1"/>
  <c r="I21" i="10"/>
  <c r="I51" i="10" s="1"/>
  <c r="H21" i="10"/>
  <c r="H51" i="10" s="1"/>
  <c r="I18" i="11"/>
  <c r="I48" i="11" s="1"/>
  <c r="H18" i="11"/>
  <c r="H48" i="11" s="1"/>
  <c r="I19" i="11"/>
  <c r="I49" i="11" s="1"/>
  <c r="H19" i="11"/>
  <c r="H49" i="11" s="1"/>
  <c r="I9" i="7"/>
  <c r="I39" i="7" s="1"/>
  <c r="I25" i="5"/>
  <c r="H25" i="5"/>
  <c r="H27" i="5"/>
  <c r="I27" i="5"/>
  <c r="H18" i="7"/>
  <c r="H48" i="7" s="1"/>
  <c r="I13" i="5"/>
  <c r="H13" i="5"/>
  <c r="H21" i="7"/>
  <c r="H51" i="7" s="1"/>
  <c r="I18" i="5"/>
  <c r="H18" i="5"/>
  <c r="H21" i="5"/>
  <c r="I21" i="5"/>
  <c r="I19" i="5"/>
  <c r="H19" i="5"/>
  <c r="H9" i="5"/>
  <c r="I9" i="5"/>
  <c r="H23" i="5"/>
  <c r="I23" i="5"/>
  <c r="Q13" i="4"/>
  <c r="Q2" i="4"/>
  <c r="R15" i="4"/>
  <c r="R975" i="4"/>
  <c r="Q568" i="4"/>
  <c r="Q569" i="4"/>
  <c r="Q974" i="4"/>
  <c r="R976" i="4"/>
  <c r="R977" i="4"/>
  <c r="R566" i="4"/>
  <c r="Q566" i="4"/>
  <c r="Q977" i="4"/>
  <c r="Q975" i="4"/>
  <c r="R567" i="4"/>
  <c r="R569" i="4"/>
  <c r="R568" i="4"/>
  <c r="Q976" i="4"/>
  <c r="Q567" i="4"/>
  <c r="Q998" i="4"/>
  <c r="R590" i="4"/>
  <c r="Q590" i="4"/>
  <c r="Q592" i="4"/>
  <c r="R1000" i="4"/>
  <c r="Q591" i="4"/>
  <c r="R998" i="4"/>
  <c r="R999" i="4"/>
  <c r="Q593" i="4"/>
  <c r="R592" i="4"/>
  <c r="Q1000" i="4"/>
  <c r="Q999" i="4"/>
  <c r="R591" i="4"/>
  <c r="Q1001" i="4"/>
  <c r="R593" i="4"/>
  <c r="R882" i="4"/>
  <c r="Q885" i="4"/>
  <c r="Q884" i="4"/>
  <c r="R474" i="4"/>
  <c r="Q882" i="4"/>
  <c r="R476" i="4"/>
  <c r="Q474" i="4"/>
  <c r="R883" i="4"/>
  <c r="R884" i="4"/>
  <c r="Q475" i="4"/>
  <c r="Q883" i="4"/>
  <c r="Q476" i="4"/>
  <c r="Q477" i="4"/>
  <c r="Q575" i="4"/>
  <c r="Q576" i="4"/>
  <c r="Q577" i="4"/>
  <c r="R984" i="4"/>
  <c r="R574" i="4"/>
  <c r="Q982" i="4"/>
  <c r="Q574" i="4"/>
  <c r="R983" i="4"/>
  <c r="R982" i="4"/>
  <c r="R577" i="4"/>
  <c r="Q985" i="4"/>
  <c r="H3" i="11" s="1"/>
  <c r="R575" i="4"/>
  <c r="Q984" i="4"/>
  <c r="R576" i="4"/>
  <c r="Q983" i="4"/>
  <c r="R854" i="4"/>
  <c r="Q857" i="4"/>
  <c r="Q856" i="4"/>
  <c r="R447" i="4"/>
  <c r="Q854" i="4"/>
  <c r="R446" i="4"/>
  <c r="Q446" i="4"/>
  <c r="Q447" i="4"/>
  <c r="Q855" i="4"/>
  <c r="Q449" i="4"/>
  <c r="Q448" i="4"/>
  <c r="R855" i="4"/>
  <c r="R449" i="4"/>
  <c r="R857" i="4"/>
  <c r="R856" i="4"/>
  <c r="Q411" i="4"/>
  <c r="R819" i="4"/>
  <c r="Q818" i="4"/>
  <c r="Q412" i="4"/>
  <c r="R410" i="4"/>
  <c r="R818" i="4"/>
  <c r="Q413" i="4"/>
  <c r="Q5" i="4"/>
  <c r="Q819" i="4"/>
  <c r="Q820" i="4"/>
  <c r="R411" i="4"/>
  <c r="Q410" i="4"/>
  <c r="Q821" i="4"/>
  <c r="R412" i="4"/>
  <c r="R981" i="4"/>
  <c r="R979" i="4"/>
  <c r="Q573" i="4"/>
  <c r="Q978" i="4"/>
  <c r="R980" i="4"/>
  <c r="R570" i="4"/>
  <c r="Q571" i="4"/>
  <c r="Q572" i="4"/>
  <c r="Q570" i="4"/>
  <c r="Q981" i="4"/>
  <c r="R572" i="4"/>
  <c r="Q979" i="4"/>
  <c r="R573" i="4"/>
  <c r="R571" i="4"/>
  <c r="Q980" i="4"/>
  <c r="R551" i="4"/>
  <c r="Q550" i="4"/>
  <c r="R552" i="4"/>
  <c r="Q961" i="4"/>
  <c r="R553" i="4"/>
  <c r="Q958" i="4"/>
  <c r="R958" i="4"/>
  <c r="Q552" i="4"/>
  <c r="Q553" i="4"/>
  <c r="Q959" i="4"/>
  <c r="R959" i="4"/>
  <c r="R961" i="4"/>
  <c r="R960" i="4"/>
  <c r="Q960" i="4"/>
  <c r="Q551" i="4"/>
  <c r="R582" i="4"/>
  <c r="Q583" i="4"/>
  <c r="Q584" i="4"/>
  <c r="Q585" i="4"/>
  <c r="R992" i="4"/>
  <c r="Q990" i="4"/>
  <c r="R990" i="4"/>
  <c r="Q993" i="4"/>
  <c r="Q582" i="4"/>
  <c r="Q991" i="4"/>
  <c r="R583" i="4"/>
  <c r="R585" i="4"/>
  <c r="R584" i="4"/>
  <c r="Q992" i="4"/>
  <c r="R991" i="4"/>
  <c r="Q513" i="4"/>
  <c r="R920" i="4"/>
  <c r="R921" i="4"/>
  <c r="R919" i="4"/>
  <c r="Q512" i="4"/>
  <c r="Q511" i="4"/>
  <c r="Q921" i="4"/>
  <c r="R510" i="4"/>
  <c r="Q510" i="4"/>
  <c r="R918" i="4"/>
  <c r="R512" i="4"/>
  <c r="Q920" i="4"/>
  <c r="Q919" i="4"/>
  <c r="R511" i="4"/>
  <c r="Q918" i="4"/>
  <c r="R612" i="4"/>
  <c r="Q1021" i="4"/>
  <c r="R613" i="4"/>
  <c r="Q610" i="4"/>
  <c r="R1018" i="4"/>
  <c r="Q1019" i="4"/>
  <c r="R611" i="4"/>
  <c r="R610" i="4"/>
  <c r="Q1020" i="4"/>
  <c r="R1020" i="4"/>
  <c r="Q1018" i="4"/>
  <c r="Q611" i="4"/>
  <c r="Q612" i="4"/>
  <c r="Q613" i="4"/>
  <c r="R1019" i="4"/>
  <c r="Q428" i="4"/>
  <c r="R426" i="4"/>
  <c r="Q429" i="4"/>
  <c r="Q427" i="4"/>
  <c r="R835" i="4"/>
  <c r="Q834" i="4"/>
  <c r="Q426" i="4"/>
  <c r="R834" i="4"/>
  <c r="Q837" i="4"/>
  <c r="R428" i="4"/>
  <c r="R427" i="4"/>
  <c r="Q836" i="4"/>
  <c r="Q835" i="4"/>
  <c r="Q848" i="4"/>
  <c r="Q849" i="4"/>
  <c r="R441" i="4"/>
  <c r="R846" i="4"/>
  <c r="Q438" i="4"/>
  <c r="R439" i="4"/>
  <c r="Q846" i="4"/>
  <c r="R438" i="4"/>
  <c r="R847" i="4"/>
  <c r="Q441" i="4"/>
  <c r="R848" i="4"/>
  <c r="R849" i="4"/>
  <c r="Q440" i="4"/>
  <c r="Q847" i="4"/>
  <c r="Q439" i="4"/>
  <c r="Q892" i="4"/>
  <c r="R484" i="4"/>
  <c r="Q893" i="4"/>
  <c r="Q891" i="4"/>
  <c r="R890" i="4"/>
  <c r="R892" i="4"/>
  <c r="Q483" i="4"/>
  <c r="R482" i="4"/>
  <c r="R891" i="4"/>
  <c r="Q890" i="4"/>
  <c r="Q484" i="4"/>
  <c r="Q485" i="4"/>
  <c r="Q482" i="4"/>
  <c r="R1010" i="4"/>
  <c r="Q1012" i="4"/>
  <c r="R604" i="4"/>
  <c r="R602" i="4"/>
  <c r="R605" i="4"/>
  <c r="Q602" i="4"/>
  <c r="R603" i="4"/>
  <c r="Q1013" i="4"/>
  <c r="Q1010" i="4"/>
  <c r="Q603" i="4"/>
  <c r="Q604" i="4"/>
  <c r="Q605" i="4"/>
  <c r="R1011" i="4"/>
  <c r="Q1011" i="4"/>
  <c r="R1012" i="4"/>
  <c r="Q12" i="4"/>
  <c r="Q3" i="4"/>
  <c r="Q8" i="4"/>
  <c r="Q9" i="4"/>
  <c r="Q900" i="4"/>
  <c r="R492" i="4"/>
  <c r="Q901" i="4"/>
  <c r="Q490" i="4"/>
  <c r="Q493" i="4"/>
  <c r="R490" i="4"/>
  <c r="R898" i="4"/>
  <c r="Q899" i="4"/>
  <c r="R899" i="4"/>
  <c r="Q898" i="4"/>
  <c r="R900" i="4"/>
  <c r="Q491" i="4"/>
  <c r="Q492" i="4"/>
  <c r="R491" i="4"/>
  <c r="Q1024" i="4"/>
  <c r="Q1025" i="4"/>
  <c r="R617" i="4"/>
  <c r="Q614" i="4"/>
  <c r="Q1022" i="4"/>
  <c r="R1022" i="4"/>
  <c r="R616" i="4"/>
  <c r="Q1023" i="4"/>
  <c r="R615" i="4"/>
  <c r="R614" i="4"/>
  <c r="R1023" i="4"/>
  <c r="R1024" i="4"/>
  <c r="Q615" i="4"/>
  <c r="Q616" i="4"/>
  <c r="Q617" i="4"/>
  <c r="Q877" i="4"/>
  <c r="Q876" i="4"/>
  <c r="R468" i="4"/>
  <c r="R466" i="4"/>
  <c r="R874" i="4"/>
  <c r="Q874" i="4"/>
  <c r="Q875" i="4"/>
  <c r="Q467" i="4"/>
  <c r="R876" i="4"/>
  <c r="Q468" i="4"/>
  <c r="Q469" i="4"/>
  <c r="R875" i="4"/>
  <c r="Q466" i="4"/>
  <c r="R418" i="4"/>
  <c r="Q421" i="4"/>
  <c r="Q419" i="4"/>
  <c r="Q826" i="4"/>
  <c r="Q418" i="4"/>
  <c r="Q420" i="4"/>
  <c r="R420" i="4"/>
  <c r="R419" i="4"/>
  <c r="R826" i="4"/>
  <c r="Q829" i="4"/>
  <c r="Q827" i="4"/>
  <c r="R827" i="4"/>
  <c r="Q828" i="4"/>
  <c r="Q14" i="4"/>
  <c r="Q597" i="4"/>
  <c r="R1004" i="4"/>
  <c r="Q595" i="4"/>
  <c r="Q596" i="4"/>
  <c r="R594" i="4"/>
  <c r="Q594" i="4"/>
  <c r="R1002" i="4"/>
  <c r="Q1002" i="4"/>
  <c r="Q1004" i="4"/>
  <c r="R595" i="4"/>
  <c r="R596" i="4"/>
  <c r="Q1003" i="4"/>
  <c r="R1003" i="4"/>
  <c r="Q1005" i="4"/>
  <c r="R597" i="4"/>
  <c r="R928" i="4"/>
  <c r="R927" i="4"/>
  <c r="Q520" i="4"/>
  <c r="R929" i="4"/>
  <c r="Q521" i="4"/>
  <c r="Q519" i="4"/>
  <c r="R518" i="4"/>
  <c r="R519" i="4"/>
  <c r="Q518" i="4"/>
  <c r="R520" i="4"/>
  <c r="R926" i="4"/>
  <c r="Q929" i="4"/>
  <c r="Q926" i="4"/>
  <c r="Q928" i="4"/>
  <c r="Q927" i="4"/>
  <c r="Q522" i="4"/>
  <c r="Q932" i="4"/>
  <c r="R522" i="4"/>
  <c r="R523" i="4"/>
  <c r="Q931" i="4"/>
  <c r="Q523" i="4"/>
  <c r="Q524" i="4"/>
  <c r="R930" i="4"/>
  <c r="Q933" i="4"/>
  <c r="Q930" i="4"/>
  <c r="Q525" i="4"/>
  <c r="R931" i="4"/>
  <c r="R932" i="4"/>
  <c r="Q1017" i="4"/>
  <c r="R609" i="4"/>
  <c r="Q606" i="4"/>
  <c r="Q1014" i="4"/>
  <c r="Q1015" i="4"/>
  <c r="Q1016" i="4"/>
  <c r="R1014" i="4"/>
  <c r="R607" i="4"/>
  <c r="R606" i="4"/>
  <c r="R608" i="4"/>
  <c r="Q607" i="4"/>
  <c r="Q608" i="4"/>
  <c r="R1016" i="4"/>
  <c r="Q609" i="4"/>
  <c r="R1015" i="4"/>
  <c r="Q530" i="4"/>
  <c r="Q941" i="4"/>
  <c r="R531" i="4"/>
  <c r="Q940" i="4"/>
  <c r="R530" i="4"/>
  <c r="Q938" i="4"/>
  <c r="R940" i="4"/>
  <c r="Q939" i="4"/>
  <c r="Q531" i="4"/>
  <c r="Q532" i="4"/>
  <c r="R938" i="4"/>
  <c r="Q533" i="4"/>
  <c r="R939" i="4"/>
  <c r="Q844" i="4"/>
  <c r="R842" i="4"/>
  <c r="Q437" i="4"/>
  <c r="Q845" i="4"/>
  <c r="Q842" i="4"/>
  <c r="R434" i="4"/>
  <c r="R437" i="4"/>
  <c r="R435" i="4"/>
  <c r="R843" i="4"/>
  <c r="R844" i="4"/>
  <c r="Q843" i="4"/>
  <c r="Q434" i="4"/>
  <c r="R845" i="4"/>
  <c r="Q435" i="4"/>
  <c r="Q436" i="4"/>
  <c r="Q952" i="4"/>
  <c r="R543" i="4"/>
  <c r="R544" i="4"/>
  <c r="Q950" i="4"/>
  <c r="Q545" i="4"/>
  <c r="R545" i="4"/>
  <c r="R950" i="4"/>
  <c r="Q953" i="4"/>
  <c r="Q542" i="4"/>
  <c r="Q951" i="4"/>
  <c r="R951" i="4"/>
  <c r="R953" i="4"/>
  <c r="R952" i="4"/>
  <c r="Q543" i="4"/>
  <c r="Q544" i="4"/>
  <c r="R7" i="4"/>
  <c r="R967" i="4"/>
  <c r="Q560" i="4"/>
  <c r="Q561" i="4"/>
  <c r="Q966" i="4"/>
  <c r="R968" i="4"/>
  <c r="R969" i="4"/>
  <c r="Q558" i="4"/>
  <c r="R561" i="4"/>
  <c r="R559" i="4"/>
  <c r="Q969" i="4"/>
  <c r="Q968" i="4"/>
  <c r="R558" i="4"/>
  <c r="Q559" i="4"/>
  <c r="R560" i="4"/>
  <c r="Q967" i="4"/>
  <c r="Q432" i="4"/>
  <c r="R430" i="4"/>
  <c r="Q431" i="4"/>
  <c r="R839" i="4"/>
  <c r="Q430" i="4"/>
  <c r="Q838" i="4"/>
  <c r="Q433" i="4"/>
  <c r="R838" i="4"/>
  <c r="Q840" i="4"/>
  <c r="Q839" i="4"/>
  <c r="Q841" i="4"/>
  <c r="R432" i="4"/>
  <c r="R431" i="4"/>
  <c r="Q881" i="4"/>
  <c r="Q878" i="4"/>
  <c r="Q880" i="4"/>
  <c r="R472" i="4"/>
  <c r="R470" i="4"/>
  <c r="R878" i="4"/>
  <c r="Q879" i="4"/>
  <c r="Q471" i="4"/>
  <c r="Q472" i="4"/>
  <c r="Q473" i="4"/>
  <c r="R879" i="4"/>
  <c r="Q470" i="4"/>
  <c r="R880" i="4"/>
  <c r="R578" i="4"/>
  <c r="Q579" i="4"/>
  <c r="Q580" i="4"/>
  <c r="R987" i="4"/>
  <c r="Q986" i="4"/>
  <c r="Q578" i="4"/>
  <c r="R986" i="4"/>
  <c r="R581" i="4"/>
  <c r="Q987" i="4"/>
  <c r="Q989" i="4"/>
  <c r="Q581" i="4"/>
  <c r="Q988" i="4"/>
  <c r="R988" i="4"/>
  <c r="R579" i="4"/>
  <c r="R580" i="4"/>
  <c r="Q937" i="4"/>
  <c r="Q934" i="4"/>
  <c r="R527" i="4"/>
  <c r="Q936" i="4"/>
  <c r="R526" i="4"/>
  <c r="Q526" i="4"/>
  <c r="Q935" i="4"/>
  <c r="Q527" i="4"/>
  <c r="Q528" i="4"/>
  <c r="R934" i="4"/>
  <c r="Q529" i="4"/>
  <c r="R935" i="4"/>
  <c r="R936" i="4"/>
  <c r="Q516" i="4"/>
  <c r="R925" i="4"/>
  <c r="Q517" i="4"/>
  <c r="Q515" i="4"/>
  <c r="Q514" i="4"/>
  <c r="R923" i="4"/>
  <c r="R924" i="4"/>
  <c r="R922" i="4"/>
  <c r="R514" i="4"/>
  <c r="R516" i="4"/>
  <c r="Q925" i="4"/>
  <c r="Q924" i="4"/>
  <c r="Q922" i="4"/>
  <c r="Q923" i="4"/>
  <c r="R515" i="4"/>
  <c r="R457" i="4"/>
  <c r="R862" i="4"/>
  <c r="Q865" i="4"/>
  <c r="Q454" i="4"/>
  <c r="Q862" i="4"/>
  <c r="R454" i="4"/>
  <c r="Q864" i="4"/>
  <c r="R864" i="4"/>
  <c r="Q863" i="4"/>
  <c r="R455" i="4"/>
  <c r="Q455" i="4"/>
  <c r="Q457" i="4"/>
  <c r="Q456" i="4"/>
  <c r="R863" i="4"/>
  <c r="R865" i="4"/>
  <c r="R971" i="4"/>
  <c r="Q564" i="4"/>
  <c r="R973" i="4"/>
  <c r="Q562" i="4"/>
  <c r="R562" i="4"/>
  <c r="R972" i="4"/>
  <c r="Q970" i="4"/>
  <c r="Q565" i="4"/>
  <c r="Q973" i="4"/>
  <c r="R563" i="4"/>
  <c r="R565" i="4"/>
  <c r="R564" i="4"/>
  <c r="Q972" i="4"/>
  <c r="Q971" i="4"/>
  <c r="Q563" i="4"/>
  <c r="Q869" i="4"/>
  <c r="Q868" i="4"/>
  <c r="R461" i="4"/>
  <c r="R866" i="4"/>
  <c r="Q866" i="4"/>
  <c r="R459" i="4"/>
  <c r="R458" i="4"/>
  <c r="Q867" i="4"/>
  <c r="R868" i="4"/>
  <c r="R869" i="4"/>
  <c r="Q459" i="4"/>
  <c r="Q461" i="4"/>
  <c r="Q460" i="4"/>
  <c r="R867" i="4"/>
  <c r="Q458" i="4"/>
  <c r="R539" i="4"/>
  <c r="Q538" i="4"/>
  <c r="Q948" i="4"/>
  <c r="R540" i="4"/>
  <c r="Q949" i="4"/>
  <c r="R541" i="4"/>
  <c r="R947" i="4"/>
  <c r="Q946" i="4"/>
  <c r="R946" i="4"/>
  <c r="Q541" i="4"/>
  <c r="Q947" i="4"/>
  <c r="R949" i="4"/>
  <c r="R948" i="4"/>
  <c r="Q539" i="4"/>
  <c r="Q540" i="4"/>
  <c r="Q944" i="4"/>
  <c r="Q534" i="4"/>
  <c r="Q945" i="4"/>
  <c r="Q942" i="4"/>
  <c r="R535" i="4"/>
  <c r="R534" i="4"/>
  <c r="R944" i="4"/>
  <c r="Q943" i="4"/>
  <c r="Q535" i="4"/>
  <c r="Q536" i="4"/>
  <c r="R942" i="4"/>
  <c r="Q537" i="4"/>
  <c r="R943" i="4"/>
  <c r="R586" i="4"/>
  <c r="Q587" i="4"/>
  <c r="Q589" i="4"/>
  <c r="R996" i="4"/>
  <c r="R994" i="4"/>
  <c r="R995" i="4"/>
  <c r="Q588" i="4"/>
  <c r="Q995" i="4"/>
  <c r="Q994" i="4"/>
  <c r="Q997" i="4"/>
  <c r="R589" i="4"/>
  <c r="R587" i="4"/>
  <c r="Q586" i="4"/>
  <c r="R588" i="4"/>
  <c r="Q996" i="4"/>
  <c r="Q601" i="4"/>
  <c r="R1008" i="4"/>
  <c r="R598" i="4"/>
  <c r="Q599" i="4"/>
  <c r="Q1009" i="4"/>
  <c r="R1007" i="4"/>
  <c r="Q598" i="4"/>
  <c r="Q600" i="4"/>
  <c r="Q1006" i="4"/>
  <c r="R1006" i="4"/>
  <c r="Q1008" i="4"/>
  <c r="Q1007" i="4"/>
  <c r="R599" i="4"/>
  <c r="R601" i="4"/>
  <c r="R600" i="4"/>
  <c r="Q11" i="4"/>
  <c r="Q896" i="4"/>
  <c r="R488" i="4"/>
  <c r="R487" i="4"/>
  <c r="Q897" i="4"/>
  <c r="Q486" i="4"/>
  <c r="Q894" i="4"/>
  <c r="R895" i="4"/>
  <c r="R894" i="4"/>
  <c r="R896" i="4"/>
  <c r="Q895" i="4"/>
  <c r="Q487" i="4"/>
  <c r="Q489" i="4"/>
  <c r="R486" i="4"/>
  <c r="Q488" i="4"/>
  <c r="Q509" i="4"/>
  <c r="R916" i="4"/>
  <c r="Q508" i="4"/>
  <c r="R915" i="4"/>
  <c r="Q506" i="4"/>
  <c r="R917" i="4"/>
  <c r="R914" i="4"/>
  <c r="Q916" i="4"/>
  <c r="Q915" i="4"/>
  <c r="R507" i="4"/>
  <c r="Q507" i="4"/>
  <c r="Q917" i="4"/>
  <c r="R508" i="4"/>
  <c r="R506" i="4"/>
  <c r="Q914" i="4"/>
  <c r="Q424" i="4"/>
  <c r="R422" i="4"/>
  <c r="Q425" i="4"/>
  <c r="R831" i="4"/>
  <c r="Q830" i="4"/>
  <c r="Q833" i="4"/>
  <c r="Q422" i="4"/>
  <c r="Q423" i="4"/>
  <c r="R424" i="4"/>
  <c r="R423" i="4"/>
  <c r="R830" i="4"/>
  <c r="Q831" i="4"/>
  <c r="Q832" i="4"/>
  <c r="Q904" i="4"/>
  <c r="R496" i="4"/>
  <c r="R495" i="4"/>
  <c r="Q905" i="4"/>
  <c r="Q902" i="4"/>
  <c r="R494" i="4"/>
  <c r="Q494" i="4"/>
  <c r="Q497" i="4"/>
  <c r="R902" i="4"/>
  <c r="Q903" i="4"/>
  <c r="R903" i="4"/>
  <c r="R904" i="4"/>
  <c r="Q495" i="4"/>
  <c r="Q496" i="4"/>
  <c r="R443" i="4"/>
  <c r="Q853" i="4"/>
  <c r="R445" i="4"/>
  <c r="R850" i="4"/>
  <c r="Q852" i="4"/>
  <c r="Q442" i="4"/>
  <c r="R442" i="4"/>
  <c r="Q445" i="4"/>
  <c r="Q444" i="4"/>
  <c r="R853" i="4"/>
  <c r="Q443" i="4"/>
  <c r="R851" i="4"/>
  <c r="R852" i="4"/>
  <c r="Q850" i="4"/>
  <c r="Q851" i="4"/>
  <c r="R912" i="4"/>
  <c r="R913" i="4"/>
  <c r="Q504" i="4"/>
  <c r="R502" i="4"/>
  <c r="R911" i="4"/>
  <c r="R910" i="4"/>
  <c r="Q503" i="4"/>
  <c r="Q502" i="4"/>
  <c r="R503" i="4"/>
  <c r="Q910" i="4"/>
  <c r="Q912" i="4"/>
  <c r="Q911" i="4"/>
  <c r="Q505" i="4"/>
  <c r="Q913" i="4"/>
  <c r="R504" i="4"/>
  <c r="Q909" i="4"/>
  <c r="Q906" i="4"/>
  <c r="Q908" i="4"/>
  <c r="R500" i="4"/>
  <c r="R499" i="4"/>
  <c r="Q907" i="4"/>
  <c r="Q500" i="4"/>
  <c r="Q499" i="4"/>
  <c r="Q501" i="4"/>
  <c r="R907" i="4"/>
  <c r="R906" i="4"/>
  <c r="R908" i="4"/>
  <c r="Q498" i="4"/>
  <c r="R498" i="4"/>
  <c r="Q888" i="4"/>
  <c r="R480" i="4"/>
  <c r="Q889" i="4"/>
  <c r="Q887" i="4"/>
  <c r="Q886" i="4"/>
  <c r="R886" i="4"/>
  <c r="R478" i="4"/>
  <c r="R888" i="4"/>
  <c r="R887" i="4"/>
  <c r="Q479" i="4"/>
  <c r="Q480" i="4"/>
  <c r="Q478" i="4"/>
  <c r="Q481" i="4"/>
  <c r="Q4" i="4"/>
  <c r="R11" i="4"/>
  <c r="Q417" i="4"/>
  <c r="Q415" i="4"/>
  <c r="R823" i="4"/>
  <c r="Q416" i="4"/>
  <c r="Q414" i="4"/>
  <c r="R414" i="4"/>
  <c r="R822" i="4"/>
  <c r="Q825" i="4"/>
  <c r="R416" i="4"/>
  <c r="Q823" i="4"/>
  <c r="Q822" i="4"/>
  <c r="Q824" i="4"/>
  <c r="R415" i="4"/>
  <c r="R453" i="4"/>
  <c r="R858" i="4"/>
  <c r="Q450" i="4"/>
  <c r="Q858" i="4"/>
  <c r="Q860" i="4"/>
  <c r="R450" i="4"/>
  <c r="Q861" i="4"/>
  <c r="R451" i="4"/>
  <c r="R860" i="4"/>
  <c r="Q451" i="4"/>
  <c r="Q453" i="4"/>
  <c r="R861" i="4"/>
  <c r="Q452" i="4"/>
  <c r="Q859" i="4"/>
  <c r="R859" i="4"/>
  <c r="Q556" i="4"/>
  <c r="Q557" i="4"/>
  <c r="Q962" i="4"/>
  <c r="R964" i="4"/>
  <c r="R965" i="4"/>
  <c r="R963" i="4"/>
  <c r="Q554" i="4"/>
  <c r="R555" i="4"/>
  <c r="R557" i="4"/>
  <c r="Q964" i="4"/>
  <c r="R556" i="4"/>
  <c r="Q555" i="4"/>
  <c r="Q963" i="4"/>
  <c r="R554" i="4"/>
  <c r="Q965" i="4"/>
  <c r="Q546" i="4"/>
  <c r="Q956" i="4"/>
  <c r="R547" i="4"/>
  <c r="Q957" i="4"/>
  <c r="R549" i="4"/>
  <c r="Q954" i="4"/>
  <c r="R548" i="4"/>
  <c r="Q549" i="4"/>
  <c r="Q548" i="4"/>
  <c r="Q955" i="4"/>
  <c r="R955" i="4"/>
  <c r="R957" i="4"/>
  <c r="R956" i="4"/>
  <c r="R954" i="4"/>
  <c r="Q547" i="4"/>
  <c r="R19" i="4"/>
  <c r="Q19" i="4"/>
  <c r="Q16" i="4"/>
  <c r="Q17" i="4"/>
  <c r="Q7" i="4"/>
  <c r="P20" i="4"/>
  <c r="P18" i="4"/>
  <c r="P23" i="4"/>
  <c r="P21" i="4"/>
  <c r="I3" i="7" l="1"/>
  <c r="H3" i="7"/>
  <c r="H3" i="5"/>
  <c r="I3" i="5"/>
  <c r="I3" i="10"/>
  <c r="H3" i="10"/>
  <c r="B11" i="15"/>
  <c r="M28" i="5"/>
  <c r="I51" i="5"/>
  <c r="I57" i="5"/>
  <c r="H48" i="5"/>
  <c r="H48" i="15"/>
  <c r="I78" i="15" s="1"/>
  <c r="H55" i="5"/>
  <c r="H55" i="15"/>
  <c r="I85" i="15" s="1"/>
  <c r="H53" i="5"/>
  <c r="H53" i="15"/>
  <c r="I83" i="15" s="1"/>
  <c r="I55" i="5"/>
  <c r="H57" i="5"/>
  <c r="H57" i="15"/>
  <c r="I87" i="15" s="1"/>
  <c r="I48" i="5"/>
  <c r="I39" i="5"/>
  <c r="H51" i="5"/>
  <c r="H51" i="15"/>
  <c r="I81" i="15" s="1"/>
  <c r="H39" i="5"/>
  <c r="H39" i="15"/>
  <c r="I69" i="15" s="1"/>
  <c r="H43" i="5"/>
  <c r="H43" i="15"/>
  <c r="I73" i="15" s="1"/>
  <c r="H49" i="5"/>
  <c r="H49" i="15"/>
  <c r="I43" i="5"/>
  <c r="I53" i="5"/>
  <c r="I49" i="5"/>
  <c r="I12" i="10"/>
  <c r="I42" i="10" s="1"/>
  <c r="H12" i="10"/>
  <c r="H42" i="10" s="1"/>
  <c r="H15" i="11"/>
  <c r="H45" i="11" s="1"/>
  <c r="I15" i="11"/>
  <c r="I45" i="11" s="1"/>
  <c r="I14" i="10"/>
  <c r="I44" i="10" s="1"/>
  <c r="H14" i="10"/>
  <c r="H44" i="10" s="1"/>
  <c r="I10" i="7"/>
  <c r="I40" i="7" s="1"/>
  <c r="H5" i="7"/>
  <c r="H35" i="7" s="1"/>
  <c r="I5" i="7"/>
  <c r="I35" i="7" s="1"/>
  <c r="H24" i="11"/>
  <c r="H54" i="11" s="1"/>
  <c r="I24" i="11"/>
  <c r="I54" i="11" s="1"/>
  <c r="H7" i="11"/>
  <c r="H37" i="11" s="1"/>
  <c r="I7" i="11"/>
  <c r="I37" i="11" s="1"/>
  <c r="I14" i="11"/>
  <c r="I44" i="11" s="1"/>
  <c r="H14" i="11"/>
  <c r="H44" i="11" s="1"/>
  <c r="I10" i="10"/>
  <c r="I40" i="10" s="1"/>
  <c r="H10" i="10"/>
  <c r="H40" i="10" s="1"/>
  <c r="I22" i="10"/>
  <c r="I52" i="10" s="1"/>
  <c r="H22" i="10"/>
  <c r="H52" i="10" s="1"/>
  <c r="H11" i="11"/>
  <c r="H41" i="11" s="1"/>
  <c r="I11" i="11"/>
  <c r="I41" i="11" s="1"/>
  <c r="I3" i="11"/>
  <c r="I20" i="10"/>
  <c r="I50" i="10" s="1"/>
  <c r="H20" i="10"/>
  <c r="H50" i="10" s="1"/>
  <c r="H12" i="7"/>
  <c r="H42" i="7" s="1"/>
  <c r="I12" i="7"/>
  <c r="I42" i="7" s="1"/>
  <c r="I15" i="10"/>
  <c r="I45" i="10" s="1"/>
  <c r="H15" i="10"/>
  <c r="H45" i="10" s="1"/>
  <c r="I7" i="7"/>
  <c r="I37" i="7" s="1"/>
  <c r="I16" i="10"/>
  <c r="I46" i="10" s="1"/>
  <c r="H16" i="10"/>
  <c r="H46" i="10" s="1"/>
  <c r="H5" i="11"/>
  <c r="H35" i="11" s="1"/>
  <c r="I5" i="11"/>
  <c r="I35" i="11" s="1"/>
  <c r="I17" i="10"/>
  <c r="I47" i="10" s="1"/>
  <c r="H17" i="10"/>
  <c r="H47" i="10" s="1"/>
  <c r="H24" i="7"/>
  <c r="H54" i="7" s="1"/>
  <c r="I24" i="7"/>
  <c r="I54" i="7" s="1"/>
  <c r="I4" i="11"/>
  <c r="I34" i="11" s="1"/>
  <c r="H4" i="11"/>
  <c r="H34" i="11" s="1"/>
  <c r="H15" i="7"/>
  <c r="H45" i="7" s="1"/>
  <c r="I15" i="7"/>
  <c r="I45" i="7" s="1"/>
  <c r="I7" i="10"/>
  <c r="I37" i="10" s="1"/>
  <c r="H7" i="10"/>
  <c r="H37" i="10" s="1"/>
  <c r="I26" i="7"/>
  <c r="I56" i="7" s="1"/>
  <c r="H17" i="11"/>
  <c r="H47" i="11" s="1"/>
  <c r="I17" i="11"/>
  <c r="I47" i="11" s="1"/>
  <c r="I12" i="11"/>
  <c r="I42" i="11" s="1"/>
  <c r="H12" i="11"/>
  <c r="H42" i="11" s="1"/>
  <c r="H8" i="11"/>
  <c r="H38" i="11" s="1"/>
  <c r="I8" i="11"/>
  <c r="I38" i="11" s="1"/>
  <c r="H6" i="11"/>
  <c r="H36" i="11" s="1"/>
  <c r="I6" i="11"/>
  <c r="I36" i="11" s="1"/>
  <c r="H14" i="7"/>
  <c r="H44" i="7" s="1"/>
  <c r="I14" i="7"/>
  <c r="I44" i="7" s="1"/>
  <c r="I26" i="10"/>
  <c r="I56" i="10" s="1"/>
  <c r="H26" i="10"/>
  <c r="H56" i="10" s="1"/>
  <c r="I16" i="7"/>
  <c r="I46" i="7" s="1"/>
  <c r="H10" i="11"/>
  <c r="H40" i="11" s="1"/>
  <c r="I10" i="11"/>
  <c r="I40" i="11" s="1"/>
  <c r="I5" i="10"/>
  <c r="I35" i="10" s="1"/>
  <c r="H5" i="10"/>
  <c r="H35" i="10" s="1"/>
  <c r="H22" i="7"/>
  <c r="H52" i="7" s="1"/>
  <c r="I22" i="7"/>
  <c r="I52" i="7" s="1"/>
  <c r="H11" i="10"/>
  <c r="H41" i="10" s="1"/>
  <c r="I11" i="10"/>
  <c r="I41" i="10" s="1"/>
  <c r="I17" i="7"/>
  <c r="I47" i="7" s="1"/>
  <c r="I6" i="10"/>
  <c r="I36" i="10" s="1"/>
  <c r="H6" i="10"/>
  <c r="H36" i="10" s="1"/>
  <c r="I8" i="10"/>
  <c r="I38" i="10" s="1"/>
  <c r="H8" i="10"/>
  <c r="H38" i="10" s="1"/>
  <c r="H4" i="7"/>
  <c r="H34" i="7" s="1"/>
  <c r="I4" i="7"/>
  <c r="I34" i="7" s="1"/>
  <c r="H16" i="11"/>
  <c r="H46" i="11" s="1"/>
  <c r="I16" i="11"/>
  <c r="I46" i="11" s="1"/>
  <c r="I11" i="7"/>
  <c r="I41" i="7" s="1"/>
  <c r="I33" i="7"/>
  <c r="H33" i="7"/>
  <c r="H20" i="7"/>
  <c r="H50" i="7" s="1"/>
  <c r="I20" i="7"/>
  <c r="I50" i="7" s="1"/>
  <c r="I24" i="10"/>
  <c r="I54" i="10" s="1"/>
  <c r="H24" i="10"/>
  <c r="H54" i="10" s="1"/>
  <c r="H8" i="7"/>
  <c r="H38" i="7" s="1"/>
  <c r="I8" i="7"/>
  <c r="I38" i="7" s="1"/>
  <c r="I4" i="10"/>
  <c r="I34" i="10" s="1"/>
  <c r="H4" i="10"/>
  <c r="H34" i="10" s="1"/>
  <c r="H6" i="7"/>
  <c r="H36" i="7" s="1"/>
  <c r="I6" i="7"/>
  <c r="I36" i="7" s="1"/>
  <c r="I26" i="11"/>
  <c r="I56" i="11" s="1"/>
  <c r="H26" i="11"/>
  <c r="H56" i="11" s="1"/>
  <c r="I22" i="11"/>
  <c r="I52" i="11" s="1"/>
  <c r="H22" i="11"/>
  <c r="H52" i="11" s="1"/>
  <c r="I20" i="11"/>
  <c r="I50" i="11" s="1"/>
  <c r="H20" i="11"/>
  <c r="H50" i="11" s="1"/>
  <c r="H26" i="7"/>
  <c r="H56" i="7" s="1"/>
  <c r="H16" i="5"/>
  <c r="H46" i="15" s="1"/>
  <c r="I16" i="5"/>
  <c r="I11" i="5"/>
  <c r="H11" i="5"/>
  <c r="H41" i="15" s="1"/>
  <c r="I20" i="5"/>
  <c r="H20" i="5"/>
  <c r="H50" i="15" s="1"/>
  <c r="H16" i="7"/>
  <c r="H46" i="7" s="1"/>
  <c r="I5" i="5"/>
  <c r="H5" i="5"/>
  <c r="H35" i="15" s="1"/>
  <c r="I65" i="15" s="1"/>
  <c r="I22" i="5"/>
  <c r="H22" i="5"/>
  <c r="H52" i="15" s="1"/>
  <c r="I82" i="15" s="1"/>
  <c r="H17" i="7"/>
  <c r="H47" i="7" s="1"/>
  <c r="H24" i="5"/>
  <c r="H54" i="15" s="1"/>
  <c r="I84" i="15" s="1"/>
  <c r="I24" i="5"/>
  <c r="H8" i="5"/>
  <c r="I8" i="5"/>
  <c r="I6" i="5"/>
  <c r="H6" i="5"/>
  <c r="H36" i="15" s="1"/>
  <c r="I66" i="15" s="1"/>
  <c r="I26" i="5"/>
  <c r="H26" i="5"/>
  <c r="H11" i="7"/>
  <c r="H41" i="7" s="1"/>
  <c r="H7" i="5"/>
  <c r="I7" i="5"/>
  <c r="H33" i="15"/>
  <c r="H15" i="5"/>
  <c r="H45" i="15" s="1"/>
  <c r="I15" i="5"/>
  <c r="H14" i="5"/>
  <c r="H44" i="15" s="1"/>
  <c r="I74" i="15" s="1"/>
  <c r="I14" i="5"/>
  <c r="I10" i="5"/>
  <c r="H10" i="5"/>
  <c r="H10" i="7"/>
  <c r="H40" i="7" s="1"/>
  <c r="I17" i="5"/>
  <c r="H17" i="5"/>
  <c r="H47" i="15" s="1"/>
  <c r="I12" i="5"/>
  <c r="H12" i="5"/>
  <c r="H4" i="5"/>
  <c r="H34" i="15" s="1"/>
  <c r="I4" i="5"/>
  <c r="H7" i="7"/>
  <c r="Q21" i="4"/>
  <c r="R23" i="4"/>
  <c r="Q23" i="4"/>
  <c r="Q18" i="4"/>
  <c r="Q20" i="4"/>
  <c r="P27" i="4"/>
  <c r="P22" i="4"/>
  <c r="P25" i="4"/>
  <c r="P24" i="4"/>
  <c r="H38" i="5" l="1"/>
  <c r="H38" i="15"/>
  <c r="H37" i="5"/>
  <c r="H37" i="15"/>
  <c r="I67" i="15" s="1"/>
  <c r="H40" i="5"/>
  <c r="H40" i="15"/>
  <c r="I70" i="15" s="1"/>
  <c r="H56" i="5"/>
  <c r="H56" i="15"/>
  <c r="I86" i="15" s="1"/>
  <c r="I42" i="5"/>
  <c r="I56" i="5"/>
  <c r="I37" i="5"/>
  <c r="H42" i="5"/>
  <c r="H42" i="15"/>
  <c r="I40" i="5"/>
  <c r="I38" i="5"/>
  <c r="I33" i="11"/>
  <c r="I28" i="11"/>
  <c r="I58" i="11" s="1"/>
  <c r="H33" i="11"/>
  <c r="H28" i="11"/>
  <c r="H58" i="11" s="1"/>
  <c r="H33" i="10"/>
  <c r="H28" i="10"/>
  <c r="H58" i="10" s="1"/>
  <c r="I33" i="10"/>
  <c r="I28" i="10"/>
  <c r="I58" i="10" s="1"/>
  <c r="H28" i="7"/>
  <c r="H58" i="7" s="1"/>
  <c r="H37" i="7"/>
  <c r="E137" i="4"/>
  <c r="E100" i="4"/>
  <c r="E78" i="4"/>
  <c r="E106" i="4"/>
  <c r="E85" i="4"/>
  <c r="E153" i="4"/>
  <c r="E93" i="4"/>
  <c r="E104" i="4"/>
  <c r="E124" i="4"/>
  <c r="E8" i="4"/>
  <c r="E181" i="4"/>
  <c r="E25" i="4"/>
  <c r="E65" i="4"/>
  <c r="E4" i="4"/>
  <c r="R24" i="4" s="1"/>
  <c r="E125" i="4"/>
  <c r="E68" i="4"/>
  <c r="E141" i="4"/>
  <c r="E101" i="4"/>
  <c r="E77" i="4"/>
  <c r="E97" i="4"/>
  <c r="E75" i="4"/>
  <c r="E145" i="4"/>
  <c r="E2" i="4"/>
  <c r="R2" i="4" s="1"/>
  <c r="E177" i="4"/>
  <c r="E12" i="4"/>
  <c r="E105" i="4"/>
  <c r="E161" i="4"/>
  <c r="E17" i="4"/>
  <c r="E83" i="4"/>
  <c r="Q24" i="4"/>
  <c r="Q25" i="4"/>
  <c r="Q22" i="4"/>
  <c r="R27" i="4"/>
  <c r="Q27" i="4"/>
  <c r="P28" i="4"/>
  <c r="P29" i="4"/>
  <c r="P26" i="4"/>
  <c r="P31" i="4"/>
  <c r="R22" i="4" l="1"/>
  <c r="E27" i="4"/>
  <c r="R1065" i="4"/>
  <c r="R1033" i="4"/>
  <c r="R1029" i="4"/>
  <c r="R1121" i="4"/>
  <c r="R1057" i="4"/>
  <c r="R1113" i="4"/>
  <c r="R1117" i="4"/>
  <c r="R1093" i="4"/>
  <c r="R1109" i="4"/>
  <c r="R1081" i="4"/>
  <c r="R1037" i="4"/>
  <c r="R1105" i="4"/>
  <c r="R1085" i="4"/>
  <c r="R1073" i="4"/>
  <c r="R1061" i="4"/>
  <c r="R1041" i="4"/>
  <c r="R1097" i="4"/>
  <c r="R1045" i="4"/>
  <c r="R1125" i="4"/>
  <c r="R1089" i="4"/>
  <c r="R1077" i="4"/>
  <c r="R1053" i="4"/>
  <c r="R1069" i="4"/>
  <c r="R1049" i="4"/>
  <c r="R1101" i="4"/>
  <c r="R690" i="4"/>
  <c r="R626" i="4"/>
  <c r="R658" i="4"/>
  <c r="R650" i="4"/>
  <c r="R706" i="4"/>
  <c r="R678" i="4"/>
  <c r="R674" i="4"/>
  <c r="R646" i="4"/>
  <c r="R642" i="4"/>
  <c r="R638" i="4"/>
  <c r="R686" i="4"/>
  <c r="R654" i="4"/>
  <c r="R662" i="4"/>
  <c r="R670" i="4"/>
  <c r="R710" i="4"/>
  <c r="R622" i="4"/>
  <c r="R698" i="4"/>
  <c r="R694" i="4"/>
  <c r="R618" i="4"/>
  <c r="R714" i="4"/>
  <c r="R702" i="4"/>
  <c r="R666" i="4"/>
  <c r="R682" i="4"/>
  <c r="R634" i="4"/>
  <c r="R630" i="4"/>
  <c r="R513" i="4"/>
  <c r="R517" i="4"/>
  <c r="R505" i="4"/>
  <c r="R509" i="4"/>
  <c r="R521" i="4"/>
  <c r="R4" i="4"/>
  <c r="R16" i="4"/>
  <c r="R12" i="4"/>
  <c r="R8" i="4"/>
  <c r="R20" i="4"/>
  <c r="R897" i="4"/>
  <c r="R905" i="4"/>
  <c r="R901" i="4"/>
  <c r="R909" i="4"/>
  <c r="E81" i="4"/>
  <c r="R542" i="4"/>
  <c r="R538" i="4"/>
  <c r="R546" i="4"/>
  <c r="R550" i="4"/>
  <c r="E23" i="4"/>
  <c r="R481" i="4"/>
  <c r="R485" i="4"/>
  <c r="R469" i="4"/>
  <c r="R473" i="4"/>
  <c r="R477" i="4"/>
  <c r="R417" i="4"/>
  <c r="R429" i="4"/>
  <c r="R413" i="4"/>
  <c r="R421" i="4"/>
  <c r="R425" i="4"/>
  <c r="R433" i="4"/>
  <c r="R501" i="4"/>
  <c r="R493" i="4"/>
  <c r="R489" i="4"/>
  <c r="R497" i="4"/>
  <c r="E21" i="4"/>
  <c r="R524" i="4"/>
  <c r="R528" i="4"/>
  <c r="R532" i="4"/>
  <c r="R536" i="4"/>
  <c r="R452" i="4"/>
  <c r="R456" i="4"/>
  <c r="R448" i="4"/>
  <c r="R440" i="4"/>
  <c r="R436" i="4"/>
  <c r="R444" i="4"/>
  <c r="R460" i="4"/>
  <c r="R1001" i="4"/>
  <c r="R1005" i="4"/>
  <c r="R989" i="4"/>
  <c r="R985" i="4"/>
  <c r="R993" i="4"/>
  <c r="R997" i="4"/>
  <c r="R1009" i="4"/>
  <c r="R941" i="4"/>
  <c r="R937" i="4"/>
  <c r="R933" i="4"/>
  <c r="R945" i="4"/>
  <c r="R1017" i="4"/>
  <c r="R1021" i="4"/>
  <c r="R1013" i="4"/>
  <c r="R1025" i="4"/>
  <c r="R10" i="4"/>
  <c r="R6" i="4"/>
  <c r="R14" i="4"/>
  <c r="R18" i="4"/>
  <c r="R467" i="4"/>
  <c r="R479" i="4"/>
  <c r="R471" i="4"/>
  <c r="R475" i="4"/>
  <c r="R483" i="4"/>
  <c r="R537" i="4"/>
  <c r="R533" i="4"/>
  <c r="R525" i="4"/>
  <c r="R529" i="4"/>
  <c r="R821" i="4"/>
  <c r="R837" i="4"/>
  <c r="R829" i="4"/>
  <c r="R833" i="4"/>
  <c r="R841" i="4"/>
  <c r="R825" i="4"/>
  <c r="E87" i="4"/>
  <c r="E5" i="4"/>
  <c r="R893" i="4"/>
  <c r="R889" i="4"/>
  <c r="R881" i="4"/>
  <c r="R877" i="4"/>
  <c r="R885" i="4"/>
  <c r="E170" i="4"/>
  <c r="R840" i="4"/>
  <c r="R832" i="4"/>
  <c r="R824" i="4"/>
  <c r="R820" i="4"/>
  <c r="R836" i="4"/>
  <c r="R828" i="4"/>
  <c r="Q31" i="4"/>
  <c r="R31" i="4"/>
  <c r="R26" i="4"/>
  <c r="Q26" i="4"/>
  <c r="R29" i="4"/>
  <c r="Q29" i="4"/>
  <c r="Q28" i="4"/>
  <c r="R28" i="4"/>
  <c r="P35" i="4"/>
  <c r="P30" i="4"/>
  <c r="P33" i="4"/>
  <c r="P32" i="4"/>
  <c r="R9" i="4" l="1"/>
  <c r="R13" i="4"/>
  <c r="R5" i="4"/>
  <c r="R17" i="4"/>
  <c r="R21" i="4"/>
  <c r="R25" i="4"/>
  <c r="R657" i="4"/>
  <c r="R677" i="4"/>
  <c r="R669" i="4"/>
  <c r="R621" i="4"/>
  <c r="R689" i="4"/>
  <c r="R717" i="4"/>
  <c r="R673" i="4"/>
  <c r="R649" i="4"/>
  <c r="R701" i="4"/>
  <c r="R645" i="4"/>
  <c r="R641" i="4"/>
  <c r="R713" i="4"/>
  <c r="R681" i="4"/>
  <c r="R697" i="4"/>
  <c r="R709" i="4"/>
  <c r="R685" i="4"/>
  <c r="R633" i="4"/>
  <c r="R653" i="4"/>
  <c r="R661" i="4"/>
  <c r="R705" i="4"/>
  <c r="R629" i="4"/>
  <c r="R625" i="4"/>
  <c r="R665" i="4"/>
  <c r="R693" i="4"/>
  <c r="R637" i="4"/>
  <c r="R970" i="4"/>
  <c r="R962" i="4"/>
  <c r="R966" i="4"/>
  <c r="R974" i="4"/>
  <c r="R978" i="4"/>
  <c r="R759" i="4"/>
  <c r="R771" i="4"/>
  <c r="R791" i="4"/>
  <c r="R815" i="4"/>
  <c r="R731" i="4"/>
  <c r="R727" i="4"/>
  <c r="R739" i="4"/>
  <c r="R783" i="4"/>
  <c r="R735" i="4"/>
  <c r="R787" i="4"/>
  <c r="R811" i="4"/>
  <c r="R807" i="4"/>
  <c r="R747" i="4"/>
  <c r="R775" i="4"/>
  <c r="R743" i="4"/>
  <c r="R723" i="4"/>
  <c r="R763" i="4"/>
  <c r="R799" i="4"/>
  <c r="R795" i="4"/>
  <c r="R779" i="4"/>
  <c r="R767" i="4"/>
  <c r="R751" i="4"/>
  <c r="R755" i="4"/>
  <c r="R719" i="4"/>
  <c r="R803" i="4"/>
  <c r="R32" i="4"/>
  <c r="Q32" i="4"/>
  <c r="Q33" i="4"/>
  <c r="R33" i="4"/>
  <c r="R30" i="4"/>
  <c r="Q30" i="4"/>
  <c r="R35" i="4"/>
  <c r="Q35" i="4"/>
  <c r="P36" i="4"/>
  <c r="P37" i="4"/>
  <c r="P34" i="4"/>
  <c r="P39" i="4"/>
  <c r="Q39" i="4" l="1"/>
  <c r="R39" i="4"/>
  <c r="R34" i="4"/>
  <c r="Q34" i="4"/>
  <c r="R37" i="4"/>
  <c r="Q37" i="4"/>
  <c r="R36" i="4"/>
  <c r="Q36" i="4"/>
  <c r="P43" i="4"/>
  <c r="P38" i="4"/>
  <c r="P41" i="4"/>
  <c r="P40" i="4"/>
  <c r="Q38" i="4" l="1"/>
  <c r="R38" i="4"/>
  <c r="Q40" i="4"/>
  <c r="R40" i="4"/>
  <c r="R41" i="4"/>
  <c r="Q41" i="4"/>
  <c r="R43" i="4"/>
  <c r="Q43" i="4"/>
  <c r="P45" i="4"/>
  <c r="P42" i="4"/>
  <c r="P44" i="4"/>
  <c r="P47" i="4"/>
  <c r="Q44" i="4" l="1"/>
  <c r="R44" i="4"/>
  <c r="Q42" i="4"/>
  <c r="R42" i="4"/>
  <c r="R45" i="4"/>
  <c r="Q45" i="4"/>
  <c r="Q47" i="4"/>
  <c r="R47" i="4"/>
  <c r="P48" i="4"/>
  <c r="P46" i="4"/>
  <c r="P51" i="4"/>
  <c r="P49" i="4"/>
  <c r="R49" i="4" l="1"/>
  <c r="Q49" i="4"/>
  <c r="R46" i="4"/>
  <c r="Q46" i="4"/>
  <c r="Q51" i="4"/>
  <c r="R51" i="4"/>
  <c r="R48" i="4"/>
  <c r="Q48" i="4"/>
  <c r="P53" i="4"/>
  <c r="P55" i="4"/>
  <c r="P50" i="4"/>
  <c r="P52" i="4"/>
  <c r="R50" i="4" l="1"/>
  <c r="Q50" i="4"/>
  <c r="R52" i="4"/>
  <c r="Q52" i="4"/>
  <c r="Q55" i="4"/>
  <c r="R55" i="4"/>
  <c r="Q53" i="4"/>
  <c r="R53" i="4"/>
  <c r="P54" i="4"/>
  <c r="P56" i="4"/>
  <c r="P59" i="4"/>
  <c r="P57" i="4"/>
  <c r="R59" i="4" l="1"/>
  <c r="Q59" i="4"/>
  <c r="R57" i="4"/>
  <c r="Q57" i="4"/>
  <c r="R56" i="4"/>
  <c r="Q56" i="4"/>
  <c r="R54" i="4"/>
  <c r="Q54" i="4"/>
  <c r="P63" i="4"/>
  <c r="P60" i="4"/>
  <c r="P61" i="4"/>
  <c r="P58" i="4"/>
  <c r="Q61" i="4" l="1"/>
  <c r="R61" i="4"/>
  <c r="R58" i="4"/>
  <c r="Q58" i="4"/>
  <c r="R60" i="4"/>
  <c r="Q60" i="4"/>
  <c r="Q63" i="4"/>
  <c r="R63" i="4"/>
  <c r="P62" i="4"/>
  <c r="P65" i="4"/>
  <c r="P64" i="4"/>
  <c r="P67" i="4"/>
  <c r="R67" i="4" l="1"/>
  <c r="Q67" i="4"/>
  <c r="Q64" i="4"/>
  <c r="R64" i="4"/>
  <c r="Q65" i="4"/>
  <c r="R65" i="4"/>
  <c r="Q62" i="4"/>
  <c r="R62" i="4"/>
  <c r="P71" i="4"/>
  <c r="P69" i="4"/>
  <c r="P68" i="4"/>
  <c r="P66" i="4"/>
  <c r="R68" i="4" l="1"/>
  <c r="Q68" i="4"/>
  <c r="R66" i="4"/>
  <c r="Q66" i="4"/>
  <c r="Q69" i="4"/>
  <c r="R69" i="4"/>
  <c r="R71" i="4"/>
  <c r="Q71" i="4"/>
  <c r="P70" i="4"/>
  <c r="P72" i="4"/>
  <c r="P73" i="4"/>
  <c r="P75" i="4"/>
  <c r="R73" i="4" l="1"/>
  <c r="Q73" i="4"/>
  <c r="R72" i="4"/>
  <c r="Q72" i="4"/>
  <c r="R75" i="4"/>
  <c r="Q75" i="4"/>
  <c r="R70" i="4"/>
  <c r="Q70" i="4"/>
  <c r="P77" i="4"/>
  <c r="P76" i="4"/>
  <c r="P79" i="4"/>
  <c r="P74" i="4"/>
  <c r="Q79" i="4" l="1"/>
  <c r="R79" i="4"/>
  <c r="Q74" i="4"/>
  <c r="R74" i="4"/>
  <c r="Q76" i="4"/>
  <c r="R76" i="4"/>
  <c r="Q77" i="4"/>
  <c r="R77" i="4"/>
  <c r="P83" i="4"/>
  <c r="P80" i="4"/>
  <c r="P78" i="4"/>
  <c r="P81" i="4"/>
  <c r="R78" i="4" l="1"/>
  <c r="Q78" i="4"/>
  <c r="R81" i="4"/>
  <c r="Q81" i="4"/>
  <c r="Q80" i="4"/>
  <c r="R80" i="4"/>
  <c r="Q83" i="4"/>
  <c r="R83" i="4"/>
  <c r="P82" i="4"/>
  <c r="P85" i="4"/>
  <c r="P84" i="4"/>
  <c r="P87" i="4"/>
  <c r="R84" i="4" l="1"/>
  <c r="Q84" i="4"/>
  <c r="R87" i="4"/>
  <c r="Q87" i="4"/>
  <c r="R85" i="4"/>
  <c r="Q85" i="4"/>
  <c r="R82" i="4"/>
  <c r="Q82" i="4"/>
  <c r="P88" i="4"/>
  <c r="P91" i="4"/>
  <c r="P89" i="4"/>
  <c r="P86" i="4"/>
  <c r="R89" i="4" l="1"/>
  <c r="Q89" i="4"/>
  <c r="Q86" i="4"/>
  <c r="R86" i="4"/>
  <c r="Q91" i="4"/>
  <c r="R91" i="4"/>
  <c r="Q88" i="4"/>
  <c r="R88" i="4"/>
  <c r="P93" i="4"/>
  <c r="P95" i="4"/>
  <c r="P90" i="4"/>
  <c r="P92" i="4"/>
  <c r="R92" i="4" l="1"/>
  <c r="Q92" i="4"/>
  <c r="Q90" i="4"/>
  <c r="R90" i="4"/>
  <c r="Q95" i="4"/>
  <c r="R95" i="4"/>
  <c r="R93" i="4"/>
  <c r="Q93" i="4"/>
  <c r="P96" i="4"/>
  <c r="P94" i="4"/>
  <c r="P99" i="4"/>
  <c r="P97" i="4"/>
  <c r="Q97" i="4" l="1"/>
  <c r="R97" i="4"/>
  <c r="Q99" i="4"/>
  <c r="R99" i="4"/>
  <c r="Q94" i="4"/>
  <c r="R94" i="4"/>
  <c r="R96" i="4"/>
  <c r="Q96" i="4"/>
  <c r="P101" i="4"/>
  <c r="P103" i="4"/>
  <c r="P98" i="4"/>
  <c r="P100" i="4"/>
  <c r="Q100" i="4" l="1"/>
  <c r="R100" i="4"/>
  <c r="Q98" i="4"/>
  <c r="R98" i="4"/>
  <c r="R103" i="4"/>
  <c r="Q103" i="4"/>
  <c r="R101" i="4"/>
  <c r="Q101" i="4"/>
  <c r="P102" i="4"/>
  <c r="P104" i="4"/>
  <c r="P107" i="4"/>
  <c r="P105" i="4"/>
  <c r="Q105" i="4" l="1"/>
  <c r="R105" i="4"/>
  <c r="R107" i="4"/>
  <c r="Q107" i="4"/>
  <c r="Q104" i="4"/>
  <c r="R104" i="4"/>
  <c r="Q102" i="4"/>
  <c r="R102" i="4"/>
  <c r="P109" i="4"/>
  <c r="P108" i="4"/>
  <c r="P111" i="4"/>
  <c r="P106" i="4"/>
  <c r="Q106" i="4" l="1"/>
  <c r="R106" i="4"/>
  <c r="Q111" i="4"/>
  <c r="R111" i="4"/>
  <c r="Q108" i="4"/>
  <c r="R108" i="4"/>
  <c r="Q109" i="4"/>
  <c r="R109" i="4"/>
  <c r="P115" i="4"/>
  <c r="P110" i="4"/>
  <c r="P112" i="4"/>
  <c r="P113" i="4"/>
  <c r="R112" i="4" l="1"/>
  <c r="Q112" i="4"/>
  <c r="Q113" i="4"/>
  <c r="R113" i="4"/>
  <c r="R110" i="4"/>
  <c r="Q110" i="4"/>
  <c r="Q115" i="4"/>
  <c r="R115" i="4"/>
  <c r="P116" i="4"/>
  <c r="P114" i="4"/>
  <c r="P117" i="4"/>
  <c r="P119" i="4"/>
  <c r="R114" i="4" l="1"/>
  <c r="Q114" i="4"/>
  <c r="Q117" i="4"/>
  <c r="R117" i="4"/>
  <c r="Q116" i="4"/>
  <c r="R116" i="4"/>
  <c r="R119" i="4"/>
  <c r="Q119" i="4"/>
  <c r="P123" i="4"/>
  <c r="P118" i="4"/>
  <c r="P121" i="4"/>
  <c r="P120" i="4"/>
  <c r="R120" i="4" l="1"/>
  <c r="Q120" i="4"/>
  <c r="Q121" i="4"/>
  <c r="R121" i="4"/>
  <c r="Q118" i="4"/>
  <c r="R118" i="4"/>
  <c r="R123" i="4"/>
  <c r="Q123" i="4"/>
  <c r="P125" i="4"/>
  <c r="P122" i="4"/>
  <c r="P124" i="4"/>
  <c r="P127" i="4"/>
  <c r="Q127" i="4" l="1"/>
  <c r="R127" i="4"/>
  <c r="Q124" i="4"/>
  <c r="R124" i="4"/>
  <c r="Q122" i="4"/>
  <c r="R122" i="4"/>
  <c r="Q125" i="4"/>
  <c r="R125" i="4"/>
  <c r="P131" i="4"/>
  <c r="P126" i="4"/>
  <c r="P128" i="4"/>
  <c r="P129" i="4"/>
  <c r="R128" i="4" l="1"/>
  <c r="Q128" i="4"/>
  <c r="Q129" i="4"/>
  <c r="R129" i="4"/>
  <c r="Q126" i="4"/>
  <c r="R126" i="4"/>
  <c r="R131" i="4"/>
  <c r="Q131" i="4"/>
  <c r="P133" i="4"/>
  <c r="P132" i="4"/>
  <c r="P130" i="4"/>
  <c r="P135" i="4"/>
  <c r="H45" i="5" l="1"/>
  <c r="I45" i="5"/>
  <c r="Q135" i="4"/>
  <c r="R135" i="4"/>
  <c r="Q130" i="4"/>
  <c r="R130" i="4"/>
  <c r="Q132" i="4"/>
  <c r="R132" i="4"/>
  <c r="R133" i="4"/>
  <c r="Q133" i="4"/>
  <c r="P139" i="4"/>
  <c r="P134" i="4"/>
  <c r="P136" i="4"/>
  <c r="P137" i="4"/>
  <c r="R137" i="4" l="1"/>
  <c r="Q137" i="4"/>
  <c r="Q136" i="4"/>
  <c r="R136" i="4"/>
  <c r="R134" i="4"/>
  <c r="Q134" i="4"/>
  <c r="Q139" i="4"/>
  <c r="R139" i="4"/>
  <c r="P141" i="4"/>
  <c r="P140" i="4"/>
  <c r="P138" i="4"/>
  <c r="P143" i="4"/>
  <c r="H46" i="5" l="1"/>
  <c r="I46" i="5"/>
  <c r="Q143" i="4"/>
  <c r="R143" i="4"/>
  <c r="Q138" i="4"/>
  <c r="R138" i="4"/>
  <c r="Q140" i="4"/>
  <c r="R140" i="4"/>
  <c r="R141" i="4"/>
  <c r="Q141" i="4"/>
  <c r="P142" i="4"/>
  <c r="P147" i="4"/>
  <c r="P144" i="4"/>
  <c r="P145" i="4"/>
  <c r="H47" i="5" l="1"/>
  <c r="I47" i="5"/>
  <c r="Q145" i="4"/>
  <c r="R145" i="4"/>
  <c r="R144" i="4"/>
  <c r="Q144" i="4"/>
  <c r="R147" i="4"/>
  <c r="Q147" i="4"/>
  <c r="R142" i="4"/>
  <c r="Q142" i="4"/>
  <c r="P149" i="4"/>
  <c r="P148" i="4"/>
  <c r="P151" i="4"/>
  <c r="P146" i="4"/>
  <c r="I41" i="5" l="1"/>
  <c r="H41" i="5"/>
  <c r="Q146" i="4"/>
  <c r="R146" i="4"/>
  <c r="R151" i="4"/>
  <c r="Q151" i="4"/>
  <c r="Q148" i="4"/>
  <c r="R148" i="4"/>
  <c r="R149" i="4"/>
  <c r="Q149" i="4"/>
  <c r="P155" i="4"/>
  <c r="P150" i="4"/>
  <c r="P152" i="4"/>
  <c r="P153" i="4"/>
  <c r="H54" i="5" l="1"/>
  <c r="I54" i="5"/>
  <c r="Q152" i="4"/>
  <c r="R152" i="4"/>
  <c r="R153" i="4"/>
  <c r="Q153" i="4"/>
  <c r="R150" i="4"/>
  <c r="Q150" i="4"/>
  <c r="R155" i="4"/>
  <c r="Q155" i="4"/>
  <c r="P157" i="4"/>
  <c r="P154" i="4"/>
  <c r="P156" i="4"/>
  <c r="P159" i="4"/>
  <c r="I44" i="5" l="1"/>
  <c r="H44" i="5"/>
  <c r="Q159" i="4"/>
  <c r="R159" i="4"/>
  <c r="Q156" i="4"/>
  <c r="R156" i="4"/>
  <c r="Q154" i="4"/>
  <c r="R154" i="4"/>
  <c r="R157" i="4"/>
  <c r="Q157" i="4"/>
  <c r="P163" i="4"/>
  <c r="P158" i="4"/>
  <c r="P160" i="4"/>
  <c r="P161" i="4"/>
  <c r="R161" i="4" l="1"/>
  <c r="Q161" i="4"/>
  <c r="Q158" i="4"/>
  <c r="R158" i="4"/>
  <c r="Q160" i="4"/>
  <c r="R160" i="4"/>
  <c r="Q163" i="4"/>
  <c r="R163" i="4"/>
  <c r="P165" i="4"/>
  <c r="P162" i="4"/>
  <c r="P164" i="4"/>
  <c r="P167" i="4"/>
  <c r="I50" i="5" l="1"/>
  <c r="H50" i="5"/>
  <c r="R167" i="4"/>
  <c r="Q167" i="4"/>
  <c r="Q164" i="4"/>
  <c r="R164" i="4"/>
  <c r="R162" i="4"/>
  <c r="Q162" i="4"/>
  <c r="R165" i="4"/>
  <c r="Q165" i="4"/>
  <c r="P171" i="4"/>
  <c r="P166" i="4"/>
  <c r="P168" i="4"/>
  <c r="P169" i="4"/>
  <c r="I52" i="5" l="1"/>
  <c r="H52" i="5"/>
  <c r="Q168" i="4"/>
  <c r="R168" i="4"/>
  <c r="R169" i="4"/>
  <c r="Q169" i="4"/>
  <c r="R166" i="4"/>
  <c r="Q166" i="4"/>
  <c r="R171" i="4"/>
  <c r="Q171" i="4"/>
  <c r="P173" i="4"/>
  <c r="P170" i="4"/>
  <c r="P172" i="4"/>
  <c r="P175" i="4"/>
  <c r="R172" i="4" l="1"/>
  <c r="Q172" i="4"/>
  <c r="R175" i="4"/>
  <c r="Q175" i="4"/>
  <c r="Q170" i="4"/>
  <c r="R170" i="4"/>
  <c r="Q173" i="4"/>
  <c r="R173" i="4"/>
  <c r="P179" i="4"/>
  <c r="P174" i="4"/>
  <c r="P176" i="4"/>
  <c r="P177" i="4"/>
  <c r="H33" i="5" l="1"/>
  <c r="I33" i="5"/>
  <c r="I34" i="5"/>
  <c r="H34" i="5"/>
  <c r="R177" i="4"/>
  <c r="Q177" i="4"/>
  <c r="Q174" i="4"/>
  <c r="R174" i="4"/>
  <c r="Q176" i="4"/>
  <c r="R176" i="4"/>
  <c r="Q179" i="4"/>
  <c r="R179" i="4"/>
  <c r="P181" i="4"/>
  <c r="P180" i="4"/>
  <c r="P178" i="4"/>
  <c r="P183" i="4"/>
  <c r="I35" i="5" l="1"/>
  <c r="H35" i="5"/>
  <c r="Q180" i="4"/>
  <c r="R180" i="4"/>
  <c r="R183" i="4"/>
  <c r="Q183" i="4"/>
  <c r="Q178" i="4"/>
  <c r="R178" i="4"/>
  <c r="R181" i="4"/>
  <c r="Q181" i="4"/>
  <c r="P187" i="4"/>
  <c r="P182" i="4"/>
  <c r="P184" i="4"/>
  <c r="P185" i="4"/>
  <c r="H36" i="5" l="1"/>
  <c r="I36" i="5"/>
  <c r="R182" i="4"/>
  <c r="Q182" i="4"/>
  <c r="R184" i="4"/>
  <c r="Q184" i="4"/>
  <c r="R187" i="4"/>
  <c r="Q187" i="4"/>
  <c r="Q185" i="4"/>
  <c r="R185" i="4"/>
  <c r="P189" i="4"/>
  <c r="P186" i="4"/>
  <c r="P188" i="4"/>
  <c r="P191" i="4"/>
  <c r="H28" i="5" l="1"/>
  <c r="I28" i="5"/>
  <c r="R186" i="4"/>
  <c r="Q186" i="4"/>
  <c r="R188" i="4"/>
  <c r="Q188" i="4"/>
  <c r="Q189" i="4"/>
  <c r="R189" i="4"/>
  <c r="Q191" i="4"/>
  <c r="R191" i="4"/>
  <c r="P195" i="4"/>
  <c r="P190" i="4"/>
  <c r="P192" i="4"/>
  <c r="P193" i="4"/>
  <c r="I58" i="5" l="1"/>
  <c r="H58" i="5"/>
  <c r="H58" i="15"/>
  <c r="R193" i="4"/>
  <c r="Q193" i="4"/>
  <c r="Q192" i="4"/>
  <c r="R192" i="4"/>
  <c r="R190" i="4"/>
  <c r="Q190" i="4"/>
  <c r="R195" i="4"/>
  <c r="Q195" i="4"/>
  <c r="P197" i="4"/>
  <c r="P196" i="4"/>
  <c r="P194" i="4"/>
  <c r="P199" i="4"/>
  <c r="R199" i="4" l="1"/>
  <c r="Q199" i="4"/>
  <c r="R194" i="4"/>
  <c r="Q194" i="4"/>
  <c r="Q196" i="4"/>
  <c r="R196" i="4"/>
  <c r="R197" i="4"/>
  <c r="Q197" i="4"/>
  <c r="P203" i="4"/>
  <c r="P200" i="4"/>
  <c r="P198" i="4"/>
  <c r="P201" i="4"/>
  <c r="Q198" i="4" l="1"/>
  <c r="R198" i="4"/>
  <c r="R201" i="4"/>
  <c r="Q201" i="4"/>
  <c r="Q200" i="4"/>
  <c r="R200" i="4"/>
  <c r="Q203" i="4"/>
  <c r="R203" i="4"/>
  <c r="P205" i="4"/>
  <c r="P202" i="4"/>
  <c r="P204" i="4"/>
  <c r="P207" i="4"/>
  <c r="Q204" i="4" l="1"/>
  <c r="R204" i="4"/>
  <c r="R202" i="4"/>
  <c r="Q202" i="4"/>
  <c r="R207" i="4"/>
  <c r="Q207" i="4"/>
  <c r="R205" i="4"/>
  <c r="Q205" i="4"/>
  <c r="P211" i="4"/>
  <c r="P206" i="4"/>
  <c r="P208" i="4"/>
  <c r="P209" i="4"/>
  <c r="R208" i="4" l="1"/>
  <c r="Q208" i="4"/>
  <c r="R209" i="4"/>
  <c r="Q209" i="4"/>
  <c r="R206" i="4"/>
  <c r="Q206" i="4"/>
  <c r="R211" i="4"/>
  <c r="Q211" i="4"/>
  <c r="P213" i="4"/>
  <c r="P210" i="4"/>
  <c r="P212" i="4"/>
  <c r="P215" i="4"/>
  <c r="R215" i="4" l="1"/>
  <c r="Q215" i="4"/>
  <c r="Q212" i="4"/>
  <c r="R212" i="4"/>
  <c r="Q210" i="4"/>
  <c r="R210" i="4"/>
  <c r="R213" i="4"/>
  <c r="Q213" i="4"/>
  <c r="P219" i="4"/>
  <c r="P214" i="4"/>
  <c r="P216" i="4"/>
  <c r="P217" i="4"/>
  <c r="R217" i="4" l="1"/>
  <c r="Q217" i="4"/>
  <c r="R216" i="4"/>
  <c r="Q216" i="4"/>
  <c r="R214" i="4"/>
  <c r="Q214" i="4"/>
  <c r="R219" i="4"/>
  <c r="Q219" i="4"/>
  <c r="P221" i="4"/>
  <c r="P220" i="4"/>
  <c r="P218" i="4"/>
  <c r="P223" i="4"/>
  <c r="Q223" i="4" l="1"/>
  <c r="R223" i="4"/>
  <c r="Q218" i="4"/>
  <c r="R218" i="4"/>
  <c r="Q220" i="4"/>
  <c r="R220" i="4"/>
  <c r="R221" i="4"/>
  <c r="Q221" i="4"/>
  <c r="P227" i="4"/>
  <c r="P224" i="4"/>
  <c r="P222" i="4"/>
  <c r="P225" i="4"/>
  <c r="R225" i="4" l="1"/>
  <c r="Q225" i="4"/>
  <c r="R224" i="4"/>
  <c r="Q224" i="4"/>
  <c r="Q222" i="4"/>
  <c r="R222" i="4"/>
  <c r="R227" i="4"/>
  <c r="Q227" i="4"/>
  <c r="P229" i="4"/>
  <c r="P228" i="4"/>
  <c r="P226" i="4"/>
  <c r="P231" i="4"/>
  <c r="R231" i="4" l="1"/>
  <c r="Q231" i="4"/>
  <c r="Q228" i="4"/>
  <c r="R228" i="4"/>
  <c r="Q226" i="4"/>
  <c r="R226" i="4"/>
  <c r="R229" i="4"/>
  <c r="Q229" i="4"/>
  <c r="P235" i="4"/>
  <c r="P230" i="4"/>
  <c r="P232" i="4"/>
  <c r="P233" i="4"/>
  <c r="R233" i="4" l="1"/>
  <c r="Q233" i="4"/>
  <c r="R230" i="4"/>
  <c r="Q230" i="4"/>
  <c r="R235" i="4"/>
  <c r="Q235" i="4"/>
  <c r="R232" i="4"/>
  <c r="Q232" i="4"/>
  <c r="P237" i="4"/>
  <c r="P236" i="4"/>
  <c r="P234" i="4"/>
  <c r="P239" i="4"/>
  <c r="Q239" i="4" l="1"/>
  <c r="R239" i="4"/>
  <c r="R234" i="4"/>
  <c r="Q234" i="4"/>
  <c r="Q236" i="4"/>
  <c r="R236" i="4"/>
  <c r="R237" i="4"/>
  <c r="Q237" i="4"/>
  <c r="P243" i="4"/>
  <c r="P240" i="4"/>
  <c r="P238" i="4"/>
  <c r="P241" i="4"/>
  <c r="R240" i="4" l="1"/>
  <c r="Q240" i="4"/>
  <c r="R243" i="4"/>
  <c r="Q243" i="4"/>
  <c r="R241" i="4"/>
  <c r="Q241" i="4"/>
  <c r="Q238" i="4"/>
  <c r="R238" i="4"/>
  <c r="P245" i="4"/>
  <c r="P242" i="4"/>
  <c r="P244" i="4"/>
  <c r="P247" i="4"/>
  <c r="R247" i="4" l="1"/>
  <c r="Q247" i="4"/>
  <c r="Q244" i="4"/>
  <c r="R244" i="4"/>
  <c r="Q242" i="4"/>
  <c r="R242" i="4"/>
  <c r="R245" i="4"/>
  <c r="Q245" i="4"/>
  <c r="P251" i="4"/>
  <c r="P246" i="4"/>
  <c r="P248" i="4"/>
  <c r="P249" i="4"/>
  <c r="R251" i="4" l="1"/>
  <c r="Q251" i="4"/>
  <c r="R249" i="4"/>
  <c r="Q249" i="4"/>
  <c r="R248" i="4"/>
  <c r="Q248" i="4"/>
  <c r="R246" i="4"/>
  <c r="Q246" i="4"/>
  <c r="P253" i="4"/>
  <c r="P252" i="4"/>
  <c r="P250" i="4"/>
  <c r="P255" i="4"/>
  <c r="Q255" i="4" l="1"/>
  <c r="R255" i="4"/>
  <c r="R250" i="4"/>
  <c r="Q250" i="4"/>
  <c r="Q252" i="4"/>
  <c r="R252" i="4"/>
  <c r="R253" i="4"/>
  <c r="Q253" i="4"/>
  <c r="P259" i="4"/>
  <c r="P256" i="4"/>
  <c r="P254" i="4"/>
  <c r="P257" i="4"/>
  <c r="R259" i="4" l="1"/>
  <c r="Q259" i="4"/>
  <c r="Q254" i="4"/>
  <c r="R254" i="4"/>
  <c r="R257" i="4"/>
  <c r="Q257" i="4"/>
  <c r="R256" i="4"/>
  <c r="Q256" i="4"/>
  <c r="P261" i="4"/>
  <c r="P258" i="4"/>
  <c r="P260" i="4"/>
  <c r="P263" i="4"/>
  <c r="R261" i="4" l="1"/>
  <c r="Q261" i="4"/>
  <c r="Q263" i="4"/>
  <c r="R263" i="4"/>
  <c r="Q260" i="4"/>
  <c r="R260" i="4"/>
  <c r="Q258" i="4"/>
  <c r="R258" i="4"/>
  <c r="P267" i="4"/>
  <c r="P264" i="4"/>
  <c r="P262" i="4"/>
  <c r="P265" i="4"/>
  <c r="R265" i="4" l="1"/>
  <c r="Q265" i="4"/>
  <c r="R267" i="4"/>
  <c r="Q267" i="4"/>
  <c r="R262" i="4"/>
  <c r="Q262" i="4"/>
  <c r="R264" i="4"/>
  <c r="Q264" i="4"/>
  <c r="P269" i="4"/>
  <c r="P266" i="4"/>
  <c r="P268" i="4"/>
  <c r="P271" i="4"/>
  <c r="R269" i="4" l="1"/>
  <c r="Q269" i="4"/>
  <c r="R271" i="4"/>
  <c r="Q271" i="4"/>
  <c r="Q268" i="4"/>
  <c r="R268" i="4"/>
  <c r="R266" i="4"/>
  <c r="Q266" i="4"/>
  <c r="P275" i="4"/>
  <c r="P272" i="4"/>
  <c r="P270" i="4"/>
  <c r="P273" i="4"/>
  <c r="R272" i="4" l="1"/>
  <c r="Q272" i="4"/>
  <c r="R273" i="4"/>
  <c r="Q273" i="4"/>
  <c r="R270" i="4"/>
  <c r="Q270" i="4"/>
  <c r="R275" i="4"/>
  <c r="Q275" i="4"/>
  <c r="P274" i="4"/>
  <c r="P279" i="4"/>
  <c r="P277" i="4"/>
  <c r="P276" i="4"/>
  <c r="R279" i="4" l="1"/>
  <c r="Q279" i="4"/>
  <c r="Q274" i="4"/>
  <c r="R274" i="4"/>
  <c r="Q276" i="4"/>
  <c r="R276" i="4"/>
  <c r="R277" i="4"/>
  <c r="Q277" i="4"/>
  <c r="P280" i="4"/>
  <c r="P281" i="4"/>
  <c r="P283" i="4"/>
  <c r="P278" i="4"/>
  <c r="R278" i="4" l="1"/>
  <c r="Q278" i="4"/>
  <c r="R283" i="4"/>
  <c r="Q283" i="4"/>
  <c r="R281" i="4"/>
  <c r="Q281" i="4"/>
  <c r="R280" i="4"/>
  <c r="Q280" i="4"/>
  <c r="P284" i="4"/>
  <c r="P287" i="4"/>
  <c r="P282" i="4"/>
  <c r="P285" i="4"/>
  <c r="R285" i="4" l="1"/>
  <c r="Q285" i="4"/>
  <c r="Q282" i="4"/>
  <c r="R282" i="4"/>
  <c r="Q287" i="4"/>
  <c r="R287" i="4"/>
  <c r="Q284" i="4"/>
  <c r="R284" i="4"/>
  <c r="P289" i="4"/>
  <c r="P291" i="4"/>
  <c r="P286" i="4"/>
  <c r="P288" i="4"/>
  <c r="R288" i="4" l="1"/>
  <c r="Q288" i="4"/>
  <c r="Q286" i="4"/>
  <c r="R286" i="4"/>
  <c r="R291" i="4"/>
  <c r="Q291" i="4"/>
  <c r="R289" i="4"/>
  <c r="Q289" i="4"/>
  <c r="P292" i="4"/>
  <c r="P290" i="4"/>
  <c r="P295" i="4"/>
  <c r="P293" i="4"/>
  <c r="Q292" i="4" l="1"/>
  <c r="R292" i="4"/>
  <c r="R293" i="4"/>
  <c r="Q293" i="4"/>
  <c r="R295" i="4"/>
  <c r="Q295" i="4"/>
  <c r="Q290" i="4"/>
  <c r="R290" i="4"/>
  <c r="P299" i="4"/>
  <c r="P296" i="4"/>
  <c r="P297" i="4"/>
  <c r="P294" i="4"/>
  <c r="R294" i="4" l="1"/>
  <c r="Q294" i="4"/>
  <c r="R297" i="4"/>
  <c r="Q297" i="4"/>
  <c r="R296" i="4"/>
  <c r="Q296" i="4"/>
  <c r="R299" i="4"/>
  <c r="Q299" i="4"/>
  <c r="P298" i="4"/>
  <c r="P301" i="4"/>
  <c r="P300" i="4"/>
  <c r="P303" i="4"/>
  <c r="Q303" i="4" l="1"/>
  <c r="R303" i="4"/>
  <c r="Q300" i="4"/>
  <c r="R300" i="4"/>
  <c r="R301" i="4"/>
  <c r="Q301" i="4"/>
  <c r="R298" i="4"/>
  <c r="Q298" i="4"/>
  <c r="P304" i="4"/>
  <c r="P307" i="4"/>
  <c r="P305" i="4"/>
  <c r="P302" i="4"/>
  <c r="Q302" i="4" l="1"/>
  <c r="R302" i="4"/>
  <c r="R305" i="4"/>
  <c r="Q305" i="4"/>
  <c r="R307" i="4"/>
  <c r="Q307" i="4"/>
  <c r="R304" i="4"/>
  <c r="Q304" i="4"/>
  <c r="P306" i="4"/>
  <c r="P309" i="4"/>
  <c r="P311" i="4"/>
  <c r="P308" i="4"/>
  <c r="Q308" i="4" l="1"/>
  <c r="R308" i="4"/>
  <c r="R311" i="4"/>
  <c r="B3" i="7" s="1"/>
  <c r="B33" i="7" s="1"/>
  <c r="Q311" i="4"/>
  <c r="R309" i="4"/>
  <c r="Q309" i="4"/>
  <c r="Q306" i="4"/>
  <c r="R306" i="4"/>
  <c r="P312" i="4"/>
  <c r="P315" i="4"/>
  <c r="P313" i="4"/>
  <c r="P310" i="4"/>
  <c r="F3" i="7" l="1"/>
  <c r="F33" i="7" s="1"/>
  <c r="F63" i="7" s="1"/>
  <c r="E3" i="7"/>
  <c r="E33" i="7" s="1"/>
  <c r="E63" i="7" s="1"/>
  <c r="D3" i="7"/>
  <c r="D33" i="7" s="1"/>
  <c r="D63" i="7" s="1"/>
  <c r="G3" i="7"/>
  <c r="G33" i="7" s="1"/>
  <c r="G63" i="7" s="1"/>
  <c r="C3" i="7"/>
  <c r="C33" i="7" s="1"/>
  <c r="C63" i="7" s="1"/>
  <c r="I63" i="7"/>
  <c r="H63" i="7"/>
  <c r="I28" i="7"/>
  <c r="B2" i="9"/>
  <c r="R313" i="4"/>
  <c r="Q313" i="4"/>
  <c r="R310" i="4"/>
  <c r="B3" i="5" s="1"/>
  <c r="Q310" i="4"/>
  <c r="R315" i="4"/>
  <c r="Q315" i="4"/>
  <c r="R312" i="4"/>
  <c r="Q312" i="4"/>
  <c r="P314" i="4"/>
  <c r="P317" i="4"/>
  <c r="P319" i="4"/>
  <c r="P316" i="4"/>
  <c r="G3" i="5" l="1"/>
  <c r="E3" i="5"/>
  <c r="D3" i="5"/>
  <c r="F3" i="5"/>
  <c r="C3" i="5"/>
  <c r="D3" i="11"/>
  <c r="C3" i="11"/>
  <c r="F3" i="11"/>
  <c r="E3" i="11"/>
  <c r="G3" i="11"/>
  <c r="B3" i="10"/>
  <c r="B33" i="10" s="1"/>
  <c r="B3" i="11"/>
  <c r="B33" i="11" s="1"/>
  <c r="G3" i="10"/>
  <c r="F3" i="10"/>
  <c r="E3" i="10"/>
  <c r="D3" i="10"/>
  <c r="C3" i="10"/>
  <c r="I58" i="7"/>
  <c r="B4" i="7"/>
  <c r="B34" i="7" s="1"/>
  <c r="R317" i="4"/>
  <c r="B4" i="11" s="1"/>
  <c r="Q317" i="4"/>
  <c r="R314" i="4"/>
  <c r="Q314" i="4"/>
  <c r="Q316" i="4"/>
  <c r="R316" i="4"/>
  <c r="B4" i="10" s="1"/>
  <c r="Q319" i="4"/>
  <c r="R319" i="4"/>
  <c r="B5" i="7" s="1"/>
  <c r="P320" i="4"/>
  <c r="P323" i="4"/>
  <c r="P321" i="4"/>
  <c r="P318" i="4"/>
  <c r="H63" i="11" l="1"/>
  <c r="I63" i="11"/>
  <c r="B2" i="8"/>
  <c r="I63" i="10"/>
  <c r="H63" i="10"/>
  <c r="E33" i="15"/>
  <c r="F63" i="15" s="1"/>
  <c r="F33" i="15"/>
  <c r="G63" i="15" s="1"/>
  <c r="D33" i="15"/>
  <c r="E63" i="15" s="1"/>
  <c r="C33" i="15"/>
  <c r="D63" i="15" s="1"/>
  <c r="G33" i="15"/>
  <c r="H63" i="15" s="1"/>
  <c r="F33" i="5"/>
  <c r="D33" i="5"/>
  <c r="E33" i="5"/>
  <c r="B34" i="10"/>
  <c r="D33" i="10"/>
  <c r="D63" i="10" s="1"/>
  <c r="G33" i="11"/>
  <c r="G63" i="11" s="1"/>
  <c r="G4" i="10"/>
  <c r="G34" i="10" s="1"/>
  <c r="F4" i="10"/>
  <c r="F34" i="10" s="1"/>
  <c r="F64" i="10" s="1"/>
  <c r="E4" i="10"/>
  <c r="E34" i="10" s="1"/>
  <c r="D4" i="10"/>
  <c r="D34" i="10" s="1"/>
  <c r="D64" i="10" s="1"/>
  <c r="C4" i="10"/>
  <c r="C34" i="10" s="1"/>
  <c r="C64" i="10" s="1"/>
  <c r="E33" i="10"/>
  <c r="E63" i="10" s="1"/>
  <c r="C33" i="11"/>
  <c r="C63" i="11" s="1"/>
  <c r="F33" i="10"/>
  <c r="F63" i="10" s="1"/>
  <c r="E33" i="11"/>
  <c r="E63" i="11" s="1"/>
  <c r="F33" i="11"/>
  <c r="F63" i="11" s="1"/>
  <c r="G33" i="10"/>
  <c r="G63" i="10" s="1"/>
  <c r="G4" i="11"/>
  <c r="G34" i="11" s="1"/>
  <c r="D4" i="11"/>
  <c r="D34" i="11" s="1"/>
  <c r="C4" i="11"/>
  <c r="C34" i="11" s="1"/>
  <c r="F4" i="11"/>
  <c r="F34" i="11" s="1"/>
  <c r="F64" i="11" s="1"/>
  <c r="E4" i="11"/>
  <c r="E34" i="11" s="1"/>
  <c r="E64" i="11" s="1"/>
  <c r="B34" i="11"/>
  <c r="C33" i="10"/>
  <c r="C63" i="10" s="1"/>
  <c r="D33" i="11"/>
  <c r="D63" i="11" s="1"/>
  <c r="I64" i="7"/>
  <c r="H64" i="7"/>
  <c r="B35" i="7"/>
  <c r="B4" i="9" s="1"/>
  <c r="F5" i="7"/>
  <c r="F35" i="7" s="1"/>
  <c r="E5" i="7"/>
  <c r="E35" i="7" s="1"/>
  <c r="D5" i="7"/>
  <c r="D35" i="7" s="1"/>
  <c r="C5" i="7"/>
  <c r="C35" i="7" s="1"/>
  <c r="C65" i="7" s="1"/>
  <c r="G5" i="7"/>
  <c r="G35" i="7" s="1"/>
  <c r="C33" i="5"/>
  <c r="G33" i="5"/>
  <c r="B3" i="9"/>
  <c r="R320" i="4"/>
  <c r="B5" i="10" s="1"/>
  <c r="Q320" i="4"/>
  <c r="R323" i="4"/>
  <c r="B6" i="7" s="1"/>
  <c r="Q323" i="4"/>
  <c r="Q318" i="4"/>
  <c r="R318" i="4"/>
  <c r="R321" i="4"/>
  <c r="B5" i="11" s="1"/>
  <c r="Q321" i="4"/>
  <c r="P322" i="4"/>
  <c r="P325" i="4"/>
  <c r="P327" i="4"/>
  <c r="P324" i="4"/>
  <c r="D65" i="7" l="1"/>
  <c r="G64" i="10"/>
  <c r="E65" i="7"/>
  <c r="F65" i="7"/>
  <c r="G65" i="7"/>
  <c r="E64" i="10"/>
  <c r="C64" i="11"/>
  <c r="D64" i="11"/>
  <c r="G64" i="11"/>
  <c r="I64" i="11"/>
  <c r="H64" i="11"/>
  <c r="D5" i="10"/>
  <c r="D35" i="10" s="1"/>
  <c r="G5" i="10"/>
  <c r="G35" i="10" s="1"/>
  <c r="G65" i="10" s="1"/>
  <c r="F5" i="10"/>
  <c r="C5" i="10"/>
  <c r="E5" i="10"/>
  <c r="E35" i="10" s="1"/>
  <c r="B35" i="10"/>
  <c r="B35" i="11"/>
  <c r="C5" i="11"/>
  <c r="C35" i="11" s="1"/>
  <c r="C65" i="11" s="1"/>
  <c r="E5" i="11"/>
  <c r="E35" i="11" s="1"/>
  <c r="E65" i="11" s="1"/>
  <c r="G5" i="11"/>
  <c r="G35" i="11" s="1"/>
  <c r="G65" i="11" s="1"/>
  <c r="F5" i="11"/>
  <c r="F35" i="11" s="1"/>
  <c r="F65" i="11" s="1"/>
  <c r="D5" i="11"/>
  <c r="D35" i="11" s="1"/>
  <c r="H64" i="10"/>
  <c r="I64" i="10"/>
  <c r="B3" i="8"/>
  <c r="B36" i="7"/>
  <c r="B5" i="9" s="1"/>
  <c r="I65" i="7"/>
  <c r="H65" i="7"/>
  <c r="F6" i="7"/>
  <c r="F36" i="7" s="1"/>
  <c r="F66" i="7" s="1"/>
  <c r="D6" i="7"/>
  <c r="D36" i="7" s="1"/>
  <c r="C6" i="7"/>
  <c r="C36" i="7" s="1"/>
  <c r="E6" i="7"/>
  <c r="E36" i="7" s="1"/>
  <c r="E66" i="7" s="1"/>
  <c r="G6" i="7"/>
  <c r="G36" i="7" s="1"/>
  <c r="G5" i="5"/>
  <c r="C5" i="5"/>
  <c r="E5" i="5"/>
  <c r="F5" i="5"/>
  <c r="D5" i="5"/>
  <c r="R325" i="4"/>
  <c r="B6" i="11" s="1"/>
  <c r="Q325" i="4"/>
  <c r="Q322" i="4"/>
  <c r="R322" i="4"/>
  <c r="Q327" i="4"/>
  <c r="R327" i="4"/>
  <c r="Q324" i="4"/>
  <c r="R324" i="4"/>
  <c r="B6" i="10" s="1"/>
  <c r="P328" i="4"/>
  <c r="P331" i="4"/>
  <c r="P329" i="4"/>
  <c r="P326" i="4"/>
  <c r="G66" i="7" l="1"/>
  <c r="G35" i="15"/>
  <c r="D35" i="15"/>
  <c r="F35" i="15"/>
  <c r="E35" i="15"/>
  <c r="C35" i="15"/>
  <c r="G35" i="5"/>
  <c r="F35" i="5"/>
  <c r="D65" i="11"/>
  <c r="E35" i="5"/>
  <c r="E65" i="10"/>
  <c r="C35" i="5"/>
  <c r="D35" i="5"/>
  <c r="F35" i="10"/>
  <c r="F65" i="10" s="1"/>
  <c r="F6" i="11"/>
  <c r="F36" i="11" s="1"/>
  <c r="G6" i="11"/>
  <c r="G36" i="11" s="1"/>
  <c r="C6" i="11"/>
  <c r="C36" i="11" s="1"/>
  <c r="E6" i="11"/>
  <c r="E36" i="11" s="1"/>
  <c r="D6" i="11"/>
  <c r="D36" i="11" s="1"/>
  <c r="B36" i="10"/>
  <c r="H65" i="10"/>
  <c r="I65" i="10"/>
  <c r="D65" i="10"/>
  <c r="C6" i="10"/>
  <c r="C36" i="10" s="1"/>
  <c r="G6" i="10"/>
  <c r="G36" i="10" s="1"/>
  <c r="G66" i="10" s="1"/>
  <c r="F6" i="10"/>
  <c r="F36" i="10" s="1"/>
  <c r="F66" i="10" s="1"/>
  <c r="E6" i="10"/>
  <c r="D6" i="10"/>
  <c r="D36" i="10" s="1"/>
  <c r="D66" i="10" s="1"/>
  <c r="C66" i="7"/>
  <c r="B4" i="8"/>
  <c r="B36" i="11"/>
  <c r="D66" i="7"/>
  <c r="I65" i="11"/>
  <c r="H65" i="11"/>
  <c r="C35" i="10"/>
  <c r="C65" i="10" s="1"/>
  <c r="I66" i="7"/>
  <c r="H66" i="7"/>
  <c r="D6" i="5"/>
  <c r="G6" i="5"/>
  <c r="E6" i="5"/>
  <c r="C6" i="5"/>
  <c r="F6" i="5"/>
  <c r="R326" i="4"/>
  <c r="Q326" i="4"/>
  <c r="R331" i="4"/>
  <c r="Q331" i="4"/>
  <c r="R329" i="4"/>
  <c r="Q329" i="4"/>
  <c r="R328" i="4"/>
  <c r="Q328" i="4"/>
  <c r="P330" i="4"/>
  <c r="P333" i="4"/>
  <c r="P335" i="4"/>
  <c r="P332" i="4"/>
  <c r="E66" i="11" l="1"/>
  <c r="F66" i="11"/>
  <c r="C36" i="15"/>
  <c r="D66" i="15" s="1"/>
  <c r="E36" i="15"/>
  <c r="F66" i="15" s="1"/>
  <c r="G36" i="15"/>
  <c r="H66" i="15" s="1"/>
  <c r="F36" i="15"/>
  <c r="G66" i="15" s="1"/>
  <c r="D36" i="15"/>
  <c r="E66" i="15" s="1"/>
  <c r="F36" i="5"/>
  <c r="G36" i="5"/>
  <c r="D66" i="11"/>
  <c r="G66" i="11"/>
  <c r="C36" i="5"/>
  <c r="C66" i="10"/>
  <c r="D36" i="5"/>
  <c r="E36" i="5"/>
  <c r="C66" i="11"/>
  <c r="E36" i="10"/>
  <c r="E66" i="10" s="1"/>
  <c r="H66" i="10"/>
  <c r="I66" i="10"/>
  <c r="H66" i="11"/>
  <c r="I66" i="11"/>
  <c r="B5" i="8"/>
  <c r="R330" i="4"/>
  <c r="Q330" i="4"/>
  <c r="Q332" i="4"/>
  <c r="R332" i="4"/>
  <c r="R335" i="4"/>
  <c r="B9" i="7" s="1"/>
  <c r="Q335" i="4"/>
  <c r="R333" i="4"/>
  <c r="Q333" i="4"/>
  <c r="P336" i="4"/>
  <c r="P339" i="4"/>
  <c r="P337" i="4"/>
  <c r="P334" i="4"/>
  <c r="B39" i="7" l="1"/>
  <c r="G9" i="7"/>
  <c r="G39" i="7" s="1"/>
  <c r="G69" i="7" s="1"/>
  <c r="D9" i="7"/>
  <c r="D39" i="7" s="1"/>
  <c r="D69" i="7" s="1"/>
  <c r="C9" i="7"/>
  <c r="C39" i="7" s="1"/>
  <c r="C69" i="7" s="1"/>
  <c r="E9" i="7"/>
  <c r="E39" i="7" s="1"/>
  <c r="E69" i="7" s="1"/>
  <c r="F9" i="7"/>
  <c r="F39" i="7" s="1"/>
  <c r="F69" i="7" s="1"/>
  <c r="R334" i="4"/>
  <c r="B9" i="5" s="1"/>
  <c r="Q334" i="4"/>
  <c r="R337" i="4"/>
  <c r="B9" i="11" s="1"/>
  <c r="Q337" i="4"/>
  <c r="R339" i="4"/>
  <c r="Q339" i="4"/>
  <c r="R336" i="4"/>
  <c r="B9" i="10" s="1"/>
  <c r="Q336" i="4"/>
  <c r="P338" i="4"/>
  <c r="P343" i="4"/>
  <c r="P341" i="4"/>
  <c r="P340" i="4"/>
  <c r="B39" i="5" l="1"/>
  <c r="B39" i="15"/>
  <c r="B10" i="7"/>
  <c r="F9" i="11"/>
  <c r="F39" i="11" s="1"/>
  <c r="E9" i="11"/>
  <c r="E39" i="11" s="1"/>
  <c r="D9" i="11"/>
  <c r="D39" i="11" s="1"/>
  <c r="C9" i="11"/>
  <c r="C39" i="11" s="1"/>
  <c r="G9" i="11"/>
  <c r="G39" i="11" s="1"/>
  <c r="E9" i="10"/>
  <c r="E39" i="10" s="1"/>
  <c r="D9" i="10"/>
  <c r="D39" i="10" s="1"/>
  <c r="C9" i="10"/>
  <c r="C39" i="10" s="1"/>
  <c r="G9" i="10"/>
  <c r="G39" i="10" s="1"/>
  <c r="F9" i="10"/>
  <c r="F39" i="10" s="1"/>
  <c r="B39" i="10"/>
  <c r="B8" i="8" s="1"/>
  <c r="B39" i="11"/>
  <c r="I69" i="7"/>
  <c r="H69" i="7"/>
  <c r="B40" i="7"/>
  <c r="B9" i="9" s="1"/>
  <c r="B8" i="9"/>
  <c r="I69" i="5"/>
  <c r="H69" i="5"/>
  <c r="F9" i="5"/>
  <c r="E9" i="5"/>
  <c r="D9" i="5"/>
  <c r="G9" i="5"/>
  <c r="C9" i="5"/>
  <c r="Q340" i="4"/>
  <c r="R340" i="4"/>
  <c r="B10" i="10" s="1"/>
  <c r="R341" i="4"/>
  <c r="B10" i="11" s="1"/>
  <c r="Q341" i="4"/>
  <c r="R343" i="4"/>
  <c r="Q343" i="4"/>
  <c r="Q338" i="4"/>
  <c r="R338" i="4"/>
  <c r="P344" i="4"/>
  <c r="P345" i="4"/>
  <c r="P347" i="4"/>
  <c r="P342" i="4"/>
  <c r="C69" i="15" l="1"/>
  <c r="B8" i="12"/>
  <c r="D8" i="12" s="1"/>
  <c r="E69" i="11"/>
  <c r="F69" i="10"/>
  <c r="F69" i="11"/>
  <c r="E69" i="10"/>
  <c r="F39" i="15"/>
  <c r="G69" i="15" s="1"/>
  <c r="E39" i="15"/>
  <c r="F69" i="15" s="1"/>
  <c r="D39" i="15"/>
  <c r="E69" i="15" s="1"/>
  <c r="C39" i="15"/>
  <c r="D69" i="15" s="1"/>
  <c r="G39" i="15"/>
  <c r="H69" i="15" s="1"/>
  <c r="G69" i="10"/>
  <c r="D69" i="10"/>
  <c r="G39" i="5"/>
  <c r="G69" i="5" s="1"/>
  <c r="F39" i="5"/>
  <c r="F69" i="5" s="1"/>
  <c r="C69" i="10"/>
  <c r="D39" i="5"/>
  <c r="D69" i="5" s="1"/>
  <c r="E39" i="5"/>
  <c r="E69" i="5" s="1"/>
  <c r="C39" i="5"/>
  <c r="C69" i="5" s="1"/>
  <c r="I69" i="11"/>
  <c r="H69" i="11"/>
  <c r="G69" i="11"/>
  <c r="F10" i="10"/>
  <c r="F40" i="10" s="1"/>
  <c r="D10" i="10"/>
  <c r="D40" i="10" s="1"/>
  <c r="C10" i="10"/>
  <c r="C40" i="10" s="1"/>
  <c r="G10" i="10"/>
  <c r="G40" i="10" s="1"/>
  <c r="E10" i="10"/>
  <c r="E40" i="10" s="1"/>
  <c r="E70" i="10" s="1"/>
  <c r="I69" i="10"/>
  <c r="H69" i="10"/>
  <c r="C69" i="11"/>
  <c r="B40" i="11"/>
  <c r="B40" i="10"/>
  <c r="D69" i="11"/>
  <c r="D10" i="11"/>
  <c r="D40" i="11" s="1"/>
  <c r="G10" i="11"/>
  <c r="G40" i="11" s="1"/>
  <c r="C10" i="11"/>
  <c r="C40" i="11" s="1"/>
  <c r="F10" i="11"/>
  <c r="F40" i="11" s="1"/>
  <c r="E10" i="11"/>
  <c r="E40" i="11" s="1"/>
  <c r="I70" i="7"/>
  <c r="H70" i="7"/>
  <c r="B8" i="6"/>
  <c r="R344" i="4"/>
  <c r="Q344" i="4"/>
  <c r="R342" i="4"/>
  <c r="Q342" i="4"/>
  <c r="R347" i="4"/>
  <c r="Q347" i="4"/>
  <c r="R345" i="4"/>
  <c r="Q345" i="4"/>
  <c r="P351" i="4"/>
  <c r="P346" i="4"/>
  <c r="P349" i="4"/>
  <c r="P348" i="4"/>
  <c r="F70" i="10" l="1"/>
  <c r="E70" i="11"/>
  <c r="F70" i="11"/>
  <c r="G70" i="11"/>
  <c r="D70" i="11"/>
  <c r="C70" i="11"/>
  <c r="H70" i="10"/>
  <c r="I70" i="10"/>
  <c r="G70" i="10"/>
  <c r="B9" i="8"/>
  <c r="H70" i="11"/>
  <c r="I70" i="11"/>
  <c r="C70" i="10"/>
  <c r="D70" i="10"/>
  <c r="Q348" i="4"/>
  <c r="R348" i="4"/>
  <c r="R349" i="4"/>
  <c r="Q349" i="4"/>
  <c r="Q346" i="4"/>
  <c r="R346" i="4"/>
  <c r="Q351" i="4"/>
  <c r="R351" i="4"/>
  <c r="B13" i="7" s="1"/>
  <c r="P352" i="4"/>
  <c r="P353" i="4"/>
  <c r="P350" i="4"/>
  <c r="P355" i="4"/>
  <c r="B43" i="7" l="1"/>
  <c r="F13" i="7"/>
  <c r="F43" i="7" s="1"/>
  <c r="F73" i="7" s="1"/>
  <c r="E13" i="7"/>
  <c r="E43" i="7" s="1"/>
  <c r="E73" i="7" s="1"/>
  <c r="C13" i="7"/>
  <c r="C43" i="7" s="1"/>
  <c r="C73" i="7" s="1"/>
  <c r="D13" i="7"/>
  <c r="D43" i="7" s="1"/>
  <c r="D73" i="7" s="1"/>
  <c r="G13" i="7"/>
  <c r="G43" i="7" s="1"/>
  <c r="G73" i="7" s="1"/>
  <c r="R355" i="4"/>
  <c r="Q355" i="4"/>
  <c r="Q350" i="4"/>
  <c r="R350" i="4"/>
  <c r="B13" i="5" s="1"/>
  <c r="R353" i="4"/>
  <c r="B13" i="11" s="1"/>
  <c r="Q353" i="4"/>
  <c r="R352" i="4"/>
  <c r="B13" i="10" s="1"/>
  <c r="Q352" i="4"/>
  <c r="P359" i="4"/>
  <c r="P357" i="4"/>
  <c r="P354" i="4"/>
  <c r="P356" i="4"/>
  <c r="B14" i="7" s="1"/>
  <c r="B43" i="5" l="1"/>
  <c r="B43" i="15"/>
  <c r="B43" i="10"/>
  <c r="B43" i="11"/>
  <c r="D13" i="10"/>
  <c r="D43" i="10" s="1"/>
  <c r="D73" i="10" s="1"/>
  <c r="C13" i="10"/>
  <c r="C43" i="10" s="1"/>
  <c r="C73" i="10" s="1"/>
  <c r="G13" i="10"/>
  <c r="G43" i="10" s="1"/>
  <c r="G73" i="10" s="1"/>
  <c r="F13" i="10"/>
  <c r="F43" i="10" s="1"/>
  <c r="F73" i="10" s="1"/>
  <c r="E13" i="10"/>
  <c r="E43" i="10" s="1"/>
  <c r="G13" i="11"/>
  <c r="G43" i="11" s="1"/>
  <c r="G73" i="11" s="1"/>
  <c r="F13" i="11"/>
  <c r="F43" i="11" s="1"/>
  <c r="F73" i="11" s="1"/>
  <c r="C13" i="11"/>
  <c r="C43" i="11" s="1"/>
  <c r="C73" i="11" s="1"/>
  <c r="D13" i="11"/>
  <c r="D43" i="11" s="1"/>
  <c r="D73" i="11" s="1"/>
  <c r="E13" i="11"/>
  <c r="E43" i="11" s="1"/>
  <c r="E73" i="11" s="1"/>
  <c r="I73" i="7"/>
  <c r="H73" i="7"/>
  <c r="B44" i="7"/>
  <c r="B13" i="9" s="1"/>
  <c r="B12" i="9"/>
  <c r="I73" i="5"/>
  <c r="H73" i="5"/>
  <c r="D14" i="7"/>
  <c r="D44" i="7" s="1"/>
  <c r="D74" i="7" s="1"/>
  <c r="E14" i="7"/>
  <c r="E44" i="7" s="1"/>
  <c r="E74" i="7" s="1"/>
  <c r="G14" i="7"/>
  <c r="G44" i="7" s="1"/>
  <c r="G74" i="7" s="1"/>
  <c r="F14" i="7"/>
  <c r="F44" i="7" s="1"/>
  <c r="F74" i="7" s="1"/>
  <c r="C14" i="7"/>
  <c r="C44" i="7" s="1"/>
  <c r="C74" i="7" s="1"/>
  <c r="D13" i="5"/>
  <c r="G13" i="5"/>
  <c r="C13" i="5"/>
  <c r="F13" i="5"/>
  <c r="E13" i="5"/>
  <c r="Q356" i="4"/>
  <c r="R356" i="4"/>
  <c r="B14" i="10" s="1"/>
  <c r="Q354" i="4"/>
  <c r="R354" i="4"/>
  <c r="R357" i="4"/>
  <c r="B14" i="11" s="1"/>
  <c r="Q357" i="4"/>
  <c r="R359" i="4"/>
  <c r="Q359" i="4"/>
  <c r="P360" i="4"/>
  <c r="P358" i="4"/>
  <c r="P361" i="4"/>
  <c r="P363" i="4"/>
  <c r="C73" i="15" l="1"/>
  <c r="B12" i="12"/>
  <c r="D12" i="12" s="1"/>
  <c r="E73" i="10"/>
  <c r="F43" i="15"/>
  <c r="G73" i="15" s="1"/>
  <c r="C43" i="15"/>
  <c r="D73" i="15" s="1"/>
  <c r="E43" i="15"/>
  <c r="F73" i="15" s="1"/>
  <c r="G43" i="15"/>
  <c r="H73" i="15" s="1"/>
  <c r="D43" i="15"/>
  <c r="E73" i="15" s="1"/>
  <c r="F43" i="5"/>
  <c r="F73" i="5" s="1"/>
  <c r="G43" i="5"/>
  <c r="G73" i="5" s="1"/>
  <c r="E43" i="5"/>
  <c r="E73" i="5" s="1"/>
  <c r="C43" i="5"/>
  <c r="C73" i="5" s="1"/>
  <c r="D43" i="5"/>
  <c r="D73" i="5" s="1"/>
  <c r="B44" i="11"/>
  <c r="B15" i="7"/>
  <c r="F14" i="10"/>
  <c r="F44" i="10" s="1"/>
  <c r="E14" i="10"/>
  <c r="E44" i="10" s="1"/>
  <c r="D14" i="10"/>
  <c r="D44" i="10" s="1"/>
  <c r="C14" i="10"/>
  <c r="C44" i="10" s="1"/>
  <c r="G14" i="10"/>
  <c r="G44" i="10" s="1"/>
  <c r="H73" i="11"/>
  <c r="I73" i="11"/>
  <c r="B44" i="10"/>
  <c r="F14" i="11"/>
  <c r="F44" i="11" s="1"/>
  <c r="E14" i="11"/>
  <c r="E44" i="11" s="1"/>
  <c r="C14" i="11"/>
  <c r="C44" i="11" s="1"/>
  <c r="G14" i="11"/>
  <c r="G44" i="11" s="1"/>
  <c r="D14" i="11"/>
  <c r="D44" i="11" s="1"/>
  <c r="I73" i="10"/>
  <c r="H73" i="10"/>
  <c r="B12" i="8"/>
  <c r="B45" i="7"/>
  <c r="I74" i="7"/>
  <c r="H74" i="7"/>
  <c r="F15" i="7"/>
  <c r="F45" i="7" s="1"/>
  <c r="D15" i="7"/>
  <c r="D45" i="7" s="1"/>
  <c r="C15" i="7"/>
  <c r="C45" i="7" s="1"/>
  <c r="E15" i="7"/>
  <c r="E45" i="7" s="1"/>
  <c r="G15" i="7"/>
  <c r="G45" i="7" s="1"/>
  <c r="D14" i="5"/>
  <c r="G14" i="5"/>
  <c r="E14" i="5"/>
  <c r="F14" i="5"/>
  <c r="C14" i="5"/>
  <c r="B12" i="6"/>
  <c r="R363" i="4"/>
  <c r="Q363" i="4"/>
  <c r="R361" i="4"/>
  <c r="B15" i="11" s="1"/>
  <c r="Q361" i="4"/>
  <c r="R360" i="4"/>
  <c r="B15" i="10" s="1"/>
  <c r="Q360" i="4"/>
  <c r="R358" i="4"/>
  <c r="Q358" i="4"/>
  <c r="P367" i="4"/>
  <c r="P365" i="4"/>
  <c r="P362" i="4"/>
  <c r="P364" i="4"/>
  <c r="G74" i="11" l="1"/>
  <c r="D44" i="15"/>
  <c r="E74" i="15" s="1"/>
  <c r="F44" i="15"/>
  <c r="G74" i="15" s="1"/>
  <c r="E44" i="15"/>
  <c r="F74" i="15" s="1"/>
  <c r="G44" i="15"/>
  <c r="H74" i="15" s="1"/>
  <c r="C44" i="15"/>
  <c r="D74" i="15" s="1"/>
  <c r="G75" i="7"/>
  <c r="E75" i="7"/>
  <c r="F44" i="5"/>
  <c r="F75" i="7"/>
  <c r="G44" i="5"/>
  <c r="D74" i="11"/>
  <c r="C74" i="11"/>
  <c r="E74" i="11"/>
  <c r="F74" i="11"/>
  <c r="C44" i="5"/>
  <c r="D75" i="7"/>
  <c r="E44" i="5"/>
  <c r="D44" i="5"/>
  <c r="C75" i="7"/>
  <c r="C74" i="10"/>
  <c r="F15" i="10"/>
  <c r="F45" i="10" s="1"/>
  <c r="E15" i="10"/>
  <c r="E45" i="10" s="1"/>
  <c r="D15" i="10"/>
  <c r="D45" i="10" s="1"/>
  <c r="C15" i="10"/>
  <c r="C45" i="10" s="1"/>
  <c r="G15" i="10"/>
  <c r="G45" i="10" s="1"/>
  <c r="D74" i="10"/>
  <c r="E74" i="10"/>
  <c r="B45" i="11"/>
  <c r="B45" i="10"/>
  <c r="B14" i="8" s="1"/>
  <c r="H74" i="10"/>
  <c r="I74" i="10"/>
  <c r="F74" i="10"/>
  <c r="C15" i="11"/>
  <c r="C45" i="11" s="1"/>
  <c r="D15" i="11"/>
  <c r="D45" i="11" s="1"/>
  <c r="G15" i="11"/>
  <c r="G45" i="11" s="1"/>
  <c r="G75" i="11" s="1"/>
  <c r="E15" i="11"/>
  <c r="E45" i="11" s="1"/>
  <c r="E75" i="11" s="1"/>
  <c r="F15" i="11"/>
  <c r="F45" i="11" s="1"/>
  <c r="F75" i="11" s="1"/>
  <c r="B13" i="8"/>
  <c r="H74" i="11"/>
  <c r="I74" i="11"/>
  <c r="G74" i="10"/>
  <c r="I75" i="7"/>
  <c r="H75" i="7"/>
  <c r="B14" i="9"/>
  <c r="D15" i="5"/>
  <c r="C15" i="5"/>
  <c r="F15" i="5"/>
  <c r="E15" i="5"/>
  <c r="G15" i="5"/>
  <c r="Q364" i="4"/>
  <c r="R364" i="4"/>
  <c r="R362" i="4"/>
  <c r="Q362" i="4"/>
  <c r="R365" i="4"/>
  <c r="Q365" i="4"/>
  <c r="Q367" i="4"/>
  <c r="R367" i="4"/>
  <c r="P368" i="4"/>
  <c r="P366" i="4"/>
  <c r="P369" i="4"/>
  <c r="P371" i="4"/>
  <c r="F45" i="15" l="1"/>
  <c r="C45" i="15"/>
  <c r="G45" i="15"/>
  <c r="E45" i="15"/>
  <c r="D45" i="15"/>
  <c r="D75" i="11"/>
  <c r="G45" i="5"/>
  <c r="F45" i="5"/>
  <c r="F75" i="10"/>
  <c r="C45" i="5"/>
  <c r="D45" i="5"/>
  <c r="E75" i="10"/>
  <c r="E45" i="5"/>
  <c r="G75" i="10"/>
  <c r="C75" i="10"/>
  <c r="H75" i="10"/>
  <c r="I75" i="10"/>
  <c r="D75" i="10"/>
  <c r="I75" i="11"/>
  <c r="H75" i="11"/>
  <c r="C75" i="11"/>
  <c r="B18" i="7"/>
  <c r="R371" i="4"/>
  <c r="Q371" i="4"/>
  <c r="R369" i="4"/>
  <c r="Q369" i="4"/>
  <c r="Q366" i="4"/>
  <c r="R366" i="4"/>
  <c r="R368" i="4"/>
  <c r="Q368" i="4"/>
  <c r="P375" i="4"/>
  <c r="P373" i="4"/>
  <c r="P370" i="4"/>
  <c r="P372" i="4"/>
  <c r="B48" i="7" l="1"/>
  <c r="C18" i="7"/>
  <c r="C48" i="7" s="1"/>
  <c r="C78" i="7" s="1"/>
  <c r="D18" i="7"/>
  <c r="D48" i="7" s="1"/>
  <c r="D78" i="7" s="1"/>
  <c r="G18" i="7"/>
  <c r="G48" i="7" s="1"/>
  <c r="G78" i="7" s="1"/>
  <c r="F18" i="7"/>
  <c r="F48" i="7" s="1"/>
  <c r="F78" i="7" s="1"/>
  <c r="E18" i="7"/>
  <c r="E48" i="7" s="1"/>
  <c r="E78" i="7" s="1"/>
  <c r="Q372" i="4"/>
  <c r="R372" i="4"/>
  <c r="B18" i="10" s="1"/>
  <c r="Q370" i="4"/>
  <c r="R370" i="4"/>
  <c r="B18" i="5" s="1"/>
  <c r="R373" i="4"/>
  <c r="B18" i="11" s="1"/>
  <c r="Q373" i="4"/>
  <c r="R375" i="4"/>
  <c r="Q375" i="4"/>
  <c r="P376" i="4"/>
  <c r="P374" i="4"/>
  <c r="P377" i="4"/>
  <c r="P379" i="4"/>
  <c r="B48" i="5" l="1"/>
  <c r="B48" i="15"/>
  <c r="B48" i="10"/>
  <c r="B48" i="11"/>
  <c r="C18" i="10"/>
  <c r="C48" i="10" s="1"/>
  <c r="G18" i="10"/>
  <c r="G48" i="10" s="1"/>
  <c r="F18" i="10"/>
  <c r="F48" i="10" s="1"/>
  <c r="E18" i="10"/>
  <c r="E48" i="10" s="1"/>
  <c r="D18" i="10"/>
  <c r="D48" i="10" s="1"/>
  <c r="F18" i="11"/>
  <c r="F48" i="11" s="1"/>
  <c r="E18" i="11"/>
  <c r="E48" i="11" s="1"/>
  <c r="E78" i="11" s="1"/>
  <c r="D18" i="11"/>
  <c r="D48" i="11" s="1"/>
  <c r="D78" i="11" s="1"/>
  <c r="C18" i="11"/>
  <c r="C48" i="11" s="1"/>
  <c r="G18" i="11"/>
  <c r="G48" i="11" s="1"/>
  <c r="G78" i="11" s="1"/>
  <c r="I78" i="7"/>
  <c r="H78" i="7"/>
  <c r="B17" i="9"/>
  <c r="E18" i="5"/>
  <c r="D18" i="5"/>
  <c r="F18" i="5"/>
  <c r="C18" i="5"/>
  <c r="G18" i="5"/>
  <c r="G19" i="7"/>
  <c r="G49" i="7" s="1"/>
  <c r="C19" i="7"/>
  <c r="C49" i="7" s="1"/>
  <c r="F19" i="7"/>
  <c r="F49" i="7" s="1"/>
  <c r="E19" i="7"/>
  <c r="E49" i="7" s="1"/>
  <c r="D19" i="7"/>
  <c r="D49" i="7" s="1"/>
  <c r="H78" i="5"/>
  <c r="I78" i="5"/>
  <c r="B19" i="7"/>
  <c r="R379" i="4"/>
  <c r="B20" i="7" s="1"/>
  <c r="Q379" i="4"/>
  <c r="R377" i="4"/>
  <c r="B19" i="11" s="1"/>
  <c r="Q377" i="4"/>
  <c r="R374" i="4"/>
  <c r="B19" i="5" s="1"/>
  <c r="Q374" i="4"/>
  <c r="R376" i="4"/>
  <c r="B19" i="10" s="1"/>
  <c r="Q376" i="4"/>
  <c r="P381" i="4"/>
  <c r="P383" i="4"/>
  <c r="P378" i="4"/>
  <c r="P380" i="4"/>
  <c r="B17" i="12" l="1"/>
  <c r="D17" i="12" s="1"/>
  <c r="C78" i="15"/>
  <c r="C78" i="11"/>
  <c r="F78" i="11"/>
  <c r="G48" i="15"/>
  <c r="H78" i="15" s="1"/>
  <c r="C48" i="15"/>
  <c r="D78" i="15" s="1"/>
  <c r="F48" i="15"/>
  <c r="G78" i="15" s="1"/>
  <c r="D48" i="15"/>
  <c r="E78" i="15" s="1"/>
  <c r="B49" i="5"/>
  <c r="B49" i="15"/>
  <c r="E48" i="15"/>
  <c r="F78" i="15" s="1"/>
  <c r="D78" i="10"/>
  <c r="E78" i="10"/>
  <c r="F78" i="10"/>
  <c r="G78" i="10"/>
  <c r="G48" i="5"/>
  <c r="G78" i="5" s="1"/>
  <c r="F48" i="5"/>
  <c r="F78" i="5" s="1"/>
  <c r="C78" i="10"/>
  <c r="C48" i="5"/>
  <c r="C78" i="5" s="1"/>
  <c r="D48" i="5"/>
  <c r="D78" i="5" s="1"/>
  <c r="E48" i="5"/>
  <c r="E78" i="5" s="1"/>
  <c r="F19" i="11"/>
  <c r="F49" i="11" s="1"/>
  <c r="C19" i="11"/>
  <c r="C49" i="11" s="1"/>
  <c r="E19" i="11"/>
  <c r="E49" i="11" s="1"/>
  <c r="G19" i="11"/>
  <c r="G49" i="11" s="1"/>
  <c r="D19" i="11"/>
  <c r="D49" i="11" s="1"/>
  <c r="B49" i="11"/>
  <c r="I78" i="11"/>
  <c r="H78" i="11"/>
  <c r="G19" i="10"/>
  <c r="G49" i="10" s="1"/>
  <c r="F19" i="10"/>
  <c r="F49" i="10" s="1"/>
  <c r="E19" i="10"/>
  <c r="E49" i="10" s="1"/>
  <c r="D19" i="10"/>
  <c r="D49" i="10" s="1"/>
  <c r="C19" i="10"/>
  <c r="C49" i="10" s="1"/>
  <c r="B49" i="10"/>
  <c r="B18" i="8" s="1"/>
  <c r="H78" i="10"/>
  <c r="I78" i="10"/>
  <c r="B17" i="8"/>
  <c r="B49" i="7"/>
  <c r="D79" i="7" s="1"/>
  <c r="B50" i="7"/>
  <c r="G20" i="7"/>
  <c r="G50" i="7" s="1"/>
  <c r="D20" i="7"/>
  <c r="D50" i="7" s="1"/>
  <c r="C20" i="7"/>
  <c r="C50" i="7" s="1"/>
  <c r="E20" i="7"/>
  <c r="E50" i="7" s="1"/>
  <c r="F20" i="7"/>
  <c r="F50" i="7" s="1"/>
  <c r="F19" i="5"/>
  <c r="G19" i="5"/>
  <c r="E19" i="5"/>
  <c r="C19" i="5"/>
  <c r="D19" i="5"/>
  <c r="I79" i="5"/>
  <c r="H79" i="5"/>
  <c r="B17" i="6"/>
  <c r="R378" i="4"/>
  <c r="Q378" i="4"/>
  <c r="Q380" i="4"/>
  <c r="R380" i="4"/>
  <c r="B20" i="10" s="1"/>
  <c r="Q383" i="4"/>
  <c r="R383" i="4"/>
  <c r="R381" i="4"/>
  <c r="B20" i="11" s="1"/>
  <c r="Q381" i="4"/>
  <c r="P384" i="4"/>
  <c r="P382" i="4"/>
  <c r="P387" i="4"/>
  <c r="P385" i="4"/>
  <c r="B18" i="12" l="1"/>
  <c r="D18" i="12" s="1"/>
  <c r="I79" i="15"/>
  <c r="C79" i="10"/>
  <c r="D79" i="11"/>
  <c r="G79" i="11"/>
  <c r="D79" i="10"/>
  <c r="E79" i="10"/>
  <c r="E79" i="11"/>
  <c r="F79" i="10"/>
  <c r="C79" i="11"/>
  <c r="G79" i="10"/>
  <c r="F79" i="11"/>
  <c r="D49" i="15"/>
  <c r="E79" i="15" s="1"/>
  <c r="C49" i="15"/>
  <c r="D79" i="15" s="1"/>
  <c r="E49" i="15"/>
  <c r="G49" i="15"/>
  <c r="H79" i="15" s="1"/>
  <c r="F49" i="15"/>
  <c r="G49" i="5"/>
  <c r="G79" i="5" s="1"/>
  <c r="F49" i="5"/>
  <c r="F79" i="5" s="1"/>
  <c r="G80" i="7"/>
  <c r="F80" i="7"/>
  <c r="B18" i="9"/>
  <c r="E80" i="7"/>
  <c r="C80" i="7"/>
  <c r="D49" i="5"/>
  <c r="D79" i="5" s="1"/>
  <c r="D80" i="7"/>
  <c r="C49" i="5"/>
  <c r="C79" i="5" s="1"/>
  <c r="E49" i="5"/>
  <c r="E79" i="5" s="1"/>
  <c r="D20" i="10"/>
  <c r="D50" i="10" s="1"/>
  <c r="C20" i="10"/>
  <c r="C50" i="10" s="1"/>
  <c r="G20" i="10"/>
  <c r="G50" i="10" s="1"/>
  <c r="F20" i="10"/>
  <c r="F50" i="10" s="1"/>
  <c r="E20" i="10"/>
  <c r="E50" i="10" s="1"/>
  <c r="B50" i="11"/>
  <c r="F79" i="7"/>
  <c r="H79" i="11"/>
  <c r="I79" i="11"/>
  <c r="E79" i="7"/>
  <c r="B50" i="10"/>
  <c r="G79" i="7"/>
  <c r="C79" i="7"/>
  <c r="C20" i="11"/>
  <c r="C50" i="11" s="1"/>
  <c r="F20" i="11"/>
  <c r="F50" i="11" s="1"/>
  <c r="E20" i="11"/>
  <c r="E50" i="11" s="1"/>
  <c r="G20" i="11"/>
  <c r="G50" i="11" s="1"/>
  <c r="D20" i="11"/>
  <c r="D50" i="11" s="1"/>
  <c r="H79" i="10"/>
  <c r="I79" i="10"/>
  <c r="I80" i="7"/>
  <c r="H80" i="7"/>
  <c r="B19" i="9"/>
  <c r="I79" i="7"/>
  <c r="H79" i="7"/>
  <c r="F21" i="7"/>
  <c r="F51" i="7" s="1"/>
  <c r="E21" i="7"/>
  <c r="E51" i="7" s="1"/>
  <c r="D21" i="7"/>
  <c r="D51" i="7" s="1"/>
  <c r="C21" i="7"/>
  <c r="C51" i="7" s="1"/>
  <c r="G21" i="7"/>
  <c r="G51" i="7" s="1"/>
  <c r="E20" i="5"/>
  <c r="C20" i="5"/>
  <c r="G20" i="5"/>
  <c r="F20" i="5"/>
  <c r="D20" i="5"/>
  <c r="B18" i="6"/>
  <c r="B21" i="7"/>
  <c r="B51" i="7" s="1"/>
  <c r="R385" i="4"/>
  <c r="B21" i="11" s="1"/>
  <c r="Q385" i="4"/>
  <c r="R387" i="4"/>
  <c r="Q387" i="4"/>
  <c r="Q382" i="4"/>
  <c r="R382" i="4"/>
  <c r="B21" i="5" s="1"/>
  <c r="Q384" i="4"/>
  <c r="R384" i="4"/>
  <c r="B21" i="10" s="1"/>
  <c r="P389" i="4"/>
  <c r="P386" i="4"/>
  <c r="P391" i="4"/>
  <c r="P388" i="4"/>
  <c r="G79" i="15" l="1"/>
  <c r="F79" i="15"/>
  <c r="C79" i="15"/>
  <c r="C50" i="15"/>
  <c r="D80" i="15" s="1"/>
  <c r="E50" i="15"/>
  <c r="B51" i="5"/>
  <c r="H81" i="5" s="1"/>
  <c r="B51" i="15"/>
  <c r="D50" i="15"/>
  <c r="E80" i="15" s="1"/>
  <c r="F50" i="15"/>
  <c r="G50" i="15"/>
  <c r="D80" i="11"/>
  <c r="G50" i="5"/>
  <c r="G80" i="11"/>
  <c r="F50" i="5"/>
  <c r="E80" i="11"/>
  <c r="F80" i="11"/>
  <c r="C80" i="11"/>
  <c r="B19" i="8"/>
  <c r="E80" i="10"/>
  <c r="F80" i="10"/>
  <c r="G80" i="10"/>
  <c r="E50" i="5"/>
  <c r="C80" i="10"/>
  <c r="D80" i="10"/>
  <c r="C50" i="5"/>
  <c r="D50" i="5"/>
  <c r="E81" i="7"/>
  <c r="I80" i="11"/>
  <c r="H80" i="11"/>
  <c r="F81" i="7"/>
  <c r="H80" i="10"/>
  <c r="I80" i="10"/>
  <c r="B51" i="11"/>
  <c r="G21" i="10"/>
  <c r="G51" i="10" s="1"/>
  <c r="G81" i="10" s="1"/>
  <c r="F21" i="10"/>
  <c r="F51" i="10" s="1"/>
  <c r="F81" i="10" s="1"/>
  <c r="E21" i="10"/>
  <c r="E51" i="10" s="1"/>
  <c r="E81" i="10" s="1"/>
  <c r="D21" i="10"/>
  <c r="D51" i="10" s="1"/>
  <c r="D81" i="10" s="1"/>
  <c r="C21" i="10"/>
  <c r="C51" i="10" s="1"/>
  <c r="G81" i="7"/>
  <c r="C81" i="7"/>
  <c r="E21" i="11"/>
  <c r="E51" i="11" s="1"/>
  <c r="D21" i="11"/>
  <c r="D51" i="11" s="1"/>
  <c r="G21" i="11"/>
  <c r="G51" i="11" s="1"/>
  <c r="G81" i="11" s="1"/>
  <c r="F21" i="11"/>
  <c r="F51" i="11" s="1"/>
  <c r="C21" i="11"/>
  <c r="C51" i="11" s="1"/>
  <c r="B51" i="10"/>
  <c r="B20" i="8" s="1"/>
  <c r="D81" i="7"/>
  <c r="I81" i="7"/>
  <c r="H81" i="7"/>
  <c r="D22" i="7"/>
  <c r="D52" i="7" s="1"/>
  <c r="C22" i="7"/>
  <c r="C52" i="7" s="1"/>
  <c r="E22" i="7"/>
  <c r="E52" i="7" s="1"/>
  <c r="G22" i="7"/>
  <c r="G52" i="7" s="1"/>
  <c r="F22" i="7"/>
  <c r="F52" i="7" s="1"/>
  <c r="C21" i="5"/>
  <c r="F21" i="5"/>
  <c r="D21" i="5"/>
  <c r="E21" i="5"/>
  <c r="G21" i="5"/>
  <c r="B22" i="7"/>
  <c r="B20" i="9"/>
  <c r="Q388" i="4"/>
  <c r="R388" i="4"/>
  <c r="B22" i="10" s="1"/>
  <c r="Q391" i="4"/>
  <c r="R391" i="4"/>
  <c r="B23" i="7" s="1"/>
  <c r="R386" i="4"/>
  <c r="Q386" i="4"/>
  <c r="R389" i="4"/>
  <c r="B22" i="11" s="1"/>
  <c r="Q389" i="4"/>
  <c r="P392" i="4"/>
  <c r="P395" i="4"/>
  <c r="P390" i="4"/>
  <c r="P393" i="4"/>
  <c r="C81" i="15" l="1"/>
  <c r="B20" i="12"/>
  <c r="D20" i="12" s="1"/>
  <c r="C81" i="11"/>
  <c r="F81" i="11"/>
  <c r="D81" i="11"/>
  <c r="E81" i="11"/>
  <c r="I81" i="5"/>
  <c r="C81" i="10"/>
  <c r="G51" i="15"/>
  <c r="H81" i="15" s="1"/>
  <c r="F51" i="15"/>
  <c r="G81" i="15" s="1"/>
  <c r="E51" i="15"/>
  <c r="F81" i="15" s="1"/>
  <c r="C51" i="15"/>
  <c r="D81" i="15" s="1"/>
  <c r="D51" i="15"/>
  <c r="E81" i="15" s="1"/>
  <c r="F51" i="5"/>
  <c r="F81" i="5" s="1"/>
  <c r="G51" i="5"/>
  <c r="G81" i="5" s="1"/>
  <c r="C51" i="5"/>
  <c r="C81" i="5" s="1"/>
  <c r="D51" i="5"/>
  <c r="D81" i="5" s="1"/>
  <c r="E51" i="5"/>
  <c r="E81" i="5" s="1"/>
  <c r="B52" i="10"/>
  <c r="G22" i="10"/>
  <c r="G52" i="10" s="1"/>
  <c r="F22" i="10"/>
  <c r="F52" i="10" s="1"/>
  <c r="F82" i="10" s="1"/>
  <c r="E22" i="10"/>
  <c r="E52" i="10" s="1"/>
  <c r="C22" i="10"/>
  <c r="C52" i="10" s="1"/>
  <c r="D22" i="10"/>
  <c r="D52" i="10" s="1"/>
  <c r="B52" i="11"/>
  <c r="C22" i="11"/>
  <c r="C52" i="11" s="1"/>
  <c r="C82" i="11" s="1"/>
  <c r="G22" i="11"/>
  <c r="G52" i="11" s="1"/>
  <c r="G82" i="11" s="1"/>
  <c r="E22" i="11"/>
  <c r="E52" i="11" s="1"/>
  <c r="E82" i="11" s="1"/>
  <c r="D22" i="11"/>
  <c r="D52" i="11" s="1"/>
  <c r="D82" i="11" s="1"/>
  <c r="F22" i="11"/>
  <c r="F52" i="11" s="1"/>
  <c r="I81" i="10"/>
  <c r="H81" i="10"/>
  <c r="H81" i="11"/>
  <c r="I81" i="11"/>
  <c r="B52" i="7"/>
  <c r="G82" i="7" s="1"/>
  <c r="B53" i="7"/>
  <c r="G23" i="7"/>
  <c r="G53" i="7" s="1"/>
  <c r="F23" i="7"/>
  <c r="F53" i="7" s="1"/>
  <c r="E23" i="7"/>
  <c r="E53" i="7" s="1"/>
  <c r="C23" i="7"/>
  <c r="C53" i="7" s="1"/>
  <c r="D23" i="7"/>
  <c r="D53" i="7" s="1"/>
  <c r="C22" i="5"/>
  <c r="D22" i="5"/>
  <c r="F22" i="5"/>
  <c r="G22" i="5"/>
  <c r="E22" i="5"/>
  <c r="B20" i="6"/>
  <c r="Q392" i="4"/>
  <c r="R392" i="4"/>
  <c r="B23" i="10" s="1"/>
  <c r="R393" i="4"/>
  <c r="B23" i="11" s="1"/>
  <c r="Q393" i="4"/>
  <c r="R390" i="4"/>
  <c r="Q390" i="4"/>
  <c r="R395" i="4"/>
  <c r="B24" i="7" s="1"/>
  <c r="Q395" i="4"/>
  <c r="P397" i="4"/>
  <c r="P394" i="4"/>
  <c r="P399" i="4"/>
  <c r="P396" i="4"/>
  <c r="D82" i="10" l="1"/>
  <c r="E83" i="7"/>
  <c r="F82" i="11"/>
  <c r="E82" i="10"/>
  <c r="G82" i="10"/>
  <c r="F52" i="15"/>
  <c r="C52" i="15"/>
  <c r="D82" i="15" s="1"/>
  <c r="D52" i="15"/>
  <c r="E52" i="15"/>
  <c r="G52" i="15"/>
  <c r="H82" i="15" s="1"/>
  <c r="F52" i="5"/>
  <c r="G52" i="5"/>
  <c r="C82" i="10"/>
  <c r="C52" i="5"/>
  <c r="D83" i="7"/>
  <c r="E52" i="5"/>
  <c r="D52" i="5"/>
  <c r="C83" i="7"/>
  <c r="B53" i="10"/>
  <c r="B22" i="8" s="1"/>
  <c r="D82" i="7"/>
  <c r="E23" i="10"/>
  <c r="E53" i="10" s="1"/>
  <c r="C23" i="10"/>
  <c r="C53" i="10" s="1"/>
  <c r="D23" i="10"/>
  <c r="D53" i="10" s="1"/>
  <c r="G23" i="10"/>
  <c r="G53" i="10" s="1"/>
  <c r="F23" i="10"/>
  <c r="F53" i="10" s="1"/>
  <c r="C82" i="7"/>
  <c r="F83" i="7"/>
  <c r="D23" i="11"/>
  <c r="D53" i="11" s="1"/>
  <c r="F23" i="11"/>
  <c r="F53" i="11" s="1"/>
  <c r="G23" i="11"/>
  <c r="G53" i="11" s="1"/>
  <c r="C23" i="11"/>
  <c r="C53" i="11" s="1"/>
  <c r="E23" i="11"/>
  <c r="E53" i="11" s="1"/>
  <c r="G83" i="7"/>
  <c r="I82" i="11"/>
  <c r="H82" i="11"/>
  <c r="H82" i="10"/>
  <c r="I82" i="10"/>
  <c r="B53" i="11"/>
  <c r="B21" i="8"/>
  <c r="I83" i="7"/>
  <c r="H83" i="7"/>
  <c r="B54" i="7"/>
  <c r="B23" i="9" s="1"/>
  <c r="B22" i="9"/>
  <c r="I82" i="7"/>
  <c r="H82" i="7"/>
  <c r="B21" i="9"/>
  <c r="E82" i="7"/>
  <c r="F82" i="7"/>
  <c r="F24" i="7"/>
  <c r="F54" i="7" s="1"/>
  <c r="E24" i="7"/>
  <c r="E54" i="7" s="1"/>
  <c r="D24" i="7"/>
  <c r="D54" i="7" s="1"/>
  <c r="C24" i="7"/>
  <c r="C54" i="7" s="1"/>
  <c r="G24" i="7"/>
  <c r="G54" i="7" s="1"/>
  <c r="E23" i="5"/>
  <c r="C23" i="5"/>
  <c r="D23" i="5"/>
  <c r="F23" i="5"/>
  <c r="G23" i="5"/>
  <c r="Q396" i="4"/>
  <c r="R396" i="4"/>
  <c r="B24" i="10" s="1"/>
  <c r="R399" i="4"/>
  <c r="Q399" i="4"/>
  <c r="Q394" i="4"/>
  <c r="R394" i="4"/>
  <c r="R397" i="4"/>
  <c r="B24" i="11" s="1"/>
  <c r="Q397" i="4"/>
  <c r="P400" i="4"/>
  <c r="P398" i="4"/>
  <c r="P403" i="4"/>
  <c r="P401" i="4"/>
  <c r="F84" i="7" l="1"/>
  <c r="F83" i="10"/>
  <c r="G83" i="10"/>
  <c r="E84" i="7"/>
  <c r="D83" i="10"/>
  <c r="C83" i="10"/>
  <c r="C84" i="7"/>
  <c r="E83" i="10"/>
  <c r="D84" i="7"/>
  <c r="E53" i="15"/>
  <c r="G53" i="15"/>
  <c r="F53" i="15"/>
  <c r="D53" i="15"/>
  <c r="C53" i="15"/>
  <c r="G53" i="5"/>
  <c r="F53" i="5"/>
  <c r="G83" i="11"/>
  <c r="F83" i="11"/>
  <c r="D83" i="11"/>
  <c r="E83" i="11"/>
  <c r="D53" i="5"/>
  <c r="C53" i="5"/>
  <c r="E53" i="5"/>
  <c r="B54" i="11"/>
  <c r="H83" i="11"/>
  <c r="I83" i="11"/>
  <c r="C83" i="11"/>
  <c r="G24" i="11"/>
  <c r="G54" i="11" s="1"/>
  <c r="F24" i="11"/>
  <c r="F54" i="11" s="1"/>
  <c r="D24" i="11"/>
  <c r="D54" i="11" s="1"/>
  <c r="E24" i="11"/>
  <c r="E54" i="11" s="1"/>
  <c r="C24" i="11"/>
  <c r="C54" i="11" s="1"/>
  <c r="B54" i="10"/>
  <c r="B23" i="8" s="1"/>
  <c r="E24" i="10"/>
  <c r="E54" i="10" s="1"/>
  <c r="E84" i="10" s="1"/>
  <c r="D24" i="10"/>
  <c r="D54" i="10" s="1"/>
  <c r="D84" i="10" s="1"/>
  <c r="G24" i="10"/>
  <c r="G54" i="10" s="1"/>
  <c r="F24" i="10"/>
  <c r="F54" i="10" s="1"/>
  <c r="C24" i="10"/>
  <c r="C54" i="10" s="1"/>
  <c r="G84" i="7"/>
  <c r="I83" i="10"/>
  <c r="H83" i="10"/>
  <c r="I84" i="7"/>
  <c r="H84" i="7"/>
  <c r="F25" i="7"/>
  <c r="F55" i="7" s="1"/>
  <c r="G25" i="7"/>
  <c r="G55" i="7" s="1"/>
  <c r="D25" i="7"/>
  <c r="D55" i="7" s="1"/>
  <c r="C25" i="7"/>
  <c r="C55" i="7" s="1"/>
  <c r="E25" i="7"/>
  <c r="E55" i="7" s="1"/>
  <c r="F24" i="5"/>
  <c r="D24" i="5"/>
  <c r="C24" i="5"/>
  <c r="G24" i="5"/>
  <c r="E24" i="5"/>
  <c r="B25" i="7"/>
  <c r="B55" i="7" s="1"/>
  <c r="R401" i="4"/>
  <c r="B25" i="11" s="1"/>
  <c r="Q401" i="4"/>
  <c r="R403" i="4"/>
  <c r="Q403" i="4"/>
  <c r="Q398" i="4"/>
  <c r="R398" i="4"/>
  <c r="B25" i="5" s="1"/>
  <c r="Q400" i="4"/>
  <c r="R400" i="4"/>
  <c r="B25" i="10" s="1"/>
  <c r="P405" i="4"/>
  <c r="P407" i="4"/>
  <c r="P402" i="4"/>
  <c r="P404" i="4"/>
  <c r="C84" i="11" l="1"/>
  <c r="E84" i="11"/>
  <c r="C84" i="10"/>
  <c r="D84" i="11"/>
  <c r="F84" i="11"/>
  <c r="F84" i="10"/>
  <c r="G84" i="10"/>
  <c r="G84" i="11"/>
  <c r="F85" i="7"/>
  <c r="E54" i="15"/>
  <c r="F84" i="15" s="1"/>
  <c r="G54" i="15"/>
  <c r="H84" i="15" s="1"/>
  <c r="C54" i="15"/>
  <c r="D84" i="15" s="1"/>
  <c r="D54" i="15"/>
  <c r="E84" i="15" s="1"/>
  <c r="B55" i="5"/>
  <c r="B55" i="15"/>
  <c r="F54" i="15"/>
  <c r="G84" i="15" s="1"/>
  <c r="D85" i="7"/>
  <c r="G85" i="7"/>
  <c r="F54" i="5"/>
  <c r="G54" i="5"/>
  <c r="E54" i="5"/>
  <c r="C54" i="5"/>
  <c r="D54" i="5"/>
  <c r="B55" i="10"/>
  <c r="E85" i="7"/>
  <c r="I84" i="10"/>
  <c r="H84" i="10"/>
  <c r="D25" i="11"/>
  <c r="D55" i="11" s="1"/>
  <c r="C25" i="11"/>
  <c r="C55" i="11" s="1"/>
  <c r="G25" i="11"/>
  <c r="G55" i="11" s="1"/>
  <c r="F25" i="11"/>
  <c r="F55" i="11" s="1"/>
  <c r="E25" i="11"/>
  <c r="E55" i="11" s="1"/>
  <c r="E85" i="11" s="1"/>
  <c r="B55" i="11"/>
  <c r="G25" i="10"/>
  <c r="G55" i="10" s="1"/>
  <c r="G85" i="10" s="1"/>
  <c r="F25" i="10"/>
  <c r="F55" i="10" s="1"/>
  <c r="F85" i="10" s="1"/>
  <c r="E25" i="10"/>
  <c r="E55" i="10" s="1"/>
  <c r="D25" i="10"/>
  <c r="D55" i="10" s="1"/>
  <c r="C25" i="10"/>
  <c r="C55" i="10" s="1"/>
  <c r="C85" i="10" s="1"/>
  <c r="H84" i="11"/>
  <c r="I84" i="11"/>
  <c r="I85" i="7"/>
  <c r="H85" i="7"/>
  <c r="C85" i="7"/>
  <c r="H85" i="5"/>
  <c r="I85" i="5"/>
  <c r="D25" i="5"/>
  <c r="G25" i="5"/>
  <c r="C25" i="5"/>
  <c r="F25" i="5"/>
  <c r="E25" i="5"/>
  <c r="C26" i="7"/>
  <c r="C56" i="7" s="1"/>
  <c r="G26" i="7"/>
  <c r="G56" i="7" s="1"/>
  <c r="F26" i="7"/>
  <c r="F56" i="7" s="1"/>
  <c r="D26" i="7"/>
  <c r="D56" i="7" s="1"/>
  <c r="E26" i="7"/>
  <c r="E56" i="7" s="1"/>
  <c r="B24" i="9"/>
  <c r="B26" i="7"/>
  <c r="B16" i="7"/>
  <c r="B17" i="7"/>
  <c r="B11" i="7"/>
  <c r="B12" i="7"/>
  <c r="B7" i="7"/>
  <c r="B37" i="7" s="1"/>
  <c r="B8" i="7"/>
  <c r="Q404" i="4"/>
  <c r="R404" i="4"/>
  <c r="B26" i="10" s="1"/>
  <c r="R402" i="4"/>
  <c r="Q402" i="4"/>
  <c r="R407" i="4"/>
  <c r="Q407" i="4"/>
  <c r="R405" i="4"/>
  <c r="B26" i="11" s="1"/>
  <c r="Q405" i="4"/>
  <c r="P406" i="4"/>
  <c r="P408" i="4"/>
  <c r="P409" i="4"/>
  <c r="B24" i="12" l="1"/>
  <c r="D24" i="12" s="1"/>
  <c r="F85" i="11"/>
  <c r="G85" i="11"/>
  <c r="D85" i="10"/>
  <c r="C85" i="11"/>
  <c r="E85" i="10"/>
  <c r="D85" i="11"/>
  <c r="D55" i="15"/>
  <c r="E85" i="15" s="1"/>
  <c r="E55" i="15"/>
  <c r="F55" i="15"/>
  <c r="C55" i="15"/>
  <c r="D85" i="15" s="1"/>
  <c r="G55" i="15"/>
  <c r="H85" i="15" s="1"/>
  <c r="F55" i="5"/>
  <c r="F85" i="5" s="1"/>
  <c r="G55" i="5"/>
  <c r="G85" i="5" s="1"/>
  <c r="E55" i="5"/>
  <c r="E85" i="5" s="1"/>
  <c r="C55" i="5"/>
  <c r="C85" i="5" s="1"/>
  <c r="D55" i="5"/>
  <c r="D85" i="5" s="1"/>
  <c r="B56" i="11"/>
  <c r="H85" i="11"/>
  <c r="I85" i="11"/>
  <c r="E26" i="10"/>
  <c r="E56" i="10" s="1"/>
  <c r="D26" i="10"/>
  <c r="D56" i="10" s="1"/>
  <c r="G26" i="10"/>
  <c r="G56" i="10" s="1"/>
  <c r="C26" i="10"/>
  <c r="C56" i="10" s="1"/>
  <c r="F26" i="10"/>
  <c r="F56" i="10" s="1"/>
  <c r="D26" i="11"/>
  <c r="D56" i="11" s="1"/>
  <c r="D86" i="11" s="1"/>
  <c r="F26" i="11"/>
  <c r="F56" i="11" s="1"/>
  <c r="E26" i="11"/>
  <c r="E56" i="11" s="1"/>
  <c r="G26" i="11"/>
  <c r="G56" i="11" s="1"/>
  <c r="C26" i="11"/>
  <c r="C56" i="11" s="1"/>
  <c r="I85" i="10"/>
  <c r="H85" i="10"/>
  <c r="B56" i="10"/>
  <c r="B24" i="8"/>
  <c r="B41" i="7"/>
  <c r="B56" i="7"/>
  <c r="F86" i="7" s="1"/>
  <c r="I67" i="7"/>
  <c r="H67" i="7"/>
  <c r="B42" i="7"/>
  <c r="B11" i="9" s="1"/>
  <c r="B46" i="7"/>
  <c r="B15" i="9" s="1"/>
  <c r="B47" i="7"/>
  <c r="B16" i="9" s="1"/>
  <c r="B38" i="7"/>
  <c r="C27" i="7"/>
  <c r="C57" i="7" s="1"/>
  <c r="F27" i="7"/>
  <c r="F57" i="7" s="1"/>
  <c r="G27" i="7"/>
  <c r="G57" i="7" s="1"/>
  <c r="E27" i="7"/>
  <c r="E57" i="7" s="1"/>
  <c r="D27" i="7"/>
  <c r="D57" i="7" s="1"/>
  <c r="F26" i="5"/>
  <c r="G26" i="5"/>
  <c r="C26" i="5"/>
  <c r="D26" i="5"/>
  <c r="E26" i="5"/>
  <c r="B6" i="9"/>
  <c r="B27" i="7"/>
  <c r="B16" i="11"/>
  <c r="B17" i="11"/>
  <c r="B11" i="11"/>
  <c r="B12" i="11"/>
  <c r="B7" i="11"/>
  <c r="B37" i="11" s="1"/>
  <c r="B8" i="11"/>
  <c r="B24" i="6"/>
  <c r="B16" i="10"/>
  <c r="B17" i="10"/>
  <c r="B11" i="10"/>
  <c r="B12" i="10"/>
  <c r="B7" i="10"/>
  <c r="B37" i="10" s="1"/>
  <c r="B8" i="10"/>
  <c r="Q409" i="4"/>
  <c r="R409" i="4"/>
  <c r="R408" i="4"/>
  <c r="B27" i="10" s="1"/>
  <c r="Q408" i="4"/>
  <c r="R406" i="4"/>
  <c r="B27" i="5" s="1"/>
  <c r="Q406" i="4"/>
  <c r="F85" i="15" l="1"/>
  <c r="G85" i="15"/>
  <c r="C85" i="15"/>
  <c r="C86" i="11"/>
  <c r="G86" i="11"/>
  <c r="E86" i="11"/>
  <c r="F86" i="11"/>
  <c r="D86" i="10"/>
  <c r="E86" i="10"/>
  <c r="B25" i="9"/>
  <c r="F86" i="10"/>
  <c r="C56" i="15"/>
  <c r="D86" i="15" s="1"/>
  <c r="G56" i="15"/>
  <c r="H86" i="15" s="1"/>
  <c r="B57" i="5"/>
  <c r="B57" i="15"/>
  <c r="F56" i="15"/>
  <c r="E56" i="15"/>
  <c r="D56" i="15"/>
  <c r="G56" i="5"/>
  <c r="F56" i="5"/>
  <c r="E56" i="5"/>
  <c r="D56" i="5"/>
  <c r="C56" i="5"/>
  <c r="C86" i="7"/>
  <c r="H67" i="10"/>
  <c r="I67" i="10"/>
  <c r="B46" i="10"/>
  <c r="G86" i="10"/>
  <c r="B41" i="11"/>
  <c r="D27" i="10"/>
  <c r="D57" i="10" s="1"/>
  <c r="C27" i="10"/>
  <c r="C57" i="10" s="1"/>
  <c r="G27" i="10"/>
  <c r="G57" i="10" s="1"/>
  <c r="F27" i="10"/>
  <c r="F57" i="10" s="1"/>
  <c r="E27" i="10"/>
  <c r="E57" i="10" s="1"/>
  <c r="G86" i="7"/>
  <c r="H86" i="10"/>
  <c r="I86" i="10"/>
  <c r="B57" i="10"/>
  <c r="B47" i="11"/>
  <c r="B38" i="11"/>
  <c r="D16" i="11"/>
  <c r="D46" i="11" s="1"/>
  <c r="F16" i="10"/>
  <c r="F46" i="10" s="1"/>
  <c r="G16" i="11"/>
  <c r="G46" i="11" s="1"/>
  <c r="D16" i="10"/>
  <c r="D46" i="10" s="1"/>
  <c r="D76" i="10" s="1"/>
  <c r="F16" i="11"/>
  <c r="F46" i="11" s="1"/>
  <c r="C16" i="11"/>
  <c r="C46" i="11" s="1"/>
  <c r="E16" i="11"/>
  <c r="E46" i="11" s="1"/>
  <c r="C16" i="10"/>
  <c r="C46" i="10" s="1"/>
  <c r="C76" i="10" s="1"/>
  <c r="G16" i="10"/>
  <c r="G46" i="10" s="1"/>
  <c r="E16" i="10"/>
  <c r="E46" i="10" s="1"/>
  <c r="C11" i="11"/>
  <c r="C41" i="11" s="1"/>
  <c r="F11" i="10"/>
  <c r="F41" i="10" s="1"/>
  <c r="D11" i="11"/>
  <c r="D41" i="11" s="1"/>
  <c r="E11" i="10"/>
  <c r="E41" i="10" s="1"/>
  <c r="E11" i="11"/>
  <c r="E41" i="11" s="1"/>
  <c r="F11" i="11"/>
  <c r="F41" i="11" s="1"/>
  <c r="G11" i="11"/>
  <c r="G41" i="11" s="1"/>
  <c r="D11" i="10"/>
  <c r="D41" i="10" s="1"/>
  <c r="C11" i="10"/>
  <c r="C41" i="10" s="1"/>
  <c r="G11" i="10"/>
  <c r="G41" i="10" s="1"/>
  <c r="D17" i="10"/>
  <c r="D47" i="10" s="1"/>
  <c r="F17" i="11"/>
  <c r="F47" i="11" s="1"/>
  <c r="F77" i="11" s="1"/>
  <c r="G17" i="10"/>
  <c r="G47" i="10" s="1"/>
  <c r="D17" i="11"/>
  <c r="D47" i="11" s="1"/>
  <c r="D77" i="11" s="1"/>
  <c r="F17" i="10"/>
  <c r="F47" i="10" s="1"/>
  <c r="E17" i="11"/>
  <c r="E47" i="11" s="1"/>
  <c r="E77" i="11" s="1"/>
  <c r="C17" i="10"/>
  <c r="C47" i="10" s="1"/>
  <c r="E17" i="10"/>
  <c r="E47" i="10" s="1"/>
  <c r="C17" i="11"/>
  <c r="C47" i="11" s="1"/>
  <c r="C77" i="11" s="1"/>
  <c r="G17" i="11"/>
  <c r="G47" i="11" s="1"/>
  <c r="G77" i="11" s="1"/>
  <c r="D12" i="10"/>
  <c r="D42" i="10" s="1"/>
  <c r="G12" i="11"/>
  <c r="G42" i="11" s="1"/>
  <c r="C12" i="10"/>
  <c r="C42" i="10" s="1"/>
  <c r="F12" i="11"/>
  <c r="F42" i="11" s="1"/>
  <c r="F12" i="10"/>
  <c r="F42" i="10" s="1"/>
  <c r="E12" i="10"/>
  <c r="E42" i="10" s="1"/>
  <c r="G12" i="10"/>
  <c r="G42" i="10" s="1"/>
  <c r="E12" i="11"/>
  <c r="E42" i="11" s="1"/>
  <c r="C12" i="11"/>
  <c r="C42" i="11" s="1"/>
  <c r="D12" i="11"/>
  <c r="D42" i="11" s="1"/>
  <c r="E7" i="11"/>
  <c r="D7" i="10"/>
  <c r="F7" i="11"/>
  <c r="C7" i="10"/>
  <c r="D7" i="11"/>
  <c r="G7" i="11"/>
  <c r="C7" i="11"/>
  <c r="G7" i="10"/>
  <c r="F7" i="10"/>
  <c r="E7" i="10"/>
  <c r="F8" i="10"/>
  <c r="F38" i="10" s="1"/>
  <c r="E8" i="11"/>
  <c r="E38" i="11" s="1"/>
  <c r="E68" i="11" s="1"/>
  <c r="D8" i="10"/>
  <c r="D38" i="10" s="1"/>
  <c r="F8" i="11"/>
  <c r="F38" i="11" s="1"/>
  <c r="F68" i="11" s="1"/>
  <c r="G8" i="10"/>
  <c r="G38" i="10" s="1"/>
  <c r="C8" i="10"/>
  <c r="C38" i="10" s="1"/>
  <c r="E8" i="10"/>
  <c r="E38" i="10" s="1"/>
  <c r="D8" i="11"/>
  <c r="D38" i="11" s="1"/>
  <c r="D68" i="11" s="1"/>
  <c r="G8" i="11"/>
  <c r="G38" i="11" s="1"/>
  <c r="G68" i="11" s="1"/>
  <c r="C8" i="11"/>
  <c r="C38" i="11" s="1"/>
  <c r="C68" i="11" s="1"/>
  <c r="E27" i="11"/>
  <c r="E57" i="11" s="1"/>
  <c r="D27" i="11"/>
  <c r="D57" i="11" s="1"/>
  <c r="F27" i="11"/>
  <c r="F57" i="11" s="1"/>
  <c r="G27" i="11"/>
  <c r="G57" i="11" s="1"/>
  <c r="C27" i="11"/>
  <c r="C57" i="11" s="1"/>
  <c r="B41" i="10"/>
  <c r="B10" i="8" s="1"/>
  <c r="B46" i="11"/>
  <c r="D86" i="7"/>
  <c r="B25" i="8"/>
  <c r="H67" i="11"/>
  <c r="I67" i="11"/>
  <c r="I86" i="11"/>
  <c r="H86" i="11"/>
  <c r="B42" i="10"/>
  <c r="B11" i="8" s="1"/>
  <c r="B38" i="10"/>
  <c r="B7" i="8" s="1"/>
  <c r="B47" i="10"/>
  <c r="B42" i="11"/>
  <c r="C86" i="10"/>
  <c r="I72" i="7"/>
  <c r="H72" i="7"/>
  <c r="I86" i="7"/>
  <c r="H86" i="7"/>
  <c r="I76" i="7"/>
  <c r="H76" i="7"/>
  <c r="I68" i="7"/>
  <c r="H68" i="7"/>
  <c r="B7" i="9"/>
  <c r="I71" i="7"/>
  <c r="H71" i="7"/>
  <c r="B57" i="7"/>
  <c r="C87" i="7" s="1"/>
  <c r="I77" i="7"/>
  <c r="H77" i="7"/>
  <c r="E86" i="7"/>
  <c r="B10" i="9"/>
  <c r="E12" i="7"/>
  <c r="E42" i="7" s="1"/>
  <c r="E72" i="7" s="1"/>
  <c r="G12" i="7"/>
  <c r="G42" i="7" s="1"/>
  <c r="G72" i="7" s="1"/>
  <c r="F12" i="7"/>
  <c r="F42" i="7" s="1"/>
  <c r="F72" i="7" s="1"/>
  <c r="C12" i="7"/>
  <c r="C42" i="7" s="1"/>
  <c r="C72" i="7" s="1"/>
  <c r="D12" i="7"/>
  <c r="D42" i="7" s="1"/>
  <c r="D72" i="7" s="1"/>
  <c r="C16" i="7"/>
  <c r="C46" i="7" s="1"/>
  <c r="C76" i="7" s="1"/>
  <c r="F16" i="7"/>
  <c r="F46" i="7" s="1"/>
  <c r="F76" i="7" s="1"/>
  <c r="C12" i="5"/>
  <c r="E16" i="7"/>
  <c r="E46" i="7" s="1"/>
  <c r="E76" i="7" s="1"/>
  <c r="D16" i="7"/>
  <c r="D46" i="7" s="1"/>
  <c r="D76" i="7" s="1"/>
  <c r="G16" i="7"/>
  <c r="G46" i="7" s="1"/>
  <c r="G76" i="7" s="1"/>
  <c r="G12" i="5"/>
  <c r="F12" i="5"/>
  <c r="E12" i="5"/>
  <c r="D12" i="5"/>
  <c r="E16" i="5"/>
  <c r="D11" i="7"/>
  <c r="D41" i="7" s="1"/>
  <c r="D71" i="7" s="1"/>
  <c r="F16" i="5"/>
  <c r="E11" i="7"/>
  <c r="E41" i="7" s="1"/>
  <c r="E71" i="7" s="1"/>
  <c r="D16" i="5"/>
  <c r="C16" i="5"/>
  <c r="G16" i="5"/>
  <c r="G11" i="7"/>
  <c r="G41" i="7" s="1"/>
  <c r="G71" i="7" s="1"/>
  <c r="C11" i="7"/>
  <c r="C41" i="7" s="1"/>
  <c r="C71" i="7" s="1"/>
  <c r="F11" i="7"/>
  <c r="F41" i="7" s="1"/>
  <c r="F71" i="7" s="1"/>
  <c r="F11" i="5"/>
  <c r="G11" i="5"/>
  <c r="C11" i="5"/>
  <c r="E11" i="5"/>
  <c r="D11" i="5"/>
  <c r="F17" i="7"/>
  <c r="F47" i="7" s="1"/>
  <c r="F77" i="7" s="1"/>
  <c r="G17" i="7"/>
  <c r="G47" i="7" s="1"/>
  <c r="G77" i="7" s="1"/>
  <c r="D17" i="7"/>
  <c r="D47" i="7" s="1"/>
  <c r="D77" i="7" s="1"/>
  <c r="C17" i="7"/>
  <c r="C47" i="7" s="1"/>
  <c r="C77" i="7" s="1"/>
  <c r="E17" i="7"/>
  <c r="E47" i="7" s="1"/>
  <c r="E77" i="7" s="1"/>
  <c r="G17" i="5"/>
  <c r="C17" i="5"/>
  <c r="F17" i="5"/>
  <c r="E17" i="5"/>
  <c r="D17" i="5"/>
  <c r="D7" i="7"/>
  <c r="D37" i="7" s="1"/>
  <c r="D67" i="7" s="1"/>
  <c r="E7" i="7"/>
  <c r="E37" i="7" s="1"/>
  <c r="E67" i="7" s="1"/>
  <c r="F7" i="7"/>
  <c r="F37" i="7" s="1"/>
  <c r="F67" i="7" s="1"/>
  <c r="G7" i="7"/>
  <c r="G37" i="7" s="1"/>
  <c r="G67" i="7" s="1"/>
  <c r="C7" i="7"/>
  <c r="C37" i="7" s="1"/>
  <c r="C67" i="7" s="1"/>
  <c r="D7" i="5"/>
  <c r="E8" i="7"/>
  <c r="E38" i="7" s="1"/>
  <c r="E68" i="7" s="1"/>
  <c r="G7" i="5"/>
  <c r="C7" i="5"/>
  <c r="D8" i="7"/>
  <c r="D38" i="7" s="1"/>
  <c r="D68" i="7" s="1"/>
  <c r="E7" i="5"/>
  <c r="F8" i="7"/>
  <c r="F38" i="7" s="1"/>
  <c r="F68" i="7" s="1"/>
  <c r="F7" i="5"/>
  <c r="C8" i="7"/>
  <c r="C38" i="7" s="1"/>
  <c r="C68" i="7" s="1"/>
  <c r="G8" i="7"/>
  <c r="G38" i="7" s="1"/>
  <c r="G68" i="7" s="1"/>
  <c r="G8" i="5"/>
  <c r="E8" i="5"/>
  <c r="C8" i="5"/>
  <c r="F8" i="5"/>
  <c r="D8" i="5"/>
  <c r="E4" i="7"/>
  <c r="E34" i="7" s="1"/>
  <c r="E64" i="7" s="1"/>
  <c r="F4" i="7"/>
  <c r="F34" i="7" s="1"/>
  <c r="F64" i="7" s="1"/>
  <c r="C4" i="7"/>
  <c r="C34" i="7" s="1"/>
  <c r="C64" i="7" s="1"/>
  <c r="G4" i="7"/>
  <c r="G34" i="7" s="1"/>
  <c r="G64" i="7" s="1"/>
  <c r="D4" i="7"/>
  <c r="D34" i="7" s="1"/>
  <c r="D64" i="7" s="1"/>
  <c r="C4" i="5"/>
  <c r="G4" i="5"/>
  <c r="F4" i="5"/>
  <c r="D4" i="5"/>
  <c r="E4" i="5"/>
  <c r="C10" i="7"/>
  <c r="C40" i="7" s="1"/>
  <c r="C70" i="7" s="1"/>
  <c r="G10" i="7"/>
  <c r="G40" i="7" s="1"/>
  <c r="G70" i="7" s="1"/>
  <c r="F10" i="7"/>
  <c r="F40" i="7" s="1"/>
  <c r="F70" i="7" s="1"/>
  <c r="D10" i="7"/>
  <c r="D40" i="7" s="1"/>
  <c r="D70" i="7" s="1"/>
  <c r="E10" i="7"/>
  <c r="E40" i="7" s="1"/>
  <c r="E70" i="7" s="1"/>
  <c r="G10" i="5"/>
  <c r="F10" i="5"/>
  <c r="D10" i="5"/>
  <c r="E10" i="5"/>
  <c r="C10" i="5"/>
  <c r="F27" i="5"/>
  <c r="G27" i="5"/>
  <c r="E27" i="5"/>
  <c r="C27" i="5"/>
  <c r="D27" i="5"/>
  <c r="H87" i="5"/>
  <c r="I87" i="5"/>
  <c r="E46" i="5"/>
  <c r="B27" i="11"/>
  <c r="B4" i="5"/>
  <c r="B6" i="8"/>
  <c r="B28" i="10"/>
  <c r="B58" i="10" s="1"/>
  <c r="B28" i="7"/>
  <c r="B58" i="7" s="1"/>
  <c r="B26" i="6"/>
  <c r="B12" i="5"/>
  <c r="B16" i="5"/>
  <c r="B8" i="5"/>
  <c r="B7" i="5"/>
  <c r="B17" i="5"/>
  <c r="B11" i="5"/>
  <c r="B10" i="5"/>
  <c r="B26" i="5"/>
  <c r="B5" i="5"/>
  <c r="B6" i="5"/>
  <c r="B14" i="5"/>
  <c r="B15" i="5"/>
  <c r="B20" i="5"/>
  <c r="B22" i="5"/>
  <c r="B23" i="5"/>
  <c r="B24" i="5"/>
  <c r="B26" i="12" l="1"/>
  <c r="D26" i="12" s="1"/>
  <c r="C87" i="15"/>
  <c r="E76" i="10"/>
  <c r="F76" i="10"/>
  <c r="E87" i="10"/>
  <c r="G76" i="10"/>
  <c r="F87" i="10"/>
  <c r="H88" i="7"/>
  <c r="I88" i="7"/>
  <c r="E42" i="15"/>
  <c r="B47" i="5"/>
  <c r="B47" i="15"/>
  <c r="B33" i="5"/>
  <c r="I63" i="5" s="1"/>
  <c r="C40" i="15"/>
  <c r="B53" i="5"/>
  <c r="H83" i="5" s="1"/>
  <c r="B53" i="15"/>
  <c r="B56" i="5"/>
  <c r="B56" i="15"/>
  <c r="E40" i="15"/>
  <c r="E47" i="15"/>
  <c r="D42" i="15"/>
  <c r="D37" i="15"/>
  <c r="E67" i="15" s="1"/>
  <c r="D57" i="15"/>
  <c r="E87" i="15" s="1"/>
  <c r="F37" i="15"/>
  <c r="G67" i="15" s="1"/>
  <c r="C47" i="15"/>
  <c r="E41" i="15"/>
  <c r="C46" i="15"/>
  <c r="F42" i="15"/>
  <c r="D41" i="15"/>
  <c r="B50" i="5"/>
  <c r="B50" i="15"/>
  <c r="F34" i="15"/>
  <c r="D38" i="15"/>
  <c r="G47" i="15"/>
  <c r="C41" i="15"/>
  <c r="D71" i="15" s="1"/>
  <c r="D46" i="15"/>
  <c r="G42" i="15"/>
  <c r="E34" i="15"/>
  <c r="D34" i="15"/>
  <c r="C57" i="15"/>
  <c r="D87" i="15" s="1"/>
  <c r="B44" i="5"/>
  <c r="E74" i="5" s="1"/>
  <c r="B44" i="15"/>
  <c r="G34" i="15"/>
  <c r="F38" i="15"/>
  <c r="E37" i="15"/>
  <c r="F67" i="15" s="1"/>
  <c r="G41" i="15"/>
  <c r="D40" i="15"/>
  <c r="G46" i="15"/>
  <c r="B45" i="5"/>
  <c r="B45" i="15"/>
  <c r="G40" i="15"/>
  <c r="B37" i="5"/>
  <c r="B37" i="15"/>
  <c r="B36" i="5"/>
  <c r="B36" i="15"/>
  <c r="B34" i="5"/>
  <c r="B34" i="15"/>
  <c r="G57" i="15"/>
  <c r="H87" i="15" s="1"/>
  <c r="C34" i="15"/>
  <c r="D64" i="15" s="1"/>
  <c r="C38" i="15"/>
  <c r="F41" i="15"/>
  <c r="F46" i="5"/>
  <c r="F46" i="15"/>
  <c r="B52" i="5"/>
  <c r="I82" i="5" s="1"/>
  <c r="B52" i="15"/>
  <c r="B40" i="5"/>
  <c r="B40" i="15"/>
  <c r="F40" i="15"/>
  <c r="E57" i="15"/>
  <c r="F87" i="15" s="1"/>
  <c r="B38" i="5"/>
  <c r="H68" i="5" s="1"/>
  <c r="B38" i="15"/>
  <c r="B35" i="5"/>
  <c r="E65" i="5" s="1"/>
  <c r="B35" i="15"/>
  <c r="B46" i="5"/>
  <c r="B46" i="15"/>
  <c r="F57" i="15"/>
  <c r="G87" i="15" s="1"/>
  <c r="E38" i="15"/>
  <c r="C37" i="15"/>
  <c r="D67" i="15" s="1"/>
  <c r="F47" i="15"/>
  <c r="B41" i="5"/>
  <c r="I71" i="5" s="1"/>
  <c r="B41" i="15"/>
  <c r="B54" i="5"/>
  <c r="G84" i="5" s="1"/>
  <c r="B54" i="15"/>
  <c r="B42" i="5"/>
  <c r="H72" i="5" s="1"/>
  <c r="B42" i="15"/>
  <c r="G38" i="15"/>
  <c r="G37" i="15"/>
  <c r="H67" i="15" s="1"/>
  <c r="D47" i="15"/>
  <c r="E77" i="15" s="1"/>
  <c r="E46" i="15"/>
  <c r="C42" i="15"/>
  <c r="H88" i="10"/>
  <c r="I88" i="10"/>
  <c r="C71" i="11"/>
  <c r="G71" i="11"/>
  <c r="F71" i="11"/>
  <c r="E71" i="11"/>
  <c r="D71" i="11"/>
  <c r="E68" i="10"/>
  <c r="G40" i="5"/>
  <c r="F34" i="5"/>
  <c r="G47" i="5"/>
  <c r="G77" i="5" s="1"/>
  <c r="G42" i="5"/>
  <c r="F38" i="5"/>
  <c r="G41" i="5"/>
  <c r="G57" i="5"/>
  <c r="G87" i="5" s="1"/>
  <c r="F57" i="5"/>
  <c r="F87" i="5" s="1"/>
  <c r="G38" i="5"/>
  <c r="G37" i="5"/>
  <c r="F47" i="5"/>
  <c r="F77" i="5" s="1"/>
  <c r="G46" i="5"/>
  <c r="F40" i="5"/>
  <c r="F37" i="5"/>
  <c r="F42" i="5"/>
  <c r="C57" i="5"/>
  <c r="C87" i="5" s="1"/>
  <c r="D38" i="5"/>
  <c r="C41" i="5"/>
  <c r="E37" i="5"/>
  <c r="E57" i="5"/>
  <c r="E87" i="5" s="1"/>
  <c r="C38" i="5"/>
  <c r="D87" i="10"/>
  <c r="E38" i="5"/>
  <c r="C37" i="5"/>
  <c r="C40" i="5"/>
  <c r="D47" i="5"/>
  <c r="D77" i="5" s="1"/>
  <c r="C42" i="5"/>
  <c r="E40" i="5"/>
  <c r="E70" i="5" s="1"/>
  <c r="E47" i="5"/>
  <c r="E77" i="5" s="1"/>
  <c r="D42" i="5"/>
  <c r="E34" i="5"/>
  <c r="D37" i="5"/>
  <c r="D41" i="5"/>
  <c r="E42" i="5"/>
  <c r="D40" i="5"/>
  <c r="D70" i="5" s="1"/>
  <c r="D57" i="5"/>
  <c r="D87" i="5" s="1"/>
  <c r="D34" i="5"/>
  <c r="C47" i="5"/>
  <c r="C77" i="5" s="1"/>
  <c r="C46" i="5"/>
  <c r="E87" i="7"/>
  <c r="H77" i="10"/>
  <c r="I77" i="10"/>
  <c r="F37" i="10"/>
  <c r="F67" i="10" s="1"/>
  <c r="F28" i="10"/>
  <c r="F58" i="10" s="1"/>
  <c r="F88" i="10" s="1"/>
  <c r="E37" i="11"/>
  <c r="E67" i="11" s="1"/>
  <c r="E28" i="11"/>
  <c r="E58" i="11" s="1"/>
  <c r="C72" i="10"/>
  <c r="F77" i="10"/>
  <c r="D76" i="11"/>
  <c r="B57" i="11"/>
  <c r="C87" i="11" s="1"/>
  <c r="B16" i="8"/>
  <c r="C68" i="10"/>
  <c r="G37" i="10"/>
  <c r="G67" i="10" s="1"/>
  <c r="G28" i="10"/>
  <c r="G58" i="10" s="1"/>
  <c r="G88" i="10" s="1"/>
  <c r="D72" i="11"/>
  <c r="G72" i="11"/>
  <c r="I68" i="11"/>
  <c r="H68" i="11"/>
  <c r="H71" i="11"/>
  <c r="I71" i="11"/>
  <c r="H68" i="10"/>
  <c r="I68" i="10"/>
  <c r="G68" i="10"/>
  <c r="C37" i="11"/>
  <c r="C67" i="11" s="1"/>
  <c r="C28" i="11"/>
  <c r="C58" i="11" s="1"/>
  <c r="C72" i="11"/>
  <c r="D72" i="10"/>
  <c r="G77" i="10"/>
  <c r="E76" i="11"/>
  <c r="G37" i="11"/>
  <c r="G67" i="11" s="1"/>
  <c r="G28" i="11"/>
  <c r="G58" i="11" s="1"/>
  <c r="E72" i="11"/>
  <c r="E71" i="10"/>
  <c r="C76" i="11"/>
  <c r="H77" i="11"/>
  <c r="I77" i="11"/>
  <c r="I72" i="10"/>
  <c r="H72" i="10"/>
  <c r="H76" i="11"/>
  <c r="I76" i="11"/>
  <c r="D68" i="10"/>
  <c r="D37" i="11"/>
  <c r="D67" i="11" s="1"/>
  <c r="D28" i="11"/>
  <c r="D58" i="11" s="1"/>
  <c r="G72" i="10"/>
  <c r="D77" i="10"/>
  <c r="F76" i="11"/>
  <c r="I76" i="10"/>
  <c r="H76" i="10"/>
  <c r="C37" i="10"/>
  <c r="C67" i="10" s="1"/>
  <c r="C28" i="10"/>
  <c r="C58" i="10" s="1"/>
  <c r="C88" i="10" s="1"/>
  <c r="E72" i="10"/>
  <c r="E77" i="10"/>
  <c r="G71" i="10"/>
  <c r="F71" i="10"/>
  <c r="I87" i="10"/>
  <c r="H87" i="10"/>
  <c r="G87" i="10"/>
  <c r="B15" i="8"/>
  <c r="E64" i="5"/>
  <c r="I72" i="11"/>
  <c r="H72" i="11"/>
  <c r="H71" i="10"/>
  <c r="I71" i="10"/>
  <c r="F68" i="10"/>
  <c r="F37" i="11"/>
  <c r="F67" i="11" s="1"/>
  <c r="F28" i="11"/>
  <c r="F58" i="11" s="1"/>
  <c r="F72" i="10"/>
  <c r="C77" i="10"/>
  <c r="C71" i="10"/>
  <c r="G76" i="11"/>
  <c r="B26" i="8"/>
  <c r="C87" i="10"/>
  <c r="E37" i="10"/>
  <c r="E67" i="10" s="1"/>
  <c r="E28" i="10"/>
  <c r="E58" i="10" s="1"/>
  <c r="E88" i="10" s="1"/>
  <c r="D37" i="10"/>
  <c r="D67" i="10" s="1"/>
  <c r="D28" i="10"/>
  <c r="D58" i="10" s="1"/>
  <c r="D88" i="10" s="1"/>
  <c r="F72" i="11"/>
  <c r="D71" i="10"/>
  <c r="G87" i="7"/>
  <c r="I87" i="7"/>
  <c r="H87" i="7"/>
  <c r="F87" i="7"/>
  <c r="B26" i="9"/>
  <c r="D87" i="7"/>
  <c r="I86" i="5"/>
  <c r="H86" i="5"/>
  <c r="I75" i="5"/>
  <c r="H75" i="5"/>
  <c r="G75" i="5"/>
  <c r="E75" i="5"/>
  <c r="F75" i="5"/>
  <c r="C75" i="5"/>
  <c r="D75" i="5"/>
  <c r="I77" i="5"/>
  <c r="H77" i="5"/>
  <c r="C28" i="7"/>
  <c r="C58" i="7" s="1"/>
  <c r="C88" i="7" s="1"/>
  <c r="F28" i="7"/>
  <c r="F58" i="7" s="1"/>
  <c r="F88" i="7" s="1"/>
  <c r="F70" i="5"/>
  <c r="E28" i="7"/>
  <c r="E58" i="7" s="1"/>
  <c r="E88" i="7" s="1"/>
  <c r="I67" i="5"/>
  <c r="H67" i="5"/>
  <c r="I66" i="5"/>
  <c r="H66" i="5"/>
  <c r="F66" i="5"/>
  <c r="C66" i="5"/>
  <c r="E66" i="5"/>
  <c r="G66" i="5"/>
  <c r="D66" i="5"/>
  <c r="D86" i="5"/>
  <c r="I65" i="5"/>
  <c r="G65" i="5"/>
  <c r="F65" i="5"/>
  <c r="C65" i="5"/>
  <c r="D65" i="5"/>
  <c r="H84" i="5"/>
  <c r="I84" i="5"/>
  <c r="D84" i="5"/>
  <c r="C84" i="5"/>
  <c r="I64" i="5"/>
  <c r="H64" i="5"/>
  <c r="E86" i="5"/>
  <c r="F86" i="5"/>
  <c r="G34" i="5"/>
  <c r="G64" i="5" s="1"/>
  <c r="G28" i="5"/>
  <c r="D83" i="5"/>
  <c r="C34" i="5"/>
  <c r="C28" i="5"/>
  <c r="C74" i="5"/>
  <c r="G86" i="5"/>
  <c r="F82" i="5"/>
  <c r="H70" i="5"/>
  <c r="I70" i="5"/>
  <c r="C86" i="5"/>
  <c r="D28" i="7"/>
  <c r="D58" i="7" s="1"/>
  <c r="D88" i="7" s="1"/>
  <c r="H80" i="5"/>
  <c r="I80" i="5"/>
  <c r="C80" i="5"/>
  <c r="D80" i="5"/>
  <c r="F80" i="5"/>
  <c r="G80" i="5"/>
  <c r="E80" i="5"/>
  <c r="G28" i="7"/>
  <c r="G58" i="7" s="1"/>
  <c r="G88" i="7" s="1"/>
  <c r="C67" i="5"/>
  <c r="F41" i="5"/>
  <c r="F28" i="5"/>
  <c r="E41" i="5"/>
  <c r="E28" i="5"/>
  <c r="D46" i="5"/>
  <c r="D76" i="5" s="1"/>
  <c r="D28" i="5"/>
  <c r="B28" i="11"/>
  <c r="B58" i="11" s="1"/>
  <c r="B28" i="5"/>
  <c r="E70" i="15" l="1"/>
  <c r="F68" i="15"/>
  <c r="G71" i="15"/>
  <c r="E71" i="15"/>
  <c r="G70" i="15"/>
  <c r="D68" i="15"/>
  <c r="D64" i="5"/>
  <c r="G77" i="15"/>
  <c r="G76" i="15"/>
  <c r="E64" i="15"/>
  <c r="F64" i="5"/>
  <c r="G68" i="15"/>
  <c r="D71" i="5"/>
  <c r="D68" i="5"/>
  <c r="G68" i="5"/>
  <c r="E72" i="15"/>
  <c r="C64" i="5"/>
  <c r="H65" i="5"/>
  <c r="H72" i="15"/>
  <c r="E76" i="15"/>
  <c r="G72" i="15"/>
  <c r="F77" i="15"/>
  <c r="C77" i="15"/>
  <c r="B16" i="12"/>
  <c r="D16" i="12" s="1"/>
  <c r="I77" i="15"/>
  <c r="B11" i="12"/>
  <c r="D11" i="12" s="1"/>
  <c r="C72" i="15"/>
  <c r="I72" i="15"/>
  <c r="B23" i="12"/>
  <c r="D23" i="12" s="1"/>
  <c r="C84" i="15"/>
  <c r="B15" i="12"/>
  <c r="D15" i="12" s="1"/>
  <c r="C76" i="15"/>
  <c r="I76" i="15"/>
  <c r="B9" i="12"/>
  <c r="D9" i="12" s="1"/>
  <c r="C70" i="15"/>
  <c r="H70" i="15"/>
  <c r="H64" i="15"/>
  <c r="D76" i="15"/>
  <c r="F70" i="15"/>
  <c r="D67" i="5"/>
  <c r="D72" i="15"/>
  <c r="G76" i="5"/>
  <c r="C75" i="15"/>
  <c r="B14" i="12"/>
  <c r="D14" i="12" s="1"/>
  <c r="I75" i="15"/>
  <c r="E75" i="15"/>
  <c r="F75" i="15"/>
  <c r="H75" i="15"/>
  <c r="D75" i="15"/>
  <c r="G75" i="15"/>
  <c r="C74" i="15"/>
  <c r="B13" i="12"/>
  <c r="D13" i="12" s="1"/>
  <c r="H77" i="15"/>
  <c r="F71" i="15"/>
  <c r="B25" i="12"/>
  <c r="D25" i="12" s="1"/>
  <c r="C86" i="15"/>
  <c r="F72" i="15"/>
  <c r="E86" i="15"/>
  <c r="F76" i="15"/>
  <c r="B10" i="12"/>
  <c r="D10" i="12" s="1"/>
  <c r="C71" i="15"/>
  <c r="I71" i="15"/>
  <c r="C65" i="15"/>
  <c r="B4" i="12"/>
  <c r="D4" i="12" s="1"/>
  <c r="D65" i="15"/>
  <c r="F65" i="15"/>
  <c r="G65" i="15"/>
  <c r="E65" i="15"/>
  <c r="H65" i="15"/>
  <c r="C82" i="15"/>
  <c r="B21" i="12"/>
  <c r="D21" i="12" s="1"/>
  <c r="E82" i="15"/>
  <c r="G82" i="15"/>
  <c r="F82" i="15"/>
  <c r="B3" i="12"/>
  <c r="D3" i="12" s="1"/>
  <c r="C64" i="15"/>
  <c r="I64" i="15"/>
  <c r="E68" i="15"/>
  <c r="D77" i="15"/>
  <c r="H76" i="15"/>
  <c r="G64" i="15"/>
  <c r="C83" i="15"/>
  <c r="B22" i="12"/>
  <c r="D22" i="12" s="1"/>
  <c r="E83" i="15"/>
  <c r="G83" i="15"/>
  <c r="H83" i="15"/>
  <c r="F83" i="15"/>
  <c r="D83" i="15"/>
  <c r="C67" i="15"/>
  <c r="B6" i="12"/>
  <c r="D6" i="12" s="1"/>
  <c r="B7" i="12"/>
  <c r="D7" i="12" s="1"/>
  <c r="C68" i="15"/>
  <c r="I68" i="15"/>
  <c r="C66" i="15"/>
  <c r="B5" i="12"/>
  <c r="D5" i="12" s="1"/>
  <c r="B19" i="12"/>
  <c r="D19" i="12" s="1"/>
  <c r="C80" i="15"/>
  <c r="I80" i="15"/>
  <c r="G80" i="15"/>
  <c r="F80" i="15"/>
  <c r="H80" i="15"/>
  <c r="G86" i="15"/>
  <c r="H68" i="15"/>
  <c r="H71" i="15"/>
  <c r="F64" i="15"/>
  <c r="D70" i="15"/>
  <c r="F86" i="15"/>
  <c r="I72" i="5"/>
  <c r="F76" i="5"/>
  <c r="D74" i="5"/>
  <c r="E83" i="5"/>
  <c r="F67" i="5"/>
  <c r="D72" i="5"/>
  <c r="C72" i="5"/>
  <c r="E67" i="5"/>
  <c r="F74" i="5"/>
  <c r="F83" i="5"/>
  <c r="I74" i="5"/>
  <c r="G83" i="5"/>
  <c r="H76" i="5"/>
  <c r="G67" i="5"/>
  <c r="E76" i="5"/>
  <c r="C83" i="5"/>
  <c r="C76" i="5"/>
  <c r="G74" i="5"/>
  <c r="H74" i="5"/>
  <c r="I83" i="5"/>
  <c r="I76" i="5"/>
  <c r="E72" i="5"/>
  <c r="E84" i="5"/>
  <c r="F84" i="5"/>
  <c r="C70" i="5"/>
  <c r="G70" i="5"/>
  <c r="F63" i="5"/>
  <c r="E63" i="5"/>
  <c r="C63" i="5"/>
  <c r="G63" i="5"/>
  <c r="D63" i="5"/>
  <c r="H63" i="5"/>
  <c r="C58" i="5"/>
  <c r="C58" i="15"/>
  <c r="E71" i="5"/>
  <c r="B58" i="5"/>
  <c r="B58" i="15"/>
  <c r="F68" i="5"/>
  <c r="C71" i="5"/>
  <c r="D58" i="5"/>
  <c r="D58" i="15"/>
  <c r="C82" i="5"/>
  <c r="I68" i="5"/>
  <c r="H71" i="5"/>
  <c r="G82" i="5"/>
  <c r="E68" i="5"/>
  <c r="F72" i="5"/>
  <c r="E58" i="5"/>
  <c r="E58" i="15"/>
  <c r="D82" i="5"/>
  <c r="G58" i="5"/>
  <c r="G58" i="15"/>
  <c r="G71" i="5"/>
  <c r="C68" i="5"/>
  <c r="E82" i="5"/>
  <c r="F58" i="5"/>
  <c r="F58" i="15"/>
  <c r="H82" i="5"/>
  <c r="G72" i="5"/>
  <c r="F71" i="5"/>
  <c r="G87" i="11"/>
  <c r="D87" i="11"/>
  <c r="I87" i="11"/>
  <c r="H87" i="11"/>
  <c r="F87" i="11"/>
  <c r="E87" i="11"/>
  <c r="B13" i="6"/>
  <c r="B5" i="6"/>
  <c r="B2" i="6"/>
  <c r="B16" i="6"/>
  <c r="B23" i="6"/>
  <c r="B21" i="6"/>
  <c r="B4" i="6"/>
  <c r="B7" i="6"/>
  <c r="B10" i="6"/>
  <c r="B11" i="6"/>
  <c r="B14" i="6"/>
  <c r="B25" i="6"/>
  <c r="B6" i="6"/>
  <c r="B22" i="6"/>
  <c r="B9" i="6"/>
  <c r="B3" i="6"/>
  <c r="B19" i="6"/>
  <c r="B15" i="6"/>
  <c r="G88" i="5" l="1"/>
  <c r="H88" i="5"/>
  <c r="I88" i="5"/>
  <c r="D88" i="5"/>
  <c r="F88" i="5"/>
  <c r="E88" i="5"/>
  <c r="C88" i="5"/>
</calcChain>
</file>

<file path=xl/sharedStrings.xml><?xml version="1.0" encoding="utf-8"?>
<sst xmlns="http://schemas.openxmlformats.org/spreadsheetml/2006/main" count="5021" uniqueCount="467">
  <si>
    <t>建材</t>
    <phoneticPr fontId="1" type="noConversion"/>
  </si>
  <si>
    <t>钢铁</t>
    <phoneticPr fontId="1" type="noConversion"/>
  </si>
  <si>
    <t>化工</t>
    <phoneticPr fontId="1" type="noConversion"/>
  </si>
  <si>
    <t>电力、热力生产</t>
    <phoneticPr fontId="1" type="noConversion"/>
  </si>
  <si>
    <t>石化</t>
    <phoneticPr fontId="1" type="noConversion"/>
  </si>
  <si>
    <t>燃气生产和供应业</t>
    <phoneticPr fontId="1" type="noConversion"/>
  </si>
  <si>
    <t>煤炭开采</t>
    <phoneticPr fontId="1" type="noConversion"/>
  </si>
  <si>
    <t>智慧能源管控系统</t>
    <phoneticPr fontId="1" type="noConversion"/>
  </si>
  <si>
    <t>余热余压利用</t>
    <phoneticPr fontId="1" type="noConversion"/>
  </si>
  <si>
    <t>有色金属</t>
    <phoneticPr fontId="1" type="noConversion"/>
  </si>
  <si>
    <t>重点用能设备及系统节能</t>
    <phoneticPr fontId="1" type="noConversion"/>
  </si>
  <si>
    <t>适用范围</t>
    <phoneticPr fontId="1" type="noConversion"/>
  </si>
  <si>
    <t>流程工业节能</t>
    <phoneticPr fontId="1" type="noConversion"/>
  </si>
  <si>
    <t>工业循环水</t>
    <phoneticPr fontId="1" type="noConversion"/>
  </si>
  <si>
    <t>油气开采</t>
    <phoneticPr fontId="1" type="noConversion"/>
  </si>
  <si>
    <t>造纸</t>
    <phoneticPr fontId="1" type="noConversion"/>
  </si>
  <si>
    <t>能源信息化</t>
    <phoneticPr fontId="1" type="noConversion"/>
  </si>
  <si>
    <t>能源系统</t>
    <phoneticPr fontId="1" type="noConversion"/>
  </si>
  <si>
    <t>空调系统</t>
    <phoneticPr fontId="1" type="noConversion"/>
  </si>
  <si>
    <t>户外照明</t>
    <phoneticPr fontId="1" type="noConversion"/>
  </si>
  <si>
    <t>风机系统</t>
    <phoneticPr fontId="1" type="noConversion"/>
  </si>
  <si>
    <t>热泵系统</t>
    <phoneticPr fontId="1" type="noConversion"/>
  </si>
  <si>
    <t>汽轮机</t>
    <phoneticPr fontId="1" type="noConversion"/>
  </si>
  <si>
    <t>船舶内燃机</t>
    <phoneticPr fontId="1" type="noConversion"/>
  </si>
  <si>
    <t>冷却塔</t>
    <phoneticPr fontId="1" type="noConversion"/>
  </si>
  <si>
    <t>化石能源清洁高效利用</t>
    <phoneticPr fontId="1" type="noConversion"/>
  </si>
  <si>
    <t>可再生能源高效利用</t>
    <phoneticPr fontId="1" type="noConversion"/>
  </si>
  <si>
    <t>&lt;5%</t>
  </si>
  <si>
    <t>&lt;1%</t>
  </si>
  <si>
    <t>节能技术适用范围</t>
    <phoneticPr fontId="1" type="noConversion"/>
  </si>
  <si>
    <t>EPS行业</t>
    <phoneticPr fontId="1" type="noConversion"/>
  </si>
  <si>
    <t>节能技术类型</t>
    <phoneticPr fontId="1" type="noConversion"/>
  </si>
  <si>
    <t>EPS政策</t>
    <phoneticPr fontId="1" type="noConversion"/>
  </si>
  <si>
    <t>Unit:BTU</t>
  </si>
  <si>
    <t>agriculture and forestry 01T03</t>
  </si>
  <si>
    <t>coal mining 05</t>
  </si>
  <si>
    <t>oil and gas extraction 06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</si>
  <si>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</si>
  <si>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</si>
  <si>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</si>
  <si>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</si>
  <si>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</si>
  <si>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</si>
  <si>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</si>
  <si>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</si>
  <si>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</si>
  <si>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</si>
  <si>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</si>
  <si>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</si>
  <si>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</si>
  <si>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</si>
  <si>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</si>
  <si>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</si>
  <si>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</si>
  <si>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</si>
  <si>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construction 41T43</t>
  </si>
  <si>
    <t>cement and other nonmetallic minerals 239</t>
    <phoneticPr fontId="1" type="noConversion"/>
  </si>
  <si>
    <t>工业锅炉</t>
    <phoneticPr fontId="1" type="noConversion"/>
  </si>
  <si>
    <t>重点用能设备</t>
    <phoneticPr fontId="1" type="noConversion"/>
  </si>
  <si>
    <t>纺织</t>
    <phoneticPr fontId="1" type="noConversion"/>
  </si>
  <si>
    <t>食品</t>
    <phoneticPr fontId="1" type="noConversion"/>
  </si>
  <si>
    <t>微型燃气轮机</t>
    <phoneticPr fontId="1" type="noConversion"/>
  </si>
  <si>
    <t>压缩空气系统</t>
    <phoneticPr fontId="1" type="noConversion"/>
  </si>
  <si>
    <t>电动机系统</t>
    <phoneticPr fontId="1" type="noConversion"/>
  </si>
  <si>
    <r>
      <t>EPS</t>
    </r>
    <r>
      <rPr>
        <b/>
        <sz val="11"/>
        <color theme="1"/>
        <rFont val="宋体"/>
        <family val="3"/>
        <charset val="134"/>
      </rPr>
      <t>行业</t>
    </r>
    <phoneticPr fontId="1" type="noConversion"/>
  </si>
  <si>
    <t>全部行业</t>
    <phoneticPr fontId="1" type="noConversion"/>
  </si>
  <si>
    <t>不计入工业</t>
    <phoneticPr fontId="1" type="noConversion"/>
  </si>
  <si>
    <t>oil and gas extraction 06</t>
    <phoneticPr fontId="1" type="noConversion"/>
  </si>
  <si>
    <t>pulp paper and printing 17T18</t>
    <phoneticPr fontId="1" type="noConversion"/>
  </si>
  <si>
    <t>船舶</t>
    <phoneticPr fontId="1" type="noConversion"/>
  </si>
  <si>
    <t>Bldgs</t>
    <phoneticPr fontId="1" type="noConversion"/>
  </si>
  <si>
    <t>nonroad vehicles 30</t>
    <phoneticPr fontId="1" type="noConversion"/>
  </si>
  <si>
    <t>textiles apparel and leather 13T15</t>
    <phoneticPr fontId="1" type="noConversion"/>
  </si>
  <si>
    <t>bldgs</t>
    <phoneticPr fontId="1" type="noConversion"/>
  </si>
  <si>
    <t>trans</t>
    <phoneticPr fontId="1" type="noConversion"/>
  </si>
  <si>
    <t>废弃物处理</t>
    <phoneticPr fontId="1" type="noConversion"/>
  </si>
  <si>
    <t>energy pipelines and gas processing 352T353</t>
    <phoneticPr fontId="1" type="noConversion"/>
  </si>
  <si>
    <t>轨道交通</t>
    <phoneticPr fontId="1" type="noConversion"/>
  </si>
  <si>
    <t>工业炉窑</t>
    <phoneticPr fontId="1" type="noConversion"/>
  </si>
  <si>
    <t>汽车制造</t>
    <phoneticPr fontId="1" type="noConversion"/>
  </si>
  <si>
    <t>非道路交通制造</t>
    <phoneticPr fontId="1" type="noConversion"/>
  </si>
  <si>
    <t>road vehicles 29</t>
    <phoneticPr fontId="1" type="noConversion"/>
  </si>
  <si>
    <t>除尘器</t>
    <phoneticPr fontId="1" type="noConversion"/>
  </si>
  <si>
    <t>water and waste 36T39</t>
    <phoneticPr fontId="1" type="noConversion"/>
  </si>
  <si>
    <t>机械行业</t>
  </si>
  <si>
    <t>机械行业</t>
    <phoneticPr fontId="1" type="noConversion"/>
  </si>
  <si>
    <t>通用设备</t>
    <phoneticPr fontId="1" type="noConversion"/>
  </si>
  <si>
    <t>专用设备</t>
    <phoneticPr fontId="1" type="noConversion"/>
  </si>
  <si>
    <t>仪器仪表</t>
    <phoneticPr fontId="1" type="noConversion"/>
  </si>
  <si>
    <t>电气机械</t>
    <phoneticPr fontId="1" type="noConversion"/>
  </si>
  <si>
    <t>电子设备</t>
    <phoneticPr fontId="1" type="noConversion"/>
  </si>
  <si>
    <t>glass and glass products 231</t>
    <phoneticPr fontId="1" type="noConversion"/>
  </si>
  <si>
    <t>other manufacturing 31T33</t>
    <phoneticPr fontId="1" type="noConversion"/>
  </si>
  <si>
    <t>computers and electronics 27</t>
    <phoneticPr fontId="1" type="noConversion"/>
  </si>
  <si>
    <t>computers and electronics 26</t>
    <phoneticPr fontId="1" type="noConversion"/>
  </si>
  <si>
    <t>appliances and electrical equipment 27</t>
    <phoneticPr fontId="1" type="noConversion"/>
  </si>
  <si>
    <t>工业水泵</t>
    <phoneticPr fontId="1" type="noConversion"/>
  </si>
  <si>
    <t>农业</t>
    <phoneticPr fontId="1" type="noConversion"/>
  </si>
  <si>
    <t>其他采矿</t>
    <phoneticPr fontId="1" type="noConversion"/>
  </si>
  <si>
    <t>agriculture and forestry 01T03</t>
    <phoneticPr fontId="1" type="noConversion"/>
  </si>
  <si>
    <t>other mining and quarrying 07T08</t>
    <phoneticPr fontId="1" type="noConversion"/>
  </si>
  <si>
    <t>food beverage and tobacco 10T12</t>
    <phoneticPr fontId="1" type="noConversion"/>
  </si>
  <si>
    <t>Cogeneration and Waste Heat Recovery</t>
    <phoneticPr fontId="1" type="noConversion"/>
  </si>
  <si>
    <t>Early Facility Retirement</t>
    <phoneticPr fontId="1" type="noConversion"/>
  </si>
  <si>
    <t>Installation and System Integration</t>
    <phoneticPr fontId="1" type="noConversion"/>
  </si>
  <si>
    <t>Improvement in Eqpt Efficiency Standards</t>
    <phoneticPr fontId="1" type="noConversion"/>
  </si>
  <si>
    <r>
      <rPr>
        <b/>
        <sz val="11"/>
        <color theme="1"/>
        <rFont val="宋体"/>
        <family val="3"/>
        <charset val="134"/>
      </rPr>
      <t>发布时间</t>
    </r>
    <phoneticPr fontId="1" type="noConversion"/>
  </si>
  <si>
    <r>
      <rPr>
        <b/>
        <sz val="11"/>
        <color theme="1"/>
        <rFont val="宋体"/>
        <family val="3"/>
        <charset val="134"/>
      </rPr>
      <t>技术名称</t>
    </r>
    <phoneticPr fontId="1" type="noConversion"/>
  </si>
  <si>
    <r>
      <rPr>
        <b/>
        <sz val="11"/>
        <color theme="1"/>
        <rFont val="宋体"/>
        <family val="3"/>
        <charset val="134"/>
      </rPr>
      <t>适用范围</t>
    </r>
    <phoneticPr fontId="1" type="noConversion"/>
  </si>
  <si>
    <r>
      <rPr>
        <b/>
        <sz val="11"/>
        <color theme="1"/>
        <rFont val="宋体"/>
        <family val="3"/>
        <charset val="134"/>
      </rPr>
      <t>技术类型</t>
    </r>
    <phoneticPr fontId="1" type="noConversion"/>
  </si>
  <si>
    <r>
      <t>EPS</t>
    </r>
    <r>
      <rPr>
        <b/>
        <sz val="11"/>
        <color theme="1"/>
        <rFont val="宋体"/>
        <family val="3"/>
        <charset val="134"/>
      </rPr>
      <t>政策</t>
    </r>
    <phoneticPr fontId="1" type="noConversion"/>
  </si>
  <si>
    <r>
      <rPr>
        <sz val="11"/>
        <color theme="1"/>
        <rFont val="宋体"/>
        <family val="3"/>
        <charset val="134"/>
      </rPr>
      <t>外循环生料立磨技术</t>
    </r>
  </si>
  <si>
    <r>
      <rPr>
        <sz val="11"/>
        <color theme="1"/>
        <rFont val="宋体"/>
        <family val="3"/>
        <charset val="134"/>
      </rPr>
      <t>建材</t>
    </r>
    <phoneticPr fontId="1" type="noConversion"/>
  </si>
  <si>
    <r>
      <rPr>
        <sz val="11"/>
        <color theme="1"/>
        <rFont val="宋体"/>
        <family val="3"/>
        <charset val="134"/>
      </rPr>
      <t>流程工业节能</t>
    </r>
    <phoneticPr fontId="1" type="noConversion"/>
  </si>
  <si>
    <r>
      <rPr>
        <sz val="11"/>
        <color theme="1"/>
        <rFont val="宋体"/>
        <family val="3"/>
        <charset val="134"/>
      </rPr>
      <t>钢渣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矿渣辊压机终粉磨系统</t>
    </r>
  </si>
  <si>
    <r>
      <rPr>
        <sz val="11"/>
        <color theme="1"/>
        <rFont val="宋体"/>
        <family val="3"/>
        <charset val="134"/>
      </rPr>
      <t>陶瓷原料连续制浆系统</t>
    </r>
  </si>
  <si>
    <r>
      <rPr>
        <sz val="11"/>
        <color theme="1"/>
        <rFont val="宋体"/>
        <family val="3"/>
        <charset val="134"/>
      </rPr>
      <t>带中段辊破的列进式冷却机</t>
    </r>
  </si>
  <si>
    <r>
      <rPr>
        <sz val="11"/>
        <color theme="1"/>
        <rFont val="宋体"/>
        <family val="3"/>
        <charset val="134"/>
      </rPr>
      <t>卧式玻璃直线四边砂轮式磨边技术</t>
    </r>
  </si>
  <si>
    <r>
      <rPr>
        <sz val="11"/>
        <color theme="1"/>
        <rFont val="宋体"/>
        <family val="3"/>
        <charset val="134"/>
      </rPr>
      <t>宽粒级磁铁矿湿式弱磁预选分级磨矿技术</t>
    </r>
  </si>
  <si>
    <r>
      <rPr>
        <sz val="11"/>
        <color theme="1"/>
        <rFont val="宋体"/>
        <family val="3"/>
        <charset val="134"/>
      </rPr>
      <t>钢铁</t>
    </r>
    <phoneticPr fontId="1" type="noConversion"/>
  </si>
  <si>
    <r>
      <rPr>
        <sz val="11"/>
        <color theme="1"/>
        <rFont val="宋体"/>
        <family val="3"/>
        <charset val="134"/>
      </rPr>
      <t>新型水泥熟料冷却技术及装备</t>
    </r>
  </si>
  <si>
    <r>
      <rPr>
        <sz val="11"/>
        <color theme="1"/>
        <rFont val="宋体"/>
        <family val="3"/>
        <charset val="134"/>
      </rPr>
      <t>高能效长寿化双膛立式石灰窑装备及控制技术</t>
    </r>
  </si>
  <si>
    <r>
      <rPr>
        <sz val="11"/>
        <color theme="1"/>
        <rFont val="宋体"/>
        <family val="3"/>
        <charset val="134"/>
      </rPr>
      <t>机械磨损陶瓷合金自动修复技术</t>
    </r>
  </si>
  <si>
    <r>
      <rPr>
        <sz val="11"/>
        <color theme="1"/>
        <rFont val="宋体"/>
        <family val="3"/>
        <charset val="134"/>
      </rPr>
      <t>焦炉加热优化控制及管理技术</t>
    </r>
  </si>
  <si>
    <r>
      <rPr>
        <sz val="11"/>
        <color theme="1"/>
        <rFont val="宋体"/>
        <family val="3"/>
        <charset val="134"/>
      </rPr>
      <t>升膜多效蒸发技术</t>
    </r>
  </si>
  <si>
    <r>
      <rPr>
        <sz val="11"/>
        <color theme="1"/>
        <rFont val="宋体"/>
        <family val="3"/>
        <charset val="134"/>
      </rPr>
      <t>化工</t>
    </r>
    <phoneticPr fontId="1" type="noConversion"/>
  </si>
  <si>
    <r>
      <rPr>
        <sz val="11"/>
        <color theme="1"/>
        <rFont val="宋体"/>
        <family val="3"/>
        <charset val="134"/>
      </rPr>
      <t>利用高热值危险废弃物替代水泥窑燃料综合技术</t>
    </r>
  </si>
  <si>
    <r>
      <rPr>
        <sz val="11"/>
        <color theme="1"/>
        <rFont val="宋体"/>
        <family val="3"/>
        <charset val="134"/>
      </rPr>
      <t>钢渣立磨终粉磨技术</t>
    </r>
  </si>
  <si>
    <r>
      <rPr>
        <sz val="11"/>
        <color theme="1"/>
        <rFont val="宋体"/>
        <family val="3"/>
        <charset val="134"/>
      </rPr>
      <t>建材</t>
    </r>
    <r>
      <rPr>
        <sz val="11"/>
        <color theme="1"/>
        <rFont val="Times New Roman"/>
        <family val="1"/>
      </rPr>
      <t>\</t>
    </r>
    <r>
      <rPr>
        <sz val="11"/>
        <color theme="1"/>
        <rFont val="宋体"/>
        <family val="3"/>
        <charset val="134"/>
      </rPr>
      <t>钢铁</t>
    </r>
    <phoneticPr fontId="1" type="noConversion"/>
  </si>
  <si>
    <r>
      <rPr>
        <sz val="11"/>
        <color theme="1"/>
        <rFont val="宋体"/>
        <family val="3"/>
        <charset val="134"/>
      </rPr>
      <t>炉窑烟气节能降耗一体化技术</t>
    </r>
  </si>
  <si>
    <r>
      <rPr>
        <sz val="11"/>
        <color theme="1"/>
        <rFont val="宋体"/>
        <family val="3"/>
        <charset val="134"/>
      </rPr>
      <t>工业锅炉</t>
    </r>
    <phoneticPr fontId="1" type="noConversion"/>
  </si>
  <si>
    <r>
      <rPr>
        <sz val="11"/>
        <color theme="1"/>
        <rFont val="宋体"/>
        <family val="3"/>
        <charset val="134"/>
      </rPr>
      <t>低导热多层复合莫来石砖</t>
    </r>
  </si>
  <si>
    <r>
      <rPr>
        <sz val="11"/>
        <color theme="1"/>
        <rFont val="宋体"/>
        <family val="3"/>
        <charset val="134"/>
      </rPr>
      <t>大型清洁高效水煤浆气化技术</t>
    </r>
  </si>
  <si>
    <r>
      <rPr>
        <sz val="11"/>
        <color theme="1"/>
        <rFont val="宋体"/>
        <family val="3"/>
        <charset val="134"/>
      </rPr>
      <t>铜冶炼领域汽电双驱同轴压缩机组</t>
    </r>
    <r>
      <rPr>
        <sz val="11"/>
        <color theme="1"/>
        <rFont val="Times New Roman"/>
        <family val="1"/>
      </rPr>
      <t>(MCRT)</t>
    </r>
    <r>
      <rPr>
        <sz val="11"/>
        <color theme="1"/>
        <rFont val="宋体"/>
        <family val="3"/>
        <charset val="134"/>
      </rPr>
      <t>技术</t>
    </r>
  </si>
  <si>
    <r>
      <rPr>
        <sz val="11"/>
        <color theme="1"/>
        <rFont val="宋体"/>
        <family val="3"/>
        <charset val="134"/>
      </rPr>
      <t>有色金属</t>
    </r>
    <phoneticPr fontId="1" type="noConversion"/>
  </si>
  <si>
    <r>
      <rPr>
        <sz val="11"/>
        <color theme="1"/>
        <rFont val="宋体"/>
        <family val="3"/>
        <charset val="134"/>
      </rPr>
      <t>汽轮驱动高炉鼓风机与电动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发电机同轴机组技术</t>
    </r>
  </si>
  <si>
    <r>
      <rPr>
        <sz val="11"/>
        <color theme="1"/>
        <rFont val="宋体"/>
        <family val="3"/>
        <charset val="134"/>
      </rPr>
      <t>锅炉烟气深度冷却技术</t>
    </r>
  </si>
  <si>
    <r>
      <rPr>
        <sz val="11"/>
        <color theme="1"/>
        <rFont val="宋体"/>
        <family val="3"/>
        <charset val="134"/>
      </rPr>
      <t>余热余压利用</t>
    </r>
    <phoneticPr fontId="1" type="noConversion"/>
  </si>
  <si>
    <r>
      <rPr>
        <sz val="11"/>
        <color theme="1"/>
        <rFont val="宋体"/>
        <family val="3"/>
        <charset val="134"/>
      </rPr>
      <t>工业循环水余压能量闭环回收利用技术</t>
    </r>
  </si>
  <si>
    <r>
      <rPr>
        <sz val="11"/>
        <color theme="1"/>
        <rFont val="宋体"/>
        <family val="3"/>
        <charset val="134"/>
      </rPr>
      <t>工业循环水</t>
    </r>
    <phoneticPr fontId="1" type="noConversion"/>
  </si>
  <si>
    <r>
      <rPr>
        <sz val="11"/>
        <color theme="1"/>
        <rFont val="宋体"/>
        <family val="3"/>
        <charset val="134"/>
      </rPr>
      <t>微型燃气轮机能源梯级利用节能技术</t>
    </r>
  </si>
  <si>
    <r>
      <rPr>
        <sz val="11"/>
        <color theme="1"/>
        <rFont val="宋体"/>
        <family val="3"/>
        <charset val="134"/>
      </rPr>
      <t>微型燃气轮机</t>
    </r>
    <phoneticPr fontId="1" type="noConversion"/>
  </si>
  <si>
    <r>
      <rPr>
        <sz val="11"/>
        <color theme="1"/>
        <rFont val="宋体"/>
        <family val="3"/>
        <charset val="134"/>
      </rPr>
      <t>工业燃煤机组烟气低品位余热回收利用技术</t>
    </r>
  </si>
  <si>
    <r>
      <rPr>
        <sz val="11"/>
        <color theme="1"/>
        <rFont val="宋体"/>
        <family val="3"/>
        <charset val="134"/>
      </rPr>
      <t>电力、热力生产</t>
    </r>
    <phoneticPr fontId="1" type="noConversion"/>
  </si>
  <si>
    <r>
      <rPr>
        <sz val="11"/>
        <color theme="1"/>
        <rFont val="宋体"/>
        <family val="3"/>
        <charset val="134"/>
      </rPr>
      <t>电厂用低压驱动热泵技术</t>
    </r>
  </si>
  <si>
    <r>
      <rPr>
        <sz val="11"/>
        <color theme="1"/>
        <rFont val="宋体"/>
        <family val="3"/>
        <charset val="134"/>
      </rPr>
      <t>旋转电磁制热技术</t>
    </r>
  </si>
  <si>
    <r>
      <rPr>
        <sz val="11"/>
        <color theme="1"/>
        <rFont val="宋体"/>
        <family val="3"/>
        <charset val="134"/>
      </rPr>
      <t>重点用能设备及系统节能</t>
    </r>
    <phoneticPr fontId="1" type="noConversion"/>
  </si>
  <si>
    <r>
      <rPr>
        <sz val="11"/>
        <color theme="1"/>
        <rFont val="宋体"/>
        <family val="3"/>
        <charset val="134"/>
      </rPr>
      <t>多模式节能型低露点干燥技术</t>
    </r>
  </si>
  <si>
    <r>
      <rPr>
        <sz val="11"/>
        <color theme="1"/>
        <rFont val="宋体"/>
        <family val="3"/>
        <charset val="134"/>
      </rPr>
      <t>压缩空气系统</t>
    </r>
    <phoneticPr fontId="1" type="noConversion"/>
  </si>
  <si>
    <r>
      <rPr>
        <sz val="11"/>
        <color theme="1"/>
        <rFont val="宋体"/>
        <family val="3"/>
        <charset val="134"/>
      </rPr>
      <t>异步电机永磁化改造技术</t>
    </r>
  </si>
  <si>
    <r>
      <rPr>
        <sz val="11"/>
        <color theme="1"/>
        <rFont val="宋体"/>
        <family val="3"/>
        <charset val="134"/>
      </rPr>
      <t>电动机系统</t>
    </r>
    <phoneticPr fontId="1" type="noConversion"/>
  </si>
  <si>
    <r>
      <rPr>
        <sz val="11"/>
        <color theme="1"/>
        <rFont val="宋体"/>
        <family val="3"/>
        <charset val="134"/>
      </rPr>
      <t>特制电机技术</t>
    </r>
  </si>
  <si>
    <r>
      <rPr>
        <sz val="11"/>
        <color theme="1"/>
        <rFont val="宋体"/>
        <family val="3"/>
        <charset val="134"/>
      </rPr>
      <t>中央空调热水锅炉</t>
    </r>
  </si>
  <si>
    <r>
      <rPr>
        <sz val="11"/>
        <color theme="1"/>
        <rFont val="宋体"/>
        <family val="3"/>
        <charset val="134"/>
      </rPr>
      <t>空调系统</t>
    </r>
    <phoneticPr fontId="1" type="noConversion"/>
  </si>
  <si>
    <r>
      <rPr>
        <sz val="11"/>
        <color theme="1"/>
        <rFont val="宋体"/>
        <family val="3"/>
        <charset val="134"/>
      </rPr>
      <t>电缸驱动游梁式抽油机技术</t>
    </r>
  </si>
  <si>
    <r>
      <rPr>
        <sz val="11"/>
        <color theme="1"/>
        <rFont val="宋体"/>
        <family val="3"/>
        <charset val="134"/>
      </rPr>
      <t>油气开采</t>
    </r>
    <phoneticPr fontId="1" type="noConversion"/>
  </si>
  <si>
    <r>
      <rPr>
        <sz val="11"/>
        <color theme="1"/>
        <rFont val="宋体"/>
        <family val="3"/>
        <charset val="134"/>
      </rPr>
      <t>智能磁悬浮透平真空泵综合节能技术</t>
    </r>
  </si>
  <si>
    <r>
      <rPr>
        <sz val="11"/>
        <color theme="1"/>
        <rFont val="宋体"/>
        <family val="3"/>
        <charset val="134"/>
      </rPr>
      <t>造纸</t>
    </r>
    <phoneticPr fontId="1" type="noConversion"/>
  </si>
  <si>
    <r>
      <rPr>
        <sz val="11"/>
        <color theme="1"/>
        <rFont val="宋体"/>
        <family val="3"/>
        <charset val="134"/>
      </rPr>
      <t>超大型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段蓄热式高速燃烧技术</t>
    </r>
  </si>
  <si>
    <r>
      <rPr>
        <sz val="11"/>
        <color theme="1"/>
        <rFont val="宋体"/>
        <family val="3"/>
        <charset val="134"/>
      </rPr>
      <t>卧式油冷型永磁调速器技术</t>
    </r>
  </si>
  <si>
    <r>
      <rPr>
        <sz val="11"/>
        <color theme="1"/>
        <rFont val="宋体"/>
        <family val="3"/>
        <charset val="134"/>
      </rPr>
      <t>电极锅炉设计技术开发及制造</t>
    </r>
  </si>
  <si>
    <r>
      <rPr>
        <sz val="11"/>
        <color theme="1"/>
        <rFont val="宋体"/>
        <family val="3"/>
        <charset val="134"/>
      </rPr>
      <t>汽轮机变工况运行改造节能技术</t>
    </r>
  </si>
  <si>
    <r>
      <rPr>
        <sz val="11"/>
        <color theme="1"/>
        <rFont val="宋体"/>
        <family val="3"/>
        <charset val="134"/>
      </rPr>
      <t>循环水系统节能技术</t>
    </r>
  </si>
  <si>
    <r>
      <rPr>
        <sz val="11"/>
        <color theme="1"/>
        <rFont val="宋体"/>
        <family val="3"/>
        <charset val="134"/>
      </rPr>
      <t>燃煤锅炉智能调载趋零积灰趋零结露深度节能技术</t>
    </r>
  </si>
  <si>
    <r>
      <rPr>
        <sz val="11"/>
        <color theme="1"/>
        <rFont val="宋体"/>
        <family val="3"/>
        <charset val="134"/>
      </rPr>
      <t>低温空气源热泵供热技术</t>
    </r>
  </si>
  <si>
    <r>
      <rPr>
        <sz val="11"/>
        <color theme="1"/>
        <rFont val="宋体"/>
        <family val="3"/>
        <charset val="134"/>
      </rPr>
      <t>园区型新能源微电网节能技术</t>
    </r>
  </si>
  <si>
    <r>
      <rPr>
        <sz val="11"/>
        <color theme="1"/>
        <rFont val="宋体"/>
        <family val="3"/>
        <charset val="134"/>
      </rPr>
      <t>能源信息化</t>
    </r>
    <phoneticPr fontId="1" type="noConversion"/>
  </si>
  <si>
    <r>
      <rPr>
        <sz val="11"/>
        <color theme="1"/>
        <rFont val="宋体"/>
        <family val="3"/>
        <charset val="134"/>
      </rPr>
      <t>基于大数据的船舶企业智慧能源管控信息系统</t>
    </r>
  </si>
  <si>
    <r>
      <rPr>
        <sz val="11"/>
        <color theme="1"/>
        <rFont val="宋体"/>
        <family val="3"/>
        <charset val="134"/>
      </rPr>
      <t>船舶</t>
    </r>
    <phoneticPr fontId="1" type="noConversion"/>
  </si>
  <si>
    <r>
      <rPr>
        <sz val="11"/>
        <color theme="1"/>
        <rFont val="宋体"/>
        <family val="3"/>
        <charset val="134"/>
      </rPr>
      <t>能效分析管理与诊断优化节能技术</t>
    </r>
  </si>
  <si>
    <r>
      <rPr>
        <sz val="11"/>
        <color theme="1"/>
        <rFont val="宋体"/>
        <family val="3"/>
        <charset val="134"/>
      </rPr>
      <t>能源系统</t>
    </r>
    <phoneticPr fontId="1" type="noConversion"/>
  </si>
  <si>
    <r>
      <rPr>
        <sz val="11"/>
        <color theme="1"/>
        <rFont val="宋体"/>
        <family val="3"/>
        <charset val="134"/>
      </rPr>
      <t>工业企业综合能源管控平台</t>
    </r>
  </si>
  <si>
    <r>
      <rPr>
        <sz val="11"/>
        <color theme="1"/>
        <rFont val="宋体"/>
        <family val="3"/>
        <charset val="134"/>
      </rPr>
      <t>中央空调节能优化管理控制系统</t>
    </r>
  </si>
  <si>
    <r>
      <rPr>
        <sz val="11"/>
        <color theme="1"/>
        <rFont val="宋体"/>
        <family val="3"/>
        <charset val="134"/>
      </rPr>
      <t>工厂动力设备新型故障诊断及能源管理技术</t>
    </r>
  </si>
  <si>
    <r>
      <rPr>
        <sz val="11"/>
        <color theme="1"/>
        <rFont val="宋体"/>
        <family val="3"/>
        <charset val="134"/>
      </rPr>
      <t>能源消耗在线监测智慧管理平台</t>
    </r>
  </si>
  <si>
    <r>
      <rPr>
        <sz val="11"/>
        <color theme="1"/>
        <rFont val="宋体"/>
        <family val="3"/>
        <charset val="134"/>
      </rPr>
      <t>钢铁企业智慧能源管控系统</t>
    </r>
  </si>
  <si>
    <r>
      <rPr>
        <sz val="11"/>
        <color theme="1"/>
        <rFont val="宋体"/>
        <family val="3"/>
        <charset val="134"/>
      </rPr>
      <t>园区多能互补微网系统技术</t>
    </r>
  </si>
  <si>
    <r>
      <rPr>
        <sz val="11"/>
        <color theme="1"/>
        <rFont val="宋体"/>
        <family val="3"/>
        <charset val="134"/>
      </rPr>
      <t>能耗数据采集及能效分析关键技术</t>
    </r>
  </si>
  <si>
    <r>
      <rPr>
        <sz val="11"/>
        <color theme="1"/>
        <rFont val="宋体"/>
        <family val="3"/>
        <charset val="134"/>
      </rPr>
      <t>企业能源可视化管理系统</t>
    </r>
  </si>
  <si>
    <r>
      <rPr>
        <sz val="11"/>
        <color theme="1"/>
        <rFont val="宋体"/>
        <family val="3"/>
        <charset val="134"/>
      </rPr>
      <t>基于工业互联网钢铁企业智慧能源管控系统</t>
    </r>
  </si>
  <si>
    <r>
      <rPr>
        <sz val="11"/>
        <color theme="1"/>
        <rFont val="宋体"/>
        <family val="3"/>
        <charset val="134"/>
      </rPr>
      <t>磁悬浮中央空调机房节能改造技术</t>
    </r>
  </si>
  <si>
    <r>
      <rPr>
        <sz val="11"/>
        <color theme="1"/>
        <rFont val="宋体"/>
        <family val="3"/>
        <charset val="134"/>
      </rPr>
      <t>退役电池梯次利用储能系统</t>
    </r>
  </si>
  <si>
    <r>
      <rPr>
        <sz val="11"/>
        <color theme="1"/>
        <rFont val="宋体"/>
        <family val="3"/>
        <charset val="134"/>
      </rPr>
      <t>铜包铝芯节能环保电力电缆</t>
    </r>
  </si>
  <si>
    <r>
      <rPr>
        <sz val="11"/>
        <color theme="1"/>
        <rFont val="宋体"/>
        <family val="3"/>
        <charset val="134"/>
      </rPr>
      <t>高效节能等离子织物前处理技术</t>
    </r>
  </si>
  <si>
    <r>
      <rPr>
        <sz val="11"/>
        <color theme="1"/>
        <rFont val="宋体"/>
        <family val="3"/>
        <charset val="134"/>
      </rPr>
      <t>纺织</t>
    </r>
    <phoneticPr fontId="1" type="noConversion"/>
  </si>
  <si>
    <r>
      <rPr>
        <sz val="11"/>
        <color theme="1"/>
        <rFont val="宋体"/>
        <family val="3"/>
        <charset val="134"/>
      </rPr>
      <t>介孔绝热材料节能技术及应用</t>
    </r>
  </si>
  <si>
    <r>
      <rPr>
        <sz val="11"/>
        <color theme="1"/>
        <rFont val="宋体"/>
        <family val="3"/>
        <charset val="134"/>
      </rPr>
      <t>双源热泵废热梯级利用技术</t>
    </r>
  </si>
  <si>
    <r>
      <rPr>
        <sz val="11"/>
        <color theme="1"/>
        <rFont val="宋体"/>
        <family val="3"/>
        <charset val="134"/>
      </rPr>
      <t>新钠灯照明节能技术</t>
    </r>
  </si>
  <si>
    <r>
      <rPr>
        <sz val="11"/>
        <color theme="1"/>
        <rFont val="宋体"/>
        <family val="3"/>
        <charset val="134"/>
      </rPr>
      <t>户外照明</t>
    </r>
    <phoneticPr fontId="1" type="noConversion"/>
  </si>
  <si>
    <r>
      <rPr>
        <sz val="11"/>
        <color theme="1"/>
        <rFont val="宋体"/>
        <family val="3"/>
        <charset val="134"/>
      </rPr>
      <t>城轨永磁牵引系统</t>
    </r>
  </si>
  <si>
    <r>
      <rPr>
        <sz val="11"/>
        <color theme="1"/>
        <rFont val="宋体"/>
        <family val="3"/>
        <charset val="134"/>
      </rPr>
      <t>轨道交通</t>
    </r>
    <phoneticPr fontId="1" type="noConversion"/>
  </si>
  <si>
    <r>
      <rPr>
        <sz val="11"/>
        <color theme="1"/>
        <rFont val="宋体"/>
        <family val="3"/>
        <charset val="134"/>
      </rPr>
      <t>地铁再生制动能量回馈关键技术与应用</t>
    </r>
  </si>
  <si>
    <r>
      <rPr>
        <sz val="11"/>
        <color theme="1"/>
        <rFont val="宋体"/>
        <family val="3"/>
        <charset val="134"/>
      </rPr>
      <t>板管蒸发冷却式空调制冷技术</t>
    </r>
  </si>
  <si>
    <r>
      <rPr>
        <sz val="11"/>
        <color theme="1"/>
        <rFont val="宋体"/>
        <family val="3"/>
        <charset val="134"/>
      </rPr>
      <t>转臂式液密封环冷机</t>
    </r>
    <phoneticPr fontId="1" type="noConversion"/>
  </si>
  <si>
    <r>
      <t>DP</t>
    </r>
    <r>
      <rPr>
        <sz val="11"/>
        <color theme="1"/>
        <rFont val="宋体"/>
        <family val="3"/>
        <charset val="134"/>
      </rPr>
      <t>系列废钢预热连续加料输送成套设备</t>
    </r>
  </si>
  <si>
    <r>
      <rPr>
        <sz val="11"/>
        <color theme="1"/>
        <rFont val="宋体"/>
        <family val="3"/>
        <charset val="134"/>
      </rPr>
      <t>≤</t>
    </r>
    <r>
      <rPr>
        <sz val="11"/>
        <color theme="1"/>
        <rFont val="Times New Roman"/>
        <family val="1"/>
      </rPr>
      <t>1%</t>
    </r>
  </si>
  <si>
    <r>
      <t>600kA</t>
    </r>
    <r>
      <rPr>
        <sz val="11"/>
        <color theme="1"/>
        <rFont val="宋体"/>
        <family val="3"/>
        <charset val="134"/>
      </rPr>
      <t>级超大容量铝电解槽技术</t>
    </r>
  </si>
  <si>
    <r>
      <rPr>
        <sz val="11"/>
        <color theme="1"/>
        <rFont val="宋体"/>
        <family val="3"/>
        <charset val="134"/>
      </rPr>
      <t>铝电解槽智能打壳系统</t>
    </r>
  </si>
  <si>
    <r>
      <rPr>
        <sz val="11"/>
        <color theme="1"/>
        <rFont val="宋体"/>
        <family val="3"/>
        <charset val="134"/>
      </rPr>
      <t>建筑陶瓷新型多层干燥器与宽体辊道窑成套节能技术装备</t>
    </r>
  </si>
  <si>
    <r>
      <rPr>
        <sz val="11"/>
        <color theme="1"/>
        <rFont val="宋体"/>
        <family val="3"/>
        <charset val="134"/>
      </rPr>
      <t>水泥窑用系列低导热莫来石砖</t>
    </r>
  </si>
  <si>
    <r>
      <rPr>
        <sz val="11"/>
        <color theme="1"/>
        <rFont val="宋体"/>
        <family val="3"/>
        <charset val="134"/>
      </rPr>
      <t>三效溶剂回收节能蒸馏技术</t>
    </r>
  </si>
  <si>
    <r>
      <rPr>
        <sz val="11"/>
        <color theme="1"/>
        <rFont val="宋体"/>
        <family val="3"/>
        <charset val="134"/>
      </rPr>
      <t>用于制取优级糠醛的节能蒸馏技术</t>
    </r>
  </si>
  <si>
    <r>
      <rPr>
        <sz val="11"/>
        <color theme="1"/>
        <rFont val="宋体"/>
        <family val="3"/>
        <charset val="134"/>
      </rPr>
      <t>无水酒精回收塔节能装置的研发技术</t>
    </r>
  </si>
  <si>
    <r>
      <rPr>
        <sz val="11"/>
        <color theme="1"/>
        <rFont val="宋体"/>
        <family val="3"/>
        <charset val="134"/>
      </rPr>
      <t>硫酸铜三效混流真空蒸发技术</t>
    </r>
  </si>
  <si>
    <r>
      <rPr>
        <sz val="11"/>
        <color theme="1"/>
        <rFont val="宋体"/>
        <family val="3"/>
        <charset val="134"/>
      </rPr>
      <t>模块化梯级回热式清洁燃煤气化技术（</t>
    </r>
    <r>
      <rPr>
        <sz val="11"/>
        <color theme="1"/>
        <rFont val="Times New Roman"/>
        <family val="1"/>
      </rPr>
      <t>MCREG)</t>
    </r>
  </si>
  <si>
    <r>
      <rPr>
        <sz val="11"/>
        <color theme="1"/>
        <rFont val="宋体"/>
        <family val="3"/>
        <charset val="134"/>
      </rPr>
      <t>石化</t>
    </r>
    <phoneticPr fontId="1" type="noConversion"/>
  </si>
  <si>
    <r>
      <rPr>
        <sz val="11"/>
        <color theme="1"/>
        <rFont val="宋体"/>
        <family val="3"/>
        <charset val="134"/>
      </rPr>
      <t>自支撑纵向流无折流板管壳式换热器</t>
    </r>
  </si>
  <si>
    <r>
      <rPr>
        <sz val="11"/>
        <color theme="1"/>
        <rFont val="宋体"/>
        <family val="3"/>
        <charset val="134"/>
      </rPr>
      <t>新型三维整体隐形翅片管换热器</t>
    </r>
  </si>
  <si>
    <r>
      <rPr>
        <sz val="11"/>
        <color theme="1"/>
        <rFont val="宋体"/>
        <family val="3"/>
        <charset val="134"/>
      </rPr>
      <t>高效节能熔炼技术</t>
    </r>
  </si>
  <si>
    <r>
      <rPr>
        <sz val="11"/>
        <color theme="1"/>
        <rFont val="宋体"/>
        <family val="3"/>
        <charset val="134"/>
      </rPr>
      <t>石墨烯机油添加剂</t>
    </r>
  </si>
  <si>
    <r>
      <rPr>
        <sz val="11"/>
        <color theme="1"/>
        <rFont val="宋体"/>
        <family val="3"/>
        <charset val="134"/>
      </rPr>
      <t>改性活性炭吸附、贫油吸收组合油气回收工艺技术</t>
    </r>
  </si>
  <si>
    <r>
      <t>36</t>
    </r>
    <r>
      <rPr>
        <sz val="11"/>
        <color theme="1"/>
        <rFont val="宋体"/>
        <family val="3"/>
        <charset val="134"/>
      </rPr>
      <t>万吨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年高效宽工况硝酸四合一机组技术</t>
    </r>
  </si>
  <si>
    <r>
      <rPr>
        <sz val="11"/>
        <color theme="1"/>
        <rFont val="宋体"/>
        <family val="3"/>
        <charset val="134"/>
      </rPr>
      <t>流程工艺风机及系统管网优化节能技术</t>
    </r>
  </si>
  <si>
    <r>
      <rPr>
        <sz val="11"/>
        <color theme="1"/>
        <rFont val="宋体"/>
        <family val="3"/>
        <charset val="134"/>
      </rPr>
      <t>风机系统</t>
    </r>
    <phoneticPr fontId="1" type="noConversion"/>
  </si>
  <si>
    <r>
      <rPr>
        <sz val="11"/>
        <color theme="1"/>
        <rFont val="宋体"/>
        <family val="3"/>
        <charset val="134"/>
      </rPr>
      <t>工业用永磁辅助磁阻同步电机技术</t>
    </r>
  </si>
  <si>
    <r>
      <rPr>
        <sz val="11"/>
        <color theme="1"/>
        <rFont val="宋体"/>
        <family val="3"/>
        <charset val="134"/>
      </rPr>
      <t>特大型高炉鼓风高效节能装置技术</t>
    </r>
  </si>
  <si>
    <r>
      <rPr>
        <sz val="11"/>
        <color theme="1"/>
        <rFont val="宋体"/>
        <family val="3"/>
        <charset val="134"/>
      </rPr>
      <t>高效低碳微通道换热器技术</t>
    </r>
  </si>
  <si>
    <r>
      <rPr>
        <sz val="11"/>
        <color theme="1"/>
        <rFont val="宋体"/>
        <family val="3"/>
        <charset val="134"/>
      </rPr>
      <t>等离子体点火及稳燃技术</t>
    </r>
  </si>
  <si>
    <r>
      <rPr>
        <sz val="11"/>
        <color theme="1"/>
        <rFont val="宋体"/>
        <family val="3"/>
        <charset val="134"/>
      </rPr>
      <t>高效动压气悬浮离心压缩机关键技术</t>
    </r>
  </si>
  <si>
    <r>
      <rPr>
        <sz val="11"/>
        <color theme="1"/>
        <rFont val="宋体"/>
        <family val="3"/>
        <charset val="134"/>
      </rPr>
      <t>跨临界</t>
    </r>
    <r>
      <rPr>
        <sz val="11"/>
        <color theme="1"/>
        <rFont val="Times New Roman"/>
        <family val="1"/>
      </rPr>
      <t>CO2</t>
    </r>
    <r>
      <rPr>
        <sz val="11"/>
        <color theme="1"/>
        <rFont val="宋体"/>
        <family val="3"/>
        <charset val="134"/>
      </rPr>
      <t>热泵的并行复合循环关键技术</t>
    </r>
  </si>
  <si>
    <r>
      <rPr>
        <sz val="11"/>
        <color theme="1"/>
        <rFont val="宋体"/>
        <family val="3"/>
        <charset val="134"/>
      </rPr>
      <t>热泵系统</t>
    </r>
    <phoneticPr fontId="1" type="noConversion"/>
  </si>
  <si>
    <r>
      <rPr>
        <sz val="11"/>
        <color theme="1"/>
        <rFont val="宋体"/>
        <family val="3"/>
        <charset val="134"/>
      </rPr>
      <t>节能高效多级小焓降冲动式汽轮机</t>
    </r>
  </si>
  <si>
    <r>
      <rPr>
        <sz val="11"/>
        <color theme="1"/>
        <rFont val="宋体"/>
        <family val="3"/>
        <charset val="134"/>
      </rPr>
      <t>汽轮机</t>
    </r>
    <phoneticPr fontId="1" type="noConversion"/>
  </si>
  <si>
    <r>
      <rPr>
        <sz val="11"/>
        <color theme="1"/>
        <rFont val="宋体"/>
        <family val="3"/>
        <charset val="134"/>
      </rPr>
      <t>有机郎肯循环（</t>
    </r>
    <r>
      <rPr>
        <sz val="11"/>
        <color theme="1"/>
        <rFont val="Times New Roman"/>
        <family val="1"/>
      </rPr>
      <t>ORC</t>
    </r>
    <r>
      <rPr>
        <sz val="11"/>
        <color theme="1"/>
        <rFont val="宋体"/>
        <family val="3"/>
        <charset val="134"/>
      </rPr>
      <t>）发电技术</t>
    </r>
  </si>
  <si>
    <r>
      <rPr>
        <sz val="11"/>
        <color theme="1"/>
        <rFont val="宋体"/>
        <family val="3"/>
        <charset val="134"/>
      </rPr>
      <t>开关磁阻电机驱动系统</t>
    </r>
  </si>
  <si>
    <r>
      <rPr>
        <sz val="11"/>
        <color theme="1"/>
        <rFont val="宋体"/>
        <family val="3"/>
        <charset val="134"/>
      </rPr>
      <t>纯方波永磁无刷电机及驱动器节能技术</t>
    </r>
  </si>
  <si>
    <r>
      <rPr>
        <sz val="11"/>
        <color theme="1"/>
        <rFont val="宋体"/>
        <family val="3"/>
        <charset val="134"/>
      </rPr>
      <t>先导式气力物料运输系统</t>
    </r>
  </si>
  <si>
    <r>
      <rPr>
        <sz val="11"/>
        <color theme="1"/>
        <rFont val="宋体"/>
        <family val="3"/>
        <charset val="134"/>
      </rPr>
      <t>燃气生产和供应业</t>
    </r>
    <phoneticPr fontId="1" type="noConversion"/>
  </si>
  <si>
    <r>
      <rPr>
        <sz val="11"/>
        <color theme="1"/>
        <rFont val="宋体"/>
        <family val="3"/>
        <charset val="134"/>
      </rPr>
      <t>永磁电机内装式矿井提升机</t>
    </r>
  </si>
  <si>
    <r>
      <rPr>
        <sz val="11"/>
        <color theme="1"/>
        <rFont val="宋体"/>
        <family val="3"/>
        <charset val="134"/>
      </rPr>
      <t>煤炭开采</t>
    </r>
    <phoneticPr fontId="1" type="noConversion"/>
  </si>
  <si>
    <r>
      <rPr>
        <sz val="11"/>
        <color theme="1"/>
        <rFont val="宋体"/>
        <family val="3"/>
        <charset val="134"/>
      </rPr>
      <t>卧式油冷型永磁调速器</t>
    </r>
    <phoneticPr fontId="1" type="noConversion"/>
  </si>
  <si>
    <r>
      <rPr>
        <sz val="11"/>
        <color theme="1"/>
        <rFont val="宋体"/>
        <family val="3"/>
        <charset val="134"/>
      </rPr>
      <t>新型热源塔热泵系统</t>
    </r>
  </si>
  <si>
    <r>
      <rPr>
        <sz val="11"/>
        <color theme="1"/>
        <rFont val="宋体"/>
        <family val="3"/>
        <charset val="134"/>
      </rPr>
      <t>永磁伺服电机节能动力系统</t>
    </r>
  </si>
  <si>
    <r>
      <rPr>
        <sz val="11"/>
        <color theme="1"/>
        <rFont val="宋体"/>
        <family val="3"/>
        <charset val="134"/>
      </rPr>
      <t>柴油机电力测功系统电力回馈技术</t>
    </r>
  </si>
  <si>
    <r>
      <rPr>
        <sz val="11"/>
        <color theme="1"/>
        <rFont val="宋体"/>
        <family val="3"/>
        <charset val="134"/>
      </rPr>
      <t>船舶内燃机</t>
    </r>
    <phoneticPr fontId="1" type="noConversion"/>
  </si>
  <si>
    <r>
      <rPr>
        <sz val="11"/>
        <color theme="1"/>
        <rFont val="宋体"/>
        <family val="3"/>
        <charset val="134"/>
      </rPr>
      <t>全预混冷凝燃气热水锅炉</t>
    </r>
  </si>
  <si>
    <r>
      <rPr>
        <sz val="11"/>
        <color theme="1"/>
        <rFont val="宋体"/>
        <family val="3"/>
        <charset val="134"/>
      </rPr>
      <t>大型制冷机组高效节能环境模拟和检测技术</t>
    </r>
  </si>
  <si>
    <r>
      <rPr>
        <sz val="11"/>
        <color theme="1"/>
        <rFont val="宋体"/>
        <family val="3"/>
        <charset val="134"/>
      </rPr>
      <t>黑体强化辐射传热节能技术</t>
    </r>
  </si>
  <si>
    <r>
      <rPr>
        <sz val="11"/>
        <color theme="1"/>
        <rFont val="宋体"/>
        <family val="3"/>
        <charset val="134"/>
      </rPr>
      <t>工业炉窑</t>
    </r>
    <phoneticPr fontId="1" type="noConversion"/>
  </si>
  <si>
    <r>
      <rPr>
        <sz val="11"/>
        <color theme="1"/>
        <rFont val="宋体"/>
        <family val="3"/>
        <charset val="134"/>
      </rPr>
      <t>基于水力空化的汽车涂装车间低温脱脂节能技术</t>
    </r>
  </si>
  <si>
    <r>
      <rPr>
        <sz val="11"/>
        <color theme="1"/>
        <rFont val="宋体"/>
        <family val="3"/>
        <charset val="134"/>
      </rPr>
      <t>汽车制造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非道路交通</t>
    </r>
    <phoneticPr fontId="1" type="noConversion"/>
  </si>
  <si>
    <r>
      <rPr>
        <sz val="11"/>
        <color theme="1"/>
        <rFont val="宋体"/>
        <family val="3"/>
        <charset val="134"/>
      </rPr>
      <t>汽车制造</t>
    </r>
    <phoneticPr fontId="1" type="noConversion"/>
  </si>
  <si>
    <r>
      <rPr>
        <sz val="11"/>
        <color theme="1"/>
        <rFont val="宋体"/>
        <family val="3"/>
        <charset val="134"/>
      </rPr>
      <t>非道路交通制造</t>
    </r>
    <phoneticPr fontId="1" type="noConversion"/>
  </si>
  <si>
    <r>
      <rPr>
        <sz val="11"/>
        <color theme="1"/>
        <rFont val="宋体"/>
        <family val="3"/>
        <charset val="134"/>
      </rPr>
      <t>高电压大功率成套固体电蓄热炉</t>
    </r>
  </si>
  <si>
    <r>
      <rPr>
        <sz val="11"/>
        <color theme="1"/>
        <rFont val="宋体"/>
        <family val="3"/>
        <charset val="134"/>
      </rPr>
      <t>可再生能源高效利用</t>
    </r>
    <phoneticPr fontId="1" type="noConversion"/>
  </si>
  <si>
    <r>
      <rPr>
        <sz val="11"/>
        <color theme="1"/>
        <rFont val="宋体"/>
        <family val="3"/>
        <charset val="134"/>
      </rPr>
      <t>基于飞轮储能的发电机功率补偿及节能技术</t>
    </r>
  </si>
  <si>
    <r>
      <rPr>
        <sz val="11"/>
        <color theme="1"/>
        <rFont val="宋体"/>
        <family val="3"/>
        <charset val="134"/>
      </rPr>
      <t>用户侧分布式智慧储能关键技术</t>
    </r>
  </si>
  <si>
    <r>
      <rPr>
        <sz val="11"/>
        <color theme="1"/>
        <rFont val="宋体"/>
        <family val="3"/>
        <charset val="134"/>
      </rPr>
      <t>分时实现变频调速及电能质量治理技术</t>
    </r>
  </si>
  <si>
    <r>
      <rPr>
        <sz val="11"/>
        <color theme="1"/>
        <rFont val="宋体"/>
        <family val="3"/>
        <charset val="134"/>
      </rPr>
      <t>面向新能源接入的高效电能质量治理装置</t>
    </r>
  </si>
  <si>
    <r>
      <rPr>
        <sz val="11"/>
        <color theme="1"/>
        <rFont val="宋体"/>
        <family val="3"/>
        <charset val="134"/>
      </rPr>
      <t>电除尘器新型节能高频高压供电及控制技术</t>
    </r>
  </si>
  <si>
    <r>
      <rPr>
        <sz val="11"/>
        <color theme="1"/>
        <rFont val="宋体"/>
        <family val="3"/>
        <charset val="134"/>
      </rPr>
      <t>除尘器</t>
    </r>
    <phoneticPr fontId="1" type="noConversion"/>
  </si>
  <si>
    <r>
      <rPr>
        <sz val="11"/>
        <color theme="1"/>
        <rFont val="宋体"/>
        <family val="3"/>
        <charset val="134"/>
      </rPr>
      <t>成品油管网智慧用能决策系统</t>
    </r>
  </si>
  <si>
    <r>
      <rPr>
        <sz val="11"/>
        <color theme="1"/>
        <rFont val="宋体"/>
        <family val="3"/>
        <charset val="134"/>
      </rPr>
      <t>智慧能源管控系统</t>
    </r>
    <phoneticPr fontId="1" type="noConversion"/>
  </si>
  <si>
    <r>
      <rPr>
        <sz val="11"/>
        <color theme="1"/>
        <rFont val="宋体"/>
        <family val="3"/>
        <charset val="134"/>
      </rPr>
      <t>基于边缘计算的流程工业智能优化控制技术</t>
    </r>
  </si>
  <si>
    <r>
      <rPr>
        <sz val="11"/>
        <color theme="1"/>
        <rFont val="宋体"/>
        <family val="3"/>
        <charset val="134"/>
      </rPr>
      <t>中小型冷库制冷机组的智能热氟融霜节能技术</t>
    </r>
  </si>
  <si>
    <r>
      <rPr>
        <sz val="11"/>
        <color theme="1"/>
        <rFont val="宋体"/>
        <family val="3"/>
        <charset val="134"/>
      </rPr>
      <t>直流母线群控供电系统</t>
    </r>
  </si>
  <si>
    <r>
      <rPr>
        <sz val="11"/>
        <color theme="1"/>
        <rFont val="宋体"/>
        <family val="3"/>
        <charset val="134"/>
      </rPr>
      <t>能源化工企业智慧工厂</t>
    </r>
    <r>
      <rPr>
        <sz val="11"/>
        <color theme="1"/>
        <rFont val="Times New Roman"/>
        <family val="1"/>
      </rPr>
      <t>“123”</t>
    </r>
    <r>
      <rPr>
        <sz val="11"/>
        <color theme="1"/>
        <rFont val="宋体"/>
        <family val="3"/>
        <charset val="134"/>
      </rPr>
      <t>体系冷源数字化节能技术</t>
    </r>
  </si>
  <si>
    <r>
      <rPr>
        <sz val="11"/>
        <color theme="1"/>
        <rFont val="宋体"/>
        <family val="3"/>
        <charset val="134"/>
      </rPr>
      <t>区域综合能源管控系统</t>
    </r>
  </si>
  <si>
    <r>
      <rPr>
        <sz val="11"/>
        <color theme="1"/>
        <rFont val="宋体"/>
        <family val="3"/>
        <charset val="134"/>
      </rPr>
      <t>智慧能源能效管控系统</t>
    </r>
  </si>
  <si>
    <r>
      <t>EcoSave</t>
    </r>
    <r>
      <rPr>
        <sz val="11"/>
        <color theme="1"/>
        <rFont val="宋体"/>
        <family val="3"/>
        <charset val="134"/>
      </rPr>
      <t>空压站智慧无损节能系统</t>
    </r>
  </si>
  <si>
    <r>
      <rPr>
        <sz val="11"/>
        <color theme="1"/>
        <rFont val="宋体"/>
        <family val="3"/>
        <charset val="134"/>
      </rPr>
      <t>基于</t>
    </r>
    <r>
      <rPr>
        <sz val="11"/>
        <color theme="1"/>
        <rFont val="Times New Roman"/>
        <family val="1"/>
      </rPr>
      <t>APC</t>
    </r>
    <r>
      <rPr>
        <sz val="11"/>
        <color theme="1"/>
        <rFont val="宋体"/>
        <family val="3"/>
        <charset val="134"/>
      </rPr>
      <t>中央空调智控节能技术</t>
    </r>
  </si>
  <si>
    <r>
      <rPr>
        <sz val="11"/>
        <color theme="1"/>
        <rFont val="宋体"/>
        <family val="3"/>
        <charset val="134"/>
      </rPr>
      <t>智慧热岛</t>
    </r>
    <r>
      <rPr>
        <sz val="11"/>
        <color theme="1"/>
        <rFont val="Times New Roman"/>
        <family val="1"/>
      </rPr>
      <t>—</t>
    </r>
    <r>
      <rPr>
        <sz val="11"/>
        <color theme="1"/>
        <rFont val="宋体"/>
        <family val="3"/>
        <charset val="134"/>
      </rPr>
      <t>余热利用技术</t>
    </r>
  </si>
  <si>
    <r>
      <t>iSave</t>
    </r>
    <r>
      <rPr>
        <sz val="11"/>
        <color theme="1"/>
        <rFont val="宋体"/>
        <family val="3"/>
        <charset val="134"/>
      </rPr>
      <t>中央空调</t>
    </r>
    <r>
      <rPr>
        <sz val="11"/>
        <color theme="1"/>
        <rFont val="Times New Roman"/>
        <family val="1"/>
      </rPr>
      <t>AI</t>
    </r>
    <r>
      <rPr>
        <sz val="11"/>
        <color theme="1"/>
        <rFont val="宋体"/>
        <family val="3"/>
        <charset val="134"/>
      </rPr>
      <t>节能控制系统</t>
    </r>
  </si>
  <si>
    <r>
      <rPr>
        <sz val="11"/>
        <color theme="1"/>
        <rFont val="宋体"/>
        <family val="3"/>
        <charset val="134"/>
      </rPr>
      <t>一种组合式互联网节能型智慧空压站的集成设计及智能控制系统</t>
    </r>
  </si>
  <si>
    <r>
      <rPr>
        <sz val="11"/>
        <color theme="1"/>
        <rFont val="宋体"/>
        <family val="3"/>
        <charset val="134"/>
      </rPr>
      <t>自回热精馏节能技术</t>
    </r>
  </si>
  <si>
    <r>
      <rPr>
        <sz val="11"/>
        <color theme="1"/>
        <rFont val="宋体"/>
        <family val="3"/>
        <charset val="134"/>
      </rPr>
      <t>石化化工</t>
    </r>
    <phoneticPr fontId="1" type="noConversion"/>
  </si>
  <si>
    <r>
      <rPr>
        <sz val="11"/>
        <color rgb="FF000000"/>
        <rFont val="宋体"/>
        <family val="3"/>
        <charset val="134"/>
      </rPr>
      <t>升温型工业余热利用技术</t>
    </r>
  </si>
  <si>
    <r>
      <rPr>
        <sz val="11"/>
        <color rgb="FF000000"/>
        <rFont val="宋体"/>
        <family val="3"/>
        <charset val="134"/>
      </rPr>
      <t>基于热能梯级利用的热电联产低位能供热技术</t>
    </r>
  </si>
  <si>
    <r>
      <rPr>
        <sz val="11"/>
        <color rgb="FF000000"/>
        <rFont val="宋体"/>
        <family val="3"/>
        <charset val="134"/>
      </rPr>
      <t>大腔体高温真空电热氮化烧结系统及余热利用技术</t>
    </r>
  </si>
  <si>
    <r>
      <rPr>
        <sz val="11"/>
        <color theme="1"/>
        <rFont val="宋体"/>
        <family val="3"/>
        <charset val="134"/>
      </rPr>
      <t>污泥耦合发电技术</t>
    </r>
  </si>
  <si>
    <r>
      <rPr>
        <sz val="11"/>
        <color theme="1"/>
        <rFont val="宋体"/>
        <family val="3"/>
        <charset val="134"/>
      </rPr>
      <t>废弃物处理</t>
    </r>
    <phoneticPr fontId="1" type="noConversion"/>
  </si>
  <si>
    <r>
      <rPr>
        <sz val="11"/>
        <color theme="1"/>
        <rFont val="宋体"/>
        <family val="3"/>
        <charset val="134"/>
      </rPr>
      <t>汽车轮毂生产线余热高效回收利用关键技术与应用</t>
    </r>
  </si>
  <si>
    <r>
      <rPr>
        <sz val="11"/>
        <color rgb="FF000000"/>
        <rFont val="宋体"/>
        <family val="3"/>
        <charset val="134"/>
      </rPr>
      <t>锅炉烟气余热深度利用技术</t>
    </r>
  </si>
  <si>
    <r>
      <rPr>
        <sz val="11"/>
        <color rgb="FF000000"/>
        <rFont val="宋体"/>
        <family val="3"/>
        <charset val="134"/>
      </rPr>
      <t>工业用复叠式热功转换制热技术</t>
    </r>
  </si>
  <si>
    <r>
      <rPr>
        <sz val="11"/>
        <color rgb="FF000000"/>
        <rFont val="宋体"/>
        <family val="3"/>
        <charset val="134"/>
      </rPr>
      <t>工业企业能源节能降耗及余能再利用技术</t>
    </r>
  </si>
  <si>
    <r>
      <rPr>
        <sz val="11"/>
        <color rgb="FF000000"/>
        <rFont val="宋体"/>
        <family val="3"/>
        <charset val="134"/>
      </rPr>
      <t>智能全闭式蒸汽冷凝水回收系统</t>
    </r>
  </si>
  <si>
    <r>
      <rPr>
        <sz val="11"/>
        <color rgb="FF000000"/>
        <rFont val="宋体"/>
        <family val="3"/>
        <charset val="134"/>
      </rPr>
      <t>船用柴油机余热利用发电系统</t>
    </r>
  </si>
  <si>
    <r>
      <rPr>
        <sz val="11"/>
        <color rgb="FF000000"/>
        <rFont val="宋体"/>
        <family val="3"/>
        <charset val="134"/>
      </rPr>
      <t>配套于大型催化裂化装置补燃式余热锅炉</t>
    </r>
  </si>
  <si>
    <r>
      <rPr>
        <sz val="11"/>
        <color theme="1"/>
        <rFont val="宋体"/>
        <family val="3"/>
        <charset val="134"/>
      </rPr>
      <t>大型转炉洁净钢高效绿色冶炼技术</t>
    </r>
  </si>
  <si>
    <r>
      <rPr>
        <sz val="11"/>
        <color theme="1"/>
        <rFont val="宋体"/>
        <family val="3"/>
        <charset val="134"/>
      </rPr>
      <t>特大型高效节能高炉煤气余压回收透平发电装置</t>
    </r>
  </si>
  <si>
    <r>
      <rPr>
        <sz val="11"/>
        <color theme="1"/>
        <rFont val="宋体"/>
        <family val="3"/>
        <charset val="134"/>
      </rPr>
      <t>氟塑钢新材料低温烟气深度余热回收技术</t>
    </r>
  </si>
  <si>
    <r>
      <rPr>
        <sz val="11"/>
        <color theme="1"/>
        <rFont val="宋体"/>
        <family val="3"/>
        <charset val="134"/>
      </rPr>
      <t>工业余热梯级综合利用技术</t>
    </r>
  </si>
  <si>
    <r>
      <rPr>
        <sz val="11"/>
        <color theme="1"/>
        <rFont val="宋体"/>
        <family val="3"/>
        <charset val="134"/>
      </rPr>
      <t>钢铁行业减污折叠滤筒节能技术</t>
    </r>
  </si>
  <si>
    <r>
      <rPr>
        <sz val="11"/>
        <color theme="1"/>
        <rFont val="宋体"/>
        <family val="3"/>
        <charset val="134"/>
      </rPr>
      <t>多孔介质燃烧技术</t>
    </r>
  </si>
  <si>
    <r>
      <rPr>
        <sz val="11"/>
        <color theme="1"/>
        <rFont val="宋体"/>
        <family val="3"/>
        <charset val="134"/>
      </rPr>
      <t>多功能烧结鼓风环式冷却机</t>
    </r>
  </si>
  <si>
    <r>
      <rPr>
        <sz val="11"/>
        <color theme="1"/>
        <rFont val="宋体"/>
        <family val="3"/>
        <charset val="134"/>
      </rPr>
      <t>熔渣干法粒化及余热回收工艺装备技术</t>
    </r>
  </si>
  <si>
    <r>
      <rPr>
        <sz val="11"/>
        <color theme="1"/>
        <rFont val="宋体"/>
        <family val="3"/>
        <charset val="134"/>
      </rPr>
      <t>棒线材高效低成本控轧控冷技术</t>
    </r>
  </si>
  <si>
    <r>
      <rPr>
        <sz val="11"/>
        <color theme="1"/>
        <rFont val="宋体"/>
        <family val="3"/>
        <charset val="134"/>
      </rPr>
      <t>冶金工业电机系统节能控制技术</t>
    </r>
  </si>
  <si>
    <r>
      <rPr>
        <sz val="11"/>
        <color theme="1"/>
        <rFont val="宋体"/>
        <family val="3"/>
        <charset val="134"/>
      </rPr>
      <t>一种焦炉上升管荒煤气余热回收技术</t>
    </r>
  </si>
  <si>
    <r>
      <rPr>
        <sz val="11"/>
        <color theme="1"/>
        <rFont val="宋体"/>
        <family val="3"/>
        <charset val="134"/>
      </rPr>
      <t>清洁型焦炉高效余热发电技术</t>
    </r>
  </si>
  <si>
    <r>
      <rPr>
        <sz val="11"/>
        <color theme="1"/>
        <rFont val="宋体"/>
        <family val="3"/>
        <charset val="134"/>
      </rPr>
      <t>新型长寿命激光闪速氧化膜热轧辊</t>
    </r>
  </si>
  <si>
    <r>
      <t>H</t>
    </r>
    <r>
      <rPr>
        <sz val="11"/>
        <color theme="1"/>
        <rFont val="宋体"/>
        <family val="3"/>
        <charset val="134"/>
      </rPr>
      <t>型鳍片管式高效换热技术</t>
    </r>
  </si>
  <si>
    <r>
      <rPr>
        <sz val="11"/>
        <color theme="1"/>
        <rFont val="宋体"/>
        <family val="3"/>
        <charset val="134"/>
      </rPr>
      <t>侧顶吹双炉连续炼铜技术</t>
    </r>
  </si>
  <si>
    <r>
      <t>380A/m2</t>
    </r>
    <r>
      <rPr>
        <sz val="11"/>
        <color theme="1"/>
        <rFont val="宋体"/>
        <family val="3"/>
        <charset val="134"/>
      </rPr>
      <t>电流密度电解铜应用技术及装备</t>
    </r>
  </si>
  <si>
    <r>
      <rPr>
        <sz val="11"/>
        <color theme="1"/>
        <rFont val="宋体"/>
        <family val="3"/>
        <charset val="134"/>
      </rPr>
      <t>玻璃熔窑用红外高辐射节能涂料</t>
    </r>
  </si>
  <si>
    <r>
      <rPr>
        <sz val="11"/>
        <color theme="1"/>
        <rFont val="宋体"/>
        <family val="3"/>
        <charset val="134"/>
      </rPr>
      <t>一种隧道漫反射光学节能材料</t>
    </r>
  </si>
  <si>
    <r>
      <rPr>
        <sz val="11"/>
        <color theme="1"/>
        <rFont val="宋体"/>
        <family val="3"/>
        <charset val="134"/>
      </rPr>
      <t>新型梯度复合保温技术</t>
    </r>
  </si>
  <si>
    <r>
      <rPr>
        <sz val="11"/>
        <color theme="1"/>
        <rFont val="宋体"/>
        <family val="3"/>
        <charset val="134"/>
      </rPr>
      <t>陶瓷集成制粉新工艺技术</t>
    </r>
  </si>
  <si>
    <r>
      <rPr>
        <sz val="11"/>
        <color theme="1"/>
        <rFont val="宋体"/>
        <family val="3"/>
        <charset val="134"/>
      </rPr>
      <t>混烧石灰竖窑及配套超低温烟气处理技术</t>
    </r>
  </si>
  <si>
    <r>
      <rPr>
        <sz val="11"/>
        <color theme="1"/>
        <rFont val="宋体"/>
        <family val="3"/>
        <charset val="134"/>
      </rPr>
      <t>水泥生料助磨剂技术</t>
    </r>
  </si>
  <si>
    <r>
      <rPr>
        <sz val="11"/>
        <color theme="1"/>
        <rFont val="宋体"/>
        <family val="3"/>
        <charset val="134"/>
      </rPr>
      <t>瀑落式回转窑制备陶粒轻骨料技术</t>
    </r>
  </si>
  <si>
    <r>
      <rPr>
        <sz val="11"/>
        <color theme="1"/>
        <rFont val="宋体"/>
        <family val="3"/>
        <charset val="134"/>
      </rPr>
      <t>抛釉砖用陶瓷干法制粉生产工艺及装备</t>
    </r>
  </si>
  <si>
    <r>
      <rPr>
        <sz val="11"/>
        <color theme="1"/>
        <rFont val="宋体"/>
        <family val="3"/>
        <charset val="134"/>
      </rPr>
      <t>高强度低密度页岩气用压裂陶粒支撑剂及制备节能技术</t>
    </r>
    <phoneticPr fontId="1" type="noConversion"/>
  </si>
  <si>
    <r>
      <rPr>
        <sz val="11"/>
        <color theme="1"/>
        <rFont val="宋体"/>
        <family val="3"/>
        <charset val="134"/>
      </rPr>
      <t>节能型低氮燃烧器</t>
    </r>
  </si>
  <si>
    <r>
      <rPr>
        <sz val="11"/>
        <color theme="1"/>
        <rFont val="宋体"/>
        <family val="3"/>
        <charset val="134"/>
      </rPr>
      <t>乙烯裂解炉节能技术</t>
    </r>
  </si>
  <si>
    <r>
      <rPr>
        <sz val="11"/>
        <color theme="1"/>
        <rFont val="宋体"/>
        <family val="3"/>
        <charset val="134"/>
      </rPr>
      <t>半水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二水湿法磷酸技术</t>
    </r>
  </si>
  <si>
    <r>
      <rPr>
        <sz val="11"/>
        <color theme="1"/>
        <rFont val="宋体"/>
        <family val="3"/>
        <charset val="134"/>
      </rPr>
      <t>等温变换技术</t>
    </r>
  </si>
  <si>
    <r>
      <rPr>
        <sz val="11"/>
        <color theme="1"/>
        <rFont val="宋体"/>
        <family val="3"/>
        <charset val="134"/>
      </rPr>
      <t>低品位热驱动多元复合工质制冷技术及装备</t>
    </r>
    <phoneticPr fontId="1" type="noConversion"/>
  </si>
  <si>
    <r>
      <rPr>
        <sz val="11"/>
        <color theme="1"/>
        <rFont val="宋体"/>
        <family val="3"/>
        <charset val="134"/>
      </rPr>
      <t>新型高抗腐蚀双金属复合节能技术</t>
    </r>
  </si>
  <si>
    <r>
      <rPr>
        <sz val="11"/>
        <color theme="1"/>
        <rFont val="宋体"/>
        <family val="3"/>
        <charset val="134"/>
      </rPr>
      <t>蒸汽锅炉节能装置</t>
    </r>
  </si>
  <si>
    <r>
      <rPr>
        <sz val="11"/>
        <color theme="1"/>
        <rFont val="宋体"/>
        <family val="3"/>
        <charset val="134"/>
      </rPr>
      <t>炼油加热炉</t>
    </r>
    <r>
      <rPr>
        <sz val="11"/>
        <color theme="1"/>
        <rFont val="Times New Roman"/>
        <family val="1"/>
      </rPr>
      <t>95+</t>
    </r>
    <r>
      <rPr>
        <sz val="11"/>
        <color theme="1"/>
        <rFont val="宋体"/>
        <family val="3"/>
        <charset val="134"/>
      </rPr>
      <t>技术</t>
    </r>
  </si>
  <si>
    <r>
      <rPr>
        <sz val="11"/>
        <color theme="1"/>
        <rFont val="宋体"/>
        <family val="3"/>
        <charset val="134"/>
      </rPr>
      <t>煤化工气化黑水余热回收技术</t>
    </r>
  </si>
  <si>
    <r>
      <rPr>
        <sz val="11"/>
        <color theme="1"/>
        <rFont val="宋体"/>
        <family val="3"/>
        <charset val="134"/>
      </rPr>
      <t>高效控温绕管型反应器技术</t>
    </r>
  </si>
  <si>
    <r>
      <rPr>
        <sz val="11"/>
        <color theme="1"/>
        <rFont val="宋体"/>
        <family val="3"/>
        <charset val="134"/>
      </rPr>
      <t>高效智能炭素焙烧技术及成套设备</t>
    </r>
  </si>
  <si>
    <r>
      <rPr>
        <sz val="11"/>
        <color theme="1"/>
        <rFont val="宋体"/>
        <family val="3"/>
        <charset val="134"/>
      </rPr>
      <t>基于三维管自支撑纵向流蒸发器蒸发浓缩系统技术</t>
    </r>
  </si>
  <si>
    <r>
      <rPr>
        <sz val="11"/>
        <color theme="1"/>
        <rFont val="宋体"/>
        <family val="3"/>
        <charset val="134"/>
      </rPr>
      <t>高效节能蒸发式凝汽技术</t>
    </r>
  </si>
  <si>
    <r>
      <rPr>
        <sz val="11"/>
        <color theme="1"/>
        <rFont val="宋体"/>
        <family val="3"/>
        <charset val="134"/>
      </rPr>
      <t>无油螺杆水蒸气增压技术</t>
    </r>
  </si>
  <si>
    <r>
      <rPr>
        <sz val="11"/>
        <color theme="1"/>
        <rFont val="宋体"/>
        <family val="3"/>
        <charset val="134"/>
      </rPr>
      <t>机械行业</t>
    </r>
    <phoneticPr fontId="1" type="noConversion"/>
  </si>
  <si>
    <r>
      <rPr>
        <sz val="11"/>
        <color theme="1"/>
        <rFont val="宋体"/>
        <family val="3"/>
        <charset val="134"/>
      </rPr>
      <t>低排放柔和燃烧技术</t>
    </r>
  </si>
  <si>
    <r>
      <rPr>
        <sz val="11"/>
        <color theme="1"/>
        <rFont val="宋体"/>
        <family val="3"/>
        <charset val="134"/>
      </rPr>
      <t>脉冲燃气吹灰装置</t>
    </r>
  </si>
  <si>
    <r>
      <rPr>
        <sz val="11"/>
        <color theme="1"/>
        <rFont val="宋体"/>
        <family val="3"/>
        <charset val="134"/>
      </rPr>
      <t>无机矿物质全绝缘浇注母线产品节能技术</t>
    </r>
  </si>
  <si>
    <r>
      <rPr>
        <sz val="11"/>
        <color theme="1"/>
        <rFont val="宋体"/>
        <family val="3"/>
        <charset val="134"/>
      </rPr>
      <t>配电网用节能环保型铝合金电力金具</t>
    </r>
  </si>
  <si>
    <r>
      <t>2160Mpa</t>
    </r>
    <r>
      <rPr>
        <sz val="11"/>
        <color theme="1"/>
        <rFont val="宋体"/>
        <family val="3"/>
        <charset val="134"/>
      </rPr>
      <t>级超高强度钢丝用线材在线盐浴热处理装备及工艺</t>
    </r>
  </si>
  <si>
    <r>
      <rPr>
        <sz val="11"/>
        <color theme="1"/>
        <rFont val="宋体"/>
        <family val="3"/>
        <charset val="134"/>
      </rPr>
      <t>工业加热炉炉内强化热辐射节能技术</t>
    </r>
  </si>
  <si>
    <r>
      <rPr>
        <sz val="11"/>
        <color theme="1"/>
        <rFont val="宋体"/>
        <family val="3"/>
        <charset val="134"/>
      </rPr>
      <t>新型智能轨道电动机车技术</t>
    </r>
  </si>
  <si>
    <r>
      <rPr>
        <sz val="11"/>
        <color theme="1"/>
        <rFont val="宋体"/>
        <family val="3"/>
        <charset val="134"/>
      </rPr>
      <t>自卸车全电驱动技术</t>
    </r>
  </si>
  <si>
    <r>
      <rPr>
        <sz val="11"/>
        <color theme="1"/>
        <rFont val="宋体"/>
        <family val="3"/>
        <charset val="134"/>
      </rPr>
      <t>电熔法大产能宽幅岩棉生产线成套技术</t>
    </r>
  </si>
  <si>
    <r>
      <rPr>
        <sz val="11"/>
        <color theme="1"/>
        <rFont val="宋体"/>
        <family val="3"/>
        <charset val="134"/>
      </rPr>
      <t>超大产能三元材料烧结节能装备</t>
    </r>
  </si>
  <si>
    <r>
      <rPr>
        <sz val="11"/>
        <color theme="1"/>
        <rFont val="宋体"/>
        <family val="3"/>
        <charset val="134"/>
      </rPr>
      <t>电子设备</t>
    </r>
    <phoneticPr fontId="1" type="noConversion"/>
  </si>
  <si>
    <r>
      <rPr>
        <sz val="11"/>
        <color theme="1"/>
        <rFont val="宋体"/>
        <family val="3"/>
        <charset val="134"/>
      </rPr>
      <t>超高速激光熔覆技术</t>
    </r>
  </si>
  <si>
    <r>
      <t>3D</t>
    </r>
    <r>
      <rPr>
        <sz val="11"/>
        <color theme="1"/>
        <rFont val="宋体"/>
        <family val="3"/>
        <charset val="134"/>
      </rPr>
      <t>光学压差转写技术</t>
    </r>
  </si>
  <si>
    <r>
      <rPr>
        <sz val="11"/>
        <color theme="1"/>
        <rFont val="宋体"/>
        <family val="3"/>
        <charset val="134"/>
      </rPr>
      <t>带增压电路的特高光效</t>
    </r>
    <r>
      <rPr>
        <sz val="11"/>
        <color theme="1"/>
        <rFont val="Times New Roman"/>
        <family val="1"/>
      </rPr>
      <t>LED</t>
    </r>
    <r>
      <rPr>
        <sz val="11"/>
        <color theme="1"/>
        <rFont val="宋体"/>
        <family val="3"/>
        <charset val="134"/>
      </rPr>
      <t>灯管技术</t>
    </r>
  </si>
  <si>
    <r>
      <rPr>
        <sz val="11"/>
        <color theme="1"/>
        <rFont val="宋体"/>
        <family val="3"/>
        <charset val="134"/>
      </rPr>
      <t>光伏电子材料高纯晶硅工艺技术</t>
    </r>
  </si>
  <si>
    <r>
      <rPr>
        <sz val="11"/>
        <color theme="1"/>
        <rFont val="宋体"/>
        <family val="3"/>
        <charset val="134"/>
      </rPr>
      <t>电气机械</t>
    </r>
    <phoneticPr fontId="1" type="noConversion"/>
  </si>
  <si>
    <r>
      <rPr>
        <sz val="11"/>
        <color theme="1"/>
        <rFont val="宋体"/>
        <family val="3"/>
        <charset val="134"/>
      </rPr>
      <t>超薄柔性铜铟镓硒太阳能电池一体化发电节能技术</t>
    </r>
  </si>
  <si>
    <r>
      <rPr>
        <sz val="11"/>
        <color theme="1"/>
        <rFont val="宋体"/>
        <family val="3"/>
        <charset val="134"/>
      </rPr>
      <t>真空集热蓄热型太阳能复合空气能供热技术</t>
    </r>
  </si>
  <si>
    <r>
      <rPr>
        <sz val="11"/>
        <color theme="1"/>
        <rFont val="宋体"/>
        <family val="3"/>
        <charset val="134"/>
      </rPr>
      <t>太阳能异聚态热利用系统</t>
    </r>
  </si>
  <si>
    <r>
      <rPr>
        <sz val="11"/>
        <color theme="1"/>
        <rFont val="宋体"/>
        <family val="3"/>
        <charset val="134"/>
      </rPr>
      <t>蓄能泵高效节能技术</t>
    </r>
  </si>
  <si>
    <r>
      <rPr>
        <sz val="11"/>
        <color theme="1"/>
        <rFont val="宋体"/>
        <family val="3"/>
        <charset val="134"/>
      </rPr>
      <t>高效能固体储热技术</t>
    </r>
  </si>
  <si>
    <r>
      <rPr>
        <sz val="11"/>
        <color theme="1"/>
        <rFont val="宋体"/>
        <family val="3"/>
        <charset val="134"/>
      </rPr>
      <t>基于超级电容的重力再生电能就地存储再利用节能系统</t>
    </r>
  </si>
  <si>
    <r>
      <rPr>
        <sz val="11"/>
        <color theme="1"/>
        <rFont val="宋体"/>
        <family val="3"/>
        <charset val="134"/>
      </rPr>
      <t>钛酸锂功率型高效储能系统</t>
    </r>
  </si>
  <si>
    <r>
      <rPr>
        <sz val="11"/>
        <color theme="1"/>
        <rFont val="宋体"/>
        <family val="3"/>
        <charset val="134"/>
      </rPr>
      <t>飞轮储能技术</t>
    </r>
  </si>
  <si>
    <r>
      <rPr>
        <sz val="11"/>
        <color theme="1"/>
        <rFont val="宋体"/>
        <family val="3"/>
        <charset val="134"/>
      </rPr>
      <t>压缩空气储能发电透平技术</t>
    </r>
  </si>
  <si>
    <r>
      <rPr>
        <sz val="11"/>
        <color theme="1"/>
        <rFont val="宋体"/>
        <family val="3"/>
        <charset val="134"/>
      </rPr>
      <t>陶瓷复合相变储热技术</t>
    </r>
  </si>
  <si>
    <r>
      <rPr>
        <sz val="11"/>
        <color theme="1"/>
        <rFont val="宋体"/>
        <family val="3"/>
        <charset val="134"/>
      </rPr>
      <t>钢铁企业电网智能管控技术</t>
    </r>
  </si>
  <si>
    <r>
      <rPr>
        <sz val="11"/>
        <color theme="1"/>
        <rFont val="宋体"/>
        <family val="3"/>
        <charset val="134"/>
      </rPr>
      <t>磁悬浮变频离心式中央空调技术</t>
    </r>
  </si>
  <si>
    <r>
      <rPr>
        <sz val="11"/>
        <color theme="1"/>
        <rFont val="宋体"/>
        <family val="3"/>
        <charset val="134"/>
      </rPr>
      <t>磁悬浮离心鼓风机节能技术</t>
    </r>
  </si>
  <si>
    <r>
      <rPr>
        <sz val="11"/>
        <color theme="1"/>
        <rFont val="宋体"/>
        <family val="3"/>
        <charset val="134"/>
      </rPr>
      <t>快速换相开关三相不平衡治理技术</t>
    </r>
  </si>
  <si>
    <r>
      <rPr>
        <sz val="11"/>
        <color theme="1"/>
        <rFont val="宋体"/>
        <family val="3"/>
        <charset val="134"/>
      </rPr>
      <t>新型锅炉烟风耦合回转式空预器节能技术</t>
    </r>
  </si>
  <si>
    <r>
      <rPr>
        <sz val="11"/>
        <color theme="1"/>
        <rFont val="宋体"/>
        <family val="3"/>
        <charset val="134"/>
      </rPr>
      <t>燃煤工业锅炉深度节能技术</t>
    </r>
  </si>
  <si>
    <r>
      <rPr>
        <sz val="11"/>
        <color theme="1"/>
        <rFont val="宋体"/>
        <family val="3"/>
        <charset val="134"/>
      </rPr>
      <t>基于吸收式热泵循环的锅炉低品位烟气余热深度回收技术</t>
    </r>
  </si>
  <si>
    <r>
      <rPr>
        <sz val="11"/>
        <color theme="1"/>
        <rFont val="宋体"/>
        <family val="3"/>
        <charset val="134"/>
      </rPr>
      <t>炉窑燃烧工艺优化节能技术</t>
    </r>
  </si>
  <si>
    <r>
      <rPr>
        <sz val="11"/>
        <color theme="1"/>
        <rFont val="宋体"/>
        <family val="3"/>
        <charset val="134"/>
      </rPr>
      <t>高性能低压变频器</t>
    </r>
  </si>
  <si>
    <r>
      <rPr>
        <sz val="11"/>
        <color theme="1"/>
        <rFont val="宋体"/>
        <family val="3"/>
        <charset val="134"/>
      </rPr>
      <t>绕组式永磁耦合调速器技术</t>
    </r>
  </si>
  <si>
    <r>
      <rPr>
        <sz val="11"/>
        <color theme="1"/>
        <rFont val="宋体"/>
        <family val="3"/>
        <charset val="134"/>
      </rPr>
      <t>基于智能控制的水泵群控系统技术</t>
    </r>
  </si>
  <si>
    <r>
      <rPr>
        <sz val="11"/>
        <color theme="1"/>
        <rFont val="宋体"/>
        <family val="3"/>
        <charset val="134"/>
      </rPr>
      <t>工业水泵</t>
    </r>
    <phoneticPr fontId="1" type="noConversion"/>
  </si>
  <si>
    <r>
      <rPr>
        <sz val="11"/>
        <color theme="1"/>
        <rFont val="宋体"/>
        <family val="3"/>
        <charset val="134"/>
      </rPr>
      <t>新型开关磁阻调速电机系统</t>
    </r>
  </si>
  <si>
    <r>
      <rPr>
        <sz val="11"/>
        <color theme="1"/>
        <rFont val="宋体"/>
        <family val="3"/>
        <charset val="134"/>
      </rPr>
      <t>压缩空气系统节能技术</t>
    </r>
  </si>
  <si>
    <r>
      <rPr>
        <sz val="11"/>
        <color theme="1"/>
        <rFont val="宋体"/>
        <family val="3"/>
        <charset val="134"/>
      </rPr>
      <t>低温低压蒸汽喷射真空（泵）系统</t>
    </r>
  </si>
  <si>
    <r>
      <rPr>
        <sz val="11"/>
        <color theme="1"/>
        <rFont val="宋体"/>
        <family val="3"/>
        <charset val="134"/>
      </rPr>
      <t>一种基于螺杆膨胀机的余热利用技术</t>
    </r>
  </si>
  <si>
    <r>
      <rPr>
        <sz val="11"/>
        <color theme="1"/>
        <rFont val="宋体"/>
        <family val="3"/>
        <charset val="134"/>
      </rPr>
      <t>闭式冷却塔变频控制节能技术</t>
    </r>
  </si>
  <si>
    <r>
      <rPr>
        <sz val="11"/>
        <color theme="1"/>
        <rFont val="宋体"/>
        <family val="3"/>
        <charset val="134"/>
      </rPr>
      <t>冷却塔</t>
    </r>
    <phoneticPr fontId="1" type="noConversion"/>
  </si>
  <si>
    <r>
      <rPr>
        <sz val="11"/>
        <color theme="1"/>
        <rFont val="宋体"/>
        <family val="3"/>
        <charset val="134"/>
      </rPr>
      <t>卧式油冷型永磁调速节能技术</t>
    </r>
  </si>
  <si>
    <r>
      <rPr>
        <sz val="11"/>
        <color theme="1"/>
        <rFont val="宋体"/>
        <family val="3"/>
        <charset val="134"/>
      </rPr>
      <t>自调型能量回收技术</t>
    </r>
  </si>
  <si>
    <r>
      <rPr>
        <sz val="11"/>
        <color theme="1"/>
        <rFont val="宋体"/>
        <family val="3"/>
        <charset val="134"/>
      </rPr>
      <t>石化化工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钢铁</t>
    </r>
    <phoneticPr fontId="1" type="noConversion"/>
  </si>
  <si>
    <r>
      <rPr>
        <sz val="11"/>
        <color theme="1"/>
        <rFont val="宋体"/>
        <family val="3"/>
        <charset val="134"/>
      </rPr>
      <t>低热值煤气高效发电技术</t>
    </r>
  </si>
  <si>
    <r>
      <rPr>
        <sz val="11"/>
        <color theme="1"/>
        <rFont val="宋体"/>
        <family val="3"/>
        <charset val="134"/>
      </rPr>
      <t>钢铁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有色金属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石化化工</t>
    </r>
    <phoneticPr fontId="1" type="noConversion"/>
  </si>
  <si>
    <r>
      <rPr>
        <sz val="11"/>
        <color theme="1"/>
        <rFont val="宋体"/>
        <family val="3"/>
        <charset val="134"/>
      </rPr>
      <t>化石能源清洁高效利用</t>
    </r>
    <phoneticPr fontId="1" type="noConversion"/>
  </si>
  <si>
    <r>
      <rPr>
        <sz val="11"/>
        <color theme="1"/>
        <rFont val="宋体"/>
        <family val="3"/>
        <charset val="134"/>
      </rPr>
      <t>卧式循环流化床燃烧成套技术</t>
    </r>
  </si>
  <si>
    <r>
      <rPr>
        <sz val="11"/>
        <color theme="1"/>
        <rFont val="宋体"/>
        <family val="3"/>
        <charset val="134"/>
      </rPr>
      <t>钢铁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石化化工</t>
    </r>
    <phoneticPr fontId="1" type="noConversion"/>
  </si>
  <si>
    <r>
      <rPr>
        <sz val="11"/>
        <color theme="1"/>
        <rFont val="宋体"/>
        <family val="3"/>
        <charset val="134"/>
      </rPr>
      <t>低氮燃气辐射供热节能技术</t>
    </r>
  </si>
  <si>
    <r>
      <rPr>
        <sz val="11"/>
        <color theme="1"/>
        <rFont val="宋体"/>
        <family val="3"/>
        <charset val="134"/>
      </rPr>
      <t>智能化矿物干法深度分选技术</t>
    </r>
  </si>
  <si>
    <r>
      <rPr>
        <sz val="11"/>
        <color theme="1"/>
        <rFont val="宋体"/>
        <family val="3"/>
        <charset val="134"/>
      </rPr>
      <t>多孔介质无焰超焓燃烧系统</t>
    </r>
  </si>
  <si>
    <r>
      <rPr>
        <sz val="11"/>
        <color theme="1"/>
        <rFont val="宋体"/>
        <family val="3"/>
        <charset val="134"/>
      </rPr>
      <t>有色金属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石化化工</t>
    </r>
    <phoneticPr fontId="1" type="noConversion"/>
  </si>
  <si>
    <r>
      <rPr>
        <sz val="11"/>
        <color theme="1"/>
        <rFont val="宋体"/>
        <family val="3"/>
        <charset val="134"/>
      </rPr>
      <t>高效节能低氮燃烧技术</t>
    </r>
  </si>
  <si>
    <r>
      <rPr>
        <sz val="11"/>
        <color theme="1"/>
        <rFont val="宋体"/>
        <family val="3"/>
        <charset val="134"/>
      </rPr>
      <t>有机固废绿色高效裂解节能技术及装备</t>
    </r>
  </si>
  <si>
    <r>
      <rPr>
        <sz val="11"/>
        <color theme="1"/>
        <rFont val="宋体"/>
        <family val="3"/>
        <charset val="134"/>
      </rPr>
      <t>燃煤电厂污泥干化焚烧处置集成技术</t>
    </r>
  </si>
  <si>
    <r>
      <rPr>
        <sz val="11"/>
        <color theme="1"/>
        <rFont val="宋体"/>
        <family val="3"/>
        <charset val="134"/>
      </rPr>
      <t>垃圾焚烧余热高效回收利用技术</t>
    </r>
  </si>
  <si>
    <r>
      <rPr>
        <sz val="11"/>
        <color theme="1"/>
        <rFont val="宋体"/>
        <family val="3"/>
        <charset val="134"/>
      </rPr>
      <t>压缩空气系</t>
    </r>
    <r>
      <rPr>
        <sz val="11"/>
        <color theme="1"/>
        <rFont val="Times New Roman"/>
        <family val="3"/>
      </rPr>
      <t>统</t>
    </r>
    <phoneticPr fontId="1" type="noConversion"/>
  </si>
  <si>
    <t>推广
起始年</t>
    <phoneticPr fontId="1" type="noConversion"/>
  </si>
  <si>
    <r>
      <rPr>
        <b/>
        <sz val="11"/>
        <color theme="1"/>
        <rFont val="宋体"/>
        <family val="3"/>
        <charset val="134"/>
      </rPr>
      <t xml:space="preserve">推广
</t>
    </r>
    <r>
      <rPr>
        <b/>
        <sz val="11"/>
        <color theme="1"/>
        <rFont val="宋体"/>
        <family val="1"/>
        <charset val="134"/>
      </rPr>
      <t>结束年</t>
    </r>
    <phoneticPr fontId="1" type="noConversion"/>
  </si>
  <si>
    <t>目前
推广比例</t>
    <phoneticPr fontId="1" type="noConversion"/>
  </si>
  <si>
    <t>推广期
实现比例</t>
    <phoneticPr fontId="1" type="noConversion"/>
  </si>
  <si>
    <t>推广100%
实现的年份</t>
    <phoneticPr fontId="1" type="noConversion"/>
  </si>
  <si>
    <t>unit:万tce</t>
    <phoneticPr fontId="1" type="noConversion"/>
  </si>
  <si>
    <t>工业锅炉</t>
  </si>
  <si>
    <t>电力、热力生产</t>
  </si>
  <si>
    <t>石化</t>
  </si>
  <si>
    <t>化工</t>
  </si>
  <si>
    <t>钢铁</t>
  </si>
  <si>
    <t>纺织</t>
  </si>
  <si>
    <t>造纸</t>
  </si>
  <si>
    <t>食品</t>
  </si>
  <si>
    <t>food beverage and tobacco 10T12</t>
  </si>
  <si>
    <t>工业循环水</t>
  </si>
  <si>
    <t>有色金属</t>
  </si>
  <si>
    <t>微型燃气轮机</t>
  </si>
  <si>
    <t>非道路交通制造</t>
  </si>
  <si>
    <t>压缩空气系统</t>
  </si>
  <si>
    <t>电动机系统</t>
  </si>
  <si>
    <t>全部行业</t>
  </si>
  <si>
    <t>空调系统</t>
  </si>
  <si>
    <t>不计入工业</t>
  </si>
  <si>
    <t>能源系统</t>
  </si>
  <si>
    <t>风机系统</t>
  </si>
  <si>
    <t>煤炭开采</t>
  </si>
  <si>
    <t>汽轮机</t>
  </si>
  <si>
    <t>废弃物处理</t>
  </si>
  <si>
    <t>water and waste 36T39</t>
  </si>
  <si>
    <t>工业炉窑</t>
  </si>
  <si>
    <t>建材</t>
  </si>
  <si>
    <t>除尘器</t>
  </si>
  <si>
    <t>通用设备</t>
  </si>
  <si>
    <t>专用设备</t>
  </si>
  <si>
    <t>仪器仪表</t>
  </si>
  <si>
    <t>computers and electronics 27</t>
  </si>
  <si>
    <t>电气机械</t>
  </si>
  <si>
    <t>汽车制造</t>
  </si>
  <si>
    <t>工业水泵</t>
  </si>
  <si>
    <t>农业</t>
  </si>
  <si>
    <t>油气开采</t>
  </si>
  <si>
    <t>其他采矿</t>
  </si>
  <si>
    <t>other mining and quarrying 07T08</t>
  </si>
  <si>
    <t>冷却塔</t>
  </si>
  <si>
    <t>占比</t>
    <phoneticPr fontId="1" type="noConversion"/>
  </si>
  <si>
    <t>计入bldgs</t>
    <phoneticPr fontId="1" type="noConversion"/>
  </si>
  <si>
    <t>Early Facility Retirement</t>
  </si>
  <si>
    <t>发布时间</t>
    <phoneticPr fontId="1" type="noConversion"/>
  </si>
  <si>
    <t>Installation and System Integration</t>
  </si>
  <si>
    <t>Cogeneration and Waste Heat Recovery</t>
  </si>
  <si>
    <t>Improvement in Eqpt Efficiency Standards</t>
  </si>
  <si>
    <r>
      <rPr>
        <b/>
        <sz val="11"/>
        <color theme="1"/>
        <rFont val="宋体"/>
        <family val="3"/>
        <charset val="134"/>
      </rPr>
      <t xml:space="preserve">推广期的节能能力
</t>
    </r>
    <r>
      <rPr>
        <b/>
        <sz val="11"/>
        <color theme="1"/>
        <rFont val="Times New Roman"/>
        <family val="1"/>
      </rPr>
      <t>(</t>
    </r>
    <r>
      <rPr>
        <b/>
        <sz val="11"/>
        <color theme="1"/>
        <rFont val="宋体"/>
        <family val="3"/>
        <charset val="134"/>
      </rPr>
      <t>万</t>
    </r>
    <r>
      <rPr>
        <b/>
        <sz val="11"/>
        <color theme="1"/>
        <rFont val="Times New Roman"/>
        <family val="1"/>
      </rPr>
      <t>tce/a)</t>
    </r>
    <phoneticPr fontId="1" type="noConversion"/>
  </si>
  <si>
    <t>100%推广的节能能力
(万tce/a)</t>
    <phoneticPr fontId="1" type="noConversion"/>
  </si>
  <si>
    <t>高温工业窑炉红外节能涂料技术</t>
    <phoneticPr fontId="1" type="noConversion"/>
  </si>
  <si>
    <r>
      <t>≤</t>
    </r>
    <r>
      <rPr>
        <sz val="11"/>
        <color theme="1"/>
        <rFont val="Times New Roman"/>
        <family val="1"/>
      </rPr>
      <t>1%</t>
    </r>
    <phoneticPr fontId="1" type="noConversion"/>
  </si>
  <si>
    <t>&lt;1%</t>
    <phoneticPr fontId="1" type="noConversion"/>
  </si>
  <si>
    <r>
      <rPr>
        <b/>
        <sz val="10"/>
        <color theme="1"/>
        <rFont val="宋体"/>
        <family val="3"/>
        <charset val="134"/>
      </rPr>
      <t xml:space="preserve">推广期的节能能力
</t>
    </r>
    <r>
      <rPr>
        <b/>
        <sz val="10"/>
        <color theme="1"/>
        <rFont val="Times New Roman"/>
        <family val="1"/>
      </rPr>
      <t>(</t>
    </r>
    <r>
      <rPr>
        <b/>
        <sz val="10"/>
        <color theme="1"/>
        <rFont val="宋体"/>
        <family val="3"/>
        <charset val="134"/>
      </rPr>
      <t>万</t>
    </r>
    <r>
      <rPr>
        <b/>
        <sz val="10"/>
        <color theme="1"/>
        <rFont val="Times New Roman"/>
        <family val="1"/>
      </rPr>
      <t>tce/a)</t>
    </r>
    <phoneticPr fontId="1" type="noConversion"/>
  </si>
  <si>
    <t>100%实现</t>
    <phoneticPr fontId="1" type="noConversion"/>
  </si>
  <si>
    <t>节能量</t>
    <phoneticPr fontId="1" type="noConversion"/>
  </si>
  <si>
    <t>政策时间表</t>
    <phoneticPr fontId="1" type="noConversion"/>
  </si>
  <si>
    <t>BTU/万tce</t>
    <phoneticPr fontId="1" type="noConversion"/>
  </si>
  <si>
    <t>Unit: dimensionless</t>
  </si>
  <si>
    <t>Perc Fuel Use Reduction</t>
  </si>
  <si>
    <t>节能百分比</t>
    <phoneticPr fontId="1" type="noConversion"/>
  </si>
  <si>
    <t>合计</t>
    <phoneticPr fontId="1" type="noConversion"/>
  </si>
  <si>
    <t>工业</t>
    <phoneticPr fontId="1" type="noConversion"/>
  </si>
  <si>
    <t>PPRiFUfERoIF Potential Perc Reduction in Fuel Use from Early Retirement of Inefficient Facilities</t>
    <phoneticPr fontId="22" type="noConversion"/>
  </si>
  <si>
    <t>PPRiFUfIIaIoE Potential Perc Reduction in Fuel Use from Improved Installation and Integration of Eqpt</t>
    <phoneticPr fontId="22" type="noConversion"/>
  </si>
  <si>
    <t>PPRiFUfICaWHR Potential Perc Reduction in Fuel Use from Increased Cogen and Waste Heat Recovery</t>
    <phoneticPr fontId="22" type="noConversion"/>
  </si>
  <si>
    <t>Source:</t>
  </si>
  <si>
    <t>Notes:</t>
  </si>
  <si>
    <t>时间表</t>
    <phoneticPr fontId="1" type="noConversion"/>
  </si>
  <si>
    <t>Energy saving potential of key technologies in some key industries</t>
    <phoneticPr fontId="1" type="noConversion"/>
  </si>
  <si>
    <r>
      <rPr>
        <sz val="10"/>
        <color rgb="FF000000"/>
        <rFont val="Times New Roman"/>
        <family val="1"/>
      </rPr>
      <t xml:space="preserve">Ministry of  Industry and Information Technology of the People's Republic of China </t>
    </r>
    <r>
      <rPr>
        <sz val="10"/>
        <color rgb="FF000000"/>
        <rFont val="宋体"/>
        <family val="1"/>
        <charset val="134"/>
      </rPr>
      <t>中华人民共和国工业和信息化部</t>
    </r>
    <r>
      <rPr>
        <sz val="10"/>
        <color rgb="FF000000"/>
        <rFont val="等线 Light"/>
        <family val="3"/>
        <charset val="134"/>
        <scheme val="major"/>
      </rPr>
      <t xml:space="preserve"> </t>
    </r>
    <phoneticPr fontId="22" type="noConversion"/>
  </si>
  <si>
    <t>National Recommended Catalogue of Industrial Energy Conservation Technologies 2020 2021 2022</t>
    <phoneticPr fontId="1" type="noConversion"/>
  </si>
  <si>
    <t>国家工业节能技术推荐目录 2020 2021 2022</t>
    <phoneticPr fontId="22" type="noConversion"/>
  </si>
  <si>
    <t>https://wap.miit.gov.cn/zwgk/zcwj/wjfb/gg/art/2020/art_e0190e6c3c404e54a7958e863d68d6a2.html</t>
    <phoneticPr fontId="1" type="noConversion"/>
  </si>
  <si>
    <r>
      <rPr>
        <u/>
        <sz val="10"/>
        <color theme="10"/>
        <rFont val="等线"/>
        <family val="2"/>
      </rPr>
      <t>中华人民共和国工业和信息化部公告</t>
    </r>
    <r>
      <rPr>
        <u/>
        <sz val="10"/>
        <color theme="10"/>
        <rFont val="Times New Roman"/>
        <family val="1"/>
      </rPr>
      <t>2021</t>
    </r>
    <r>
      <rPr>
        <u/>
        <sz val="10"/>
        <color theme="10"/>
        <rFont val="等线"/>
        <family val="2"/>
      </rPr>
      <t>年</t>
    </r>
    <r>
      <rPr>
        <u/>
        <sz val="10"/>
        <color theme="10"/>
        <rFont val="Times New Roman"/>
        <family val="1"/>
      </rPr>
      <t xml:space="preserve"> </t>
    </r>
    <r>
      <rPr>
        <u/>
        <sz val="10"/>
        <color theme="10"/>
        <rFont val="等线"/>
        <family val="2"/>
      </rPr>
      <t>第</t>
    </r>
    <r>
      <rPr>
        <u/>
        <sz val="10"/>
        <color theme="10"/>
        <rFont val="Times New Roman"/>
        <family val="1"/>
      </rPr>
      <t>30</t>
    </r>
    <r>
      <rPr>
        <u/>
        <sz val="10"/>
        <color theme="10"/>
        <rFont val="等线"/>
        <family val="2"/>
      </rPr>
      <t>号</t>
    </r>
    <phoneticPr fontId="1" type="noConversion"/>
  </si>
  <si>
    <r>
      <rPr>
        <u/>
        <sz val="10"/>
        <color theme="10"/>
        <rFont val="等线"/>
        <family val="2"/>
      </rPr>
      <t>《国家工业和信息化领域节能技术装备推荐目录（</t>
    </r>
    <r>
      <rPr>
        <u/>
        <sz val="10"/>
        <color theme="10"/>
        <rFont val="Times New Roman"/>
        <family val="1"/>
      </rPr>
      <t>2022</t>
    </r>
    <r>
      <rPr>
        <u/>
        <sz val="10"/>
        <color theme="10"/>
        <rFont val="等线"/>
        <family val="2"/>
      </rPr>
      <t>年版）》（中华人民共和国工业和信息化部公告</t>
    </r>
    <r>
      <rPr>
        <u/>
        <sz val="10"/>
        <color theme="10"/>
        <rFont val="Times New Roman"/>
        <family val="1"/>
      </rPr>
      <t>2022</t>
    </r>
    <r>
      <rPr>
        <u/>
        <sz val="10"/>
        <color theme="10"/>
        <rFont val="等线"/>
        <family val="2"/>
      </rPr>
      <t>年第</t>
    </r>
    <r>
      <rPr>
        <u/>
        <sz val="10"/>
        <color theme="10"/>
        <rFont val="Times New Roman"/>
        <family val="1"/>
      </rPr>
      <t>29</t>
    </r>
    <r>
      <rPr>
        <u/>
        <sz val="10"/>
        <color theme="10"/>
        <rFont val="等线"/>
        <family val="2"/>
      </rPr>
      <t>号）</t>
    </r>
  </si>
  <si>
    <t>BIFUbC 2020</t>
    <phoneticPr fontId="1" type="noConversion"/>
  </si>
  <si>
    <t>技术节能+装备节能</t>
    <phoneticPr fontId="1" type="noConversion"/>
  </si>
  <si>
    <t>技术节能</t>
    <phoneticPr fontId="1" type="noConversion"/>
  </si>
  <si>
    <t>技术节能+设备节能</t>
    <phoneticPr fontId="1" type="noConversion"/>
  </si>
  <si>
    <t>总技术节能量</t>
    <phoneticPr fontId="1" type="noConversion"/>
  </si>
  <si>
    <t>总节能量占比</t>
    <phoneticPr fontId="1" type="noConversion"/>
  </si>
  <si>
    <t>两高项目管控节能量</t>
    <phoneticPr fontId="1" type="noConversion"/>
  </si>
  <si>
    <t>总节量：1.5亿吨标煤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</si>
</sst>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0.0"/>
    <numFmt numFmtId="177" formatCode="0.00_);[Red]\(0.00\)"/>
    <numFmt numFmtId="178" formatCode="0_);[Red]\(0\)"/>
    <numFmt numFmtId="179" formatCode="0.0%"/>
    <numFmt numFmtId="180" formatCode="0.00000_);[Red]\(0.00000\)"/>
    <numFmt numFmtId="181" formatCode="0.000%"/>
    <numFmt numFmtId="182" formatCode="0.000000_);[Red]\(0.000000\)"/>
    <numFmt numFmtId="183" formatCode="0.0000"/>
    <numFmt numFmtId="184" formatCode="0.0000_);[Red]\(0.0000\)"/>
    <numFmt numFmtId="185" formatCode="0.000_);[Red]\(0.000\)"/>
  </numFmts>
  <fonts count="3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1"/>
      <charset val="134"/>
    </font>
    <font>
      <b/>
      <sz val="11"/>
      <color theme="1"/>
      <name val="Times New Roman"/>
      <family val="1"/>
    </font>
    <font>
      <sz val="11"/>
      <color rgb="FF000000"/>
      <name val="宋体"/>
      <family val="3"/>
      <charset val="134"/>
    </font>
    <font>
      <sz val="10"/>
      <color theme="1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rgb="FF000000"/>
      <name val="Times New Roman"/>
      <family val="1"/>
    </font>
    <font>
      <sz val="11"/>
      <color theme="1"/>
      <name val="Times New Roman"/>
      <family val="3"/>
    </font>
    <font>
      <sz val="11"/>
      <color theme="1"/>
      <name val="Times New Roman"/>
      <family val="3"/>
      <charset val="134"/>
    </font>
    <font>
      <b/>
      <sz val="11"/>
      <color theme="1"/>
      <name val="Times New Roman"/>
      <family val="3"/>
      <charset val="134"/>
    </font>
    <font>
      <b/>
      <sz val="10"/>
      <color theme="1"/>
      <name val="Times New Roman"/>
      <family val="3"/>
      <charset val="134"/>
    </font>
    <font>
      <b/>
      <sz val="10"/>
      <color theme="1"/>
      <name val="宋体"/>
      <family val="3"/>
      <charset val="134"/>
    </font>
    <font>
      <b/>
      <sz val="10"/>
      <color theme="1"/>
      <name val="Times New Roman"/>
      <family val="1"/>
    </font>
    <font>
      <sz val="10"/>
      <color theme="1"/>
      <name val="等线 Light"/>
      <family val="3"/>
      <charset val="134"/>
      <scheme val="major"/>
    </font>
    <font>
      <sz val="9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9"/>
      <name val="宋体"/>
      <family val="3"/>
      <charset val="134"/>
    </font>
    <font>
      <sz val="10"/>
      <color rgb="FF000000"/>
      <name val="Times New Roman"/>
      <family val="1"/>
      <charset val="134"/>
    </font>
    <font>
      <sz val="10"/>
      <color rgb="FF000000"/>
      <name val="Times New Roman"/>
      <family val="1"/>
    </font>
    <font>
      <sz val="10"/>
      <color rgb="FF000000"/>
      <name val="等线 Light"/>
      <family val="3"/>
      <charset val="134"/>
      <scheme val="major"/>
    </font>
    <font>
      <u/>
      <sz val="10"/>
      <color theme="10"/>
      <name val="Times New Roman"/>
      <family val="1"/>
    </font>
    <font>
      <sz val="10"/>
      <color rgb="FF000000"/>
      <name val="宋体"/>
      <family val="1"/>
      <charset val="134"/>
    </font>
    <font>
      <sz val="11"/>
      <color rgb="FF000000"/>
      <name val="Segoe UI"/>
      <family val="2"/>
    </font>
    <font>
      <u/>
      <sz val="10"/>
      <color theme="10"/>
      <name val="等线"/>
      <family val="2"/>
    </font>
    <font>
      <u/>
      <sz val="10"/>
      <color theme="10"/>
      <name val="Times New Roman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/>
  </cellStyleXfs>
  <cellXfs count="9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9" fontId="2" fillId="0" borderId="0" xfId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9" fontId="2" fillId="2" borderId="0" xfId="1" applyFont="1" applyFill="1" applyAlignment="1">
      <alignment horizontal="center"/>
    </xf>
    <xf numFmtId="176" fontId="2" fillId="2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0" fontId="8" fillId="0" borderId="0" xfId="0" applyFont="1"/>
    <xf numFmtId="0" fontId="4" fillId="0" borderId="0" xfId="0" applyFont="1" applyAlignment="1">
      <alignment horizontal="left"/>
    </xf>
    <xf numFmtId="177" fontId="2" fillId="2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178" fontId="2" fillId="2" borderId="0" xfId="0" applyNumberFormat="1" applyFont="1" applyFill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1" xfId="0" applyFont="1" applyBorder="1"/>
    <xf numFmtId="0" fontId="10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10" fillId="0" borderId="1" xfId="0" applyFont="1" applyBorder="1"/>
    <xf numFmtId="0" fontId="10" fillId="2" borderId="1" xfId="0" applyFont="1" applyFill="1" applyBorder="1" applyAlignment="1">
      <alignment horizontal="left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1" fillId="0" borderId="0" xfId="0" applyFont="1"/>
    <xf numFmtId="0" fontId="2" fillId="0" borderId="0" xfId="0" quotePrefix="1" applyFont="1" applyAlignment="1">
      <alignment horizontal="center"/>
    </xf>
    <xf numFmtId="0" fontId="13" fillId="0" borderId="0" xfId="0" applyFont="1" applyAlignment="1">
      <alignment horizontal="center"/>
    </xf>
    <xf numFmtId="0" fontId="2" fillId="0" borderId="0" xfId="1" applyNumberFormat="1" applyFont="1" applyAlignment="1">
      <alignment horizontal="center"/>
    </xf>
    <xf numFmtId="0" fontId="2" fillId="2" borderId="0" xfId="1" applyNumberFormat="1" applyFont="1" applyFill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78" fontId="2" fillId="0" borderId="0" xfId="0" applyNumberFormat="1" applyFont="1" applyAlignment="1">
      <alignment horizontal="center"/>
    </xf>
    <xf numFmtId="0" fontId="18" fillId="0" borderId="1" xfId="0" applyFont="1" applyBorder="1"/>
    <xf numFmtId="0" fontId="10" fillId="2" borderId="1" xfId="0" applyFont="1" applyFill="1" applyBorder="1"/>
    <xf numFmtId="0" fontId="18" fillId="2" borderId="1" xfId="0" applyFont="1" applyFill="1" applyBorder="1"/>
    <xf numFmtId="11" fontId="10" fillId="0" borderId="1" xfId="0" applyNumberFormat="1" applyFont="1" applyBorder="1" applyAlignment="1">
      <alignment horizontal="center"/>
    </xf>
    <xf numFmtId="179" fontId="10" fillId="0" borderId="1" xfId="1" applyNumberFormat="1" applyFont="1" applyBorder="1" applyAlignment="1">
      <alignment horizontal="center"/>
    </xf>
    <xf numFmtId="0" fontId="8" fillId="2" borderId="1" xfId="0" applyFont="1" applyFill="1" applyBorder="1"/>
    <xf numFmtId="0" fontId="10" fillId="0" borderId="1" xfId="0" applyFont="1" applyBorder="1" applyAlignment="1">
      <alignment horizontal="center"/>
    </xf>
    <xf numFmtId="178" fontId="10" fillId="0" borderId="1" xfId="0" applyNumberFormat="1" applyFont="1" applyBorder="1" applyAlignment="1">
      <alignment horizontal="center"/>
    </xf>
    <xf numFmtId="0" fontId="10" fillId="3" borderId="1" xfId="0" applyFont="1" applyFill="1" applyBorder="1"/>
    <xf numFmtId="0" fontId="18" fillId="3" borderId="1" xfId="0" applyFont="1" applyFill="1" applyBorder="1"/>
    <xf numFmtId="1" fontId="10" fillId="0" borderId="1" xfId="0" applyNumberFormat="1" applyFont="1" applyBorder="1" applyAlignment="1">
      <alignment horizontal="center"/>
    </xf>
    <xf numFmtId="0" fontId="10" fillId="3" borderId="0" xfId="0" applyFont="1" applyFill="1"/>
    <xf numFmtId="1" fontId="10" fillId="0" borderId="0" xfId="0" applyNumberFormat="1" applyFont="1"/>
    <xf numFmtId="178" fontId="2" fillId="0" borderId="0" xfId="1" applyNumberFormat="1" applyFont="1" applyAlignment="1">
      <alignment horizontal="center"/>
    </xf>
    <xf numFmtId="9" fontId="12" fillId="0" borderId="0" xfId="1" applyFont="1" applyAlignment="1">
      <alignment horizontal="center"/>
    </xf>
    <xf numFmtId="0" fontId="19" fillId="0" borderId="0" xfId="0" applyFont="1" applyAlignment="1">
      <alignment vertical="center"/>
    </xf>
    <xf numFmtId="0" fontId="20" fillId="0" borderId="0" xfId="0" applyFont="1"/>
    <xf numFmtId="180" fontId="20" fillId="0" borderId="0" xfId="0" applyNumberFormat="1" applyFont="1"/>
    <xf numFmtId="177" fontId="10" fillId="0" borderId="1" xfId="1" applyNumberFormat="1" applyFont="1" applyBorder="1" applyAlignment="1">
      <alignment horizontal="center"/>
    </xf>
    <xf numFmtId="181" fontId="10" fillId="0" borderId="1" xfId="1" applyNumberFormat="1" applyFont="1" applyBorder="1" applyAlignment="1">
      <alignment horizontal="center"/>
    </xf>
    <xf numFmtId="0" fontId="10" fillId="0" borderId="4" xfId="0" applyFont="1" applyBorder="1"/>
    <xf numFmtId="1" fontId="10" fillId="0" borderId="4" xfId="0" applyNumberFormat="1" applyFont="1" applyBorder="1" applyAlignment="1">
      <alignment horizontal="center"/>
    </xf>
    <xf numFmtId="0" fontId="10" fillId="4" borderId="3" xfId="0" applyFont="1" applyFill="1" applyBorder="1"/>
    <xf numFmtId="178" fontId="10" fillId="4" borderId="3" xfId="0" applyNumberFormat="1" applyFont="1" applyFill="1" applyBorder="1"/>
    <xf numFmtId="177" fontId="10" fillId="0" borderId="4" xfId="1" applyNumberFormat="1" applyFont="1" applyBorder="1" applyAlignment="1">
      <alignment horizontal="center"/>
    </xf>
    <xf numFmtId="182" fontId="10" fillId="4" borderId="3" xfId="1" applyNumberFormat="1" applyFont="1" applyFill="1" applyBorder="1" applyAlignment="1"/>
    <xf numFmtId="181" fontId="10" fillId="0" borderId="0" xfId="1" applyNumberFormat="1" applyFont="1" applyAlignment="1"/>
    <xf numFmtId="0" fontId="21" fillId="0" borderId="0" xfId="0" applyFont="1"/>
    <xf numFmtId="0" fontId="0" fillId="0" borderId="0" xfId="0" applyAlignment="1">
      <alignment horizontal="left" vertical="top"/>
    </xf>
    <xf numFmtId="0" fontId="11" fillId="5" borderId="0" xfId="0" applyFont="1" applyFill="1"/>
    <xf numFmtId="0" fontId="23" fillId="0" borderId="0" xfId="0" applyFont="1" applyAlignment="1">
      <alignment horizontal="left" vertical="top"/>
    </xf>
    <xf numFmtId="0" fontId="25" fillId="0" borderId="0" xfId="0" applyFont="1" applyAlignment="1">
      <alignment horizontal="left" vertical="top"/>
    </xf>
    <xf numFmtId="0" fontId="28" fillId="0" borderId="0" xfId="0" applyFont="1" applyAlignment="1">
      <alignment horizontal="left" vertical="top"/>
    </xf>
    <xf numFmtId="1" fontId="10" fillId="0" borderId="0" xfId="0" applyNumberFormat="1" applyFont="1" applyAlignment="1">
      <alignment horizontal="center"/>
    </xf>
    <xf numFmtId="178" fontId="10" fillId="4" borderId="0" xfId="0" applyNumberFormat="1" applyFont="1" applyFill="1"/>
    <xf numFmtId="181" fontId="10" fillId="0" borderId="0" xfId="1" applyNumberFormat="1" applyFont="1" applyBorder="1" applyAlignment="1">
      <alignment horizontal="center"/>
    </xf>
    <xf numFmtId="177" fontId="10" fillId="0" borderId="0" xfId="1" applyNumberFormat="1" applyFont="1" applyBorder="1" applyAlignment="1">
      <alignment horizontal="center"/>
    </xf>
    <xf numFmtId="0" fontId="8" fillId="0" borderId="0" xfId="0" applyFont="1" applyAlignment="1">
      <alignment vertical="center"/>
    </xf>
    <xf numFmtId="11" fontId="8" fillId="0" borderId="0" xfId="0" applyNumberFormat="1" applyFont="1" applyAlignment="1">
      <alignment vertical="center"/>
    </xf>
    <xf numFmtId="179" fontId="10" fillId="0" borderId="0" xfId="1" applyNumberFormat="1" applyFont="1" applyBorder="1" applyAlignment="1">
      <alignment horizontal="center"/>
    </xf>
    <xf numFmtId="179" fontId="10" fillId="4" borderId="3" xfId="1" applyNumberFormat="1" applyFont="1" applyFill="1" applyBorder="1" applyAlignment="1"/>
    <xf numFmtId="0" fontId="26" fillId="0" borderId="0" xfId="2"/>
    <xf numFmtId="0" fontId="30" fillId="0" borderId="0" xfId="2" applyFont="1"/>
    <xf numFmtId="182" fontId="10" fillId="4" borderId="0" xfId="1" applyNumberFormat="1" applyFont="1" applyFill="1" applyBorder="1" applyAlignment="1"/>
    <xf numFmtId="180" fontId="10" fillId="4" borderId="0" xfId="1" applyNumberFormat="1" applyFont="1" applyFill="1" applyBorder="1" applyAlignment="1"/>
    <xf numFmtId="183" fontId="10" fillId="4" borderId="0" xfId="0" applyNumberFormat="1" applyFont="1" applyFill="1"/>
    <xf numFmtId="184" fontId="10" fillId="0" borderId="0" xfId="1" applyNumberFormat="1" applyFont="1" applyBorder="1" applyAlignment="1">
      <alignment horizontal="center"/>
    </xf>
    <xf numFmtId="183" fontId="10" fillId="0" borderId="1" xfId="1" applyNumberFormat="1" applyFont="1" applyBorder="1" applyAlignment="1">
      <alignment horizontal="center"/>
    </xf>
    <xf numFmtId="185" fontId="10" fillId="0" borderId="0" xfId="1" applyNumberFormat="1" applyFont="1" applyBorder="1" applyAlignment="1">
      <alignment horizontal="center"/>
    </xf>
    <xf numFmtId="184" fontId="10" fillId="0" borderId="1" xfId="1" applyNumberFormat="1" applyFont="1" applyBorder="1" applyAlignment="1">
      <alignment horizontal="center"/>
    </xf>
    <xf numFmtId="184" fontId="10" fillId="4" borderId="3" xfId="1" applyNumberFormat="1" applyFont="1" applyFill="1" applyBorder="1" applyAlignment="1"/>
    <xf numFmtId="1" fontId="10" fillId="0" borderId="0" xfId="0" applyNumberFormat="1" applyFont="1" applyBorder="1" applyAlignment="1">
      <alignment horizontal="center"/>
    </xf>
  </cellXfs>
  <cellStyles count="3">
    <cellStyle name="百分比" xfId="1" builtinId="5"/>
    <cellStyle name="常规" xfId="0" builtinId="0"/>
    <cellStyle name="超链接" xfId="2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BIFUbC/cn-BAU%20Industrial%20Fuel%20Use%20before%20CCS.xlsx" TargetMode="External"/><Relationship Id="rId2" Type="http://schemas.openxmlformats.org/officeDocument/2006/relationships/externalLinkPath" Target="file:///E:\EPS%20in%20github\Github%20China\eps-china2019-smart-trans\InputData\indst\BIFUbC\cn-BAU%20Industrial%20Fuel%20Use%20before%20CCS.xlsx" TargetMode="External"/><Relationship Id="rId1" Type="http://schemas.openxmlformats.org/officeDocument/2006/relationships/externalLinkPath" Target="/EPS%20in%20github/Github%20China/eps-china2019-smart-trans/InputData/indst/BIFUbC/cn-BAU%20Industrial%20Fuel%20Use%20before%20C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bout"/>
      <sheetName val="Sector Match"/>
      <sheetName val="Fuel Match"/>
      <sheetName val="Heat Value"/>
      <sheetName val="Final Energy Consumption-2019"/>
      <sheetName val="Feedstock Split-2019"/>
      <sheetName val="Final Energy Consumption-2020"/>
      <sheetName val="Feedstock Split-2020"/>
      <sheetName val="Transformation Match"/>
      <sheetName val="Value Added"/>
      <sheetName val="Energy Balance-2019"/>
      <sheetName val="Energy Balance-2020"/>
      <sheetName val="Non-energy Use 2019"/>
      <sheetName val="Product Output &amp; Intensity"/>
      <sheetName val="Non-energy Use 2020"/>
      <sheetName val="Energy Use 2019"/>
      <sheetName val="Energy Use 2020"/>
      <sheetName val="Non-energy Use &gt;&gt;"/>
      <sheetName val="Non-energy Multiplier"/>
      <sheetName val="NonE-Coal"/>
      <sheetName val="NonE-LPG propane or butane"/>
      <sheetName val="NonE-petroleum diesel"/>
      <sheetName val="NonE-crude oil"/>
      <sheetName val="NonE-heavy fuel oil"/>
      <sheetName val="NonE-natural gas"/>
      <sheetName val="NonE-biomass"/>
      <sheetName val="Energy Use &gt;&gt;"/>
      <sheetName val="Energy Efficiency"/>
      <sheetName val="Energy Use"/>
      <sheetName val="Electrification"/>
      <sheetName val="E-electricity"/>
      <sheetName val="Coal Consumption Structure "/>
      <sheetName val="E-Coal"/>
      <sheetName val="E-LPG propane or butane"/>
      <sheetName val="E-petroleum diesel"/>
      <sheetName val="E-crude oil"/>
      <sheetName val="E-heavy fuel oil"/>
      <sheetName val="E-natural gas"/>
      <sheetName val="E-heat"/>
      <sheetName val="E-biomass"/>
      <sheetName val="BIFUbC-sum"/>
      <sheetName val="BIFUbC-coal"/>
      <sheetName val="BIFUbC-LPG-propane-or-butane"/>
      <sheetName val="BIFUbC-petroleum-diesel"/>
      <sheetName val="BIFUbC-crude-oil"/>
      <sheetName val="BIFUbC-heavy-or-residual-oil"/>
      <sheetName val="BIFUbC-natural-gas"/>
      <sheetName val="BIFUbC-electricity"/>
      <sheetName val="BIFUbC-heat"/>
      <sheetName val="BIFUbC-biomass"/>
      <sheetName val="BIFUbC-hydrogen"/>
      <sheetName val="BPoIFUfE-coal"/>
      <sheetName val="BPoIFUfE-LPG-propane-or-butane"/>
      <sheetName val="BPoIFUfE-petroleum-diesel"/>
      <sheetName val="BPoIFUfE-crude-oil"/>
      <sheetName val="BPoIFUfE-heavy-or-residual-oil"/>
      <sheetName val="BPoIFUfE-natural-gas"/>
      <sheetName val="BPoIFUfE-electricity"/>
      <sheetName val="BPoIFUfE-heat"/>
      <sheetName val="BPoIFUfE-biomass"/>
      <sheetName val="BPoIFUfE-hydrog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2">
          <cell r="B2">
            <v>493530523266000</v>
          </cell>
          <cell r="C2">
            <v>486035952765000</v>
          </cell>
          <cell r="D2">
            <v>459996670714324.06</v>
          </cell>
          <cell r="E2">
            <v>470815034433345.56</v>
          </cell>
          <cell r="F2">
            <v>497686408888601.13</v>
          </cell>
          <cell r="G2">
            <v>520095284493117.56</v>
          </cell>
          <cell r="H2">
            <v>532123405391014.38</v>
          </cell>
          <cell r="I2">
            <v>564985596508887.13</v>
          </cell>
          <cell r="J2">
            <v>586830830599524.5</v>
          </cell>
          <cell r="K2">
            <v>607818204261948.13</v>
          </cell>
          <cell r="L2">
            <v>627858831776680.63</v>
          </cell>
          <cell r="M2">
            <v>657772915456991.25</v>
          </cell>
          <cell r="N2">
            <v>665244716389611.5</v>
          </cell>
          <cell r="O2">
            <v>682492408276857.13</v>
          </cell>
          <cell r="P2">
            <v>698572669600621.13</v>
          </cell>
          <cell r="Q2">
            <v>713452433567580</v>
          </cell>
          <cell r="R2">
            <v>722638888035087.63</v>
          </cell>
          <cell r="S2">
            <v>740707768971573.25</v>
          </cell>
          <cell r="T2">
            <v>753114279354270.25</v>
          </cell>
          <cell r="U2">
            <v>764336603295917.75</v>
          </cell>
          <cell r="V2">
            <v>774391402142240.13</v>
          </cell>
          <cell r="W2">
            <v>783304768523558.63</v>
          </cell>
          <cell r="X2">
            <v>791111498206147.38</v>
          </cell>
          <cell r="Y2">
            <v>797854311522465.88</v>
          </cell>
          <cell r="Z2">
            <v>803583043372738.75</v>
          </cell>
          <cell r="AA2">
            <v>808353819710107.63</v>
          </cell>
          <cell r="AB2">
            <v>812228237055817.63</v>
          </cell>
          <cell r="AC2">
            <v>815272560014910.25</v>
          </cell>
          <cell r="AD2">
            <v>817556950049271</v>
          </cell>
          <cell r="AE2">
            <v>819154736981249.75</v>
          </cell>
          <cell r="AF2">
            <v>820141742908620.88</v>
          </cell>
          <cell r="AG2">
            <v>820595666464480.88</v>
          </cell>
          <cell r="AH2">
            <v>820595533699297.63</v>
          </cell>
          <cell r="AI2">
            <v>820221220335042.25</v>
          </cell>
          <cell r="AJ2">
            <v>819553048772639.88</v>
          </cell>
          <cell r="AK2">
            <v>818671462046681.63</v>
          </cell>
          <cell r="AL2">
            <v>817656775931126.75</v>
          </cell>
          <cell r="AM2">
            <v>816589009616807</v>
          </cell>
          <cell r="AN2">
            <v>815547794811382.38</v>
          </cell>
          <cell r="AO2">
            <v>814612362756586.38</v>
          </cell>
          <cell r="AP2">
            <v>813861608515590.5</v>
          </cell>
          <cell r="AQ2">
            <v>813184371167166.13</v>
          </cell>
        </row>
        <row r="3">
          <cell r="B3">
            <v>1772232586228500</v>
          </cell>
          <cell r="C3">
            <v>1609227066744000</v>
          </cell>
          <cell r="D3">
            <v>1661037909586798.8</v>
          </cell>
          <cell r="E3">
            <v>1787316564801411.3</v>
          </cell>
          <cell r="F3">
            <v>1906178922798115.8</v>
          </cell>
          <cell r="G3">
            <v>2003244592916282.3</v>
          </cell>
          <cell r="H3">
            <v>2100503074996626</v>
          </cell>
          <cell r="I3">
            <v>2133299740568863.5</v>
          </cell>
          <cell r="J3">
            <v>2166051247432162</v>
          </cell>
          <cell r="K3">
            <v>2198757733391482.8</v>
          </cell>
          <cell r="L3">
            <v>2231419336131567.8</v>
          </cell>
          <cell r="M3">
            <v>2264036193216940</v>
          </cell>
          <cell r="N3">
            <v>2275747357943660</v>
          </cell>
          <cell r="O3">
            <v>2287447595738367</v>
          </cell>
          <cell r="P3">
            <v>2299136931166654</v>
          </cell>
          <cell r="Q3">
            <v>2310815388779408.5</v>
          </cell>
          <cell r="R3">
            <v>2322482993112817.5</v>
          </cell>
          <cell r="S3">
            <v>2300831623606483.5</v>
          </cell>
          <cell r="T3">
            <v>2279186758522323</v>
          </cell>
          <cell r="U3">
            <v>2257548394180839</v>
          </cell>
          <cell r="V3">
            <v>2235916526903199</v>
          </cell>
          <cell r="W3">
            <v>2214291153011239.3</v>
          </cell>
          <cell r="X3">
            <v>2179899420659532.8</v>
          </cell>
          <cell r="Y3">
            <v>2145517989843557.3</v>
          </cell>
          <cell r="Z3">
            <v>2111146854691836.8</v>
          </cell>
          <cell r="AA3">
            <v>2076786009333962</v>
          </cell>
          <cell r="AB3">
            <v>2042435447900588.5</v>
          </cell>
          <cell r="AC3">
            <v>2008095164523439.5</v>
          </cell>
          <cell r="AD3">
            <v>1973765153335301</v>
          </cell>
          <cell r="AE3">
            <v>1939445408470027.3</v>
          </cell>
          <cell r="AF3">
            <v>1905135924062538</v>
          </cell>
          <cell r="AG3">
            <v>1870836694248817.3</v>
          </cell>
          <cell r="AH3">
            <v>1828045177456814.8</v>
          </cell>
          <cell r="AI3">
            <v>1785266437452405</v>
          </cell>
          <cell r="AJ3">
            <v>1742500466913229.5</v>
          </cell>
          <cell r="AK3">
            <v>1699747258518262</v>
          </cell>
          <cell r="AL3">
            <v>1657006804947809.5</v>
          </cell>
          <cell r="AM3">
            <v>1622775304667105.5</v>
          </cell>
          <cell r="AN3">
            <v>1588554015527339.5</v>
          </cell>
          <cell r="AO3">
            <v>1554342931673354</v>
          </cell>
          <cell r="AP3">
            <v>1520142047251060.5</v>
          </cell>
          <cell r="AQ3">
            <v>1485856281199365.5</v>
          </cell>
        </row>
        <row r="4">
          <cell r="B4">
            <v>22553157115499.992</v>
          </cell>
          <cell r="C4">
            <v>13639118295000</v>
          </cell>
          <cell r="D4">
            <v>13425410219053.236</v>
          </cell>
          <cell r="E4">
            <v>14275391391651.574</v>
          </cell>
          <cell r="F4">
            <v>15471974002435.418</v>
          </cell>
          <cell r="G4">
            <v>16272841203866.434</v>
          </cell>
          <cell r="H4">
            <v>17081645434492.754</v>
          </cell>
          <cell r="I4">
            <v>17452633596338.936</v>
          </cell>
          <cell r="J4">
            <v>17821313821145.402</v>
          </cell>
          <cell r="K4">
            <v>18187690623850.734</v>
          </cell>
          <cell r="L4">
            <v>18551768516222.852</v>
          </cell>
          <cell r="M4">
            <v>18913552006859.023</v>
          </cell>
          <cell r="N4">
            <v>19145841868264.207</v>
          </cell>
          <cell r="O4">
            <v>19377101351704.07</v>
          </cell>
          <cell r="P4">
            <v>19607331860802.703</v>
          </cell>
          <cell r="Q4">
            <v>19836534798510.32</v>
          </cell>
          <cell r="R4">
            <v>20064711567103.246</v>
          </cell>
          <cell r="S4">
            <v>20322292217340.008</v>
          </cell>
          <cell r="T4">
            <v>20579618767001.418</v>
          </cell>
          <cell r="U4">
            <v>20836691328665.051</v>
          </cell>
          <cell r="V4">
            <v>21093510014890.145</v>
          </cell>
          <cell r="W4">
            <v>21350074938217.641</v>
          </cell>
          <cell r="X4">
            <v>21472948298657.191</v>
          </cell>
          <cell r="Y4">
            <v>21595696537063.281</v>
          </cell>
          <cell r="Z4">
            <v>21718319709433.625</v>
          </cell>
          <cell r="AA4">
            <v>21840817871756.777</v>
          </cell>
          <cell r="AB4">
            <v>21963191080012.145</v>
          </cell>
          <cell r="AC4">
            <v>22085439390169.996</v>
          </cell>
          <cell r="AD4">
            <v>22207562858191.449</v>
          </cell>
          <cell r="AE4">
            <v>22329561540028.48</v>
          </cell>
          <cell r="AF4">
            <v>22451435491623.91</v>
          </cell>
          <cell r="AG4">
            <v>22573184768911.441</v>
          </cell>
          <cell r="AH4">
            <v>22694743109057.902</v>
          </cell>
          <cell r="AI4">
            <v>22816176950679.371</v>
          </cell>
          <cell r="AJ4">
            <v>22937486349653.93</v>
          </cell>
          <cell r="AK4">
            <v>23058671361850.48</v>
          </cell>
          <cell r="AL4">
            <v>23179732043128.836</v>
          </cell>
          <cell r="AM4">
            <v>23168469547333.117</v>
          </cell>
          <cell r="AN4">
            <v>23157210415580.582</v>
          </cell>
          <cell r="AO4">
            <v>23145954647436.664</v>
          </cell>
          <cell r="AP4">
            <v>23134702242466.824</v>
          </cell>
          <cell r="AQ4">
            <v>23115732514693.961</v>
          </cell>
        </row>
        <row r="5">
          <cell r="B5">
            <v>192878244157500</v>
          </cell>
          <cell r="C5">
            <v>160372141858500</v>
          </cell>
          <cell r="D5">
            <v>150580256300579.63</v>
          </cell>
          <cell r="E5">
            <v>162785676727777.19</v>
          </cell>
          <cell r="F5">
            <v>173262316479161.69</v>
          </cell>
          <cell r="G5">
            <v>179983457946675.22</v>
          </cell>
          <cell r="H5">
            <v>186774445914098.66</v>
          </cell>
          <cell r="I5">
            <v>189860953949538.03</v>
          </cell>
          <cell r="J5">
            <v>192899593933935.84</v>
          </cell>
          <cell r="K5">
            <v>195890599351341.66</v>
          </cell>
          <cell r="L5">
            <v>198834203455106.69</v>
          </cell>
          <cell r="M5">
            <v>201730639267884.19</v>
          </cell>
          <cell r="N5">
            <v>200861363993301.72</v>
          </cell>
          <cell r="O5">
            <v>199988745601452.88</v>
          </cell>
          <cell r="P5">
            <v>199112808224364.66</v>
          </cell>
          <cell r="Q5">
            <v>198233575976512.38</v>
          </cell>
          <cell r="R5">
            <v>197351072954819.88</v>
          </cell>
          <cell r="S5">
            <v>194832271984387.88</v>
          </cell>
          <cell r="T5">
            <v>192318181220246.47</v>
          </cell>
          <cell r="U5">
            <v>189808797752683.72</v>
          </cell>
          <cell r="V5">
            <v>187304118672530.16</v>
          </cell>
          <cell r="W5">
            <v>184804141071158.97</v>
          </cell>
          <cell r="X5">
            <v>180591607502106.72</v>
          </cell>
          <cell r="Y5">
            <v>176389384737336.88</v>
          </cell>
          <cell r="Z5">
            <v>172197465969326.66</v>
          </cell>
          <cell r="AA5">
            <v>168015844391848.81</v>
          </cell>
          <cell r="AB5">
            <v>163844513199972.09</v>
          </cell>
          <cell r="AC5">
            <v>159778836622153.53</v>
          </cell>
          <cell r="AD5">
            <v>155724898846952.66</v>
          </cell>
          <cell r="AE5">
            <v>151682691868229.28</v>
          </cell>
          <cell r="AF5">
            <v>147652207681381.75</v>
          </cell>
          <cell r="AG5">
            <v>143633438283347.25</v>
          </cell>
          <cell r="AH5">
            <v>140202102362850.06</v>
          </cell>
          <cell r="AI5">
            <v>136782282771688</v>
          </cell>
          <cell r="AJ5">
            <v>133373971457067.31</v>
          </cell>
          <cell r="AK5">
            <v>129977160367753.25</v>
          </cell>
          <cell r="AL5">
            <v>126591841454069.63</v>
          </cell>
          <cell r="AM5">
            <v>123454045610231.31</v>
          </cell>
          <cell r="AN5">
            <v>120327478963386.88</v>
          </cell>
          <cell r="AO5">
            <v>117212133584324.53</v>
          </cell>
          <cell r="AP5">
            <v>114108001545371.91</v>
          </cell>
          <cell r="AQ5">
            <v>110978008117417.72</v>
          </cell>
        </row>
        <row r="6">
          <cell r="B6">
            <v>448946440041000</v>
          </cell>
          <cell r="C6">
            <v>335208415888500.06</v>
          </cell>
          <cell r="D6">
            <v>350216450566090.94</v>
          </cell>
          <cell r="E6">
            <v>358590294032378.75</v>
          </cell>
          <cell r="F6">
            <v>366501172041651.81</v>
          </cell>
          <cell r="G6">
            <v>374546949190282.56</v>
          </cell>
          <cell r="H6">
            <v>386247077990241.56</v>
          </cell>
          <cell r="I6">
            <v>399239715227437.63</v>
          </cell>
          <cell r="J6">
            <v>412166001395411.81</v>
          </cell>
          <cell r="K6">
            <v>424730571597150.44</v>
          </cell>
          <cell r="L6">
            <v>436617400716707.69</v>
          </cell>
          <cell r="M6">
            <v>447492473498888.31</v>
          </cell>
          <cell r="N6">
            <v>457532584463359.13</v>
          </cell>
          <cell r="O6">
            <v>466261121175626.69</v>
          </cell>
          <cell r="P6">
            <v>473721718056864.88</v>
          </cell>
          <cell r="Q6">
            <v>479977002913624.63</v>
          </cell>
          <cell r="R6">
            <v>485106195405427.56</v>
          </cell>
          <cell r="S6">
            <v>489994032596372.44</v>
          </cell>
          <cell r="T6">
            <v>493907860322173.88</v>
          </cell>
          <cell r="U6">
            <v>496897615515589.31</v>
          </cell>
          <cell r="V6">
            <v>499019784419496.5</v>
          </cell>
          <cell r="W6">
            <v>500336180510387.75</v>
          </cell>
          <cell r="X6">
            <v>500912776700370.75</v>
          </cell>
          <cell r="Y6">
            <v>500818613676761.63</v>
          </cell>
          <cell r="Z6">
            <v>500124801365687.25</v>
          </cell>
          <cell r="AA6">
            <v>498903625888937.38</v>
          </cell>
          <cell r="AB6">
            <v>497227770163247.75</v>
          </cell>
          <cell r="AC6">
            <v>495169652568924.19</v>
          </cell>
          <cell r="AD6">
            <v>492800884953536.19</v>
          </cell>
          <cell r="AE6">
            <v>490191848667036.13</v>
          </cell>
          <cell r="AF6">
            <v>487411385351176.56</v>
          </cell>
          <cell r="AG6">
            <v>484526597811730.44</v>
          </cell>
          <cell r="AH6">
            <v>481602755455445.19</v>
          </cell>
          <cell r="AI6">
            <v>478703298434572.06</v>
          </cell>
          <cell r="AJ6">
            <v>475889934766170.69</v>
          </cell>
          <cell r="AK6">
            <v>473222825238067.38</v>
          </cell>
          <cell r="AL6">
            <v>470760851840138.5</v>
          </cell>
          <cell r="AM6">
            <v>468561966738876.94</v>
          </cell>
          <cell r="AN6">
            <v>466683620426787.75</v>
          </cell>
          <cell r="AO6">
            <v>465183269622609.88</v>
          </cell>
          <cell r="AP6">
            <v>464118967787409.56</v>
          </cell>
          <cell r="AQ6">
            <v>463394759921436</v>
          </cell>
        </row>
        <row r="7">
          <cell r="B7">
            <v>100582247320500</v>
          </cell>
          <cell r="C7">
            <v>68498374345500</v>
          </cell>
          <cell r="D7">
            <v>66147093366482.484</v>
          </cell>
          <cell r="E7">
            <v>65830253944721.266</v>
          </cell>
          <cell r="F7">
            <v>66618498131354.82</v>
          </cell>
          <cell r="G7">
            <v>66843659070580.625</v>
          </cell>
          <cell r="H7">
            <v>67362246228384.711</v>
          </cell>
          <cell r="I7">
            <v>68019698068743.484</v>
          </cell>
          <cell r="J7">
            <v>68620161045770.508</v>
          </cell>
          <cell r="K7">
            <v>69073291924651.172</v>
          </cell>
          <cell r="L7">
            <v>69287430144062.563</v>
          </cell>
          <cell r="M7">
            <v>69171989249389.914</v>
          </cell>
          <cell r="N7">
            <v>68769959604293.797</v>
          </cell>
          <cell r="O7">
            <v>68045299325586.969</v>
          </cell>
          <cell r="P7">
            <v>67093150169112.016</v>
          </cell>
          <cell r="Q7">
            <v>66006740641709.742</v>
          </cell>
          <cell r="R7">
            <v>64875014917606.852</v>
          </cell>
          <cell r="S7">
            <v>63902576708525.75</v>
          </cell>
          <cell r="T7">
            <v>62964894567300.281</v>
          </cell>
          <cell r="U7">
            <v>62062198349472.273</v>
          </cell>
          <cell r="V7">
            <v>61194751943508.211</v>
          </cell>
          <cell r="W7">
            <v>60362832970861.516</v>
          </cell>
          <cell r="X7">
            <v>59566716445016.281</v>
          </cell>
          <cell r="Y7">
            <v>58806662300000.922</v>
          </cell>
          <cell r="Z7">
            <v>58082906582991.547</v>
          </cell>
          <cell r="AA7">
            <v>57395656020719.805</v>
          </cell>
          <cell r="AB7">
            <v>56745085613671.445</v>
          </cell>
          <cell r="AC7">
            <v>56131338882608.648</v>
          </cell>
          <cell r="AD7">
            <v>55554530385114.297</v>
          </cell>
          <cell r="AE7">
            <v>55014750131728.664</v>
          </cell>
          <cell r="AF7">
            <v>54512069557838.984</v>
          </cell>
          <cell r="AG7">
            <v>54046548745135.906</v>
          </cell>
          <cell r="AH7">
            <v>53618244631912.945</v>
          </cell>
          <cell r="AI7">
            <v>53227220002038.516</v>
          </cell>
          <cell r="AJ7">
            <v>52873553096043.805</v>
          </cell>
          <cell r="AK7">
            <v>52557347742983.688</v>
          </cell>
          <cell r="AL7">
            <v>52278743967814.289</v>
          </cell>
          <cell r="AM7">
            <v>52037929085851.305</v>
          </cell>
          <cell r="AN7">
            <v>51835149353972.68</v>
          </cell>
          <cell r="AO7">
            <v>51670722308776.203</v>
          </cell>
          <cell r="AP7">
            <v>51545049986779.875</v>
          </cell>
          <cell r="AQ7">
            <v>51441451779947.547</v>
          </cell>
        </row>
        <row r="8">
          <cell r="B8">
            <v>11011296318000</v>
          </cell>
          <cell r="C8">
            <v>7530682219500</v>
          </cell>
          <cell r="D8">
            <v>7476660898539.6963</v>
          </cell>
          <cell r="E8">
            <v>7926944761531.8623</v>
          </cell>
          <cell r="F8">
            <v>7982123036177.3984</v>
          </cell>
          <cell r="G8">
            <v>8009960083577.9346</v>
          </cell>
          <cell r="H8">
            <v>8089360187885.835</v>
          </cell>
          <cell r="I8">
            <v>8200043902140.749</v>
          </cell>
          <cell r="J8">
            <v>8322983729868.0771</v>
          </cell>
          <cell r="K8">
            <v>8447610119828.1338</v>
          </cell>
          <cell r="L8">
            <v>8562720399488.7764</v>
          </cell>
          <cell r="M8">
            <v>8656532005643.2607</v>
          </cell>
          <cell r="N8">
            <v>8740238974661.9268</v>
          </cell>
          <cell r="O8">
            <v>8792512550659.2568</v>
          </cell>
          <cell r="P8">
            <v>8815151893951.6953</v>
          </cell>
          <cell r="Q8">
            <v>8810296151993.6309</v>
          </cell>
          <cell r="R8">
            <v>8780351608460.75</v>
          </cell>
          <cell r="S8">
            <v>8754996070305.3379</v>
          </cell>
          <cell r="T8">
            <v>8709053779545.1191</v>
          </cell>
          <cell r="U8">
            <v>8644596045092.9922</v>
          </cell>
          <cell r="V8">
            <v>8563768008345.6309</v>
          </cell>
          <cell r="W8">
            <v>8468749448905.6738</v>
          </cell>
          <cell r="X8">
            <v>8361719904371.1152</v>
          </cell>
          <cell r="Y8">
            <v>8244828506343.5859</v>
          </cell>
          <cell r="Z8">
            <v>8120168736250.4619</v>
          </cell>
          <cell r="AA8">
            <v>7989758132346.2031</v>
          </cell>
          <cell r="AB8">
            <v>7855522836332.1064</v>
          </cell>
          <cell r="AC8">
            <v>7719286755507.8896</v>
          </cell>
          <cell r="AD8">
            <v>7582765033796.3076</v>
          </cell>
          <cell r="AE8">
            <v>7447561470734.2871</v>
          </cell>
          <cell r="AF8">
            <v>7315169499128.124</v>
          </cell>
          <cell r="AG8">
            <v>7186976326567.541</v>
          </cell>
          <cell r="AH8">
            <v>7064269860198.5098</v>
          </cell>
          <cell r="AI8">
            <v>6948248064938.9941</v>
          </cell>
          <cell r="AJ8">
            <v>6840030449792.2119</v>
          </cell>
          <cell r="AK8">
            <v>6740671432587.3965</v>
          </cell>
          <cell r="AL8">
            <v>6651175398406.0117</v>
          </cell>
          <cell r="AM8">
            <v>6572513339806.1133</v>
          </cell>
          <cell r="AN8">
            <v>6505641047114.9063</v>
          </cell>
          <cell r="AO8">
            <v>6451518904665.7646</v>
          </cell>
          <cell r="AP8">
            <v>6411133444901.6455</v>
          </cell>
          <cell r="AQ8">
            <v>6383366762941.8945</v>
          </cell>
        </row>
        <row r="9">
          <cell r="B9">
            <v>137352310227000</v>
          </cell>
          <cell r="C9">
            <v>109640733015000</v>
          </cell>
          <cell r="D9">
            <v>106548291239650.84</v>
          </cell>
          <cell r="E9">
            <v>113426183362578.94</v>
          </cell>
          <cell r="F9">
            <v>121713519231261.56</v>
          </cell>
          <cell r="G9">
            <v>127196413926964.78</v>
          </cell>
          <cell r="H9">
            <v>132784177544858.27</v>
          </cell>
          <cell r="I9">
            <v>135650991507498.09</v>
          </cell>
          <cell r="J9">
            <v>138496387031339.83</v>
          </cell>
          <cell r="K9">
            <v>141315655700754.69</v>
          </cell>
          <cell r="L9">
            <v>144103621439834.88</v>
          </cell>
          <cell r="M9">
            <v>146854696922105.56</v>
          </cell>
          <cell r="N9">
            <v>148175444610174.91</v>
          </cell>
          <cell r="O9">
            <v>149468671330667.19</v>
          </cell>
          <cell r="P9">
            <v>150735163584852.63</v>
          </cell>
          <cell r="Q9">
            <v>151975974928825.81</v>
          </cell>
          <cell r="R9">
            <v>153192386658467.09</v>
          </cell>
          <cell r="S9">
            <v>153887908282574.53</v>
          </cell>
          <cell r="T9">
            <v>154567635991918.22</v>
          </cell>
          <cell r="U9">
            <v>155232459973302.47</v>
          </cell>
          <cell r="V9">
            <v>155883367480031.88</v>
          </cell>
          <cell r="W9">
            <v>156521422858953.5</v>
          </cell>
          <cell r="X9">
            <v>155613670976101.78</v>
          </cell>
          <cell r="Y9">
            <v>154697845844842.03</v>
          </cell>
          <cell r="Z9">
            <v>153775132233100.84</v>
          </cell>
          <cell r="AA9">
            <v>152846724080370.38</v>
          </cell>
          <cell r="AB9">
            <v>151913811781007.06</v>
          </cell>
          <cell r="AC9">
            <v>149908078444855.81</v>
          </cell>
          <cell r="AD9">
            <v>147901912586796.22</v>
          </cell>
          <cell r="AE9">
            <v>145896436477121.19</v>
          </cell>
          <cell r="AF9">
            <v>143892737793258.56</v>
          </cell>
          <cell r="AG9">
            <v>141891866669223.16</v>
          </cell>
          <cell r="AH9">
            <v>139742671611702.63</v>
          </cell>
          <cell r="AI9">
            <v>137598537110881.61</v>
          </cell>
          <cell r="AJ9">
            <v>135460399962394.2</v>
          </cell>
          <cell r="AK9">
            <v>133329164235290.08</v>
          </cell>
          <cell r="AL9">
            <v>131205706127196.81</v>
          </cell>
          <cell r="AM9">
            <v>128787795504533.59</v>
          </cell>
          <cell r="AN9">
            <v>126379853023863.67</v>
          </cell>
          <cell r="AO9">
            <v>123982712854651.58</v>
          </cell>
          <cell r="AP9">
            <v>121597213346352.55</v>
          </cell>
          <cell r="AQ9">
            <v>119184399237442.81</v>
          </cell>
        </row>
        <row r="10">
          <cell r="B10">
            <v>4310208607600499.5</v>
          </cell>
          <cell r="C10">
            <v>4150672590916501</v>
          </cell>
          <cell r="D10">
            <v>4333793322118875.5</v>
          </cell>
          <cell r="E10">
            <v>4616408941742149</v>
          </cell>
          <cell r="F10">
            <v>4907761608164116</v>
          </cell>
          <cell r="G10">
            <v>5175247412672068</v>
          </cell>
          <cell r="H10">
            <v>5442863436829612</v>
          </cell>
          <cell r="I10">
            <v>5563142550594976</v>
          </cell>
          <cell r="J10">
            <v>5683393036770830</v>
          </cell>
          <cell r="K10">
            <v>5803614934478714</v>
          </cell>
          <cell r="L10">
            <v>5923808282827390</v>
          </cell>
          <cell r="M10">
            <v>6043973120912859</v>
          </cell>
          <cell r="N10">
            <v>6052103946782226</v>
          </cell>
          <cell r="O10">
            <v>6060233646070706</v>
          </cell>
          <cell r="P10">
            <v>6068362220052828</v>
          </cell>
          <cell r="Q10">
            <v>6076489670002833</v>
          </cell>
          <cell r="R10">
            <v>6084615997194656</v>
          </cell>
          <cell r="S10">
            <v>6015469108370210</v>
          </cell>
          <cell r="T10">
            <v>5946324585663877</v>
          </cell>
          <cell r="U10">
            <v>5877182428356822</v>
          </cell>
          <cell r="V10">
            <v>5808042635730285</v>
          </cell>
          <cell r="W10">
            <v>5738905207065560</v>
          </cell>
          <cell r="X10">
            <v>5609361642340911</v>
          </cell>
          <cell r="Y10">
            <v>5479822489979089</v>
          </cell>
          <cell r="Z10">
            <v>5350287748634059</v>
          </cell>
          <cell r="AA10">
            <v>5220757416959912</v>
          </cell>
          <cell r="AB10">
            <v>5091231493610858</v>
          </cell>
          <cell r="AC10">
            <v>4961709977241231</v>
          </cell>
          <cell r="AD10">
            <v>4832192866505484</v>
          </cell>
          <cell r="AE10">
            <v>4702680160058189</v>
          </cell>
          <cell r="AF10">
            <v>4573171856554043</v>
          </cell>
          <cell r="AG10">
            <v>4443667954647864</v>
          </cell>
          <cell r="AH10">
            <v>4331424773220615</v>
          </cell>
          <cell r="AI10">
            <v>4219185406239205.5</v>
          </cell>
          <cell r="AJ10">
            <v>4106949852537985</v>
          </cell>
          <cell r="AK10">
            <v>3994718110951407</v>
          </cell>
          <cell r="AL10">
            <v>3882490180314030</v>
          </cell>
          <cell r="AM10">
            <v>3764631985083909.5</v>
          </cell>
          <cell r="AN10">
            <v>3646777789116612.5</v>
          </cell>
          <cell r="AO10">
            <v>3528927591188531</v>
          </cell>
          <cell r="AP10">
            <v>3411081390076167</v>
          </cell>
          <cell r="AQ10">
            <v>3293186348249690</v>
          </cell>
        </row>
        <row r="11">
          <cell r="B11">
            <v>3738862886616001</v>
          </cell>
          <cell r="C11">
            <v>3786677579734499.5</v>
          </cell>
          <cell r="D11">
            <v>3858025171457435</v>
          </cell>
          <cell r="E11">
            <v>4181236617004898</v>
          </cell>
          <cell r="F11">
            <v>4552999959126025</v>
          </cell>
          <cell r="G11">
            <v>4829638475438996</v>
          </cell>
          <cell r="H11">
            <v>5109181589993674</v>
          </cell>
          <cell r="I11">
            <v>5288747265022716</v>
          </cell>
          <cell r="J11">
            <v>5466518592693109</v>
          </cell>
          <cell r="K11">
            <v>5642493823145977</v>
          </cell>
          <cell r="L11">
            <v>5816728014583076</v>
          </cell>
          <cell r="M11">
            <v>5989324181973565</v>
          </cell>
          <cell r="N11">
            <v>6087401178262736</v>
          </cell>
          <cell r="O11">
            <v>6184507088243898</v>
          </cell>
          <cell r="P11">
            <v>6280803183790728</v>
          </cell>
          <cell r="Q11">
            <v>6376462103128780</v>
          </cell>
          <cell r="R11">
            <v>6471662496791110</v>
          </cell>
          <cell r="S11">
            <v>6523603996036153</v>
          </cell>
          <cell r="T11">
            <v>6575484225171402</v>
          </cell>
          <cell r="U11">
            <v>6627303737574804</v>
          </cell>
          <cell r="V11">
            <v>6679063109648816</v>
          </cell>
          <cell r="W11">
            <v>6730762939627476</v>
          </cell>
          <cell r="X11">
            <v>6753191881817628</v>
          </cell>
          <cell r="Y11">
            <v>6775580247447179</v>
          </cell>
          <cell r="Z11">
            <v>6797928685793546</v>
          </cell>
          <cell r="AA11">
            <v>6820237863272518</v>
          </cell>
          <cell r="AB11">
            <v>6842508462297417</v>
          </cell>
          <cell r="AC11">
            <v>6839701646012139</v>
          </cell>
          <cell r="AD11">
            <v>6836872840580268</v>
          </cell>
          <cell r="AE11">
            <v>6834022763438873</v>
          </cell>
          <cell r="AF11">
            <v>6831152143660364</v>
          </cell>
          <cell r="AG11">
            <v>6828261720921874</v>
          </cell>
          <cell r="AH11">
            <v>6802637541681892</v>
          </cell>
          <cell r="AI11">
            <v>6777008839904870</v>
          </cell>
          <cell r="AJ11">
            <v>6751376375447913</v>
          </cell>
          <cell r="AK11">
            <v>6725740914941678</v>
          </cell>
          <cell r="AL11">
            <v>6700103230911866</v>
          </cell>
          <cell r="AM11">
            <v>6670296143924868</v>
          </cell>
          <cell r="AN11">
            <v>6640490920404354</v>
          </cell>
          <cell r="AO11">
            <v>6610688344582212</v>
          </cell>
          <cell r="AP11">
            <v>6580889203421124</v>
          </cell>
          <cell r="AQ11">
            <v>6549607508622578</v>
          </cell>
        </row>
        <row r="12">
          <cell r="B12">
            <v>53653680217500.008</v>
          </cell>
          <cell r="C12">
            <v>44214632566500</v>
          </cell>
          <cell r="D12">
            <v>41453865712540.117</v>
          </cell>
          <cell r="E12">
            <v>44310030017934.617</v>
          </cell>
          <cell r="F12">
            <v>44927484963032.305</v>
          </cell>
          <cell r="G12">
            <v>46007117330919.141</v>
          </cell>
          <cell r="H12">
            <v>47480112497581.93</v>
          </cell>
          <cell r="I12">
            <v>48825499513230.008</v>
          </cell>
          <cell r="J12">
            <v>49888039224700.531</v>
          </cell>
          <cell r="K12">
            <v>50650951236359.078</v>
          </cell>
          <cell r="L12">
            <v>51103053273955.43</v>
          </cell>
          <cell r="M12">
            <v>51239018094754.656</v>
          </cell>
          <cell r="N12">
            <v>51212666157281.977</v>
          </cell>
          <cell r="O12">
            <v>50936434609769.477</v>
          </cell>
          <cell r="P12">
            <v>50477259794191.336</v>
          </cell>
          <cell r="Q12">
            <v>49902301086674.188</v>
          </cell>
          <cell r="R12">
            <v>49277021120717.539</v>
          </cell>
          <cell r="S12">
            <v>48825768386316.227</v>
          </cell>
          <cell r="T12">
            <v>48384572325939.172</v>
          </cell>
          <cell r="U12">
            <v>47953694310959.992</v>
          </cell>
          <cell r="V12">
            <v>47533384930443.844</v>
          </cell>
          <cell r="W12">
            <v>47123884822277.945</v>
          </cell>
          <cell r="X12">
            <v>46725425513368.906</v>
          </cell>
          <cell r="Y12">
            <v>46338230268194.711</v>
          </cell>
          <cell r="Z12">
            <v>45962514945183.828</v>
          </cell>
          <cell r="AA12">
            <v>45598488860578.297</v>
          </cell>
          <cell r="AB12">
            <v>45246355659622.117</v>
          </cell>
          <cell r="AC12">
            <v>44906314195099.094</v>
          </cell>
          <cell r="AD12">
            <v>44578559413431.828</v>
          </cell>
          <cell r="AE12">
            <v>44263283248737.922</v>
          </cell>
          <cell r="AF12">
            <v>43960675525426.414</v>
          </cell>
          <cell r="AG12">
            <v>43670924870106.977</v>
          </cell>
          <cell r="AH12">
            <v>43394219633774.93</v>
          </cell>
          <cell r="AI12">
            <v>43130748825431.398</v>
          </cell>
          <cell r="AJ12">
            <v>42880703058492.852</v>
          </cell>
          <cell r="AK12">
            <v>42644275511549.359</v>
          </cell>
          <cell r="AL12">
            <v>42421662905238.625</v>
          </cell>
          <cell r="AM12">
            <v>42213066497217.727</v>
          </cell>
          <cell r="AN12">
            <v>42018693097437.422</v>
          </cell>
          <cell r="AO12">
            <v>41838756106154.313</v>
          </cell>
          <cell r="AP12">
            <v>41673476577359.516</v>
          </cell>
          <cell r="AQ12">
            <v>41509181968128.719</v>
          </cell>
        </row>
        <row r="13">
          <cell r="B13">
            <v>5841764923500</v>
          </cell>
          <cell r="C13">
            <v>1927810203000</v>
          </cell>
          <cell r="D13">
            <v>2026748949967.6042</v>
          </cell>
          <cell r="E13">
            <v>2163420690470.0813</v>
          </cell>
          <cell r="F13">
            <v>2228520638741.6318</v>
          </cell>
          <cell r="G13">
            <v>2335380312484.8525</v>
          </cell>
          <cell r="H13">
            <v>2475346670261.6387</v>
          </cell>
          <cell r="I13">
            <v>2608568006517.6865</v>
          </cell>
          <cell r="J13">
            <v>2723894192086.687</v>
          </cell>
          <cell r="K13">
            <v>2823184289769.7046</v>
          </cell>
          <cell r="L13">
            <v>2909297514085.1099</v>
          </cell>
          <cell r="M13">
            <v>2985904701624.8369</v>
          </cell>
          <cell r="N13">
            <v>3061726696585.8135</v>
          </cell>
          <cell r="O13">
            <v>3133506064602.6182</v>
          </cell>
          <cell r="P13">
            <v>3202292109603.5063</v>
          </cell>
          <cell r="Q13">
            <v>3269266204153.835</v>
          </cell>
          <cell r="R13">
            <v>3335732418032.8989</v>
          </cell>
          <cell r="S13">
            <v>3410671946410.208</v>
          </cell>
          <cell r="T13">
            <v>3486633703483.3257</v>
          </cell>
          <cell r="U13">
            <v>3563373888714.8184</v>
          </cell>
          <cell r="V13">
            <v>3640627288798.0688</v>
          </cell>
          <cell r="W13">
            <v>3718106858322.4146</v>
          </cell>
          <cell r="X13">
            <v>3795503512849.4619</v>
          </cell>
          <cell r="Y13">
            <v>3872486161545.8032</v>
          </cell>
          <cell r="Z13">
            <v>3948702006555.6245</v>
          </cell>
          <cell r="AA13">
            <v>4023777135766.2739</v>
          </cell>
          <cell r="AB13">
            <v>4097317434445.5781</v>
          </cell>
          <cell r="AC13">
            <v>4168909839341.4385</v>
          </cell>
          <cell r="AD13">
            <v>4238123956169.6382</v>
          </cell>
          <cell r="AE13">
            <v>4304514057920.4482</v>
          </cell>
          <cell r="AF13">
            <v>4367621477051.9897</v>
          </cell>
          <cell r="AG13">
            <v>4426977399386.4805</v>
          </cell>
          <cell r="AH13">
            <v>4482106061385.5859</v>
          </cell>
          <cell r="AI13">
            <v>4532528345479.124</v>
          </cell>
          <cell r="AJ13">
            <v>4577765760312.0928</v>
          </cell>
          <cell r="AK13">
            <v>4617344784243.4502</v>
          </cell>
          <cell r="AL13">
            <v>4650801541296.6924</v>
          </cell>
          <cell r="AM13">
            <v>4677686769180.7764</v>
          </cell>
          <cell r="AN13">
            <v>4697571029160.0918</v>
          </cell>
          <cell r="AO13">
            <v>4710050097678.7627</v>
          </cell>
          <cell r="AP13">
            <v>4714750469991.999</v>
          </cell>
          <cell r="AQ13">
            <v>4709743630156.8691</v>
          </cell>
        </row>
        <row r="14">
          <cell r="B14">
            <v>4628333402814000</v>
          </cell>
          <cell r="C14">
            <v>4896701805583499</v>
          </cell>
          <cell r="D14">
            <v>4639392144500975</v>
          </cell>
          <cell r="E14">
            <v>4608181294792016</v>
          </cell>
          <cell r="F14">
            <v>4733410079719185</v>
          </cell>
          <cell r="G14">
            <v>4775925594761380</v>
          </cell>
          <cell r="H14">
            <v>4822381028320230</v>
          </cell>
          <cell r="I14">
            <v>4870938150768012</v>
          </cell>
          <cell r="J14">
            <v>4919195485747885</v>
          </cell>
          <cell r="K14">
            <v>4967153597242005</v>
          </cell>
          <cell r="L14">
            <v>5014813048898868</v>
          </cell>
          <cell r="M14">
            <v>5062174404033323</v>
          </cell>
          <cell r="N14">
            <v>4995892762836066</v>
          </cell>
          <cell r="O14">
            <v>4929824455729792</v>
          </cell>
          <cell r="P14">
            <v>4863969222077679</v>
          </cell>
          <cell r="Q14">
            <v>4798326801346188</v>
          </cell>
          <cell r="R14">
            <v>4732896933105070</v>
          </cell>
          <cell r="S14">
            <v>4649875380727837</v>
          </cell>
          <cell r="T14">
            <v>4566923459406303</v>
          </cell>
          <cell r="U14">
            <v>4484041140647096.5</v>
          </cell>
          <cell r="V14">
            <v>4401228395960856</v>
          </cell>
          <cell r="W14">
            <v>4318485196862226</v>
          </cell>
          <cell r="X14">
            <v>4205789324316947</v>
          </cell>
          <cell r="Y14">
            <v>4093188561821221</v>
          </cell>
          <cell r="Z14">
            <v>3980682870346070</v>
          </cell>
          <cell r="AA14">
            <v>3868272210868014</v>
          </cell>
          <cell r="AB14">
            <v>3755956544369071</v>
          </cell>
          <cell r="AC14">
            <v>3668939899547424</v>
          </cell>
          <cell r="AD14">
            <v>3581996643759629.5</v>
          </cell>
          <cell r="AE14">
            <v>3495126746880047</v>
          </cell>
          <cell r="AF14">
            <v>3408330178787282.5</v>
          </cell>
          <cell r="AG14">
            <v>3321606909364182.5</v>
          </cell>
          <cell r="AH14">
            <v>3268923656802712</v>
          </cell>
          <cell r="AI14">
            <v>3216284610770126.5</v>
          </cell>
          <cell r="AJ14">
            <v>3163689753142963.5</v>
          </cell>
          <cell r="AK14">
            <v>3111139065800312</v>
          </cell>
          <cell r="AL14">
            <v>3058632530623814.5</v>
          </cell>
          <cell r="AM14">
            <v>3031784518189237</v>
          </cell>
          <cell r="AN14">
            <v>3004958711986114</v>
          </cell>
          <cell r="AO14">
            <v>2978155102953152.5</v>
          </cell>
          <cell r="AP14">
            <v>2951373682030334</v>
          </cell>
          <cell r="AQ14">
            <v>2923681420590376</v>
          </cell>
        </row>
        <row r="15">
          <cell r="B15">
            <v>1.2819537843222E+16</v>
          </cell>
          <cell r="C15">
            <v>1.3221483492723E+16</v>
          </cell>
          <cell r="D15">
            <v>1.2953816088609654E+16</v>
          </cell>
          <cell r="E15">
            <v>1.3333747326457454E+16</v>
          </cell>
          <cell r="F15">
            <v>1.4167378456964024E+16</v>
          </cell>
          <cell r="G15">
            <v>1.4742364067585232E+16</v>
          </cell>
          <cell r="H15">
            <v>1.5325221142440696E+16</v>
          </cell>
          <cell r="I15">
            <v>1.5631030299208656E+16</v>
          </cell>
          <cell r="J15">
            <v>1.5935361166342868E+16</v>
          </cell>
          <cell r="K15">
            <v>1.623821581532975E+16</v>
          </cell>
          <cell r="L15">
            <v>1.6539596316678414E+16</v>
          </cell>
          <cell r="M15">
            <v>1.6839504739920656E+16</v>
          </cell>
          <cell r="N15">
            <v>1.6837533898264758E+16</v>
          </cell>
          <cell r="O15">
            <v>1.6835505276852262E+16</v>
          </cell>
          <cell r="P15">
            <v>1.6833418942099788E+16</v>
          </cell>
          <cell r="Q15">
            <v>1.6831274960401188E+16</v>
          </cell>
          <cell r="R15">
            <v>1.6829073398127556E+16</v>
          </cell>
          <cell r="S15">
            <v>1.6632783499341924E+16</v>
          </cell>
          <cell r="T15">
            <v>1.6436616903793036E+16</v>
          </cell>
          <cell r="U15">
            <v>1.6240573571629036E+16</v>
          </cell>
          <cell r="V15">
            <v>1.6044653463003004E+16</v>
          </cell>
          <cell r="W15">
            <v>1.584885653807299E+16</v>
          </cell>
          <cell r="X15">
            <v>1.5486406076181568E+16</v>
          </cell>
          <cell r="Y15">
            <v>1.5124185471145282E+16</v>
          </cell>
          <cell r="Z15">
            <v>1.4762194648378338E+16</v>
          </cell>
          <cell r="AA15">
            <v>1.440043353330422E+16</v>
          </cell>
          <cell r="AB15">
            <v>1.4038902051355704E+16</v>
          </cell>
          <cell r="AC15">
            <v>1.367760012797484E+16</v>
          </cell>
          <cell r="AD15">
            <v>1.3316527688612968E+16</v>
          </cell>
          <cell r="AE15">
            <v>1.295568465873071E+16</v>
          </cell>
          <cell r="AF15">
            <v>1.2595070963797964E+16</v>
          </cell>
          <cell r="AG15">
            <v>1.2234686529293922E+16</v>
          </cell>
          <cell r="AH15">
            <v>1.1922029405829874E+16</v>
          </cell>
          <cell r="AI15">
            <v>1.1609570959151882E+16</v>
          </cell>
          <cell r="AJ15">
            <v>1.1297311124688748E+16</v>
          </cell>
          <cell r="AK15">
            <v>1.0985249837877324E+16</v>
          </cell>
          <cell r="AL15">
            <v>1.0673387034162508E+16</v>
          </cell>
          <cell r="AM15">
            <v>1.0346237564285586E+16</v>
          </cell>
          <cell r="AN15">
            <v>1.0019296375669416E+16</v>
          </cell>
          <cell r="AO15">
            <v>9692563400544714</v>
          </cell>
          <cell r="AP15">
            <v>9366038571150652</v>
          </cell>
          <cell r="AQ15">
            <v>9037080566405338</v>
          </cell>
        </row>
        <row r="16">
          <cell r="B16">
            <v>601671231051000.13</v>
          </cell>
          <cell r="C16">
            <v>580059756441000</v>
          </cell>
          <cell r="D16">
            <v>544064979934675.56</v>
          </cell>
          <cell r="E16">
            <v>612348015193835</v>
          </cell>
          <cell r="F16">
            <v>666377391306903.25</v>
          </cell>
          <cell r="G16">
            <v>707589057251824.13</v>
          </cell>
          <cell r="H16">
            <v>748770351613939.25</v>
          </cell>
          <cell r="I16">
            <v>782305097886822.75</v>
          </cell>
          <cell r="J16">
            <v>815345069387447.63</v>
          </cell>
          <cell r="K16">
            <v>847892693924998</v>
          </cell>
          <cell r="L16">
            <v>879950396949853.13</v>
          </cell>
          <cell r="M16">
            <v>911520601553588.75</v>
          </cell>
          <cell r="N16">
            <v>927342492353849.38</v>
          </cell>
          <cell r="O16">
            <v>942983702147605.25</v>
          </cell>
          <cell r="P16">
            <v>958444863818002.75</v>
          </cell>
          <cell r="Q16">
            <v>973726609833098</v>
          </cell>
          <cell r="R16">
            <v>988829572245855.38</v>
          </cell>
          <cell r="S16">
            <v>992542061877428.88</v>
          </cell>
          <cell r="T16">
            <v>996231355193406.88</v>
          </cell>
          <cell r="U16">
            <v>999897469312288.88</v>
          </cell>
          <cell r="V16">
            <v>1003540421349266.8</v>
          </cell>
          <cell r="W16">
            <v>1007160228416222.1</v>
          </cell>
          <cell r="X16">
            <v>1002525301856881.1</v>
          </cell>
          <cell r="Y16">
            <v>997901991568047.63</v>
          </cell>
          <cell r="Z16">
            <v>993290289821086.88</v>
          </cell>
          <cell r="AA16">
            <v>988690188888819.75</v>
          </cell>
          <cell r="AB16">
            <v>984101681045520.88</v>
          </cell>
          <cell r="AC16">
            <v>968892461317254.38</v>
          </cell>
          <cell r="AD16">
            <v>953740043802889.63</v>
          </cell>
          <cell r="AE16">
            <v>938644388390591.13</v>
          </cell>
          <cell r="AF16">
            <v>923605454976201.25</v>
          </cell>
          <cell r="AG16">
            <v>908623203463233.25</v>
          </cell>
          <cell r="AH16">
            <v>885808085933632.88</v>
          </cell>
          <cell r="AI16">
            <v>863083407611656.63</v>
          </cell>
          <cell r="AJ16">
            <v>840449104148479.25</v>
          </cell>
          <cell r="AK16">
            <v>817905111207614</v>
          </cell>
          <cell r="AL16">
            <v>795451364464912.75</v>
          </cell>
          <cell r="AM16">
            <v>773054394298930.63</v>
          </cell>
          <cell r="AN16">
            <v>750747686197703.75</v>
          </cell>
          <cell r="AO16">
            <v>728531175770276.63</v>
          </cell>
          <cell r="AP16">
            <v>706404798638054.5</v>
          </cell>
          <cell r="AQ16">
            <v>684129630626257.25</v>
          </cell>
        </row>
        <row r="17">
          <cell r="B17">
            <v>181883614786500</v>
          </cell>
          <cell r="C17">
            <v>211253553225000</v>
          </cell>
          <cell r="D17">
            <v>229692761089601.06</v>
          </cell>
          <cell r="E17">
            <v>234836461920972.84</v>
          </cell>
          <cell r="F17">
            <v>239679365141201.88</v>
          </cell>
          <cell r="G17">
            <v>245664118419756.16</v>
          </cell>
          <cell r="H17">
            <v>253686361464084.34</v>
          </cell>
          <cell r="I17">
            <v>261362657630720.97</v>
          </cell>
          <cell r="J17">
            <v>267888652776904.97</v>
          </cell>
          <cell r="K17">
            <v>273326463880481.91</v>
          </cell>
          <cell r="L17">
            <v>277765211924673.13</v>
          </cell>
          <cell r="M17">
            <v>281316398318668.66</v>
          </cell>
          <cell r="N17">
            <v>284549561376224.75</v>
          </cell>
          <cell r="O17">
            <v>287139514669231.69</v>
          </cell>
          <cell r="P17">
            <v>289198703459300.88</v>
          </cell>
          <cell r="Q17">
            <v>290846758419598.94</v>
          </cell>
          <cell r="R17">
            <v>292208462467834.31</v>
          </cell>
          <cell r="S17">
            <v>294043530901961.38</v>
          </cell>
          <cell r="T17">
            <v>295731469262601.25</v>
          </cell>
          <cell r="U17">
            <v>297275183425203.5</v>
          </cell>
          <cell r="V17">
            <v>298677910731608.63</v>
          </cell>
          <cell r="W17">
            <v>299943199078966.38</v>
          </cell>
          <cell r="X17">
            <v>301074885763984.94</v>
          </cell>
          <cell r="Y17">
            <v>302077076227966.5</v>
          </cell>
          <cell r="Z17">
            <v>302954122840792.63</v>
          </cell>
          <cell r="AA17">
            <v>303710603854051.69</v>
          </cell>
          <cell r="AB17">
            <v>304351302645162.38</v>
          </cell>
          <cell r="AC17">
            <v>304881187365636.06</v>
          </cell>
          <cell r="AD17">
            <v>305305391097683.63</v>
          </cell>
          <cell r="AE17">
            <v>305629192614379.81</v>
          </cell>
          <cell r="AF17">
            <v>305857997829495.44</v>
          </cell>
          <cell r="AG17">
            <v>305997322014175.06</v>
          </cell>
          <cell r="AH17">
            <v>306052772848792.88</v>
          </cell>
          <cell r="AI17">
            <v>306030034369759.63</v>
          </cell>
          <cell r="AJ17">
            <v>305934851862745.38</v>
          </cell>
          <cell r="AK17">
            <v>305773017745889.56</v>
          </cell>
          <cell r="AL17">
            <v>305550358479036.75</v>
          </cell>
          <cell r="AM17">
            <v>305272722528021.5</v>
          </cell>
          <cell r="AN17">
            <v>304945969406417.81</v>
          </cell>
          <cell r="AO17">
            <v>304575959811184.31</v>
          </cell>
          <cell r="AP17">
            <v>304168546863134.06</v>
          </cell>
          <cell r="AQ17">
            <v>303628156248380.5</v>
          </cell>
        </row>
        <row r="18">
          <cell r="B18">
            <v>4013956402499.9995</v>
          </cell>
          <cell r="C18">
            <v>3711173532000</v>
          </cell>
          <cell r="D18">
            <v>3526492918185.0176</v>
          </cell>
          <cell r="E18">
            <v>4393030023958.9072</v>
          </cell>
          <cell r="F18">
            <v>4471057950829.9434</v>
          </cell>
          <cell r="G18">
            <v>4688194479460.4336</v>
          </cell>
          <cell r="H18">
            <v>4966971437399.3301</v>
          </cell>
          <cell r="I18">
            <v>5201423468347.1816</v>
          </cell>
          <cell r="J18">
            <v>5378287984131.2148</v>
          </cell>
          <cell r="K18">
            <v>5513263020120.5117</v>
          </cell>
          <cell r="L18">
            <v>5625666537750.1426</v>
          </cell>
          <cell r="M18">
            <v>5737229536298.7842</v>
          </cell>
          <cell r="N18">
            <v>5891240547066.9053</v>
          </cell>
          <cell r="O18">
            <v>6064693014161.0264</v>
          </cell>
          <cell r="P18">
            <v>6252374414593.1787</v>
          </cell>
          <cell r="Q18">
            <v>6448375890163.3271</v>
          </cell>
          <cell r="R18">
            <v>6645975212928.0801</v>
          </cell>
          <cell r="S18">
            <v>6873360512314.2031</v>
          </cell>
          <cell r="T18">
            <v>7096420055827.7197</v>
          </cell>
          <cell r="U18">
            <v>7314271108414.417</v>
          </cell>
          <cell r="V18">
            <v>7526039411623.3828</v>
          </cell>
          <cell r="W18">
            <v>7730865188776.4512</v>
          </cell>
          <cell r="X18">
            <v>7927909080626.4688</v>
          </cell>
          <cell r="Y18">
            <v>8116357951936.3105</v>
          </cell>
          <cell r="Z18">
            <v>8295430511483.9414</v>
          </cell>
          <cell r="AA18">
            <v>8464382690834.9141</v>
          </cell>
          <cell r="AB18">
            <v>8622512730751.2754</v>
          </cell>
          <cell r="AC18">
            <v>8769165928247.5938</v>
          </cell>
          <cell r="AD18">
            <v>8903739001968.7734</v>
          </cell>
          <cell r="AE18">
            <v>9025684038655.5566</v>
          </cell>
          <cell r="AF18">
            <v>9134511988879.4766</v>
          </cell>
          <cell r="AG18">
            <v>9229795685867.0488</v>
          </cell>
          <cell r="AH18">
            <v>9311172366990.7051</v>
          </cell>
          <cell r="AI18">
            <v>9378345683281.0566</v>
          </cell>
          <cell r="AJ18">
            <v>9431087188019.7461</v>
          </cell>
          <cell r="AK18">
            <v>9469237301015.3223</v>
          </cell>
          <cell r="AL18">
            <v>9492705750473.6074</v>
          </cell>
          <cell r="AM18">
            <v>9501471499379.6855</v>
          </cell>
          <cell r="AN18">
            <v>9495582167961.1445</v>
          </cell>
          <cell r="AO18">
            <v>9475152968057.7852</v>
          </cell>
          <cell r="AP18">
            <v>9440365169058.6816</v>
          </cell>
          <cell r="AQ18">
            <v>9388328404234.4668</v>
          </cell>
        </row>
        <row r="19">
          <cell r="B19">
            <v>3811175214000.0005</v>
          </cell>
          <cell r="C19">
            <v>2580598960500</v>
          </cell>
          <cell r="D19">
            <v>2593915159753.8022</v>
          </cell>
          <cell r="E19">
            <v>3235312720727.603</v>
          </cell>
          <cell r="F19">
            <v>3326897881941.7925</v>
          </cell>
          <cell r="G19">
            <v>3543002821884.2661</v>
          </cell>
          <cell r="H19">
            <v>3829361354010.2031</v>
          </cell>
          <cell r="I19">
            <v>4097965887167.2827</v>
          </cell>
          <cell r="J19">
            <v>4329148760869.6162</v>
          </cell>
          <cell r="K19">
            <v>4527677889668.6943</v>
          </cell>
          <cell r="L19">
            <v>4701473842803.3691</v>
          </cell>
          <cell r="M19">
            <v>4860989098014.2666</v>
          </cell>
          <cell r="N19">
            <v>5032854794900.7295</v>
          </cell>
          <cell r="O19">
            <v>5203139680636.9648</v>
          </cell>
          <cell r="P19">
            <v>5370849082880.2744</v>
          </cell>
          <cell r="Q19">
            <v>5534926250633.3047</v>
          </cell>
          <cell r="R19">
            <v>5694258700573.7549</v>
          </cell>
          <cell r="S19">
            <v>5871612017008.3682</v>
          </cell>
          <cell r="T19">
            <v>6043981461362.6904</v>
          </cell>
          <cell r="U19">
            <v>6210777227321.8896</v>
          </cell>
          <cell r="V19">
            <v>6371435257183.7451</v>
          </cell>
          <cell r="W19">
            <v>6525420893614.0723</v>
          </cell>
          <cell r="X19">
            <v>6672232232325.2188</v>
          </cell>
          <cell r="Y19">
            <v>6811403146350.126</v>
          </cell>
          <cell r="Z19">
            <v>6942505957479.4883</v>
          </cell>
          <cell r="AA19">
            <v>7065153735516.4717</v>
          </cell>
          <cell r="AB19">
            <v>7179002211185.6621</v>
          </cell>
          <cell r="AC19">
            <v>7283751293726.1094</v>
          </cell>
          <cell r="AD19">
            <v>7379146189313.5996</v>
          </cell>
          <cell r="AE19">
            <v>7464978121417.1416</v>
          </cell>
          <cell r="AF19">
            <v>7541084658925.6172</v>
          </cell>
          <cell r="AG19">
            <v>7607349662318.7041</v>
          </cell>
          <cell r="AH19">
            <v>7663702862246.2217</v>
          </cell>
          <cell r="AI19">
            <v>7710119088574.3975</v>
          </cell>
          <cell r="AJ19">
            <v>7746617171222.1299</v>
          </cell>
          <cell r="AK19">
            <v>7773258536916.8232</v>
          </cell>
          <cell r="AL19">
            <v>7790145528331.71</v>
          </cell>
          <cell r="AM19">
            <v>7797419473916.8184</v>
          </cell>
          <cell r="AN19">
            <v>7795258538106.4395</v>
          </cell>
          <cell r="AO19">
            <v>7783875382485.124</v>
          </cell>
          <cell r="AP19">
            <v>7763514668939.625</v>
          </cell>
          <cell r="AQ19">
            <v>7731867981603.7168</v>
          </cell>
        </row>
        <row r="20">
          <cell r="B20">
            <v>508341883499.99994</v>
          </cell>
          <cell r="C20">
            <v>1013905942500.0001</v>
          </cell>
          <cell r="D20">
            <v>774466869867.4375</v>
          </cell>
          <cell r="E20">
            <v>1141840583311.947</v>
          </cell>
          <cell r="F20">
            <v>1129014499960.9495</v>
          </cell>
          <cell r="G20">
            <v>1144554124474.439</v>
          </cell>
          <cell r="H20">
            <v>1172490965481.8894</v>
          </cell>
          <cell r="I20">
            <v>1198975380240.2043</v>
          </cell>
          <cell r="J20">
            <v>1222658816337.6987</v>
          </cell>
          <cell r="K20">
            <v>1242976683946.8162</v>
          </cell>
          <cell r="L20">
            <v>1259442345828.4375</v>
          </cell>
          <cell r="M20">
            <v>1271652160358.3958</v>
          </cell>
          <cell r="N20">
            <v>1288767822201.5354</v>
          </cell>
          <cell r="O20">
            <v>1301996009901.4258</v>
          </cell>
          <cell r="P20">
            <v>1311584283615.509</v>
          </cell>
          <cell r="Q20">
            <v>1317824076085.1934</v>
          </cell>
          <cell r="R20">
            <v>1321041881466.0876</v>
          </cell>
          <cell r="S20">
            <v>1332873944427.3345</v>
          </cell>
          <cell r="T20">
            <v>1342439377475.4199</v>
          </cell>
          <cell r="U20">
            <v>1349829814005.9001</v>
          </cell>
          <cell r="V20">
            <v>1355146221897.0645</v>
          </cell>
          <cell r="W20">
            <v>1358496608766.6826</v>
          </cell>
          <cell r="X20">
            <v>1359993891846.8674</v>
          </cell>
          <cell r="Y20">
            <v>1359753964101.2288</v>
          </cell>
          <cell r="Z20">
            <v>1357893978733.3193</v>
          </cell>
          <cell r="AA20">
            <v>1354530865392.4023</v>
          </cell>
          <cell r="AB20">
            <v>1349780083395.8232</v>
          </cell>
          <cell r="AC20">
            <v>1343754610311.3398</v>
          </cell>
          <cell r="AD20">
            <v>1336564158369.0378</v>
          </cell>
          <cell r="AE20">
            <v>1328314606435.4565</v>
          </cell>
          <cell r="AF20">
            <v>1319107631669.2744</v>
          </cell>
          <cell r="AG20">
            <v>1309040522436.5332</v>
          </cell>
          <cell r="AH20">
            <v>1298206152513.1987</v>
          </cell>
          <cell r="AI20">
            <v>1286693095942.5781</v>
          </cell>
          <cell r="AJ20">
            <v>1274585862031.6421</v>
          </cell>
          <cell r="AK20">
            <v>1261965230745.1306</v>
          </cell>
          <cell r="AL20">
            <v>1248908670072.5955</v>
          </cell>
          <cell r="AM20">
            <v>1235490818689.6299</v>
          </cell>
          <cell r="AN20">
            <v>1221784019309.1812</v>
          </cell>
          <cell r="AO20">
            <v>1207858890432.48</v>
          </cell>
          <cell r="AP20">
            <v>1193784926687.0728</v>
          </cell>
          <cell r="AQ20">
            <v>1179237253703.7173</v>
          </cell>
        </row>
        <row r="21">
          <cell r="B21">
            <v>8350140447000</v>
          </cell>
          <cell r="C21">
            <v>6480664558500</v>
          </cell>
          <cell r="D21">
            <v>6216954011767.5547</v>
          </cell>
          <cell r="E21">
            <v>6911923062100.2686</v>
          </cell>
          <cell r="F21">
            <v>7526749498019.3057</v>
          </cell>
          <cell r="G21">
            <v>7954206811700.9668</v>
          </cell>
          <cell r="H21">
            <v>8383287309344.5029</v>
          </cell>
          <cell r="I21">
            <v>8587820807818.791</v>
          </cell>
          <cell r="J21">
            <v>8789954288993.5654</v>
          </cell>
          <cell r="K21">
            <v>8989698093863.3652</v>
          </cell>
          <cell r="L21">
            <v>9187062553553.2969</v>
          </cell>
          <cell r="M21">
            <v>9382057989319.0313</v>
          </cell>
          <cell r="N21">
            <v>9468947077514.293</v>
          </cell>
          <cell r="O21">
            <v>9555032444403.8066</v>
          </cell>
          <cell r="P21">
            <v>9640316580047.834</v>
          </cell>
          <cell r="Q21">
            <v>9724801972897.2031</v>
          </cell>
          <cell r="R21">
            <v>9808491109793.3223</v>
          </cell>
          <cell r="S21">
            <v>9764807400045.0742</v>
          </cell>
          <cell r="T21">
            <v>9721214842245.8008</v>
          </cell>
          <cell r="U21">
            <v>9677713378038.6816</v>
          </cell>
          <cell r="V21">
            <v>9634302949077.8262</v>
          </cell>
          <cell r="W21">
            <v>9590983497028.2969</v>
          </cell>
          <cell r="X21">
            <v>9547754963566.0781</v>
          </cell>
          <cell r="Y21">
            <v>9504617290378.0977</v>
          </cell>
          <cell r="Z21">
            <v>9461570419162.2148</v>
          </cell>
          <cell r="AA21">
            <v>9418614291627.2383</v>
          </cell>
          <cell r="AB21">
            <v>9375748849492.9004</v>
          </cell>
          <cell r="AC21">
            <v>9332974034489.877</v>
          </cell>
          <cell r="AD21">
            <v>9290289788359.7734</v>
          </cell>
          <cell r="AE21">
            <v>9247696052855.1465</v>
          </cell>
          <cell r="AF21">
            <v>9205192769739.4805</v>
          </cell>
          <cell r="AG21">
            <v>9162779880787.1934</v>
          </cell>
          <cell r="AH21">
            <v>9137884953250.748</v>
          </cell>
          <cell r="AI21">
            <v>9113029749212.1367</v>
          </cell>
          <cell r="AJ21">
            <v>9088214244877.4746</v>
          </cell>
          <cell r="AK21">
            <v>9063438416457.2539</v>
          </cell>
          <cell r="AL21">
            <v>9038702240166.3516</v>
          </cell>
          <cell r="AM21">
            <v>9008238574058.791</v>
          </cell>
          <cell r="AN21">
            <v>8977831325729.1016</v>
          </cell>
          <cell r="AO21">
            <v>8947480459947.1738</v>
          </cell>
          <cell r="AP21">
            <v>8917185941489.4746</v>
          </cell>
          <cell r="AQ21">
            <v>8883939257109.5957</v>
          </cell>
        </row>
        <row r="22">
          <cell r="B22">
            <v>5997323095500</v>
          </cell>
          <cell r="C22">
            <v>5225087884500</v>
          </cell>
          <cell r="D22">
            <v>5346831804373.7227</v>
          </cell>
          <cell r="E22">
            <v>5581896819835.7402</v>
          </cell>
          <cell r="F22">
            <v>5676620145051.8301</v>
          </cell>
          <cell r="G22">
            <v>5758739810119.5322</v>
          </cell>
          <cell r="H22">
            <v>5874937545975.1426</v>
          </cell>
          <cell r="I22">
            <v>5989869268483.7246</v>
          </cell>
          <cell r="J22">
            <v>6087374842407.7354</v>
          </cell>
          <cell r="K22">
            <v>6166814880277.3643</v>
          </cell>
          <cell r="L22">
            <v>6227726001698.4463</v>
          </cell>
          <cell r="M22">
            <v>6269824059393.8193</v>
          </cell>
          <cell r="N22">
            <v>6302427858266.9785</v>
          </cell>
          <cell r="O22">
            <v>6318840958838.2422</v>
          </cell>
          <cell r="P22">
            <v>6321817666939.1621</v>
          </cell>
          <cell r="Q22">
            <v>6314216870880.4492</v>
          </cell>
          <cell r="R22">
            <v>6298947626882.6201</v>
          </cell>
          <cell r="S22">
            <v>6291544292386.4717</v>
          </cell>
          <cell r="T22">
            <v>6279757683870.9795</v>
          </cell>
          <cell r="U22">
            <v>6263982979923.584</v>
          </cell>
          <cell r="V22">
            <v>6244619719904.5957</v>
          </cell>
          <cell r="W22">
            <v>6222069477334.9268</v>
          </cell>
          <cell r="X22">
            <v>6196733770041.5938</v>
          </cell>
          <cell r="Y22">
            <v>6169012214155.3174</v>
          </cell>
          <cell r="Z22">
            <v>6139300925704.9668</v>
          </cell>
          <cell r="AA22">
            <v>6107991170606.6123</v>
          </cell>
          <cell r="AB22">
            <v>6075468261315.7588</v>
          </cell>
          <cell r="AC22">
            <v>6042110696306.0244</v>
          </cell>
          <cell r="AD22">
            <v>6008289536856.543</v>
          </cell>
          <cell r="AE22">
            <v>5974368014363.6592</v>
          </cell>
          <cell r="AF22">
            <v>5940701360530.5801</v>
          </cell>
          <cell r="AG22">
            <v>5907636852312.6104</v>
          </cell>
          <cell r="AH22">
            <v>5875514063389.5215</v>
          </cell>
          <cell r="AI22">
            <v>5844665314179.2676</v>
          </cell>
          <cell r="AJ22">
            <v>5815416312981.8789</v>
          </cell>
          <cell r="AK22">
            <v>5788086981728.792</v>
          </cell>
          <cell r="AL22">
            <v>5762992460997.8037</v>
          </cell>
          <cell r="AM22">
            <v>5740444290423.9092</v>
          </cell>
          <cell r="AN22">
            <v>5720751762384.6475</v>
          </cell>
          <cell r="AO22">
            <v>5704223448860.9844</v>
          </cell>
          <cell r="AP22">
            <v>5691168903676.8076</v>
          </cell>
          <cell r="AQ22">
            <v>5680001934177.0508</v>
          </cell>
        </row>
        <row r="23">
          <cell r="B23">
            <v>70023399996000</v>
          </cell>
          <cell r="C23">
            <v>114140808704999.98</v>
          </cell>
          <cell r="D23">
            <v>119427007481427.28</v>
          </cell>
          <cell r="E23">
            <v>121926022487238.42</v>
          </cell>
          <cell r="F23">
            <v>124448587879453.5</v>
          </cell>
          <cell r="G23">
            <v>127758539449329.45</v>
          </cell>
          <cell r="H23">
            <v>132185027091296.33</v>
          </cell>
          <cell r="I23">
            <v>136397451882693.13</v>
          </cell>
          <cell r="J23">
            <v>139971483359992.59</v>
          </cell>
          <cell r="K23">
            <v>142947764215593</v>
          </cell>
          <cell r="L23">
            <v>145383406809952.19</v>
          </cell>
          <cell r="M23">
            <v>147348991063932.13</v>
          </cell>
          <cell r="N23">
            <v>149174546171364.66</v>
          </cell>
          <cell r="O23">
            <v>150671649247935.09</v>
          </cell>
          <cell r="P23">
            <v>151898489528505</v>
          </cell>
          <cell r="Q23">
            <v>152917188025670.84</v>
          </cell>
          <cell r="R23">
            <v>153792771765400.06</v>
          </cell>
          <cell r="S23">
            <v>154947258802651.31</v>
          </cell>
          <cell r="T23">
            <v>156031360869768.13</v>
          </cell>
          <cell r="U23">
            <v>157045247182941.44</v>
          </cell>
          <cell r="V23">
            <v>157989228198955.03</v>
          </cell>
          <cell r="W23">
            <v>158863751191897.94</v>
          </cell>
          <cell r="X23">
            <v>159669395512725.88</v>
          </cell>
          <cell r="Y23">
            <v>160406867566093.16</v>
          </cell>
          <cell r="Z23">
            <v>161076995538867.5</v>
          </cell>
          <cell r="AA23">
            <v>161680723914505.72</v>
          </cell>
          <cell r="AB23">
            <v>162219107807053.44</v>
          </cell>
          <cell r="AC23">
            <v>162693307147901</v>
          </cell>
          <cell r="AD23">
            <v>163104580757669.91</v>
          </cell>
          <cell r="AE23">
            <v>163454280334650.91</v>
          </cell>
          <cell r="AF23">
            <v>163743844390149.72</v>
          </cell>
          <cell r="AG23">
            <v>163974792159908.72</v>
          </cell>
          <cell r="AH23">
            <v>164148717519459.59</v>
          </cell>
          <cell r="AI23">
            <v>164267282929882.13</v>
          </cell>
          <cell r="AJ23">
            <v>164332213438975.03</v>
          </cell>
          <cell r="AK23">
            <v>164345290761319.97</v>
          </cell>
          <cell r="AL23">
            <v>164308347459152.34</v>
          </cell>
          <cell r="AM23">
            <v>164223261244347.91</v>
          </cell>
          <cell r="AN23">
            <v>164091949420219.81</v>
          </cell>
          <cell r="AO23">
            <v>163916363480187.34</v>
          </cell>
          <cell r="AP23">
            <v>163698483878772.25</v>
          </cell>
          <cell r="AQ23">
            <v>163385460579635.09</v>
          </cell>
        </row>
        <row r="24">
          <cell r="B24">
            <v>498061155025500</v>
          </cell>
          <cell r="C24">
            <v>672427976715000</v>
          </cell>
          <cell r="D24">
            <v>824621157819500.25</v>
          </cell>
          <cell r="E24">
            <v>889986649898673.75</v>
          </cell>
          <cell r="F24">
            <v>930883356953736.63</v>
          </cell>
          <cell r="G24">
            <v>1034654592974147</v>
          </cell>
          <cell r="H24">
            <v>1172706964034798.5</v>
          </cell>
          <cell r="I24">
            <v>1309999024830267.3</v>
          </cell>
          <cell r="J24">
            <v>1437231532387183.8</v>
          </cell>
          <cell r="K24">
            <v>1555237488511976.8</v>
          </cell>
          <cell r="L24">
            <v>1666943303501726.5</v>
          </cell>
          <cell r="M24">
            <v>1777211000824239.3</v>
          </cell>
          <cell r="N24">
            <v>1891446695911695</v>
          </cell>
          <cell r="O24">
            <v>2010734215033128.5</v>
          </cell>
          <cell r="P24">
            <v>2134972059821043.5</v>
          </cell>
          <cell r="Q24">
            <v>2264009313024236.5</v>
          </cell>
          <cell r="R24">
            <v>2397641386168892.5</v>
          </cell>
          <cell r="S24">
            <v>2535738483169139</v>
          </cell>
          <cell r="T24">
            <v>2677848610345311.5</v>
          </cell>
          <cell r="U24">
            <v>2823571178621342</v>
          </cell>
          <cell r="V24">
            <v>2972435609822763</v>
          </cell>
          <cell r="W24">
            <v>3123899134846709</v>
          </cell>
          <cell r="X24">
            <v>3277345430171692.5</v>
          </cell>
          <cell r="Y24">
            <v>3432084228161403.5</v>
          </cell>
          <cell r="Z24">
            <v>3587352033188320</v>
          </cell>
          <cell r="AA24">
            <v>3742314068084240</v>
          </cell>
          <cell r="AB24">
            <v>3896067563407227</v>
          </cell>
          <cell r="AC24">
            <v>4047646485182260</v>
          </cell>
          <cell r="AD24">
            <v>4196027774931953.5</v>
          </cell>
          <cell r="AE24">
            <v>4340139148922551</v>
          </cell>
          <cell r="AF24">
            <v>4478868471743063.5</v>
          </cell>
          <cell r="AG24">
            <v>4611074682949886</v>
          </cell>
          <cell r="AH24">
            <v>4735600215101779</v>
          </cell>
          <cell r="AI24">
            <v>4851284797869787</v>
          </cell>
          <cell r="AJ24">
            <v>4956980497054287</v>
          </cell>
          <cell r="AK24">
            <v>5051567790526141</v>
          </cell>
          <cell r="AL24">
            <v>5133972436782826</v>
          </cell>
          <cell r="AM24">
            <v>5203182847600348</v>
          </cell>
          <cell r="AN24">
            <v>5258267635920132</v>
          </cell>
          <cell r="AO24">
            <v>5298392975457638</v>
          </cell>
          <cell r="AP24">
            <v>5322839381375622</v>
          </cell>
          <cell r="AQ24">
            <v>5330961624912153</v>
          </cell>
        </row>
        <row r="25">
          <cell r="B25">
            <v>53881461826500</v>
          </cell>
          <cell r="C25">
            <v>71745651186000</v>
          </cell>
          <cell r="D25">
            <v>90378572972532.031</v>
          </cell>
          <cell r="E25">
            <v>109941928395536.47</v>
          </cell>
          <cell r="F25">
            <v>115672994544361.2</v>
          </cell>
          <cell r="G25">
            <v>126443625355410.02</v>
          </cell>
          <cell r="H25">
            <v>141098702800025.81</v>
          </cell>
          <cell r="I25">
            <v>156213348915820.34</v>
          </cell>
          <cell r="J25">
            <v>170688969689652.56</v>
          </cell>
          <cell r="K25">
            <v>184577727447476.78</v>
          </cell>
          <cell r="L25">
            <v>198077094314975.69</v>
          </cell>
          <cell r="M25">
            <v>211526688890002.94</v>
          </cell>
          <cell r="N25">
            <v>225516290063434.22</v>
          </cell>
          <cell r="O25">
            <v>239978175408270.13</v>
          </cell>
          <cell r="P25">
            <v>254950434247621.13</v>
          </cell>
          <cell r="Q25">
            <v>270482446579048.5</v>
          </cell>
          <cell r="R25">
            <v>286636120782269.19</v>
          </cell>
          <cell r="S25">
            <v>303933125161553.75</v>
          </cell>
          <cell r="T25">
            <v>321952488629793</v>
          </cell>
          <cell r="U25">
            <v>340659176209207.5</v>
          </cell>
          <cell r="V25">
            <v>360006899510731.5</v>
          </cell>
          <cell r="W25">
            <v>379937191549305.56</v>
          </cell>
          <cell r="X25">
            <v>400378570999983.69</v>
          </cell>
          <cell r="Y25">
            <v>421245831106694.06</v>
          </cell>
          <cell r="Z25">
            <v>442439491209686.88</v>
          </cell>
          <cell r="AA25">
            <v>463845450821386.56</v>
          </cell>
          <cell r="AB25">
            <v>485334887110779.81</v>
          </cell>
          <cell r="AC25">
            <v>506764436306214</v>
          </cell>
          <cell r="AD25">
            <v>527976697655795.75</v>
          </cell>
          <cell r="AE25">
            <v>548801094975729.5</v>
          </cell>
          <cell r="AF25">
            <v>569055125290888</v>
          </cell>
          <cell r="AG25">
            <v>588546016506387.38</v>
          </cell>
          <cell r="AH25">
            <v>607072806397145.63</v>
          </cell>
          <cell r="AI25">
            <v>624428843511427.75</v>
          </cell>
          <cell r="AJ25">
            <v>640404697011143.5</v>
          </cell>
          <cell r="AK25">
            <v>654791447296472.5</v>
          </cell>
          <cell r="AL25">
            <v>667384312896317.75</v>
          </cell>
          <cell r="AM25">
            <v>677986552092496</v>
          </cell>
          <cell r="AN25">
            <v>686413560753044.75</v>
          </cell>
          <cell r="AO25">
            <v>692497071655806</v>
          </cell>
          <cell r="AP25">
            <v>696089346047151</v>
          </cell>
          <cell r="AQ25">
            <v>696834492556120.88</v>
          </cell>
        </row>
        <row r="26">
          <cell r="B26">
            <v>9091819588500</v>
          </cell>
          <cell r="C26">
            <v>148327494826500</v>
          </cell>
          <cell r="D26">
            <v>145023890321280.09</v>
          </cell>
          <cell r="E26">
            <v>145344084820958.94</v>
          </cell>
          <cell r="F26">
            <v>155536346504046.72</v>
          </cell>
          <cell r="G26">
            <v>162511779145921.03</v>
          </cell>
          <cell r="H26">
            <v>168391369975450.53</v>
          </cell>
          <cell r="I26">
            <v>176586478366085.59</v>
          </cell>
          <cell r="J26">
            <v>183494542281657.22</v>
          </cell>
          <cell r="K26">
            <v>190168347776530.63</v>
          </cell>
          <cell r="L26">
            <v>196581770574740.22</v>
          </cell>
          <cell r="M26">
            <v>203850542843564.19</v>
          </cell>
          <cell r="N26">
            <v>208759339849309.75</v>
          </cell>
          <cell r="O26">
            <v>214499361935072.53</v>
          </cell>
          <cell r="P26">
            <v>219917382006416.06</v>
          </cell>
          <cell r="Q26">
            <v>225002388702385.16</v>
          </cell>
          <cell r="R26">
            <v>229271929944820.72</v>
          </cell>
          <cell r="S26">
            <v>234544745455918.94</v>
          </cell>
          <cell r="T26">
            <v>239011585805364.66</v>
          </cell>
          <cell r="U26">
            <v>243147369065315.88</v>
          </cell>
          <cell r="V26">
            <v>246955175496613.88</v>
          </cell>
          <cell r="W26">
            <v>250440859825719.31</v>
          </cell>
          <cell r="X26">
            <v>253612874768405.09</v>
          </cell>
          <cell r="Y26">
            <v>256482078694993.38</v>
          </cell>
          <cell r="Z26">
            <v>259061532446100.81</v>
          </cell>
          <cell r="AA26">
            <v>261366290096572.66</v>
          </cell>
          <cell r="AB26">
            <v>263413188175514.09</v>
          </cell>
          <cell r="AC26">
            <v>265220637500519</v>
          </cell>
          <cell r="AD26">
            <v>266808421392046.94</v>
          </cell>
          <cell r="AE26">
            <v>268197503616534.5</v>
          </cell>
          <cell r="AF26">
            <v>269409848979910.66</v>
          </cell>
          <cell r="AG26">
            <v>270468259070980.34</v>
          </cell>
          <cell r="AH26">
            <v>271396225249038.88</v>
          </cell>
          <cell r="AI26">
            <v>272217800592894.31</v>
          </cell>
          <cell r="AJ26">
            <v>272957492187959.94</v>
          </cell>
          <cell r="AK26">
            <v>273640174831532.03</v>
          </cell>
          <cell r="AL26">
            <v>274291026989411.13</v>
          </cell>
          <cell r="AM26">
            <v>274935489643958.53</v>
          </cell>
          <cell r="AN26">
            <v>275599248537731.41</v>
          </cell>
          <cell r="AO26">
            <v>276308240240422.34</v>
          </cell>
          <cell r="AP26">
            <v>277088682451684.78</v>
          </cell>
          <cell r="AQ26">
            <v>277856700568100.91</v>
          </cell>
        </row>
      </sheetData>
      <sheetData sheetId="42">
        <row r="2">
          <cell r="B2">
            <v>3725062654500</v>
          </cell>
          <cell r="C2">
            <v>3080607370500</v>
          </cell>
          <cell r="D2">
            <v>3219883217573.981</v>
          </cell>
          <cell r="E2">
            <v>3456164135739.3672</v>
          </cell>
          <cell r="F2">
            <v>3722133590885.7017</v>
          </cell>
          <cell r="G2">
            <v>3907732148304.9897</v>
          </cell>
          <cell r="H2">
            <v>4010411174552.7153</v>
          </cell>
          <cell r="I2">
            <v>4269861396419.3696</v>
          </cell>
          <cell r="J2">
            <v>4447236205672.5381</v>
          </cell>
          <cell r="K2">
            <v>4619052169576.6045</v>
          </cell>
          <cell r="L2">
            <v>4784582914207.8418</v>
          </cell>
          <cell r="M2">
            <v>5026457405152.8115</v>
          </cell>
          <cell r="N2">
            <v>5094436244961.0322</v>
          </cell>
          <cell r="O2">
            <v>5237714453275.8965</v>
          </cell>
          <cell r="P2">
            <v>5372612273858.4463</v>
          </cell>
          <cell r="Q2">
            <v>5498819600791.9639</v>
          </cell>
          <cell r="R2">
            <v>5581577283007.5605</v>
          </cell>
          <cell r="S2">
            <v>5722880224068.6826</v>
          </cell>
          <cell r="T2">
            <v>5820506716490.5635</v>
          </cell>
          <cell r="U2">
            <v>5909037406356.8174</v>
          </cell>
          <cell r="V2">
            <v>5988592815781.6533</v>
          </cell>
          <cell r="W2">
            <v>6059366574171.4043</v>
          </cell>
          <cell r="X2">
            <v>6121619895025.3066</v>
          </cell>
          <cell r="Y2">
            <v>6175675652298.707</v>
          </cell>
          <cell r="Z2">
            <v>6221912202535.7207</v>
          </cell>
          <cell r="AA2">
            <v>6260757090968.7842</v>
          </cell>
          <cell r="AB2">
            <v>6292680769538.4951</v>
          </cell>
          <cell r="AC2">
            <v>6318190442885.6045</v>
          </cell>
          <cell r="AD2">
            <v>6337824145365.5225</v>
          </cell>
          <cell r="AE2">
            <v>6352145138555.4932</v>
          </cell>
          <cell r="AF2">
            <v>6361736705038.3975</v>
          </cell>
          <cell r="AG2">
            <v>6367197400874.6826</v>
          </cell>
          <cell r="AH2">
            <v>6369136816469.084</v>
          </cell>
          <cell r="AI2">
            <v>6368171883801.498</v>
          </cell>
          <cell r="AJ2">
            <v>6364923757453.248</v>
          </cell>
          <cell r="AK2">
            <v>6360015287702.1816</v>
          </cell>
          <cell r="AL2">
            <v>6354069096308.5732</v>
          </cell>
          <cell r="AM2">
            <v>6347706259552.7109</v>
          </cell>
          <cell r="AN2">
            <v>6341545598661.5938</v>
          </cell>
          <cell r="AO2">
            <v>6336203574993.8789</v>
          </cell>
          <cell r="AP2">
            <v>6332294786239.8037</v>
          </cell>
          <cell r="AQ2">
            <v>6328955387604.3447</v>
          </cell>
        </row>
        <row r="3">
          <cell r="B3">
            <v>94368253914000</v>
          </cell>
          <cell r="C3">
            <v>79454114173500.031</v>
          </cell>
          <cell r="D3">
            <v>91895478707249.953</v>
          </cell>
          <cell r="E3">
            <v>106056912627472.58</v>
          </cell>
          <cell r="F3">
            <v>117609679138950.94</v>
          </cell>
          <cell r="G3">
            <v>123940354889163.81</v>
          </cell>
          <cell r="H3">
            <v>130088370384243.97</v>
          </cell>
          <cell r="I3">
            <v>132410534202665.36</v>
          </cell>
          <cell r="J3">
            <v>134737931487123.53</v>
          </cell>
          <cell r="K3">
            <v>137070509229134.41</v>
          </cell>
          <cell r="L3">
            <v>139408214476687.72</v>
          </cell>
          <cell r="M3">
            <v>141750994334247.34</v>
          </cell>
          <cell r="N3">
            <v>142695118249027.03</v>
          </cell>
          <cell r="O3">
            <v>143640255471377.59</v>
          </cell>
          <cell r="P3">
            <v>144586396530964.69</v>
          </cell>
          <cell r="Q3">
            <v>145533531964361.09</v>
          </cell>
          <cell r="R3">
            <v>146481652315046.56</v>
          </cell>
          <cell r="S3">
            <v>145097319925760.38</v>
          </cell>
          <cell r="T3">
            <v>143713699090829.28</v>
          </cell>
          <cell r="U3">
            <v>142330790877779.31</v>
          </cell>
          <cell r="V3">
            <v>140948596353823.44</v>
          </cell>
          <cell r="W3">
            <v>139567116585861.97</v>
          </cell>
          <cell r="X3">
            <v>137381383595974.36</v>
          </cell>
          <cell r="Y3">
            <v>135196819635911.48</v>
          </cell>
          <cell r="Z3">
            <v>133013426406330.13</v>
          </cell>
          <cell r="AA3">
            <v>130831205607386.41</v>
          </cell>
          <cell r="AB3">
            <v>128650158938735.86</v>
          </cell>
          <cell r="AC3">
            <v>126470288099533.34</v>
          </cell>
          <cell r="AD3">
            <v>124291594788433.05</v>
          </cell>
          <cell r="AE3">
            <v>122114080703588.44</v>
          </cell>
          <cell r="AF3">
            <v>119937747542652.38</v>
          </cell>
          <cell r="AG3">
            <v>117762597002777.02</v>
          </cell>
          <cell r="AH3">
            <v>115053498230703.69</v>
          </cell>
          <cell r="AI3">
            <v>112345889717858.2</v>
          </cell>
          <cell r="AJ3">
            <v>109639773582082.22</v>
          </cell>
          <cell r="AK3">
            <v>106935151940591.72</v>
          </cell>
          <cell r="AL3">
            <v>104232026909976.73</v>
          </cell>
          <cell r="AM3">
            <v>102064771135707.8</v>
          </cell>
          <cell r="AN3">
            <v>99898710551573.063</v>
          </cell>
          <cell r="AO3">
            <v>97733846850562.938</v>
          </cell>
          <cell r="AP3">
            <v>95570181725167.203</v>
          </cell>
          <cell r="AQ3">
            <v>93376528981943.469</v>
          </cell>
        </row>
        <row r="4">
          <cell r="B4">
            <v>5661206330999.9971</v>
          </cell>
          <cell r="C4">
            <v>4688967756000</v>
          </cell>
          <cell r="D4">
            <v>4916839156024.2939</v>
          </cell>
          <cell r="E4">
            <v>5393295985155.1377</v>
          </cell>
          <cell r="F4">
            <v>5917842763632.3672</v>
          </cell>
          <cell r="G4">
            <v>6243278318341.917</v>
          </cell>
          <cell r="H4">
            <v>6566988638824.9248</v>
          </cell>
          <cell r="I4">
            <v>6723334975558.8857</v>
          </cell>
          <cell r="J4">
            <v>6879430003955.2246</v>
          </cell>
          <cell r="K4">
            <v>7035273844010.4834</v>
          </cell>
          <cell r="L4">
            <v>7190866615746.126</v>
          </cell>
          <cell r="M4">
            <v>7346208439208.5381</v>
          </cell>
          <cell r="N4">
            <v>7447068666473.498</v>
          </cell>
          <cell r="O4">
            <v>7547815866537.0371</v>
          </cell>
          <cell r="P4">
            <v>7648450076051.9902</v>
          </cell>
          <cell r="Q4">
            <v>7748971331676.4922</v>
          </cell>
          <cell r="R4">
            <v>7849379670073.9609</v>
          </cell>
          <cell r="S4">
            <v>7951768348536.1426</v>
          </cell>
          <cell r="T4">
            <v>8054099363469.2363</v>
          </cell>
          <cell r="U4">
            <v>8156372723122.9854</v>
          </cell>
          <cell r="V4">
            <v>8258588435747.2715</v>
          </cell>
          <cell r="W4">
            <v>8360746509592.125</v>
          </cell>
          <cell r="X4">
            <v>8410581635594.7744</v>
          </cell>
          <cell r="Y4">
            <v>8460388092302.3857</v>
          </cell>
          <cell r="Z4">
            <v>8510165883837.0928</v>
          </cell>
          <cell r="AA4">
            <v>8559915014321.1035</v>
          </cell>
          <cell r="AB4">
            <v>8609635487876.6943</v>
          </cell>
          <cell r="AC4">
            <v>8659327308626.2148</v>
          </cell>
          <cell r="AD4">
            <v>8708990480692.0869</v>
          </cell>
          <cell r="AE4">
            <v>8758625008196.8057</v>
          </cell>
          <cell r="AF4">
            <v>8808230895262.9355</v>
          </cell>
          <cell r="AG4">
            <v>8857808146013.1191</v>
          </cell>
          <cell r="AH4">
            <v>8907330735497.7832</v>
          </cell>
          <cell r="AI4">
            <v>8956824711357.3867</v>
          </cell>
          <cell r="AJ4">
            <v>9006290077712.7188</v>
          </cell>
          <cell r="AK4">
            <v>9055726838684.6406</v>
          </cell>
          <cell r="AL4">
            <v>9105134998394.0938</v>
          </cell>
          <cell r="AM4">
            <v>9102575416984.6016</v>
          </cell>
          <cell r="AN4">
            <v>9100016093609.7969</v>
          </cell>
          <cell r="AO4">
            <v>9097457028270.3535</v>
          </cell>
          <cell r="AP4">
            <v>9094898220966.9492</v>
          </cell>
          <cell r="AQ4">
            <v>9089303832077.002</v>
          </cell>
        </row>
        <row r="5">
          <cell r="B5">
            <v>14889139320000</v>
          </cell>
          <cell r="C5">
            <v>16886395135499.998</v>
          </cell>
          <cell r="D5">
            <v>19759381062504.266</v>
          </cell>
          <cell r="E5">
            <v>23973383096610.77</v>
          </cell>
          <cell r="F5">
            <v>26801651111222.41</v>
          </cell>
          <cell r="G5">
            <v>28380032138490.984</v>
          </cell>
          <cell r="H5">
            <v>29903155725751.578</v>
          </cell>
          <cell r="I5">
            <v>30607162503679.391</v>
          </cell>
          <cell r="J5">
            <v>31310067576679.766</v>
          </cell>
          <cell r="K5">
            <v>32011817140809.492</v>
          </cell>
          <cell r="L5">
            <v>32712357457477.023</v>
          </cell>
          <cell r="M5">
            <v>33411634853442.531</v>
          </cell>
          <cell r="N5">
            <v>33460650003819.223</v>
          </cell>
          <cell r="O5">
            <v>33508666268217.211</v>
          </cell>
          <cell r="P5">
            <v>33555679845128.184</v>
          </cell>
          <cell r="Q5">
            <v>33601686936556.063</v>
          </cell>
          <cell r="R5">
            <v>33646683748017.039</v>
          </cell>
          <cell r="S5">
            <v>33254678733207.793</v>
          </cell>
          <cell r="T5">
            <v>32863104812163.07</v>
          </cell>
          <cell r="U5">
            <v>32471962805294.754</v>
          </cell>
          <cell r="V5">
            <v>32081253532775.707</v>
          </cell>
          <cell r="W5">
            <v>31690977814539.738</v>
          </cell>
          <cell r="X5">
            <v>30987994743107.348</v>
          </cell>
          <cell r="Y5">
            <v>30286115774852.867</v>
          </cell>
          <cell r="Z5">
            <v>29585342551206.816</v>
          </cell>
          <cell r="AA5">
            <v>28885676713107.816</v>
          </cell>
          <cell r="AB5">
            <v>28187119901002.57</v>
          </cell>
          <cell r="AC5">
            <v>27482521653259.711</v>
          </cell>
          <cell r="AD5">
            <v>26779258927133.305</v>
          </cell>
          <cell r="AE5">
            <v>26077333455514.492</v>
          </cell>
          <cell r="AF5">
            <v>25376746970765.563</v>
          </cell>
          <cell r="AG5">
            <v>24677501204719.945</v>
          </cell>
          <cell r="AH5">
            <v>24061528330072.156</v>
          </cell>
          <cell r="AI5">
            <v>23446923303019.684</v>
          </cell>
          <cell r="AJ5">
            <v>22833687710223.797</v>
          </cell>
          <cell r="AK5">
            <v>22221823137853.43</v>
          </cell>
          <cell r="AL5">
            <v>21611331171585.152</v>
          </cell>
          <cell r="AM5">
            <v>21004261272262.918</v>
          </cell>
          <cell r="AN5">
            <v>20398587691462.684</v>
          </cell>
          <cell r="AO5">
            <v>19794312068722.363</v>
          </cell>
          <cell r="AP5">
            <v>19191436043071.609</v>
          </cell>
          <cell r="AQ5">
            <v>18583754254282.898</v>
          </cell>
        </row>
        <row r="6">
          <cell r="B6">
            <v>12558544564500</v>
          </cell>
          <cell r="C6">
            <v>1561137369000.0002</v>
          </cell>
          <cell r="D6">
            <v>1800276475195.7627</v>
          </cell>
          <cell r="E6">
            <v>1936564413364.9604</v>
          </cell>
          <cell r="F6">
            <v>2017243742922.6272</v>
          </cell>
          <cell r="G6">
            <v>2073814233714.4561</v>
          </cell>
          <cell r="H6">
            <v>2148565926532.5447</v>
          </cell>
          <cell r="I6">
            <v>2230717860792.0029</v>
          </cell>
          <cell r="J6">
            <v>2312628231125.3428</v>
          </cell>
          <cell r="K6">
            <v>2392738246527.4502</v>
          </cell>
          <cell r="L6">
            <v>2469366990752.9424</v>
          </cell>
          <cell r="M6">
            <v>2540724639314.7109</v>
          </cell>
          <cell r="N6">
            <v>2605443294427.543</v>
          </cell>
          <cell r="O6">
            <v>2663111017026.6475</v>
          </cell>
          <cell r="P6">
            <v>2713916077324.6938</v>
          </cell>
          <cell r="Q6">
            <v>2758157231291.1128</v>
          </cell>
          <cell r="R6">
            <v>2796231663812.7168</v>
          </cell>
          <cell r="S6">
            <v>2828037872648.3047</v>
          </cell>
          <cell r="T6">
            <v>2854352521814.0703</v>
          </cell>
          <cell r="U6">
            <v>2875428520040.8081</v>
          </cell>
          <cell r="V6">
            <v>2891557248271.9395</v>
          </cell>
          <cell r="W6">
            <v>2903062059290.9644</v>
          </cell>
          <cell r="X6">
            <v>2910292006440.4839</v>
          </cell>
          <cell r="Y6">
            <v>2913615924005.2178</v>
          </cell>
          <cell r="Z6">
            <v>2913416956892.8472</v>
          </cell>
          <cell r="AA6">
            <v>2910087613310.4365</v>
          </cell>
          <cell r="AB6">
            <v>2904025391976.209</v>
          </cell>
          <cell r="AC6">
            <v>2895629015596.084</v>
          </cell>
          <cell r="AD6">
            <v>2885295285250.9219</v>
          </cell>
          <cell r="AE6">
            <v>2873416556194.4668</v>
          </cell>
          <cell r="AF6">
            <v>2860378824424.0933</v>
          </cell>
          <cell r="AG6">
            <v>2846560405214.9214</v>
          </cell>
          <cell r="AH6">
            <v>2832331179480.4019</v>
          </cell>
          <cell r="AI6">
            <v>2818052381164.0825</v>
          </cell>
          <cell r="AJ6">
            <v>2804076898676.9585</v>
          </cell>
          <cell r="AK6">
            <v>2790750065470.2207</v>
          </cell>
          <cell r="AL6">
            <v>2778410918991.0762</v>
          </cell>
          <cell r="AM6">
            <v>2767393913365.5654</v>
          </cell>
          <cell r="AN6">
            <v>2758031079097.3301</v>
          </cell>
          <cell r="AO6">
            <v>2750654632847.6943</v>
          </cell>
          <cell r="AP6">
            <v>2745600052038.8823</v>
          </cell>
          <cell r="AQ6">
            <v>2742291249443.5791</v>
          </cell>
        </row>
        <row r="7">
          <cell r="B7">
            <v>1125018922500</v>
          </cell>
          <cell r="C7">
            <v>936126856500</v>
          </cell>
          <cell r="D7">
            <v>968561502152.74951</v>
          </cell>
          <cell r="E7">
            <v>1009255903651.4595</v>
          </cell>
          <cell r="F7">
            <v>1033399637076.5881</v>
          </cell>
          <cell r="G7">
            <v>1038487601553.64</v>
          </cell>
          <cell r="H7">
            <v>1046944458694.3295</v>
          </cell>
          <cell r="I7">
            <v>1057994666023.415</v>
          </cell>
          <cell r="J7">
            <v>1068735890751.618</v>
          </cell>
          <cell r="K7">
            <v>1077672319318.7573</v>
          </cell>
          <cell r="L7">
            <v>1083277718634.2083</v>
          </cell>
          <cell r="M7">
            <v>1084026355286.5032</v>
          </cell>
          <cell r="N7">
            <v>1079920733305.6769</v>
          </cell>
          <cell r="O7">
            <v>1070811747267.3704</v>
          </cell>
          <cell r="P7">
            <v>1058058354503.9321</v>
          </cell>
          <cell r="Q7">
            <v>1043004401540.75</v>
          </cell>
          <cell r="R7">
            <v>1026943640845.8043</v>
          </cell>
          <cell r="S7">
            <v>1011875808010.9666</v>
          </cell>
          <cell r="T7">
            <v>997050953290.13879</v>
          </cell>
          <cell r="U7">
            <v>982511121269.82202</v>
          </cell>
          <cell r="V7">
            <v>968298172191.59558</v>
          </cell>
          <cell r="W7">
            <v>954452904510.90674</v>
          </cell>
          <cell r="X7">
            <v>941014350326.26563</v>
          </cell>
          <cell r="Y7">
            <v>928019239901.90955</v>
          </cell>
          <cell r="Z7">
            <v>915501626321.70703</v>
          </cell>
          <cell r="AA7">
            <v>903492657497.14746</v>
          </cell>
          <cell r="AB7">
            <v>892020480231.86536</v>
          </cell>
          <cell r="AC7">
            <v>881110259692.12244</v>
          </cell>
          <cell r="AD7">
            <v>870784297287.18909</v>
          </cell>
          <cell r="AE7">
            <v>861062230451.88977</v>
          </cell>
          <cell r="AF7">
            <v>851961298970.77698</v>
          </cell>
          <cell r="AG7">
            <v>843496664126.41235</v>
          </cell>
          <cell r="AH7">
            <v>835681768948.86023</v>
          </cell>
          <cell r="AI7">
            <v>828528730069.50085</v>
          </cell>
          <cell r="AJ7">
            <v>822048754048.07983</v>
          </cell>
          <cell r="AK7">
            <v>816252573483.59851</v>
          </cell>
          <cell r="AL7">
            <v>811150900703.64697</v>
          </cell>
          <cell r="AM7">
            <v>806754899347.58252</v>
          </cell>
          <cell r="AN7">
            <v>803076676740.44519</v>
          </cell>
          <cell r="AO7">
            <v>800129802649.36743</v>
          </cell>
          <cell r="AP7">
            <v>797929862906.48169</v>
          </cell>
          <cell r="AQ7">
            <v>796229118000.57031</v>
          </cell>
        </row>
        <row r="8">
          <cell r="B8">
            <v>250004205000</v>
          </cell>
          <cell r="C8">
            <v>255559853999.99988</v>
          </cell>
          <cell r="D8">
            <v>258716999887.48004</v>
          </cell>
          <cell r="E8">
            <v>291858617722.18054</v>
          </cell>
          <cell r="F8">
            <v>295795463174.17609</v>
          </cell>
          <cell r="G8">
            <v>296815249355.81384</v>
          </cell>
          <cell r="H8">
            <v>299377663767.47595</v>
          </cell>
          <cell r="I8">
            <v>302942910904.08813</v>
          </cell>
          <cell r="J8">
            <v>306962351621.48895</v>
          </cell>
          <cell r="K8">
            <v>311036549961.12317</v>
          </cell>
          <cell r="L8">
            <v>314745174983.38257</v>
          </cell>
          <cell r="M8">
            <v>317649154191.23242</v>
          </cell>
          <cell r="N8">
            <v>320285644877.71997</v>
          </cell>
          <cell r="O8">
            <v>321753728410.31995</v>
          </cell>
          <cell r="P8">
            <v>322123871077.94843</v>
          </cell>
          <cell r="Q8">
            <v>321478767893.96234</v>
          </cell>
          <cell r="R8">
            <v>319910573327.32916</v>
          </cell>
          <cell r="S8">
            <v>318451195104.97089</v>
          </cell>
          <cell r="T8">
            <v>316244005843.51825</v>
          </cell>
          <cell r="U8">
            <v>313368434233.72791</v>
          </cell>
          <cell r="V8">
            <v>309906084927.45935</v>
          </cell>
          <cell r="W8">
            <v>305939283862.60083</v>
          </cell>
          <cell r="X8">
            <v>301549796248.4679</v>
          </cell>
          <cell r="Y8">
            <v>296817729951.59839</v>
          </cell>
          <cell r="Z8">
            <v>291820629556.91882</v>
          </cell>
          <cell r="AA8">
            <v>286632759994.58264</v>
          </cell>
          <cell r="AB8">
            <v>281324573409.49274</v>
          </cell>
          <cell r="AC8">
            <v>275962348929.0163</v>
          </cell>
          <cell r="AD8">
            <v>270607992117.88947</v>
          </cell>
          <cell r="AE8">
            <v>265318979118.40686</v>
          </cell>
          <cell r="AF8">
            <v>260148429650.07639</v>
          </cell>
          <cell r="AG8">
            <v>255145293061.50586</v>
          </cell>
          <cell r="AH8">
            <v>250354632358.26682</v>
          </cell>
          <cell r="AI8">
            <v>245817992448.04776</v>
          </cell>
          <cell r="AJ8">
            <v>241573840633.88354</v>
          </cell>
          <cell r="AK8">
            <v>237658069549.90552</v>
          </cell>
          <cell r="AL8">
            <v>234104555195.20218</v>
          </cell>
          <cell r="AM8">
            <v>230945765427.27521</v>
          </cell>
          <cell r="AN8">
            <v>228213417200.71448</v>
          </cell>
          <cell r="AO8">
            <v>225939183980.70911</v>
          </cell>
          <cell r="AP8">
            <v>224155458156.61041</v>
          </cell>
          <cell r="AQ8">
            <v>222821252631.05652</v>
          </cell>
        </row>
        <row r="9">
          <cell r="B9">
            <v>1783363329000</v>
          </cell>
          <cell r="C9">
            <v>2022256236000.0002</v>
          </cell>
          <cell r="D9">
            <v>2214659522452.9443</v>
          </cell>
          <cell r="E9">
            <v>2383797926469.3062</v>
          </cell>
          <cell r="F9">
            <v>2516306249401.8115</v>
          </cell>
          <cell r="G9">
            <v>2599785371241.2974</v>
          </cell>
          <cell r="H9">
            <v>2694534411915.041</v>
          </cell>
          <cell r="I9">
            <v>2769521206988.9141</v>
          </cell>
          <cell r="J9">
            <v>2844649440554.9487</v>
          </cell>
          <cell r="K9">
            <v>2918626244287.7817</v>
          </cell>
          <cell r="L9">
            <v>2990023076748.4814</v>
          </cell>
          <cell r="M9">
            <v>3057290561218.6338</v>
          </cell>
          <cell r="N9">
            <v>3106720797864.3521</v>
          </cell>
          <cell r="O9">
            <v>3150605411514.3872</v>
          </cell>
          <cell r="P9">
            <v>3189129119328.3545</v>
          </cell>
          <cell r="Q9">
            <v>3222552439588.187</v>
          </cell>
          <cell r="R9">
            <v>3251201348124.1519</v>
          </cell>
          <cell r="S9">
            <v>3270248971723.5264</v>
          </cell>
          <cell r="T9">
            <v>3285163869722.7095</v>
          </cell>
          <cell r="U9">
            <v>3296196165809.52</v>
          </cell>
          <cell r="V9">
            <v>3303623778427.1445</v>
          </cell>
          <cell r="W9">
            <v>3307746733257.4688</v>
          </cell>
          <cell r="X9">
            <v>3294602989989.6133</v>
          </cell>
          <cell r="Y9">
            <v>3278815413300.6309</v>
          </cell>
          <cell r="Z9">
            <v>3260719161721.4844</v>
          </cell>
          <cell r="AA9">
            <v>3240652128182.1943</v>
          </cell>
          <cell r="AB9">
            <v>3218951308598.1973</v>
          </cell>
          <cell r="AC9">
            <v>3185982413140.4502</v>
          </cell>
          <cell r="AD9">
            <v>3152050443534.4258</v>
          </cell>
          <cell r="AE9">
            <v>3117473572290.8081</v>
          </cell>
          <cell r="AF9">
            <v>3082560202228.5146</v>
          </cell>
          <cell r="AG9">
            <v>3047608121940.7959</v>
          </cell>
          <cell r="AH9">
            <v>3011484233001.271</v>
          </cell>
          <cell r="AI9">
            <v>2975886071271.3149</v>
          </cell>
          <cell r="AJ9">
            <v>2941079411704.3418</v>
          </cell>
          <cell r="AK9">
            <v>2907320784142.9854</v>
          </cell>
          <cell r="AL9">
            <v>2874858858741.5273</v>
          </cell>
          <cell r="AM9">
            <v>2841104275688.5532</v>
          </cell>
          <cell r="AN9">
            <v>2809130711821.4668</v>
          </cell>
          <cell r="AO9">
            <v>2779175215494.7661</v>
          </cell>
          <cell r="AP9">
            <v>2751476129575.896</v>
          </cell>
          <cell r="AQ9">
            <v>2725365795199.6982</v>
          </cell>
        </row>
        <row r="10">
          <cell r="B10">
            <v>3196173203173500.5</v>
          </cell>
          <cell r="C10">
            <v>3451669167210000</v>
          </cell>
          <cell r="D10">
            <v>3614923231740655</v>
          </cell>
          <cell r="E10">
            <v>3863785998087187</v>
          </cell>
          <cell r="F10">
            <v>4152147341751030</v>
          </cell>
          <cell r="G10">
            <v>4375422312951697</v>
          </cell>
          <cell r="H10">
            <v>4598170009770526</v>
          </cell>
          <cell r="I10">
            <v>4699424489082661</v>
          </cell>
          <cell r="J10">
            <v>4800638650078113</v>
          </cell>
          <cell r="K10">
            <v>4901812490209255</v>
          </cell>
          <cell r="L10">
            <v>5002946006933601</v>
          </cell>
          <cell r="M10">
            <v>5104039197713822</v>
          </cell>
          <cell r="N10">
            <v>5110643830216848</v>
          </cell>
          <cell r="O10">
            <v>5117246481290980</v>
          </cell>
          <cell r="P10">
            <v>5123847150866957</v>
          </cell>
          <cell r="Q10">
            <v>5130445838875643</v>
          </cell>
          <cell r="R10">
            <v>5137042545248020</v>
          </cell>
          <cell r="S10">
            <v>5078401747437604</v>
          </cell>
          <cell r="T10">
            <v>5019768963198691</v>
          </cell>
          <cell r="U10">
            <v>4961144192139382</v>
          </cell>
          <cell r="V10">
            <v>4902527433867752</v>
          </cell>
          <cell r="W10">
            <v>4843918687991849</v>
          </cell>
          <cell r="X10">
            <v>4734332840248264</v>
          </cell>
          <cell r="Y10">
            <v>4624762004820766</v>
          </cell>
          <cell r="Z10">
            <v>4515206180973818</v>
          </cell>
          <cell r="AA10">
            <v>4405665367971837</v>
          </cell>
          <cell r="AB10">
            <v>4296139565079188.5</v>
          </cell>
          <cell r="AC10">
            <v>4186628771560194.5</v>
          </cell>
          <cell r="AD10">
            <v>4077132986679124</v>
          </cell>
          <cell r="AE10">
            <v>3967652209700196</v>
          </cell>
          <cell r="AF10">
            <v>3858186439887584</v>
          </cell>
          <cell r="AG10">
            <v>3748735676505409</v>
          </cell>
          <cell r="AH10">
            <v>3653856820218774</v>
          </cell>
          <cell r="AI10">
            <v>3558990969381576</v>
          </cell>
          <cell r="AJ10">
            <v>3464138123355980.5</v>
          </cell>
          <cell r="AK10">
            <v>3369298281504112.5</v>
          </cell>
          <cell r="AL10">
            <v>3274471443188055</v>
          </cell>
          <cell r="AM10">
            <v>3174906105575626</v>
          </cell>
          <cell r="AN10">
            <v>3075354422997914</v>
          </cell>
          <cell r="AO10">
            <v>2975816394784806</v>
          </cell>
          <cell r="AP10">
            <v>2876292020266141</v>
          </cell>
          <cell r="AQ10">
            <v>2776354783097922</v>
          </cell>
        </row>
        <row r="11">
          <cell r="B11">
            <v>2440810498186500</v>
          </cell>
          <cell r="C11">
            <v>2619121830666000</v>
          </cell>
          <cell r="D11">
            <v>2801936440355012</v>
          </cell>
          <cell r="E11">
            <v>3098749436388804.5</v>
          </cell>
          <cell r="F11">
            <v>3368454074569074</v>
          </cell>
          <cell r="G11">
            <v>3585729015224007</v>
          </cell>
          <cell r="H11">
            <v>3802566007100717</v>
          </cell>
          <cell r="I11">
            <v>3941190688300188</v>
          </cell>
          <cell r="J11">
            <v>4079823179503758</v>
          </cell>
          <cell r="K11">
            <v>4218463352022265.5</v>
          </cell>
          <cell r="L11">
            <v>4357111114963121</v>
          </cell>
          <cell r="M11">
            <v>4495766409894125.5</v>
          </cell>
          <cell r="N11">
            <v>4575419093278084</v>
          </cell>
          <cell r="O11">
            <v>4655074408754961</v>
          </cell>
          <cell r="P11">
            <v>4734732428448502</v>
          </cell>
          <cell r="Q11">
            <v>4814393233041864</v>
          </cell>
          <cell r="R11">
            <v>4894056908252430</v>
          </cell>
          <cell r="S11">
            <v>4935322277362835</v>
          </cell>
          <cell r="T11">
            <v>4976584845874726</v>
          </cell>
          <cell r="U11">
            <v>5017844613207950</v>
          </cell>
          <cell r="V11">
            <v>5059101578798494</v>
          </cell>
          <cell r="W11">
            <v>5100355742097712</v>
          </cell>
          <cell r="X11">
            <v>5118929595317362</v>
          </cell>
          <cell r="Y11">
            <v>5137502149346070</v>
          </cell>
          <cell r="Z11">
            <v>5156073404186598</v>
          </cell>
          <cell r="AA11">
            <v>5174643359853883</v>
          </cell>
          <cell r="AB11">
            <v>5193212016374292</v>
          </cell>
          <cell r="AC11">
            <v>5192314703619113</v>
          </cell>
          <cell r="AD11">
            <v>5191417384527748</v>
          </cell>
          <cell r="AE11">
            <v>5190520059593927</v>
          </cell>
          <cell r="AF11">
            <v>5189622729319832</v>
          </cell>
          <cell r="AG11">
            <v>5188725394215412</v>
          </cell>
          <cell r="AH11">
            <v>5170146758155711</v>
          </cell>
          <cell r="AI11">
            <v>5151569294111560</v>
          </cell>
          <cell r="AJ11">
            <v>5132993003009469</v>
          </cell>
          <cell r="AK11">
            <v>5114417885781086</v>
          </cell>
          <cell r="AL11">
            <v>5095843943362604</v>
          </cell>
          <cell r="AM11">
            <v>5074022424990618</v>
          </cell>
          <cell r="AN11">
            <v>5052202299633321</v>
          </cell>
          <cell r="AO11">
            <v>5030383568310174</v>
          </cell>
          <cell r="AP11">
            <v>5008566232043042</v>
          </cell>
          <cell r="AQ11">
            <v>4986432747704000</v>
          </cell>
        </row>
        <row r="12">
          <cell r="B12">
            <v>2238926547000</v>
          </cell>
          <cell r="C12">
            <v>2552820715500</v>
          </cell>
          <cell r="D12">
            <v>2607675215529.6831</v>
          </cell>
          <cell r="E12">
            <v>2905392520509.6401</v>
          </cell>
          <cell r="F12">
            <v>2994337894469.0659</v>
          </cell>
          <cell r="G12">
            <v>3078736717752.1035</v>
          </cell>
          <cell r="H12">
            <v>3185885879792.1753</v>
          </cell>
          <cell r="I12">
            <v>3284999489764.9883</v>
          </cell>
          <cell r="J12">
            <v>3365555200349.978</v>
          </cell>
          <cell r="K12">
            <v>3426266217083.9922</v>
          </cell>
          <cell r="L12">
            <v>3466211932472.8096</v>
          </cell>
          <cell r="M12">
            <v>3484860411680.7197</v>
          </cell>
          <cell r="N12">
            <v>3489619577388.3521</v>
          </cell>
          <cell r="O12">
            <v>3477331590619.5864</v>
          </cell>
          <cell r="P12">
            <v>3452478288124.4897</v>
          </cell>
          <cell r="Q12">
            <v>3419590788631.3774</v>
          </cell>
          <cell r="R12">
            <v>3383118074346.5957</v>
          </cell>
          <cell r="S12">
            <v>3353034786002.7866</v>
          </cell>
          <cell r="T12">
            <v>3323626075396.6616</v>
          </cell>
          <cell r="U12">
            <v>3294910446699.0435</v>
          </cell>
          <cell r="V12">
            <v>3266905682704.7607</v>
          </cell>
          <cell r="W12">
            <v>3239628900997.5566</v>
          </cell>
          <cell r="X12">
            <v>3213096610829.1514</v>
          </cell>
          <cell r="Y12">
            <v>3187324770664.7925</v>
          </cell>
          <cell r="Z12">
            <v>3162328846360.1831</v>
          </cell>
          <cell r="AA12">
            <v>3138123869947.3262</v>
          </cell>
          <cell r="AB12">
            <v>3114724499019.4604</v>
          </cell>
          <cell r="AC12">
            <v>3092145076717.8198</v>
          </cell>
          <cell r="AD12">
            <v>3070399692335.8926</v>
          </cell>
          <cell r="AE12">
            <v>3049502242569.5732</v>
          </cell>
          <cell r="AF12">
            <v>3029466493454.5571</v>
          </cell>
          <cell r="AG12">
            <v>3010306143045.4629</v>
          </cell>
          <cell r="AH12">
            <v>2992034884904.4458</v>
          </cell>
          <cell r="AI12">
            <v>2974666472480.7183</v>
          </cell>
          <cell r="AJ12">
            <v>2958214784476.0356</v>
          </cell>
          <cell r="AK12">
            <v>2942693891305.5474</v>
          </cell>
          <cell r="AL12">
            <v>2928118122778.0005</v>
          </cell>
          <cell r="AM12">
            <v>2914502137134.3647</v>
          </cell>
          <cell r="AN12">
            <v>2901860991599.6548</v>
          </cell>
          <cell r="AO12">
            <v>2890210214618.9731</v>
          </cell>
          <cell r="AP12">
            <v>2879565879965.9678</v>
          </cell>
          <cell r="AQ12">
            <v>2868983796849.4336</v>
          </cell>
        </row>
        <row r="13">
          <cell r="B13">
            <v>7569571762500</v>
          </cell>
          <cell r="C13">
            <v>5427869073000</v>
          </cell>
          <cell r="D13">
            <v>6151592014593.707</v>
          </cell>
          <cell r="E13">
            <v>6694598232359.4238</v>
          </cell>
          <cell r="F13">
            <v>6947803685276.6738</v>
          </cell>
          <cell r="G13">
            <v>7311751594559.8848</v>
          </cell>
          <cell r="H13">
            <v>7774881194373.6074</v>
          </cell>
          <cell r="I13">
            <v>8217096298856.7158</v>
          </cell>
          <cell r="J13">
            <v>8605353028758.0117</v>
          </cell>
          <cell r="K13">
            <v>8945069471571.7109</v>
          </cell>
          <cell r="L13">
            <v>9244905292717.0645</v>
          </cell>
          <cell r="M13">
            <v>9516208498950.2578</v>
          </cell>
          <cell r="N13">
            <v>9777849690853.4492</v>
          </cell>
          <cell r="O13">
            <v>10027630019768.182</v>
          </cell>
          <cell r="P13">
            <v>10268841233301.322</v>
          </cell>
          <cell r="Q13">
            <v>10505226600047.355</v>
          </cell>
          <cell r="R13">
            <v>10740955404961.742</v>
          </cell>
          <cell r="S13">
            <v>10988373163546.531</v>
          </cell>
          <cell r="T13">
            <v>11239367702997.875</v>
          </cell>
          <cell r="U13">
            <v>11493159078407.303</v>
          </cell>
          <cell r="V13">
            <v>11748896510362.504</v>
          </cell>
          <cell r="W13">
            <v>12005656828466.916</v>
          </cell>
          <cell r="X13">
            <v>12262443595286.109</v>
          </cell>
          <cell r="Y13">
            <v>12518187001125.127</v>
          </cell>
          <cell r="Z13">
            <v>12771744620581.848</v>
          </cell>
          <cell r="AA13">
            <v>13021903120526.246</v>
          </cell>
          <cell r="AB13">
            <v>13267381005770.898</v>
          </cell>
          <cell r="AC13">
            <v>13506832482984.766</v>
          </cell>
          <cell r="AD13">
            <v>13738852515145.188</v>
          </cell>
          <cell r="AE13">
            <v>13961983127830.76</v>
          </cell>
          <cell r="AF13">
            <v>14174721014796.295</v>
          </cell>
          <cell r="AG13">
            <v>14375526473452.492</v>
          </cell>
          <cell r="AH13">
            <v>14562833681083.922</v>
          </cell>
          <cell r="AI13">
            <v>14735062299946.367</v>
          </cell>
          <cell r="AJ13">
            <v>14890630373949.852</v>
          </cell>
          <cell r="AK13">
            <v>15027968451717.137</v>
          </cell>
          <cell r="AL13">
            <v>15145534840786.436</v>
          </cell>
          <cell r="AM13">
            <v>15241831866089.66</v>
          </cell>
          <cell r="AN13">
            <v>15315422973192.432</v>
          </cell>
          <cell r="AO13">
            <v>15364950483855.84</v>
          </cell>
          <cell r="AP13">
            <v>15389153779100.504</v>
          </cell>
          <cell r="AQ13">
            <v>15383072015849.307</v>
          </cell>
        </row>
        <row r="14">
          <cell r="B14">
            <v>110237965282500</v>
          </cell>
          <cell r="C14">
            <v>114829709181000</v>
          </cell>
          <cell r="D14">
            <v>141599620667696.13</v>
          </cell>
          <cell r="E14">
            <v>157436838501134.31</v>
          </cell>
          <cell r="F14">
            <v>168945468932320.22</v>
          </cell>
          <cell r="G14">
            <v>172189458084094.66</v>
          </cell>
          <cell r="H14">
            <v>175017798063925.78</v>
          </cell>
          <cell r="I14">
            <v>177967999500590.5</v>
          </cell>
          <cell r="J14">
            <v>180935185737486.84</v>
          </cell>
          <cell r="K14">
            <v>183919308342460.88</v>
          </cell>
          <cell r="L14">
            <v>186920318915340.69</v>
          </cell>
          <cell r="M14">
            <v>189938169087936.47</v>
          </cell>
          <cell r="N14">
            <v>188310500976787.25</v>
          </cell>
          <cell r="O14">
            <v>186670245991967.84</v>
          </cell>
          <cell r="P14">
            <v>185017426602677.16</v>
          </cell>
          <cell r="Q14">
            <v>183352065268214.5</v>
          </cell>
          <cell r="R14">
            <v>181674184437978.31</v>
          </cell>
          <cell r="S14">
            <v>178599747953358.81</v>
          </cell>
          <cell r="T14">
            <v>175524009983821.94</v>
          </cell>
          <cell r="U14">
            <v>172446972573005.78</v>
          </cell>
          <cell r="V14">
            <v>169368637764164.56</v>
          </cell>
          <cell r="W14">
            <v>166289007600168.22</v>
          </cell>
          <cell r="X14">
            <v>162051313057526.22</v>
          </cell>
          <cell r="Y14">
            <v>157811861110005</v>
          </cell>
          <cell r="Z14">
            <v>153570654555748.31</v>
          </cell>
          <cell r="AA14">
            <v>149327696192373.41</v>
          </cell>
          <cell r="AB14">
            <v>145082988816970.5</v>
          </cell>
          <cell r="AC14">
            <v>141810714950923.06</v>
          </cell>
          <cell r="AD14">
            <v>138537087707557.17</v>
          </cell>
          <cell r="AE14">
            <v>135262109246444.91</v>
          </cell>
          <cell r="AF14">
            <v>131985781726751.53</v>
          </cell>
          <cell r="AG14">
            <v>128708107307235.61</v>
          </cell>
          <cell r="AH14">
            <v>126746081969561.3</v>
          </cell>
          <cell r="AI14">
            <v>124783237958185.41</v>
          </cell>
          <cell r="AJ14">
            <v>122819576572387.3</v>
          </cell>
          <cell r="AK14">
            <v>120855099111201.77</v>
          </cell>
          <cell r="AL14">
            <v>118889806873418.94</v>
          </cell>
          <cell r="AM14">
            <v>117919961847995.56</v>
          </cell>
          <cell r="AN14">
            <v>116949698408364.05</v>
          </cell>
          <cell r="AO14">
            <v>115979017204440.09</v>
          </cell>
          <cell r="AP14">
            <v>115007918886017.47</v>
          </cell>
          <cell r="AQ14">
            <v>113997131325432.59</v>
          </cell>
        </row>
        <row r="15">
          <cell r="B15">
            <v>3850392540291000</v>
          </cell>
          <cell r="C15">
            <v>4019548163218500</v>
          </cell>
          <cell r="D15">
            <v>4758785287056854</v>
          </cell>
          <cell r="E15">
            <v>5332128931440394</v>
          </cell>
          <cell r="F15">
            <v>5868881510306809</v>
          </cell>
          <cell r="G15">
            <v>6153583531092190</v>
          </cell>
          <cell r="H15">
            <v>6428505163220919</v>
          </cell>
          <cell r="I15">
            <v>6590516408595210</v>
          </cell>
          <cell r="J15">
            <v>6753335725107794</v>
          </cell>
          <cell r="K15">
            <v>6916961540871050</v>
          </cell>
          <cell r="L15">
            <v>7081392284814984</v>
          </cell>
          <cell r="M15">
            <v>7246626386687217</v>
          </cell>
          <cell r="N15">
            <v>7271374807752507</v>
          </cell>
          <cell r="O15">
            <v>7296151783896099</v>
          </cell>
          <cell r="P15">
            <v>7320957264970025</v>
          </cell>
          <cell r="Q15">
            <v>7345791200845372</v>
          </cell>
          <cell r="R15">
            <v>7370653541412275</v>
          </cell>
          <cell r="S15">
            <v>7288197933791989</v>
          </cell>
          <cell r="T15">
            <v>7205714453221413</v>
          </cell>
          <cell r="U15">
            <v>7123203124737601</v>
          </cell>
          <cell r="V15">
            <v>7040663973373465</v>
          </cell>
          <cell r="W15">
            <v>6958097024157771</v>
          </cell>
          <cell r="X15">
            <v>6802247330859738</v>
          </cell>
          <cell r="Y15">
            <v>6646346214929064</v>
          </cell>
          <cell r="Z15">
            <v>6490393723196082</v>
          </cell>
          <cell r="AA15">
            <v>6334389902483347</v>
          </cell>
          <cell r="AB15">
            <v>6178334799605657</v>
          </cell>
          <cell r="AC15">
            <v>6022228461370034</v>
          </cell>
          <cell r="AD15">
            <v>5866070934575748</v>
          </cell>
          <cell r="AE15">
            <v>5709862266014287</v>
          </cell>
          <cell r="AF15">
            <v>5553602502469383</v>
          </cell>
          <cell r="AG15">
            <v>5397291690716999</v>
          </cell>
          <cell r="AH15">
            <v>5261893597035431</v>
          </cell>
          <cell r="AI15">
            <v>5126451271383920</v>
          </cell>
          <cell r="AJ15">
            <v>4990964754290328</v>
          </cell>
          <cell r="AK15">
            <v>4855434086275785</v>
          </cell>
          <cell r="AL15">
            <v>4719859307854697</v>
          </cell>
          <cell r="AM15">
            <v>4577389537708395</v>
          </cell>
          <cell r="AN15">
            <v>4434873549721341</v>
          </cell>
          <cell r="AO15">
            <v>4292311386419110.5</v>
          </cell>
          <cell r="AP15">
            <v>4149703090320206.5</v>
          </cell>
          <cell r="AQ15">
            <v>4005696885878853.5</v>
          </cell>
        </row>
        <row r="16">
          <cell r="B16">
            <v>76881848686500.031</v>
          </cell>
          <cell r="C16">
            <v>74504030914500</v>
          </cell>
          <cell r="D16">
            <v>79522673863166.375</v>
          </cell>
          <cell r="E16">
            <v>95097000333377.234</v>
          </cell>
          <cell r="F16">
            <v>105952227355092.33</v>
          </cell>
          <cell r="G16">
            <v>113160975565925.08</v>
          </cell>
          <cell r="H16">
            <v>120210739181611.59</v>
          </cell>
          <cell r="I16">
            <v>126080151001948.63</v>
          </cell>
          <cell r="J16">
            <v>131913180189781.94</v>
          </cell>
          <cell r="K16">
            <v>137709555840725.44</v>
          </cell>
          <cell r="L16">
            <v>143469007402330.53</v>
          </cell>
          <cell r="M16">
            <v>149191264674086.09</v>
          </cell>
          <cell r="N16">
            <v>152187648336151.97</v>
          </cell>
          <cell r="O16">
            <v>155169342492500.63</v>
          </cell>
          <cell r="P16">
            <v>158136275907269.78</v>
          </cell>
          <cell r="Q16">
            <v>161088377406529.59</v>
          </cell>
          <cell r="R16">
            <v>164025575878282.53</v>
          </cell>
          <cell r="S16">
            <v>164703956698576.38</v>
          </cell>
          <cell r="T16">
            <v>165378979937351.78</v>
          </cell>
          <cell r="U16">
            <v>166050644343876.06</v>
          </cell>
          <cell r="V16">
            <v>166718948667910.5</v>
          </cell>
          <cell r="W16">
            <v>167383891659709.94</v>
          </cell>
          <cell r="X16">
            <v>166676909494573.88</v>
          </cell>
          <cell r="Y16">
            <v>165971299157742.72</v>
          </cell>
          <cell r="Z16">
            <v>165267061229282.16</v>
          </cell>
          <cell r="AA16">
            <v>164564196289040.78</v>
          </cell>
          <cell r="AB16">
            <v>163862704916650.06</v>
          </cell>
          <cell r="AC16">
            <v>161391531761402.56</v>
          </cell>
          <cell r="AD16">
            <v>158927923202250.41</v>
          </cell>
          <cell r="AE16">
            <v>156471882201391.34</v>
          </cell>
          <cell r="AF16">
            <v>154023411719878.53</v>
          </cell>
          <cell r="AG16">
            <v>151582514717619.69</v>
          </cell>
          <cell r="AH16">
            <v>147832514167652.41</v>
          </cell>
          <cell r="AI16">
            <v>144094741370109.13</v>
          </cell>
          <cell r="AJ16">
            <v>140369201066266.16</v>
          </cell>
          <cell r="AK16">
            <v>136655897995558.95</v>
          </cell>
          <cell r="AL16">
            <v>132954836895581.8</v>
          </cell>
          <cell r="AM16">
            <v>129260436886186.2</v>
          </cell>
          <cell r="AN16">
            <v>125578308237560.58</v>
          </cell>
          <cell r="AO16">
            <v>121908455689404.11</v>
          </cell>
          <cell r="AP16">
            <v>118250883979572.11</v>
          </cell>
          <cell r="AQ16">
            <v>114565597944107.61</v>
          </cell>
        </row>
        <row r="17">
          <cell r="B17">
            <v>28889374799999.996</v>
          </cell>
          <cell r="C17">
            <v>44406302457000</v>
          </cell>
          <cell r="D17">
            <v>53391869147766.609</v>
          </cell>
          <cell r="E17">
            <v>57280300023741.008</v>
          </cell>
          <cell r="F17">
            <v>59574237951662.633</v>
          </cell>
          <cell r="G17">
            <v>61347769827826.086</v>
          </cell>
          <cell r="H17">
            <v>63548370590259.773</v>
          </cell>
          <cell r="I17">
            <v>65674926377481.18</v>
          </cell>
          <cell r="J17">
            <v>67524340016378.055</v>
          </cell>
          <cell r="K17">
            <v>69109684369445.016</v>
          </cell>
          <cell r="L17">
            <v>70451056176935</v>
          </cell>
          <cell r="M17">
            <v>71574508366541.281</v>
          </cell>
          <cell r="N17">
            <v>72553784457612.297</v>
          </cell>
          <cell r="O17">
            <v>73372706522983.828</v>
          </cell>
          <cell r="P17">
            <v>74059018407353.844</v>
          </cell>
          <cell r="Q17">
            <v>74642551831374.156</v>
          </cell>
          <cell r="R17">
            <v>75154725193737.25</v>
          </cell>
          <cell r="S17">
            <v>75649960229517.984</v>
          </cell>
          <cell r="T17">
            <v>76107630509007.016</v>
          </cell>
          <cell r="U17">
            <v>76528449331476.594</v>
          </cell>
          <cell r="V17">
            <v>76913216245721.875</v>
          </cell>
          <cell r="W17">
            <v>77262811795769.969</v>
          </cell>
          <cell r="X17">
            <v>77578192193757.203</v>
          </cell>
          <cell r="Y17">
            <v>77860383957316.5</v>
          </cell>
          <cell r="Z17">
            <v>78110478547028.766</v>
          </cell>
          <cell r="AA17">
            <v>78329627037522.891</v>
          </cell>
          <cell r="AB17">
            <v>78519034853742.094</v>
          </cell>
          <cell r="AC17">
            <v>78679956601722.391</v>
          </cell>
          <cell r="AD17">
            <v>78813691020995.047</v>
          </cell>
          <cell r="AE17">
            <v>78921576083468.766</v>
          </cell>
          <cell r="AF17">
            <v>79004984261357.078</v>
          </cell>
          <cell r="AG17">
            <v>79065317984464.484</v>
          </cell>
          <cell r="AH17">
            <v>79104005304907</v>
          </cell>
          <cell r="AI17">
            <v>79122495785175.563</v>
          </cell>
          <cell r="AJ17">
            <v>79122256623339.563</v>
          </cell>
          <cell r="AK17">
            <v>79104769027180</v>
          </cell>
          <cell r="AL17">
            <v>79071524847120.75</v>
          </cell>
          <cell r="AM17">
            <v>79024023476034.563</v>
          </cell>
          <cell r="AN17">
            <v>78963769022308.344</v>
          </cell>
          <cell r="AO17">
            <v>78892267761017.656</v>
          </cell>
          <cell r="AP17">
            <v>78811025866646.781</v>
          </cell>
          <cell r="AQ17">
            <v>78695263106501.828</v>
          </cell>
        </row>
        <row r="18">
          <cell r="B18">
            <v>1327800111000</v>
          </cell>
          <cell r="C18">
            <v>1008350293499.9999</v>
          </cell>
          <cell r="D18">
            <v>1022719702347.6595</v>
          </cell>
          <cell r="E18">
            <v>1316764861897.0481</v>
          </cell>
          <cell r="F18">
            <v>1357574839351.802</v>
          </cell>
          <cell r="G18">
            <v>1429604089375.7739</v>
          </cell>
          <cell r="H18">
            <v>1519794284408.696</v>
          </cell>
          <cell r="I18">
            <v>1596632589344.9578</v>
          </cell>
          <cell r="J18">
            <v>1655849794169.0513</v>
          </cell>
          <cell r="K18">
            <v>1702218826910.2246</v>
          </cell>
          <cell r="L18">
            <v>1741706568432.3333</v>
          </cell>
          <cell r="M18">
            <v>1781103703300.3904</v>
          </cell>
          <cell r="N18">
            <v>1832802922445.9038</v>
          </cell>
          <cell r="O18">
            <v>1890803867695.7932</v>
          </cell>
          <cell r="P18">
            <v>1953477590238.1978</v>
          </cell>
          <cell r="Q18">
            <v>2018960495143.4915</v>
          </cell>
          <cell r="R18">
            <v>2085115006558.3455</v>
          </cell>
          <cell r="S18">
            <v>2158088219863.2549</v>
          </cell>
          <cell r="T18">
            <v>2229673755843.668</v>
          </cell>
          <cell r="U18">
            <v>2299588773675.9478</v>
          </cell>
          <cell r="V18">
            <v>2367553429324.7178</v>
          </cell>
          <cell r="W18">
            <v>2433292836592.5083</v>
          </cell>
          <cell r="X18">
            <v>2496539002106.022</v>
          </cell>
          <cell r="Y18">
            <v>2557032714238.1494</v>
          </cell>
          <cell r="Z18">
            <v>2614525366647.29</v>
          </cell>
          <cell r="AA18">
            <v>2668780698062.3257</v>
          </cell>
          <cell r="AB18">
            <v>2719576431130.7554</v>
          </cell>
          <cell r="AC18">
            <v>2766705794554.7349</v>
          </cell>
          <cell r="AD18">
            <v>2809978914335.689</v>
          </cell>
          <cell r="AE18">
            <v>2849224061702.0146</v>
          </cell>
          <cell r="AF18">
            <v>2884288747172.3921</v>
          </cell>
          <cell r="AG18">
            <v>2915040652175.1338</v>
          </cell>
          <cell r="AH18">
            <v>2941368391667.0566</v>
          </cell>
          <cell r="AI18">
            <v>2963182103238.9111</v>
          </cell>
          <cell r="AJ18">
            <v>2980413860225.874</v>
          </cell>
          <cell r="AK18">
            <v>2993017908328.9326</v>
          </cell>
          <cell r="AL18">
            <v>3000970727168.5566</v>
          </cell>
          <cell r="AM18">
            <v>3004270920009.1821</v>
          </cell>
          <cell r="AN18">
            <v>3002938936590.5439</v>
          </cell>
          <cell r="AO18">
            <v>2997016635560.5225</v>
          </cell>
          <cell r="AP18">
            <v>2986566694410.8726</v>
          </cell>
          <cell r="AQ18">
            <v>2970679665083.2729</v>
          </cell>
        </row>
        <row r="19">
          <cell r="B19">
            <v>2363928649500</v>
          </cell>
          <cell r="C19">
            <v>2016700587000</v>
          </cell>
          <cell r="D19">
            <v>2160910504895.856</v>
          </cell>
          <cell r="E19">
            <v>2781264288442.498</v>
          </cell>
          <cell r="F19">
            <v>2895810229424.0737</v>
          </cell>
          <cell r="G19">
            <v>3093476831713.7964</v>
          </cell>
          <cell r="H19">
            <v>3350407998381.4243</v>
          </cell>
          <cell r="I19">
            <v>3592821228518.3071</v>
          </cell>
          <cell r="J19">
            <v>3803360080653.0303</v>
          </cell>
          <cell r="K19">
            <v>3986023652899.4141</v>
          </cell>
          <cell r="L19">
            <v>4147625581322.5757</v>
          </cell>
          <cell r="M19">
            <v>4297274558445.1333</v>
          </cell>
          <cell r="N19">
            <v>4455635217886.3623</v>
          </cell>
          <cell r="O19">
            <v>4613051865124.4814</v>
          </cell>
          <cell r="P19">
            <v>4768637197147.4824</v>
          </cell>
          <cell r="Q19">
            <v>4921443566787.4863</v>
          </cell>
          <cell r="R19">
            <v>5070468196774.7676</v>
          </cell>
          <cell r="S19">
            <v>5229470140086.9355</v>
          </cell>
          <cell r="T19">
            <v>5384097869988.9736</v>
          </cell>
          <cell r="U19">
            <v>5533823161226.4209</v>
          </cell>
          <cell r="V19">
            <v>5678140299866.8359</v>
          </cell>
          <cell r="W19">
            <v>5816569361588.7334</v>
          </cell>
          <cell r="X19">
            <v>5948659227382.7432</v>
          </cell>
          <cell r="Y19">
            <v>6073990310133.2275</v>
          </cell>
          <cell r="Z19">
            <v>6192176969870.7578</v>
          </cell>
          <cell r="AA19">
            <v>6302869599987.3818</v>
          </cell>
          <cell r="AB19">
            <v>6405756371301.3311</v>
          </cell>
          <cell r="AC19">
            <v>6500564625471.0801</v>
          </cell>
          <cell r="AD19">
            <v>6587061913810.7598</v>
          </cell>
          <cell r="AE19">
            <v>6665056681980.8369</v>
          </cell>
          <cell r="AF19">
            <v>6734398605253.7021</v>
          </cell>
          <cell r="AG19">
            <v>6794978583025.71</v>
          </cell>
          <cell r="AH19">
            <v>6846728404915.7393</v>
          </cell>
          <cell r="AI19">
            <v>6889620104111.8447</v>
          </cell>
          <cell r="AJ19">
            <v>6923665016571.3672</v>
          </cell>
          <cell r="AK19">
            <v>6948912567219.4424</v>
          </cell>
          <cell r="AL19">
            <v>6965448806411.373</v>
          </cell>
          <cell r="AM19">
            <v>6973394721617.4717</v>
          </cell>
          <cell r="AN19">
            <v>6972904350556.4414</v>
          </cell>
          <cell r="AO19">
            <v>6964162722851.2949</v>
          </cell>
          <cell r="AP19">
            <v>6947383657725.1543</v>
          </cell>
          <cell r="AQ19">
            <v>6920495990406.8916</v>
          </cell>
        </row>
        <row r="20">
          <cell r="B20">
            <v>1661139051000</v>
          </cell>
          <cell r="C20">
            <v>1802808100500</v>
          </cell>
          <cell r="D20">
            <v>1440402816249.926</v>
          </cell>
          <cell r="E20">
            <v>2232612756048.2861</v>
          </cell>
          <cell r="F20">
            <v>2223760908575.7378</v>
          </cell>
          <cell r="G20">
            <v>2244598250205.6338</v>
          </cell>
          <cell r="H20">
            <v>2283885622145.2173</v>
          </cell>
          <cell r="I20">
            <v>2320815238370.5654</v>
          </cell>
          <cell r="J20">
            <v>2354022964927.6748</v>
          </cell>
          <cell r="K20">
            <v>2381956147403.1177</v>
          </cell>
          <cell r="L20">
            <v>2403086237225.9004</v>
          </cell>
          <cell r="M20">
            <v>2415939741227.9473</v>
          </cell>
          <cell r="N20">
            <v>2437225243544.0415</v>
          </cell>
          <cell r="O20">
            <v>2450213464362.0806</v>
          </cell>
          <cell r="P20">
            <v>2455442813611.959</v>
          </cell>
          <cell r="Q20">
            <v>2453535518697.0835</v>
          </cell>
          <cell r="R20">
            <v>2445178037399.0439</v>
          </cell>
          <cell r="S20">
            <v>2450834463850.6348</v>
          </cell>
          <cell r="T20">
            <v>2451554074598.8535</v>
          </cell>
          <cell r="U20">
            <v>2447650067743.3896</v>
          </cell>
          <cell r="V20">
            <v>2439457114342.8975</v>
          </cell>
          <cell r="W20">
            <v>2427325098552.2407</v>
          </cell>
          <cell r="X20">
            <v>2411613275230.2632</v>
          </cell>
          <cell r="Y20">
            <v>2392684929660.8354</v>
          </cell>
          <cell r="Z20">
            <v>2370902600308.5166</v>
          </cell>
          <cell r="AA20">
            <v>2346623903285.2231</v>
          </cell>
          <cell r="AB20">
            <v>2320197977002.9365</v>
          </cell>
          <cell r="AC20">
            <v>2291962547724.3682</v>
          </cell>
          <cell r="AD20">
            <v>2262241601637.7866</v>
          </cell>
          <cell r="AE20">
            <v>2231343636771.2568</v>
          </cell>
          <cell r="AF20">
            <v>2199560458504.9453</v>
          </cell>
          <cell r="AG20">
            <v>2167166475520.7705</v>
          </cell>
          <cell r="AH20">
            <v>2134418448556.8386</v>
          </cell>
          <cell r="AI20">
            <v>2101555642068.6523</v>
          </cell>
          <cell r="AJ20">
            <v>2068800328568.699</v>
          </cell>
          <cell r="AK20">
            <v>2036358596735.1387</v>
          </cell>
          <cell r="AL20">
            <v>2004421417066.7502</v>
          </cell>
          <cell r="AM20">
            <v>1973165922645.0898</v>
          </cell>
          <cell r="AN20">
            <v>1942756867200.7495</v>
          </cell>
          <cell r="AO20">
            <v>1913348227952.2017</v>
          </cell>
          <cell r="AP20">
            <v>1885084926412.1804</v>
          </cell>
          <cell r="AQ20">
            <v>1857484244174.813</v>
          </cell>
        </row>
        <row r="21">
          <cell r="B21">
            <v>4827858981000</v>
          </cell>
          <cell r="C21">
            <v>4244515836000</v>
          </cell>
          <cell r="D21">
            <v>4473489738851.3994</v>
          </cell>
          <cell r="E21">
            <v>4978744869501.8711</v>
          </cell>
          <cell r="F21">
            <v>5409756366200.4697</v>
          </cell>
          <cell r="G21">
            <v>5752894010748.8164</v>
          </cell>
          <cell r="H21">
            <v>6095192955463.5508</v>
          </cell>
          <cell r="I21">
            <v>6270845016739.2793</v>
          </cell>
          <cell r="J21">
            <v>6446214316205.2676</v>
          </cell>
          <cell r="K21">
            <v>6621301015244.8516</v>
          </cell>
          <cell r="L21">
            <v>6796105275321.6367</v>
          </cell>
          <cell r="M21">
            <v>6970627257979.4922</v>
          </cell>
          <cell r="N21">
            <v>7056649037544.498</v>
          </cell>
          <cell r="O21">
            <v>7142571885846.8291</v>
          </cell>
          <cell r="P21">
            <v>7228395840401.0947</v>
          </cell>
          <cell r="Q21">
            <v>7314120938734.9883</v>
          </cell>
          <cell r="R21">
            <v>7399747218389.292</v>
          </cell>
          <cell r="S21">
            <v>7375006804107.1006</v>
          </cell>
          <cell r="T21">
            <v>7350280726008.0635</v>
          </cell>
          <cell r="U21">
            <v>7325568981799.5625</v>
          </cell>
          <cell r="V21">
            <v>7300871569188.8926</v>
          </cell>
          <cell r="W21">
            <v>7276188485883.2559</v>
          </cell>
          <cell r="X21">
            <v>7251519729589.7734</v>
          </cell>
          <cell r="Y21">
            <v>7226865298015.4688</v>
          </cell>
          <cell r="Z21">
            <v>7202225188867.2793</v>
          </cell>
          <cell r="AA21">
            <v>7177599399852.0547</v>
          </cell>
          <cell r="AB21">
            <v>7152987928676.5557</v>
          </cell>
          <cell r="AC21">
            <v>7128390773047.4512</v>
          </cell>
          <cell r="AD21">
            <v>7103807930671.3252</v>
          </cell>
          <cell r="AE21">
            <v>7079239399254.6699</v>
          </cell>
          <cell r="AF21">
            <v>7054685176503.8906</v>
          </cell>
          <cell r="AG21">
            <v>7030145260125.2988</v>
          </cell>
          <cell r="AH21">
            <v>7019006182184.0254</v>
          </cell>
          <cell r="AI21">
            <v>7007872969912.6074</v>
          </cell>
          <cell r="AJ21">
            <v>6996745622397.667</v>
          </cell>
          <cell r="AK21">
            <v>6985624138725.7881</v>
          </cell>
          <cell r="AL21">
            <v>6974508517983.5234</v>
          </cell>
          <cell r="AM21">
            <v>6958943609699.3213</v>
          </cell>
          <cell r="AN21">
            <v>6943387373021.9014</v>
          </cell>
          <cell r="AO21">
            <v>6927839806577.4512</v>
          </cell>
          <cell r="AP21">
            <v>6912300908992.1006</v>
          </cell>
          <cell r="AQ21">
            <v>6896183137761.0918</v>
          </cell>
        </row>
        <row r="22">
          <cell r="B22">
            <v>1466691336000</v>
          </cell>
          <cell r="C22">
            <v>1133352395999.9998</v>
          </cell>
          <cell r="D22">
            <v>1242688808042.7739</v>
          </cell>
          <cell r="E22">
            <v>1334182655984.4827</v>
          </cell>
          <cell r="F22">
            <v>1371017249260.7056</v>
          </cell>
          <cell r="G22">
            <v>1395846115898.0254</v>
          </cell>
          <cell r="H22">
            <v>1427630524021.1228</v>
          </cell>
          <cell r="I22">
            <v>1459043806708.1836</v>
          </cell>
          <cell r="J22">
            <v>1486352278675.3518</v>
          </cell>
          <cell r="K22">
            <v>1509369795108.1892</v>
          </cell>
          <cell r="L22">
            <v>1527951610142.3774</v>
          </cell>
          <cell r="M22">
            <v>1541995671010.6802</v>
          </cell>
          <cell r="N22">
            <v>1552617075749.3799</v>
          </cell>
          <cell r="O22">
            <v>1559278586648.2192</v>
          </cell>
          <cell r="P22">
            <v>1562641001849.4189</v>
          </cell>
          <cell r="Q22">
            <v>1563395478153.4614</v>
          </cell>
          <cell r="R22">
            <v>1562250290456.3477</v>
          </cell>
          <cell r="S22">
            <v>1560926394394.8557</v>
          </cell>
          <cell r="T22">
            <v>1558514023170.8774</v>
          </cell>
          <cell r="U22">
            <v>1555110211029.7224</v>
          </cell>
          <cell r="V22">
            <v>1550813201909.5264</v>
          </cell>
          <cell r="W22">
            <v>1545721873587.823</v>
          </cell>
          <cell r="X22">
            <v>1539935219529.0129</v>
          </cell>
          <cell r="Y22">
            <v>1533551890327.6807</v>
          </cell>
          <cell r="Z22">
            <v>1526669795815.0208</v>
          </cell>
          <cell r="AA22">
            <v>1519385768165.6099</v>
          </cell>
          <cell r="AB22">
            <v>1511795285713.5813</v>
          </cell>
          <cell r="AC22">
            <v>1503992256662.6699</v>
          </cell>
          <cell r="AD22">
            <v>1496068861454.1445</v>
          </cell>
          <cell r="AE22">
            <v>1488115452238.1057</v>
          </cell>
          <cell r="AF22">
            <v>1480220507674.9927</v>
          </cell>
          <cell r="AG22">
            <v>1472470641171.0366</v>
          </cell>
          <cell r="AH22">
            <v>1464950660620.1548</v>
          </cell>
          <cell r="AI22">
            <v>1457743677780.4114</v>
          </cell>
          <cell r="AJ22">
            <v>1450931265551.7769</v>
          </cell>
          <cell r="AK22">
            <v>1444593661638.7783</v>
          </cell>
          <cell r="AL22">
            <v>1438810017373.615</v>
          </cell>
          <cell r="AM22">
            <v>1433658690839.4285</v>
          </cell>
          <cell r="AN22">
            <v>1429217583868.1135</v>
          </cell>
          <cell r="AO22">
            <v>1425564522991.5474</v>
          </cell>
          <cell r="AP22">
            <v>1422777685001.0508</v>
          </cell>
          <cell r="AQ22">
            <v>1420516223711.9324</v>
          </cell>
        </row>
        <row r="23">
          <cell r="B23">
            <v>2794491447000</v>
          </cell>
          <cell r="C23">
            <v>4975083679500</v>
          </cell>
          <cell r="D23">
            <v>5910951040975.3701</v>
          </cell>
          <cell r="E23">
            <v>6290360119387.4375</v>
          </cell>
          <cell r="F23">
            <v>6527390757463.5225</v>
          </cell>
          <cell r="G23">
            <v>6744052987306.6895</v>
          </cell>
          <cell r="H23">
            <v>7010304464490.542</v>
          </cell>
          <cell r="I23">
            <v>7265295264320.9805</v>
          </cell>
          <cell r="J23">
            <v>7488259782605.3145</v>
          </cell>
          <cell r="K23">
            <v>7680950845018.1436</v>
          </cell>
          <cell r="L23">
            <v>7846043709496.9961</v>
          </cell>
          <cell r="M23">
            <v>7986993280145.2451</v>
          </cell>
          <cell r="N23">
            <v>8110603340691.5283</v>
          </cell>
          <cell r="O23">
            <v>8216999881886.3965</v>
          </cell>
          <cell r="P23">
            <v>8309205928404.1846</v>
          </cell>
          <cell r="Q23">
            <v>8390497928365.625</v>
          </cell>
          <cell r="R23">
            <v>8464352959302.3418</v>
          </cell>
          <cell r="S23">
            <v>8533898357683.8555</v>
          </cell>
          <cell r="T23">
            <v>8599665067480.4277</v>
          </cell>
          <cell r="U23">
            <v>8661654496658.4209</v>
          </cell>
          <cell r="V23">
            <v>8719875846312.0078</v>
          </cell>
          <cell r="W23">
            <v>8774345893866.5195</v>
          </cell>
          <cell r="X23">
            <v>8825088757866.6348</v>
          </cell>
          <cell r="Y23">
            <v>8872135646160.9043</v>
          </cell>
          <cell r="Z23">
            <v>8915524589303.7793</v>
          </cell>
          <cell r="AA23">
            <v>8955300160993.3926</v>
          </cell>
          <cell r="AB23">
            <v>8991513187350.7324</v>
          </cell>
          <cell r="AC23">
            <v>9024220446820.7656</v>
          </cell>
          <cell r="AD23">
            <v>9053484362444.3066</v>
          </cell>
          <cell r="AE23">
            <v>9079372688206.0977</v>
          </cell>
          <cell r="AF23">
            <v>9101958191115.2305</v>
          </cell>
          <cell r="AG23">
            <v>9121318330617.2441</v>
          </cell>
          <cell r="AH23">
            <v>9137534936873.2695</v>
          </cell>
          <cell r="AI23">
            <v>9150693889373.5156</v>
          </cell>
          <cell r="AJ23">
            <v>9160884797278.8008</v>
          </cell>
          <cell r="AK23">
            <v>9168200682806.832</v>
          </cell>
          <cell r="AL23">
            <v>9172737668899.998</v>
          </cell>
          <cell r="AM23">
            <v>9174594672328.8125</v>
          </cell>
          <cell r="AN23">
            <v>9173873103301.7578</v>
          </cell>
          <cell r="AO23">
            <v>9170676572566.9063</v>
          </cell>
          <cell r="AP23">
            <v>9165110606906.7129</v>
          </cell>
          <cell r="AQ23">
            <v>9154997013335.6602</v>
          </cell>
        </row>
        <row r="24">
          <cell r="B24">
            <v>4452852673500</v>
          </cell>
          <cell r="C24">
            <v>85104209206500</v>
          </cell>
          <cell r="D24">
            <v>104648854920969.61</v>
          </cell>
          <cell r="E24">
            <v>113104462296244.03</v>
          </cell>
          <cell r="F24">
            <v>118385436075213.66</v>
          </cell>
          <cell r="G24">
            <v>131596303643065.03</v>
          </cell>
          <cell r="H24">
            <v>149164009731897.38</v>
          </cell>
          <cell r="I24">
            <v>166639308291004.72</v>
          </cell>
          <cell r="J24">
            <v>182837411085972.56</v>
          </cell>
          <cell r="K24">
            <v>197864004644482.66</v>
          </cell>
          <cell r="L24">
            <v>212091159843160.03</v>
          </cell>
          <cell r="M24">
            <v>226137350170688.16</v>
          </cell>
          <cell r="N24">
            <v>240685102210072</v>
          </cell>
          <cell r="O24">
            <v>255877160602906.25</v>
          </cell>
          <cell r="P24">
            <v>271700700506861.13</v>
          </cell>
          <cell r="Q24">
            <v>288136604659977.63</v>
          </cell>
          <cell r="R24">
            <v>305158920613414.19</v>
          </cell>
          <cell r="S24">
            <v>322736361713228.06</v>
          </cell>
          <cell r="T24">
            <v>340824689914774.81</v>
          </cell>
          <cell r="U24">
            <v>359372925035349.25</v>
          </cell>
          <cell r="V24">
            <v>378321178158683.06</v>
          </cell>
          <cell r="W24">
            <v>397600371234469.69</v>
          </cell>
          <cell r="X24">
            <v>417132063374506.69</v>
          </cell>
          <cell r="Y24">
            <v>436828401088533.69</v>
          </cell>
          <cell r="Z24">
            <v>456592209266955.56</v>
          </cell>
          <cell r="AA24">
            <v>476317238761128</v>
          </cell>
          <cell r="AB24">
            <v>495888584882719.25</v>
          </cell>
          <cell r="AC24">
            <v>515183289001639.75</v>
          </cell>
          <cell r="AD24">
            <v>534071132642430.31</v>
          </cell>
          <cell r="AE24">
            <v>552415630056506.38</v>
          </cell>
          <cell r="AF24">
            <v>570075221199312</v>
          </cell>
          <cell r="AG24">
            <v>586904662410246.63</v>
          </cell>
          <cell r="AH24">
            <v>602756606949966.75</v>
          </cell>
          <cell r="AI24">
            <v>617483361994753.25</v>
          </cell>
          <cell r="AJ24">
            <v>630938802850997.25</v>
          </cell>
          <cell r="AK24">
            <v>642980419193472.75</v>
          </cell>
          <cell r="AL24">
            <v>653471462233763.5</v>
          </cell>
          <cell r="AM24">
            <v>662283156097062.25</v>
          </cell>
          <cell r="AN24">
            <v>669296931549637.88</v>
          </cell>
          <cell r="AO24">
            <v>674406635807339.75</v>
          </cell>
          <cell r="AP24">
            <v>677520668699188.88</v>
          </cell>
          <cell r="AQ24">
            <v>678554730840324.13</v>
          </cell>
        </row>
        <row r="25">
          <cell r="B25">
            <v>4555632180000</v>
          </cell>
          <cell r="C25">
            <v>7233454998000.001</v>
          </cell>
          <cell r="D25">
            <v>10288039346903.473</v>
          </cell>
          <cell r="E25">
            <v>13252819725820.313</v>
          </cell>
          <cell r="F25">
            <v>14258366671143.814</v>
          </cell>
          <cell r="G25">
            <v>15672215588845.197</v>
          </cell>
          <cell r="H25">
            <v>17552900797354.285</v>
          </cell>
          <cell r="I25">
            <v>19504472280111.121</v>
          </cell>
          <cell r="J25">
            <v>21390092796918.523</v>
          </cell>
          <cell r="K25">
            <v>23215528069026.988</v>
          </cell>
          <cell r="L25">
            <v>25004976938428.156</v>
          </cell>
          <cell r="M25">
            <v>26801008982237.094</v>
          </cell>
          <cell r="N25">
            <v>28646310233043.066</v>
          </cell>
          <cell r="O25">
            <v>30561014463146.625</v>
          </cell>
          <cell r="P25">
            <v>32550485154053.367</v>
          </cell>
          <cell r="Q25">
            <v>34621583541898.047</v>
          </cell>
          <cell r="R25">
            <v>36782846279380.039</v>
          </cell>
          <cell r="S25">
            <v>39016586629841.844</v>
          </cell>
          <cell r="T25">
            <v>41344702773116.273</v>
          </cell>
          <cell r="U25">
            <v>43762795864298.016</v>
          </cell>
          <cell r="V25">
            <v>46265014450819.461</v>
          </cell>
          <cell r="W25">
            <v>48843932906033.594</v>
          </cell>
          <cell r="X25">
            <v>51490441103251.414</v>
          </cell>
          <cell r="Y25">
            <v>54193649889055.617</v>
          </cell>
          <cell r="Z25">
            <v>56940817282349.781</v>
          </cell>
          <cell r="AA25">
            <v>59717300592648.195</v>
          </cell>
          <cell r="AB25">
            <v>62506539785933.469</v>
          </cell>
          <cell r="AC25">
            <v>65290077396650.328</v>
          </cell>
          <cell r="AD25">
            <v>68047620058570.828</v>
          </cell>
          <cell r="AE25">
            <v>70757146276570.031</v>
          </cell>
          <cell r="AF25">
            <v>73395064361890.719</v>
          </cell>
          <cell r="AG25">
            <v>75936423488574.219</v>
          </cell>
          <cell r="AH25">
            <v>78355179591390.031</v>
          </cell>
          <cell r="AI25">
            <v>80624516320912.063</v>
          </cell>
          <cell r="AJ25">
            <v>82717219518663.734</v>
          </cell>
          <cell r="AK25">
            <v>84606101709819.75</v>
          </cell>
          <cell r="AL25">
            <v>86264470985178.625</v>
          </cell>
          <cell r="AM25">
            <v>87666636427694.828</v>
          </cell>
          <cell r="AN25">
            <v>88788440017949.141</v>
          </cell>
          <cell r="AO25">
            <v>89607802828107.563</v>
          </cell>
          <cell r="AP25">
            <v>90105271396807.141</v>
          </cell>
          <cell r="AQ25">
            <v>90234410172450.469</v>
          </cell>
        </row>
        <row r="26">
          <cell r="B26">
            <v>6680667922500</v>
          </cell>
          <cell r="C26">
            <v>5397313003500</v>
          </cell>
          <cell r="D26">
            <v>5712830182097.8057</v>
          </cell>
          <cell r="E26">
            <v>5950541408343.1484</v>
          </cell>
          <cell r="F26">
            <v>6465346933784.7637</v>
          </cell>
          <cell r="G26">
            <v>6780853209448.4365</v>
          </cell>
          <cell r="H26">
            <v>7043866535424.209</v>
          </cell>
          <cell r="I26">
            <v>7405254113072.9189</v>
          </cell>
          <cell r="J26">
            <v>7714335720566.3262</v>
          </cell>
          <cell r="K26">
            <v>8015084734527.1943</v>
          </cell>
          <cell r="L26">
            <v>8306331768879.9385</v>
          </cell>
          <cell r="M26">
            <v>8635265649130.5703</v>
          </cell>
          <cell r="N26">
            <v>8858730561849.3906</v>
          </cell>
          <cell r="O26">
            <v>9118305316535.918</v>
          </cell>
          <cell r="P26">
            <v>9365070077349.4766</v>
          </cell>
          <cell r="Q26">
            <v>9598486471036.1738</v>
          </cell>
          <cell r="R26">
            <v>9797865550456.752</v>
          </cell>
          <cell r="S26">
            <v>10025703976735.814</v>
          </cell>
          <cell r="T26">
            <v>10219195786487.967</v>
          </cell>
          <cell r="U26">
            <v>10398625898700.617</v>
          </cell>
          <cell r="V26">
            <v>10564115511610.639</v>
          </cell>
          <cell r="W26">
            <v>10715904661153.1</v>
          </cell>
          <cell r="X26">
            <v>10854344816630.473</v>
          </cell>
          <cell r="Y26">
            <v>10979890786324.764</v>
          </cell>
          <cell r="Z26">
            <v>11093092146332.709</v>
          </cell>
          <cell r="AA26">
            <v>11194584397282.311</v>
          </cell>
          <cell r="AB26">
            <v>11285080041584.977</v>
          </cell>
          <cell r="AC26">
            <v>11365359759273.475</v>
          </cell>
          <cell r="AD26">
            <v>11436263844023.943</v>
          </cell>
          <cell r="AE26">
            <v>11498684043389.979</v>
          </cell>
          <cell r="AF26">
            <v>11553555929257.023</v>
          </cell>
          <cell r="AG26">
            <v>11601851906666.979</v>
          </cell>
          <cell r="AH26">
            <v>11644574951998.063</v>
          </cell>
          <cell r="AI26">
            <v>11682753155479.203</v>
          </cell>
          <cell r="AJ26">
            <v>11717435128550.723</v>
          </cell>
          <cell r="AK26">
            <v>11749686323970.471</v>
          </cell>
          <cell r="AL26">
            <v>11780586306053.555</v>
          </cell>
          <cell r="AM26">
            <v>11811227000213.965</v>
          </cell>
          <cell r="AN26">
            <v>11842711945192.518</v>
          </cell>
          <cell r="AO26">
            <v>11876156568117.201</v>
          </cell>
          <cell r="AP26">
            <v>11912689501930.662</v>
          </cell>
          <cell r="AQ26">
            <v>11948706199233.793</v>
          </cell>
        </row>
      </sheetData>
      <sheetData sheetId="43">
        <row r="2">
          <cell r="B2">
            <v>562505572295700</v>
          </cell>
          <cell r="C2">
            <v>570918491576400</v>
          </cell>
          <cell r="D2">
            <v>596730010852093.13</v>
          </cell>
          <cell r="E2">
            <v>640519150188396.88</v>
          </cell>
          <cell r="F2">
            <v>689810365158416.5</v>
          </cell>
          <cell r="G2">
            <v>724206714870251.88</v>
          </cell>
          <cell r="H2">
            <v>743235869751605.88</v>
          </cell>
          <cell r="I2">
            <v>791318897379768.38</v>
          </cell>
          <cell r="J2">
            <v>824191167800271.38</v>
          </cell>
          <cell r="K2">
            <v>856033236309292</v>
          </cell>
          <cell r="L2">
            <v>886710486496824.25</v>
          </cell>
          <cell r="M2">
            <v>931536263661247.13</v>
          </cell>
          <cell r="N2">
            <v>944134550951627.75</v>
          </cell>
          <cell r="O2">
            <v>970687814230230.75</v>
          </cell>
          <cell r="P2">
            <v>995687968739188.25</v>
          </cell>
          <cell r="Q2">
            <v>1019077543603147.1</v>
          </cell>
          <cell r="R2">
            <v>1034414743516818.4</v>
          </cell>
          <cell r="S2">
            <v>1060601937230125.5</v>
          </cell>
          <cell r="T2">
            <v>1078694723193417</v>
          </cell>
          <cell r="U2">
            <v>1095101814989881.9</v>
          </cell>
          <cell r="V2">
            <v>1109845548573236.4</v>
          </cell>
          <cell r="W2">
            <v>1122961808623121</v>
          </cell>
          <cell r="X2">
            <v>1134499004949364.8</v>
          </cell>
          <cell r="Y2">
            <v>1144516974684514.8</v>
          </cell>
          <cell r="Z2">
            <v>1153085837360685</v>
          </cell>
          <cell r="AA2">
            <v>1160284828482380.3</v>
          </cell>
          <cell r="AB2">
            <v>1166201135308469.3</v>
          </cell>
          <cell r="AC2">
            <v>1170928756350801</v>
          </cell>
          <cell r="AD2">
            <v>1174567403687438.3</v>
          </cell>
          <cell r="AE2">
            <v>1177221464671706.8</v>
          </cell>
          <cell r="AF2">
            <v>1178999037081846.5</v>
          </cell>
          <cell r="AG2">
            <v>1180011049277774</v>
          </cell>
          <cell r="AH2">
            <v>1180370474576920.5</v>
          </cell>
          <cell r="AI2">
            <v>1180191646885886</v>
          </cell>
          <cell r="AJ2">
            <v>1179589682671637</v>
          </cell>
          <cell r="AK2">
            <v>1178680012658813.3</v>
          </cell>
          <cell r="AL2">
            <v>1177578025221669.5</v>
          </cell>
          <cell r="AM2">
            <v>1176398822315908.3</v>
          </cell>
          <cell r="AN2">
            <v>1175257087975871.3</v>
          </cell>
          <cell r="AO2">
            <v>1174267068889524</v>
          </cell>
          <cell r="AP2">
            <v>1173542666357498.3</v>
          </cell>
          <cell r="AQ2">
            <v>1172923786960537.3</v>
          </cell>
        </row>
        <row r="3">
          <cell r="B3">
            <v>48519649420110</v>
          </cell>
          <cell r="C3">
            <v>44865976855260.016</v>
          </cell>
          <cell r="D3">
            <v>51891339594817.789</v>
          </cell>
          <cell r="E3">
            <v>59887987384692.891</v>
          </cell>
          <cell r="F3">
            <v>66411578520406.359</v>
          </cell>
          <cell r="G3">
            <v>69986370771780.281</v>
          </cell>
          <cell r="H3">
            <v>73458018826476.531</v>
          </cell>
          <cell r="I3">
            <v>74769293254681.859</v>
          </cell>
          <cell r="J3">
            <v>76083522905137.422</v>
          </cell>
          <cell r="K3">
            <v>77400677845127.422</v>
          </cell>
          <cell r="L3">
            <v>78720728173825.547</v>
          </cell>
          <cell r="M3">
            <v>80043644022295.188</v>
          </cell>
          <cell r="N3">
            <v>80576769866685.141</v>
          </cell>
          <cell r="O3">
            <v>81110467903396.344</v>
          </cell>
          <cell r="P3">
            <v>81644732784740.953</v>
          </cell>
          <cell r="Q3">
            <v>82179559166931.391</v>
          </cell>
          <cell r="R3">
            <v>82714941710080.328</v>
          </cell>
          <cell r="S3">
            <v>81933239899119.672</v>
          </cell>
          <cell r="T3">
            <v>81151939887128.875</v>
          </cell>
          <cell r="U3">
            <v>80371042276916.219</v>
          </cell>
          <cell r="V3">
            <v>79590547671113.25</v>
          </cell>
          <cell r="W3">
            <v>78810456672174.859</v>
          </cell>
          <cell r="X3">
            <v>77576221708307.094</v>
          </cell>
          <cell r="Y3">
            <v>76342646869665.109</v>
          </cell>
          <cell r="Z3">
            <v>75109733116572.125</v>
          </cell>
          <cell r="AA3">
            <v>73877481409068.594</v>
          </cell>
          <cell r="AB3">
            <v>72645892706912.328</v>
          </cell>
          <cell r="AC3">
            <v>71414967969578.391</v>
          </cell>
          <cell r="AD3">
            <v>70184708156259.148</v>
          </cell>
          <cell r="AE3">
            <v>68955114225864.227</v>
          </cell>
          <cell r="AF3">
            <v>67726187137020.547</v>
          </cell>
          <cell r="AG3">
            <v>66497927848072.32</v>
          </cell>
          <cell r="AH3">
            <v>64968159829502</v>
          </cell>
          <cell r="AI3">
            <v>63439233327280.078</v>
          </cell>
          <cell r="AJ3">
            <v>61911149537304.797</v>
          </cell>
          <cell r="AK3">
            <v>60383909655121.078</v>
          </cell>
          <cell r="AL3">
            <v>58857514875920.391</v>
          </cell>
          <cell r="AM3">
            <v>57633713586091.023</v>
          </cell>
          <cell r="AN3">
            <v>56410587193634.273</v>
          </cell>
          <cell r="AO3">
            <v>55188136654544.281</v>
          </cell>
          <cell r="AP3">
            <v>53966362924532.508</v>
          </cell>
          <cell r="AQ3">
            <v>52727655851528.859</v>
          </cell>
        </row>
        <row r="4">
          <cell r="B4">
            <v>12746158831229.994</v>
          </cell>
          <cell r="C4">
            <v>7973272997085</v>
          </cell>
          <cell r="D4">
            <v>8360752923407.1152</v>
          </cell>
          <cell r="E4">
            <v>9170935583572.4785</v>
          </cell>
          <cell r="F4">
            <v>10062891954820.434</v>
          </cell>
          <cell r="G4">
            <v>10616273137136.465</v>
          </cell>
          <cell r="H4">
            <v>11166720675164.896</v>
          </cell>
          <cell r="I4">
            <v>11432577061845.934</v>
          </cell>
          <cell r="J4">
            <v>11698006115671.09</v>
          </cell>
          <cell r="K4">
            <v>11963008040686.381</v>
          </cell>
          <cell r="L4">
            <v>12227583040980.199</v>
          </cell>
          <cell r="M4">
            <v>12491731320683.318</v>
          </cell>
          <cell r="N4">
            <v>12663237325496.965</v>
          </cell>
          <cell r="O4">
            <v>12834551135187.947</v>
          </cell>
          <cell r="P4">
            <v>13005672812081.938</v>
          </cell>
          <cell r="Q4">
            <v>13176602418513.617</v>
          </cell>
          <cell r="R4">
            <v>13347340016826.654</v>
          </cell>
          <cell r="S4">
            <v>13521445049676.389</v>
          </cell>
          <cell r="T4">
            <v>13695452029589.25</v>
          </cell>
          <cell r="U4">
            <v>13869360970593.363</v>
          </cell>
          <cell r="V4">
            <v>14043171886717.102</v>
          </cell>
          <cell r="W4">
            <v>14216884791989.078</v>
          </cell>
          <cell r="X4">
            <v>14301626058114.188</v>
          </cell>
          <cell r="Y4">
            <v>14386318574039.281</v>
          </cell>
          <cell r="Z4">
            <v>14470962346773.77</v>
          </cell>
          <cell r="AA4">
            <v>14555557383327.188</v>
          </cell>
          <cell r="AB4">
            <v>14640103690709.189</v>
          </cell>
          <cell r="AC4">
            <v>14724601275929.551</v>
          </cell>
          <cell r="AD4">
            <v>14809050145998.174</v>
          </cell>
          <cell r="AE4">
            <v>14893450307925.08</v>
          </cell>
          <cell r="AF4">
            <v>14977801768720.414</v>
          </cell>
          <cell r="AG4">
            <v>15062104535394.451</v>
          </cell>
          <cell r="AH4">
            <v>15146314354278.053</v>
          </cell>
          <cell r="AI4">
            <v>15230475517624.674</v>
          </cell>
          <cell r="AJ4">
            <v>15314588032441.438</v>
          </cell>
          <cell r="AK4">
            <v>15398651905735.596</v>
          </cell>
          <cell r="AL4">
            <v>15482667144514.523</v>
          </cell>
          <cell r="AM4">
            <v>15478314749190.408</v>
          </cell>
          <cell r="AN4">
            <v>15473962792636.854</v>
          </cell>
          <cell r="AO4">
            <v>15469611274855.004</v>
          </cell>
          <cell r="AP4">
            <v>15465260195846.01</v>
          </cell>
          <cell r="AQ4">
            <v>15455747315358.754</v>
          </cell>
        </row>
        <row r="5">
          <cell r="B5">
            <v>35939465602755</v>
          </cell>
          <cell r="C5">
            <v>30118534363004.992</v>
          </cell>
          <cell r="D5">
            <v>33348882035034.766</v>
          </cell>
          <cell r="E5">
            <v>38906245587900.336</v>
          </cell>
          <cell r="F5">
            <v>42442946164454.789</v>
          </cell>
          <cell r="G5">
            <v>44220751968696.125</v>
          </cell>
          <cell r="H5">
            <v>45926460973549.086</v>
          </cell>
          <cell r="I5">
            <v>46978377630345.078</v>
          </cell>
          <cell r="J5">
            <v>48025358500383.211</v>
          </cell>
          <cell r="K5">
            <v>49067325602970.563</v>
          </cell>
          <cell r="L5">
            <v>50104201055722.172</v>
          </cell>
          <cell r="M5">
            <v>51135907074561.078</v>
          </cell>
          <cell r="N5">
            <v>51126892227216.906</v>
          </cell>
          <cell r="O5">
            <v>51115299909423.586</v>
          </cell>
          <cell r="P5">
            <v>51101121089227.492</v>
          </cell>
          <cell r="Q5">
            <v>51084346743143.063</v>
          </cell>
          <cell r="R5">
            <v>51064967856152.836</v>
          </cell>
          <cell r="S5">
            <v>50484523788871.594</v>
          </cell>
          <cell r="T5">
            <v>49904370649563.203</v>
          </cell>
          <cell r="U5">
            <v>49324509167035.477</v>
          </cell>
          <cell r="V5">
            <v>48744940069890.414</v>
          </cell>
          <cell r="W5">
            <v>48165664086524.25</v>
          </cell>
          <cell r="X5">
            <v>47154451362467.148</v>
          </cell>
          <cell r="Y5">
            <v>46144652523091.703</v>
          </cell>
          <cell r="Z5">
            <v>45136269271339.031</v>
          </cell>
          <cell r="AA5">
            <v>44129303309627.578</v>
          </cell>
          <cell r="AB5">
            <v>43123756339853.109</v>
          </cell>
          <cell r="AC5">
            <v>42114625692470.094</v>
          </cell>
          <cell r="AD5">
            <v>41107623360845.109</v>
          </cell>
          <cell r="AE5">
            <v>40102751340376.031</v>
          </cell>
          <cell r="AF5">
            <v>39100011625821.672</v>
          </cell>
          <cell r="AG5">
            <v>38099406211301.703</v>
          </cell>
          <cell r="AH5">
            <v>37218897433414.289</v>
          </cell>
          <cell r="AI5">
            <v>36340889618275.922</v>
          </cell>
          <cell r="AJ5">
            <v>35465384765465.234</v>
          </cell>
          <cell r="AK5">
            <v>34592384873899.605</v>
          </cell>
          <cell r="AL5">
            <v>33721891941835.078</v>
          </cell>
          <cell r="AM5">
            <v>32934070953796.227</v>
          </cell>
          <cell r="AN5">
            <v>32148710363758.16</v>
          </cell>
          <cell r="AO5">
            <v>31365812180675.219</v>
          </cell>
          <cell r="AP5">
            <v>30585378412839.172</v>
          </cell>
          <cell r="AQ5">
            <v>29797458676871.594</v>
          </cell>
        </row>
        <row r="6">
          <cell r="B6">
            <v>11980562620785</v>
          </cell>
          <cell r="C6">
            <v>7144620170490.001</v>
          </cell>
          <cell r="D6">
            <v>8194623814195.2754</v>
          </cell>
          <cell r="E6">
            <v>8774878633293.9941</v>
          </cell>
          <cell r="F6">
            <v>9122453613684.0527</v>
          </cell>
          <cell r="G6">
            <v>9338439547027.3262</v>
          </cell>
          <cell r="H6">
            <v>9626921025421.0195</v>
          </cell>
          <cell r="I6">
            <v>9951372211200.6738</v>
          </cell>
          <cell r="J6">
            <v>10279302328384.531</v>
          </cell>
          <cell r="K6">
            <v>10602372626807.803</v>
          </cell>
          <cell r="L6">
            <v>10911495106030.889</v>
          </cell>
          <cell r="M6">
            <v>11196890716257.248</v>
          </cell>
          <cell r="N6">
            <v>11451317250318.174</v>
          </cell>
          <cell r="O6">
            <v>11672333307209.109</v>
          </cell>
          <cell r="P6">
            <v>11860977409434.982</v>
          </cell>
          <cell r="Q6">
            <v>12018776528611.643</v>
          </cell>
          <cell r="R6">
            <v>12147685157219.145</v>
          </cell>
          <cell r="S6">
            <v>12248053565479.6</v>
          </cell>
          <cell r="T6">
            <v>12323116110599.762</v>
          </cell>
          <cell r="U6">
            <v>12374374062920.332</v>
          </cell>
          <cell r="V6">
            <v>12403491258617.307</v>
          </cell>
          <cell r="W6">
            <v>12412259289720.52</v>
          </cell>
          <cell r="X6">
            <v>12402564634735.125</v>
          </cell>
          <cell r="Y6">
            <v>12376358318978.873</v>
          </cell>
          <cell r="Z6">
            <v>12335628547279.445</v>
          </cell>
          <cell r="AA6">
            <v>12282376614781.746</v>
          </cell>
          <cell r="AB6">
            <v>12218596278282.611</v>
          </cell>
          <cell r="AC6">
            <v>12146256663463.902</v>
          </cell>
          <cell r="AD6">
            <v>12067288694220.869</v>
          </cell>
          <cell r="AE6">
            <v>11983574959591.879</v>
          </cell>
          <cell r="AF6">
            <v>11896942881413.867</v>
          </cell>
          <cell r="AG6">
            <v>11809161010984.592</v>
          </cell>
          <cell r="AH6">
            <v>11721938264535.871</v>
          </cell>
          <cell r="AI6">
            <v>11636925903810.797</v>
          </cell>
          <cell r="AJ6">
            <v>11555722078026.055</v>
          </cell>
          <cell r="AK6">
            <v>11479878765592.213</v>
          </cell>
          <cell r="AL6">
            <v>11410910986958.783</v>
          </cell>
          <cell r="AM6">
            <v>11350308202944.328</v>
          </cell>
          <cell r="AN6">
            <v>11299547865387.088</v>
          </cell>
          <cell r="AO6">
            <v>11260111148871.971</v>
          </cell>
          <cell r="AP6">
            <v>11233500964172.02</v>
          </cell>
          <cell r="AQ6">
            <v>11217498599492.387</v>
          </cell>
        </row>
        <row r="7">
          <cell r="B7">
            <v>5137641969240</v>
          </cell>
          <cell r="C7">
            <v>2754657443670</v>
          </cell>
          <cell r="D7">
            <v>2869559440970.4443</v>
          </cell>
          <cell r="E7">
            <v>3021071213037.9658</v>
          </cell>
          <cell r="F7">
            <v>3090778821477.939</v>
          </cell>
          <cell r="G7">
            <v>3106234736593.1226</v>
          </cell>
          <cell r="H7">
            <v>3132083278462.3018</v>
          </cell>
          <cell r="I7">
            <v>3165210989489.0117</v>
          </cell>
          <cell r="J7">
            <v>3197144989627.8242</v>
          </cell>
          <cell r="K7">
            <v>3223489112980.8701</v>
          </cell>
          <cell r="L7">
            <v>3239765831991.5396</v>
          </cell>
          <cell r="M7">
            <v>3241506921452.8057</v>
          </cell>
          <cell r="N7">
            <v>3229345211532.0044</v>
          </cell>
          <cell r="O7">
            <v>3202271216507.0151</v>
          </cell>
          <cell r="P7">
            <v>3164308552985.3188</v>
          </cell>
          <cell r="Q7">
            <v>3119437410916.8032</v>
          </cell>
          <cell r="R7">
            <v>3071491012136.7451</v>
          </cell>
          <cell r="S7">
            <v>3026956063980.7539</v>
          </cell>
          <cell r="T7">
            <v>2983046592779.8501</v>
          </cell>
          <cell r="U7">
            <v>2939896151985.6548</v>
          </cell>
          <cell r="V7">
            <v>2897637579785.0713</v>
          </cell>
          <cell r="W7">
            <v>2856400249291.8799</v>
          </cell>
          <cell r="X7">
            <v>2816307859343.2515</v>
          </cell>
          <cell r="Y7">
            <v>2777476754030.8979</v>
          </cell>
          <cell r="Z7">
            <v>2740014742883.8467</v>
          </cell>
          <cell r="AA7">
            <v>2704020381691.5015</v>
          </cell>
          <cell r="AB7">
            <v>2669582666074.7783</v>
          </cell>
          <cell r="AC7">
            <v>2636781085681.8989</v>
          </cell>
          <cell r="AD7">
            <v>2605685985804.3809</v>
          </cell>
          <cell r="AE7">
            <v>2576359184734.2412</v>
          </cell>
          <cell r="AF7">
            <v>2548854798768.8408</v>
          </cell>
          <cell r="AG7">
            <v>2523220231905.0283</v>
          </cell>
          <cell r="AH7">
            <v>2499497293498.3433</v>
          </cell>
          <cell r="AI7">
            <v>2477723414120.2061</v>
          </cell>
          <cell r="AJ7">
            <v>2457932937239.75</v>
          </cell>
          <cell r="AK7">
            <v>2440158471987.396</v>
          </cell>
          <cell r="AL7">
            <v>2424432300019.3154</v>
          </cell>
          <cell r="AM7">
            <v>2410787837378.5039</v>
          </cell>
          <cell r="AN7">
            <v>2399261160313.6665</v>
          </cell>
          <cell r="AO7">
            <v>2389892612436.46</v>
          </cell>
          <cell r="AP7">
            <v>2382728519633.1377</v>
          </cell>
          <cell r="AQ7">
            <v>2377029118265.6245</v>
          </cell>
        </row>
        <row r="8">
          <cell r="B8">
            <v>2806713874800</v>
          </cell>
          <cell r="C8">
            <v>1980755537969.9995</v>
          </cell>
          <cell r="D8">
            <v>2031315854786.1018</v>
          </cell>
          <cell r="E8">
            <v>2276115122175.4639</v>
          </cell>
          <cell r="F8">
            <v>2311050494388.3721</v>
          </cell>
          <cell r="G8">
            <v>2321031878818.605</v>
          </cell>
          <cell r="H8">
            <v>2343153876461.3047</v>
          </cell>
          <cell r="I8">
            <v>2373462665535.8442</v>
          </cell>
          <cell r="J8">
            <v>2407371719249.2163</v>
          </cell>
          <cell r="K8">
            <v>2441772079680.4473</v>
          </cell>
          <cell r="L8">
            <v>2473378790656.355</v>
          </cell>
          <cell r="M8">
            <v>2498746829077.4829</v>
          </cell>
          <cell r="N8">
            <v>2521384047563.9912</v>
          </cell>
          <cell r="O8">
            <v>2534875319685.3306</v>
          </cell>
          <cell r="P8">
            <v>2539755652825.1162</v>
          </cell>
          <cell r="Q8">
            <v>2536657694422.4692</v>
          </cell>
          <cell r="R8">
            <v>2526290304625.5894</v>
          </cell>
          <cell r="S8">
            <v>2516000530088.9644</v>
          </cell>
          <cell r="T8">
            <v>2499799311806.437</v>
          </cell>
          <cell r="U8">
            <v>2478304909574.1699</v>
          </cell>
          <cell r="V8">
            <v>2452153953990.8984</v>
          </cell>
          <cell r="W8">
            <v>2421990016230.9443</v>
          </cell>
          <cell r="X8">
            <v>2388453506348.165</v>
          </cell>
          <cell r="Y8">
            <v>2352173005150.1396</v>
          </cell>
          <cell r="Z8">
            <v>2313758076228.6475</v>
          </cell>
          <cell r="AA8">
            <v>2273793554538.1782</v>
          </cell>
          <cell r="AB8">
            <v>2232835266738.4561</v>
          </cell>
          <cell r="AC8">
            <v>2191407106565.5818</v>
          </cell>
          <cell r="AD8">
            <v>2149999365525.6484</v>
          </cell>
          <cell r="AE8">
            <v>2109068204632.8389</v>
          </cell>
          <cell r="AF8">
            <v>2069036145925.272</v>
          </cell>
          <cell r="AG8">
            <v>2030293462140.5293</v>
          </cell>
          <cell r="AH8">
            <v>1993200348223.052</v>
          </cell>
          <cell r="AI8">
            <v>1958089768300.3254</v>
          </cell>
          <cell r="AJ8">
            <v>1925270885519.1938</v>
          </cell>
          <cell r="AK8">
            <v>1895032998922.3738</v>
          </cell>
          <cell r="AL8">
            <v>1867649930775.2231</v>
          </cell>
          <cell r="AM8">
            <v>1843384829017.6726</v>
          </cell>
          <cell r="AN8">
            <v>1822495372615.4468</v>
          </cell>
          <cell r="AO8">
            <v>1805239392539.8599</v>
          </cell>
          <cell r="AP8">
            <v>1791880948177.8115</v>
          </cell>
          <cell r="AQ8">
            <v>1782097118126.8267</v>
          </cell>
        </row>
        <row r="9">
          <cell r="B9">
            <v>7657823246865</v>
          </cell>
          <cell r="C9">
            <v>4850748254880</v>
          </cell>
          <cell r="D9">
            <v>5254544296190.3564</v>
          </cell>
          <cell r="E9">
            <v>5697255144394.0723</v>
          </cell>
          <cell r="F9">
            <v>6081855819231.7627</v>
          </cell>
          <cell r="G9">
            <v>6317478979385.4834</v>
          </cell>
          <cell r="H9">
            <v>6570231324294.127</v>
          </cell>
          <cell r="I9">
            <v>6744311643337.5156</v>
          </cell>
          <cell r="J9">
            <v>6918677940988.2549</v>
          </cell>
          <cell r="K9">
            <v>7091197848802.4639</v>
          </cell>
          <cell r="L9">
            <v>7259512752790.0957</v>
          </cell>
          <cell r="M9">
            <v>7421061280387.8057</v>
          </cell>
          <cell r="N9">
            <v>7526961519440.2256</v>
          </cell>
          <cell r="O9">
            <v>7623818884773.5332</v>
          </cell>
          <cell r="P9">
            <v>7711939672517.9668</v>
          </cell>
          <cell r="Q9">
            <v>7791753598360.8809</v>
          </cell>
          <cell r="R9">
            <v>7863796859067.3955</v>
          </cell>
          <cell r="S9">
            <v>7907027822610.5723</v>
          </cell>
          <cell r="T9">
            <v>7943558913531.4512</v>
          </cell>
          <cell r="U9">
            <v>7973793790945.6309</v>
          </cell>
          <cell r="V9">
            <v>7998180978732.666</v>
          </cell>
          <cell r="W9">
            <v>8017204725455.7734</v>
          </cell>
          <cell r="X9">
            <v>7981138204790.8721</v>
          </cell>
          <cell r="Y9">
            <v>7940805342277.8672</v>
          </cell>
          <cell r="Z9">
            <v>7896747421470.5449</v>
          </cell>
          <cell r="AA9">
            <v>7849510299550.123</v>
          </cell>
          <cell r="AB9">
            <v>7799638562010.3975</v>
          </cell>
          <cell r="AC9">
            <v>7712601723191.7803</v>
          </cell>
          <cell r="AD9">
            <v>7624035879626.4834</v>
          </cell>
          <cell r="AE9">
            <v>7534455806199.0273</v>
          </cell>
          <cell r="AF9">
            <v>7444360698859.3789</v>
          </cell>
          <cell r="AG9">
            <v>7354232805354.5107</v>
          </cell>
          <cell r="AH9">
            <v>7259540999258.7236</v>
          </cell>
          <cell r="AI9">
            <v>7165734180857.9844</v>
          </cell>
          <cell r="AJ9">
            <v>7073243420739.3965</v>
          </cell>
          <cell r="AK9">
            <v>6982485010501.207</v>
          </cell>
          <cell r="AL9">
            <v>6893862688216.1143</v>
          </cell>
          <cell r="AM9">
            <v>6797806659785.4043</v>
          </cell>
          <cell r="AN9">
            <v>6704679582595.292</v>
          </cell>
          <cell r="AO9">
            <v>6614866780926.3652</v>
          </cell>
          <cell r="AP9">
            <v>6528755771100.0078</v>
          </cell>
          <cell r="AQ9">
            <v>6444588434336.6719</v>
          </cell>
        </row>
        <row r="10">
          <cell r="B10">
            <v>197253456636225.03</v>
          </cell>
          <cell r="C10">
            <v>221542281834060</v>
          </cell>
          <cell r="D10">
            <v>232068128402216.34</v>
          </cell>
          <cell r="E10">
            <v>247641982790602.25</v>
          </cell>
          <cell r="F10">
            <v>263785656588927.84</v>
          </cell>
          <cell r="G10">
            <v>278173304068304.97</v>
          </cell>
          <cell r="H10">
            <v>292553344914797</v>
          </cell>
          <cell r="I10">
            <v>299041122135306.31</v>
          </cell>
          <cell r="J10">
            <v>305528317710577.13</v>
          </cell>
          <cell r="K10">
            <v>312014931603856.75</v>
          </cell>
          <cell r="L10">
            <v>318500963778466.13</v>
          </cell>
          <cell r="M10">
            <v>324986414197801.13</v>
          </cell>
          <cell r="N10">
            <v>325440782078030.94</v>
          </cell>
          <cell r="O10">
            <v>325895121373518.81</v>
          </cell>
          <cell r="P10">
            <v>326349432083265.31</v>
          </cell>
          <cell r="Q10">
            <v>326803714206273.38</v>
          </cell>
          <cell r="R10">
            <v>327257967741547</v>
          </cell>
          <cell r="S10">
            <v>323539404102182.06</v>
          </cell>
          <cell r="T10">
            <v>319820956069223.56</v>
          </cell>
          <cell r="U10">
            <v>316102623637017.75</v>
          </cell>
          <cell r="V10">
            <v>312384406799910.88</v>
          </cell>
          <cell r="W10">
            <v>308666305552248.31</v>
          </cell>
          <cell r="X10">
            <v>301699251600023.81</v>
          </cell>
          <cell r="Y10">
            <v>294732414220386.94</v>
          </cell>
          <cell r="Z10">
            <v>287765793402726.44</v>
          </cell>
          <cell r="AA10">
            <v>280799389136430.66</v>
          </cell>
          <cell r="AB10">
            <v>273833201410887</v>
          </cell>
          <cell r="AC10">
            <v>266867230215482.5</v>
          </cell>
          <cell r="AD10">
            <v>259901475539603.19</v>
          </cell>
          <cell r="AE10">
            <v>252935937372634.38</v>
          </cell>
          <cell r="AF10">
            <v>245970615703960.88</v>
          </cell>
          <cell r="AG10">
            <v>239005510522966.63</v>
          </cell>
          <cell r="AH10">
            <v>232968765288438.81</v>
          </cell>
          <cell r="AI10">
            <v>226932207674783.13</v>
          </cell>
          <cell r="AJ10">
            <v>220895837672798</v>
          </cell>
          <cell r="AK10">
            <v>214859655273281.16</v>
          </cell>
          <cell r="AL10">
            <v>208823660467029.88</v>
          </cell>
          <cell r="AM10">
            <v>202484818437791.03</v>
          </cell>
          <cell r="AN10">
            <v>196146173400554.28</v>
          </cell>
          <cell r="AO10">
            <v>189807725345652.34</v>
          </cell>
          <cell r="AP10">
            <v>183469474263417.25</v>
          </cell>
          <cell r="AQ10">
            <v>177125267089410.38</v>
          </cell>
        </row>
        <row r="11">
          <cell r="B11">
            <v>214030738825365.06</v>
          </cell>
          <cell r="C11">
            <v>184495658720340</v>
          </cell>
          <cell r="D11">
            <v>199881780016440.03</v>
          </cell>
          <cell r="E11">
            <v>223436252946218.94</v>
          </cell>
          <cell r="F11">
            <v>246359931928481.75</v>
          </cell>
          <cell r="G11">
            <v>262128979600698.13</v>
          </cell>
          <cell r="H11">
            <v>277791584721104.88</v>
          </cell>
          <cell r="I11">
            <v>287956812839858.06</v>
          </cell>
          <cell r="J11">
            <v>298119544465381.75</v>
          </cell>
          <cell r="K11">
            <v>308279692798060.25</v>
          </cell>
          <cell r="L11">
            <v>318437410798838.13</v>
          </cell>
          <cell r="M11">
            <v>328593057284099</v>
          </cell>
          <cell r="N11">
            <v>334433685995947.5</v>
          </cell>
          <cell r="O11">
            <v>340272075542939.13</v>
          </cell>
          <cell r="P11">
            <v>346108885095501.5</v>
          </cell>
          <cell r="Q11">
            <v>351944828135595.13</v>
          </cell>
          <cell r="R11">
            <v>357780650058315.44</v>
          </cell>
          <cell r="S11">
            <v>360763514530214.94</v>
          </cell>
          <cell r="T11">
            <v>363745537187527.25</v>
          </cell>
          <cell r="U11">
            <v>366726719995554.5</v>
          </cell>
          <cell r="V11">
            <v>369707065021151.31</v>
          </cell>
          <cell r="W11">
            <v>372686574427753.56</v>
          </cell>
          <cell r="X11">
            <v>374011330557922</v>
          </cell>
          <cell r="Y11">
            <v>375335643380398.31</v>
          </cell>
          <cell r="Z11">
            <v>376659515450176.38</v>
          </cell>
          <cell r="AA11">
            <v>377982949399167.63</v>
          </cell>
          <cell r="AB11">
            <v>379305947931410.63</v>
          </cell>
          <cell r="AC11">
            <v>379209510033366.63</v>
          </cell>
          <cell r="AD11">
            <v>379112975540511</v>
          </cell>
          <cell r="AE11">
            <v>379016347458013.5</v>
          </cell>
          <cell r="AF11">
            <v>378919628844760.63</v>
          </cell>
          <cell r="AG11">
            <v>378822822808995.69</v>
          </cell>
          <cell r="AH11">
            <v>377437482369951.75</v>
          </cell>
          <cell r="AI11">
            <v>376052363934460.56</v>
          </cell>
          <cell r="AJ11">
            <v>374667470836210.38</v>
          </cell>
          <cell r="AK11">
            <v>373282806441966.63</v>
          </cell>
          <cell r="AL11">
            <v>371898374147831.38</v>
          </cell>
          <cell r="AM11">
            <v>370277538180245.81</v>
          </cell>
          <cell r="AN11">
            <v>368656996938142.5</v>
          </cell>
          <cell r="AO11">
            <v>367036753903413.38</v>
          </cell>
          <cell r="AP11">
            <v>365416812573763.19</v>
          </cell>
          <cell r="AQ11">
            <v>363715103555919.75</v>
          </cell>
        </row>
        <row r="12">
          <cell r="B12">
            <v>6109186088115</v>
          </cell>
          <cell r="C12">
            <v>3652033648395</v>
          </cell>
          <cell r="D12">
            <v>3769458340576.3018</v>
          </cell>
          <cell r="E12">
            <v>4140873537162.8774</v>
          </cell>
          <cell r="F12">
            <v>4259535948614.1416</v>
          </cell>
          <cell r="G12">
            <v>4383119141019.3398</v>
          </cell>
          <cell r="H12">
            <v>4539552328650.8799</v>
          </cell>
          <cell r="I12">
            <v>4684453043528.0947</v>
          </cell>
          <cell r="J12">
            <v>4803143285479.6113</v>
          </cell>
          <cell r="K12">
            <v>4893726864814.8662</v>
          </cell>
          <cell r="L12">
            <v>4954823395152.9365</v>
          </cell>
          <cell r="M12">
            <v>4985602356926.5439</v>
          </cell>
          <cell r="N12">
            <v>4995362813871.6992</v>
          </cell>
          <cell r="O12">
            <v>4980743858110.9023</v>
          </cell>
          <cell r="P12">
            <v>4948125335985.9961</v>
          </cell>
          <cell r="Q12">
            <v>4903972508472.21</v>
          </cell>
          <cell r="R12">
            <v>4854648067016.7695</v>
          </cell>
          <cell r="S12">
            <v>4813290730588.9072</v>
          </cell>
          <cell r="T12">
            <v>4772880242089.5625</v>
          </cell>
          <cell r="U12">
            <v>4733444095730.3213</v>
          </cell>
          <cell r="V12">
            <v>4695008800546.9434</v>
          </cell>
          <cell r="W12">
            <v>4657599959921.7607</v>
          </cell>
          <cell r="X12">
            <v>4621242352298.6875</v>
          </cell>
          <cell r="Y12">
            <v>4585960013028.5215</v>
          </cell>
          <cell r="Z12">
            <v>4551776317300.2578</v>
          </cell>
          <cell r="AA12">
            <v>4518714064132.3135</v>
          </cell>
          <cell r="AB12">
            <v>4486795561415.8271</v>
          </cell>
          <cell r="AC12">
            <v>4456042712020.4004</v>
          </cell>
          <cell r="AD12">
            <v>4426477100991.4688</v>
          </cell>
          <cell r="AE12">
            <v>4398120083887.084</v>
          </cell>
          <cell r="AF12">
            <v>4370992876320.8564</v>
          </cell>
          <cell r="AG12">
            <v>4345116644797.1704</v>
          </cell>
          <cell r="AH12">
            <v>4320512598944.3662</v>
          </cell>
          <cell r="AI12">
            <v>4297202085271.8394</v>
          </cell>
          <cell r="AJ12">
            <v>4275206682597.3208</v>
          </cell>
          <cell r="AK12">
            <v>4254548299312.0244</v>
          </cell>
          <cell r="AL12">
            <v>4235249272673.1743</v>
          </cell>
          <cell r="AM12">
            <v>4217332470336.1758</v>
          </cell>
          <cell r="AN12">
            <v>4200821394362.3237</v>
          </cell>
          <cell r="AO12">
            <v>4185740287962.5913</v>
          </cell>
          <cell r="AP12">
            <v>4172114245264.0469</v>
          </cell>
          <cell r="AQ12">
            <v>4158766576143.418</v>
          </cell>
        </row>
        <row r="13">
          <cell r="B13">
            <v>5841764923500</v>
          </cell>
          <cell r="C13">
            <v>6458441962499.999</v>
          </cell>
          <cell r="D13">
            <v>7240203195893.4854</v>
          </cell>
          <cell r="E13">
            <v>7964788573244.9014</v>
          </cell>
          <cell r="F13">
            <v>8302860030119.7773</v>
          </cell>
          <cell r="G13">
            <v>8728528877901.7451</v>
          </cell>
          <cell r="H13">
            <v>9271458602617.5059</v>
          </cell>
          <cell r="I13">
            <v>9791104526406.4863</v>
          </cell>
          <cell r="J13">
            <v>10245642087876.719</v>
          </cell>
          <cell r="K13">
            <v>10641663963000.025</v>
          </cell>
          <cell r="L13">
            <v>10989596940881.254</v>
          </cell>
          <cell r="M13">
            <v>11303029136882.518</v>
          </cell>
          <cell r="N13">
            <v>11607214935794.875</v>
          </cell>
          <cell r="O13">
            <v>11896954425523.693</v>
          </cell>
          <cell r="P13">
            <v>12176173037236.602</v>
          </cell>
          <cell r="Q13">
            <v>12449322475976.336</v>
          </cell>
          <cell r="R13">
            <v>12721348901358.98</v>
          </cell>
          <cell r="S13">
            <v>13010175269633.277</v>
          </cell>
          <cell r="T13">
            <v>13303037402246.441</v>
          </cell>
          <cell r="U13">
            <v>13599007757449.732</v>
          </cell>
          <cell r="V13">
            <v>13897076191737.359</v>
          </cell>
          <cell r="W13">
            <v>14196148261740.209</v>
          </cell>
          <cell r="X13">
            <v>14495044334856.646</v>
          </cell>
          <cell r="Y13">
            <v>14792499613633.115</v>
          </cell>
          <cell r="Z13">
            <v>15087165179251.504</v>
          </cell>
          <cell r="AA13">
            <v>15377610157651.941</v>
          </cell>
          <cell r="AB13">
            <v>15662325107526.729</v>
          </cell>
          <cell r="AC13">
            <v>15939726722389.258</v>
          </cell>
          <cell r="AD13">
            <v>16208163928906.688</v>
          </cell>
          <cell r="AE13">
            <v>16465925450470.834</v>
          </cell>
          <cell r="AF13">
            <v>16711248888421.855</v>
          </cell>
          <cell r="AG13">
            <v>16942331353341.26</v>
          </cell>
          <cell r="AH13">
            <v>17157341655391.129</v>
          </cell>
          <cell r="AI13">
            <v>17354434035886.848</v>
          </cell>
          <cell r="AJ13">
            <v>17531763392352.117</v>
          </cell>
          <cell r="AK13">
            <v>17687501916537.027</v>
          </cell>
          <cell r="AL13">
            <v>17819857029735.703</v>
          </cell>
          <cell r="AM13">
            <v>17927090462804.574</v>
          </cell>
          <cell r="AN13">
            <v>18007538290277.137</v>
          </cell>
          <cell r="AO13">
            <v>18059631689756.887</v>
          </cell>
          <cell r="AP13">
            <v>18081918160320.879</v>
          </cell>
          <cell r="AQ13">
            <v>18067113740418.063</v>
          </cell>
        </row>
        <row r="14">
          <cell r="B14">
            <v>102811534816485</v>
          </cell>
          <cell r="C14">
            <v>76200642784365</v>
          </cell>
          <cell r="D14">
            <v>93520534023847.344</v>
          </cell>
          <cell r="E14">
            <v>103785905185880.89</v>
          </cell>
          <cell r="F14">
            <v>111254199556315.73</v>
          </cell>
          <cell r="G14">
            <v>113379838077639.41</v>
          </cell>
          <cell r="H14">
            <v>115236889518641.02</v>
          </cell>
          <cell r="I14">
            <v>117170438420764.05</v>
          </cell>
          <cell r="J14">
            <v>119114962679538.78</v>
          </cell>
          <cell r="K14">
            <v>121070430998738.28</v>
          </cell>
          <cell r="L14">
            <v>123036812102801.97</v>
          </cell>
          <cell r="M14">
            <v>125014074736835.61</v>
          </cell>
          <cell r="N14">
            <v>123936511361957.03</v>
          </cell>
          <cell r="O14">
            <v>122850814513279.7</v>
          </cell>
          <cell r="P14">
            <v>121756998710107.31</v>
          </cell>
          <cell r="Q14">
            <v>120655078465346.48</v>
          </cell>
          <cell r="R14">
            <v>119545068285506.03</v>
          </cell>
          <cell r="S14">
            <v>117521601643762.77</v>
          </cell>
          <cell r="T14">
            <v>115497293999420.11</v>
          </cell>
          <cell r="U14">
            <v>113472146673050.38</v>
          </cell>
          <cell r="V14">
            <v>111446160984977.81</v>
          </cell>
          <cell r="W14">
            <v>109419338255278.39</v>
          </cell>
          <cell r="X14">
            <v>106630519052516.98</v>
          </cell>
          <cell r="Y14">
            <v>103840564237616.03</v>
          </cell>
          <cell r="Z14">
            <v>101049475618699.58</v>
          </cell>
          <cell r="AA14">
            <v>98257255003551.406</v>
          </cell>
          <cell r="AB14">
            <v>95463904199614.859</v>
          </cell>
          <cell r="AC14">
            <v>93310428250932.813</v>
          </cell>
          <cell r="AD14">
            <v>91156077767457.813</v>
          </cell>
          <cell r="AE14">
            <v>89000854144677.172</v>
          </cell>
          <cell r="AF14">
            <v>86844758777815.359</v>
          </cell>
          <cell r="AG14">
            <v>84687793061834.047</v>
          </cell>
          <cell r="AH14">
            <v>83396515320499.469</v>
          </cell>
          <cell r="AI14">
            <v>82104708562883.672</v>
          </cell>
          <cell r="AJ14">
            <v>80812373628564</v>
          </cell>
          <cell r="AK14">
            <v>79519511356959.844</v>
          </cell>
          <cell r="AL14">
            <v>78226122587332.484</v>
          </cell>
          <cell r="AM14">
            <v>77587717127936.125</v>
          </cell>
          <cell r="AN14">
            <v>76949041294729.063</v>
          </cell>
          <cell r="AO14">
            <v>76310095507678.391</v>
          </cell>
          <cell r="AP14">
            <v>75670880186672.344</v>
          </cell>
          <cell r="AQ14">
            <v>75006018194405.734</v>
          </cell>
        </row>
        <row r="15">
          <cell r="B15">
            <v>113667161849505</v>
          </cell>
          <cell r="C15">
            <v>117965484146070</v>
          </cell>
          <cell r="D15">
            <v>133870667397227.13</v>
          </cell>
          <cell r="E15">
            <v>147253933235293.88</v>
          </cell>
          <cell r="F15">
            <v>159924937074906.34</v>
          </cell>
          <cell r="G15">
            <v>167538101228256.38</v>
          </cell>
          <cell r="H15">
            <v>174960885597038.88</v>
          </cell>
          <cell r="I15">
            <v>179221777397408.78</v>
          </cell>
          <cell r="J15">
            <v>183498398675882.72</v>
          </cell>
          <cell r="K15">
            <v>187790718834941.78</v>
          </cell>
          <cell r="L15">
            <v>192098707292982.56</v>
          </cell>
          <cell r="M15">
            <v>196422333484316.88</v>
          </cell>
          <cell r="N15">
            <v>196983163510948.13</v>
          </cell>
          <cell r="O15">
            <v>197544549375373.34</v>
          </cell>
          <cell r="P15">
            <v>198106490101439.22</v>
          </cell>
          <cell r="Q15">
            <v>198668984713363.25</v>
          </cell>
          <cell r="R15">
            <v>199232032235733.81</v>
          </cell>
          <cell r="S15">
            <v>196994271134075.66</v>
          </cell>
          <cell r="T15">
            <v>194755967472560.44</v>
          </cell>
          <cell r="U15">
            <v>192517121738545.97</v>
          </cell>
          <cell r="V15">
            <v>190277734419309.5</v>
          </cell>
          <cell r="W15">
            <v>188037806002047.47</v>
          </cell>
          <cell r="X15">
            <v>183817761085265.41</v>
          </cell>
          <cell r="Y15">
            <v>179596715203177.38</v>
          </cell>
          <cell r="Z15">
            <v>175374669267357.44</v>
          </cell>
          <cell r="AA15">
            <v>171151624189228.28</v>
          </cell>
          <cell r="AB15">
            <v>166927580880061.59</v>
          </cell>
          <cell r="AC15">
            <v>162702540250977.69</v>
          </cell>
          <cell r="AD15">
            <v>158476503212945.97</v>
          </cell>
          <cell r="AE15">
            <v>154249470676784.38</v>
          </cell>
          <cell r="AF15">
            <v>150021443553159.81</v>
          </cell>
          <cell r="AG15">
            <v>145792422752588.13</v>
          </cell>
          <cell r="AH15">
            <v>142128658822175.53</v>
          </cell>
          <cell r="AI15">
            <v>138464033896029.03</v>
          </cell>
          <cell r="AJ15">
            <v>134798548763042.25</v>
          </cell>
          <cell r="AK15">
            <v>131132204211977.75</v>
          </cell>
          <cell r="AL15">
            <v>127465001031467.06</v>
          </cell>
          <cell r="AM15">
            <v>123611931573861.97</v>
          </cell>
          <cell r="AN15">
            <v>119757962464630.11</v>
          </cell>
          <cell r="AO15">
            <v>115903094531551.44</v>
          </cell>
          <cell r="AP15">
            <v>112047328602268.25</v>
          </cell>
          <cell r="AQ15">
            <v>108164351741147.55</v>
          </cell>
        </row>
        <row r="16">
          <cell r="B16">
            <v>17120149067175.004</v>
          </cell>
          <cell r="C16">
            <v>10764986619585</v>
          </cell>
          <cell r="D16">
            <v>11490123548791.787</v>
          </cell>
          <cell r="E16">
            <v>13740436907719.578</v>
          </cell>
          <cell r="F16">
            <v>15308893972484.619</v>
          </cell>
          <cell r="G16">
            <v>16350476247712.482</v>
          </cell>
          <cell r="H16">
            <v>17369087053900.857</v>
          </cell>
          <cell r="I16">
            <v>18217150426247.402</v>
          </cell>
          <cell r="J16">
            <v>19059956921250.801</v>
          </cell>
          <cell r="K16">
            <v>19897467396302.844</v>
          </cell>
          <cell r="L16">
            <v>20729642759646.309</v>
          </cell>
          <cell r="M16">
            <v>21556443970374.934</v>
          </cell>
          <cell r="N16">
            <v>21989387391467.129</v>
          </cell>
          <cell r="O16">
            <v>22420208345753.793</v>
          </cell>
          <cell r="P16">
            <v>22848896540461.574</v>
          </cell>
          <cell r="Q16">
            <v>23275441691765.648</v>
          </cell>
          <cell r="R16">
            <v>23699833524789.707</v>
          </cell>
          <cell r="S16">
            <v>23797851851634.691</v>
          </cell>
          <cell r="T16">
            <v>23895385046069.035</v>
          </cell>
          <cell r="U16">
            <v>23992432927376.059</v>
          </cell>
          <cell r="V16">
            <v>24088995314910.465</v>
          </cell>
          <cell r="W16">
            <v>24185072028098.273</v>
          </cell>
          <cell r="X16">
            <v>24082921131635.922</v>
          </cell>
          <cell r="Y16">
            <v>23980968448789.199</v>
          </cell>
          <cell r="Z16">
            <v>23879214063371.016</v>
          </cell>
          <cell r="AA16">
            <v>23777658059162.914</v>
          </cell>
          <cell r="AB16">
            <v>23676300519915.051</v>
          </cell>
          <cell r="AC16">
            <v>23319244054319.984</v>
          </cell>
          <cell r="AD16">
            <v>22963280586979.5</v>
          </cell>
          <cell r="AE16">
            <v>22608410545897.539</v>
          </cell>
          <cell r="AF16">
            <v>22254634358912.68</v>
          </cell>
          <cell r="AG16">
            <v>21901952453697.969</v>
          </cell>
          <cell r="AH16">
            <v>21360119948149.902</v>
          </cell>
          <cell r="AI16">
            <v>20820054214004.883</v>
          </cell>
          <cell r="AJ16">
            <v>20281755936323.523</v>
          </cell>
          <cell r="AK16">
            <v>19745225799900.434</v>
          </cell>
          <cell r="AL16">
            <v>19210464489264.199</v>
          </cell>
          <cell r="AM16">
            <v>18676665630593.34</v>
          </cell>
          <cell r="AN16">
            <v>18144639844236.445</v>
          </cell>
          <cell r="AO16">
            <v>17614387815026.227</v>
          </cell>
          <cell r="AP16">
            <v>17085910227528.996</v>
          </cell>
          <cell r="AQ16">
            <v>16553428234619.834</v>
          </cell>
        </row>
        <row r="17">
          <cell r="B17">
            <v>7863521151090</v>
          </cell>
          <cell r="C17">
            <v>5719318419540</v>
          </cell>
          <cell r="D17">
            <v>6876616240818.1924</v>
          </cell>
          <cell r="E17">
            <v>7377427456829.7773</v>
          </cell>
          <cell r="F17">
            <v>7672875641401.0527</v>
          </cell>
          <cell r="G17">
            <v>7901298026642.542</v>
          </cell>
          <cell r="H17">
            <v>8184724832709.7236</v>
          </cell>
          <cell r="I17">
            <v>8458615001696.7061</v>
          </cell>
          <cell r="J17">
            <v>8696810593426.8174</v>
          </cell>
          <cell r="K17">
            <v>8900995329784.6699</v>
          </cell>
          <cell r="L17">
            <v>9073757574366.0078</v>
          </cell>
          <cell r="M17">
            <v>9218452819094.1563</v>
          </cell>
          <cell r="N17">
            <v>9344578874982.3027</v>
          </cell>
          <cell r="O17">
            <v>9450052102733.7578</v>
          </cell>
          <cell r="P17">
            <v>9538445776258.5371</v>
          </cell>
          <cell r="Q17">
            <v>9613602077858.9297</v>
          </cell>
          <cell r="R17">
            <v>9679567546346.1465</v>
          </cell>
          <cell r="S17">
            <v>9743351439744.7246</v>
          </cell>
          <cell r="T17">
            <v>9802297173001.6719</v>
          </cell>
          <cell r="U17">
            <v>9856496615636.418</v>
          </cell>
          <cell r="V17">
            <v>9906052745692.5859</v>
          </cell>
          <cell r="W17">
            <v>9951078973010.5527</v>
          </cell>
          <cell r="X17">
            <v>9991698453119.6387</v>
          </cell>
          <cell r="Y17">
            <v>10028043396559.369</v>
          </cell>
          <cell r="Z17">
            <v>10060254378208.961</v>
          </cell>
          <cell r="AA17">
            <v>10088479650950.619</v>
          </cell>
          <cell r="AB17">
            <v>10112874467725.926</v>
          </cell>
          <cell r="AC17">
            <v>10133600415764.934</v>
          </cell>
          <cell r="AD17">
            <v>10150824766479.865</v>
          </cell>
          <cell r="AE17">
            <v>10164719844224.664</v>
          </cell>
          <cell r="AF17">
            <v>10175462416826.805</v>
          </cell>
          <cell r="AG17">
            <v>10183233110507.545</v>
          </cell>
          <cell r="AH17">
            <v>10188215851518.773</v>
          </cell>
          <cell r="AI17">
            <v>10190597336545.33</v>
          </cell>
          <cell r="AJ17">
            <v>10190566533649.836</v>
          </cell>
          <cell r="AK17">
            <v>10188314215278.457</v>
          </cell>
          <cell r="AL17">
            <v>10184032524598.639</v>
          </cell>
          <cell r="AM17">
            <v>10177914576209</v>
          </cell>
          <cell r="AN17">
            <v>10170154092043.73</v>
          </cell>
          <cell r="AO17">
            <v>10160945073096.113</v>
          </cell>
          <cell r="AP17">
            <v>10150481507403.754</v>
          </cell>
          <cell r="AQ17">
            <v>10135571820044.961</v>
          </cell>
        </row>
        <row r="18">
          <cell r="B18">
            <v>3492058735439.9995</v>
          </cell>
          <cell r="C18">
            <v>2059645753770</v>
          </cell>
          <cell r="D18">
            <v>2082083920768.6709</v>
          </cell>
          <cell r="E18">
            <v>2668667196470.96</v>
          </cell>
          <cell r="F18">
            <v>2747690224957.9282</v>
          </cell>
          <cell r="G18">
            <v>2883330538863.6611</v>
          </cell>
          <cell r="H18">
            <v>3052852001740.002</v>
          </cell>
          <cell r="I18">
            <v>3196271783927.7695</v>
          </cell>
          <cell r="J18">
            <v>3305727202614.7871</v>
          </cell>
          <cell r="K18">
            <v>3390516595351.3174</v>
          </cell>
          <cell r="L18">
            <v>3462108030780.8765</v>
          </cell>
          <cell r="M18">
            <v>3533450198781.374</v>
          </cell>
          <cell r="N18">
            <v>3628526419277.5059</v>
          </cell>
          <cell r="O18">
            <v>3735481888176.7583</v>
          </cell>
          <cell r="P18">
            <v>3851269223382.6499</v>
          </cell>
          <cell r="Q18">
            <v>3972423471134.46</v>
          </cell>
          <cell r="R18">
            <v>4094990698866.4302</v>
          </cell>
          <cell r="S18">
            <v>4231164098293.8984</v>
          </cell>
          <cell r="T18">
            <v>4364969507027.8853</v>
          </cell>
          <cell r="U18">
            <v>4495880895784.8115</v>
          </cell>
          <cell r="V18">
            <v>4623374733341.1006</v>
          </cell>
          <cell r="W18">
            <v>4746933401747.3018</v>
          </cell>
          <cell r="X18">
            <v>4866048599729.5264</v>
          </cell>
          <cell r="Y18">
            <v>4980224702555.2012</v>
          </cell>
          <cell r="Z18">
            <v>5088982047610.6299</v>
          </cell>
          <cell r="AA18">
            <v>5191860116286.502</v>
          </cell>
          <cell r="AB18">
            <v>5288420584451.6455</v>
          </cell>
          <cell r="AC18">
            <v>5378250215769.707</v>
          </cell>
          <cell r="AD18">
            <v>5460963574325.6064</v>
          </cell>
          <cell r="AE18">
            <v>5536205535425.5283</v>
          </cell>
          <cell r="AF18">
            <v>5603653575960.3076</v>
          </cell>
          <cell r="AG18">
            <v>5663019828322.877</v>
          </cell>
          <cell r="AH18">
            <v>5714052884494.1201</v>
          </cell>
          <cell r="AI18">
            <v>5756539339508.7051</v>
          </cell>
          <cell r="AJ18">
            <v>5790305066041.2197</v>
          </cell>
          <cell r="AK18">
            <v>5815216214274.5381</v>
          </cell>
          <cell r="AL18">
            <v>5831179933499.7656</v>
          </cell>
          <cell r="AM18">
            <v>5838144814027.0684</v>
          </cell>
          <cell r="AN18">
            <v>5836101049948.4404</v>
          </cell>
          <cell r="AO18">
            <v>5825080325081.8857</v>
          </cell>
          <cell r="AP18">
            <v>5805155426048.2773</v>
          </cell>
          <cell r="AQ18">
            <v>5774510893544.6465</v>
          </cell>
        </row>
        <row r="19">
          <cell r="B19">
            <v>4663772887785</v>
          </cell>
          <cell r="C19">
            <v>2875437252930.0005</v>
          </cell>
          <cell r="D19">
            <v>3081053581319.4165</v>
          </cell>
          <cell r="E19">
            <v>3965561867132.7378</v>
          </cell>
          <cell r="F19">
            <v>4128882921330.6279</v>
          </cell>
          <cell r="G19">
            <v>4410718467741.3486</v>
          </cell>
          <cell r="H19">
            <v>4777054181053.0957</v>
          </cell>
          <cell r="I19">
            <v>5122690036485.4551</v>
          </cell>
          <cell r="J19">
            <v>5422878999844.5977</v>
          </cell>
          <cell r="K19">
            <v>5683323035898.4844</v>
          </cell>
          <cell r="L19">
            <v>5913737113292.3574</v>
          </cell>
          <cell r="M19">
            <v>6127108521251.9219</v>
          </cell>
          <cell r="N19">
            <v>6352901156257.4238</v>
          </cell>
          <cell r="O19">
            <v>6577347806701.041</v>
          </cell>
          <cell r="P19">
            <v>6799183344704.1943</v>
          </cell>
          <cell r="Q19">
            <v>7017056602926.1699</v>
          </cell>
          <cell r="R19">
            <v>7229537808828.4209</v>
          </cell>
          <cell r="S19">
            <v>7456244794503.5684</v>
          </cell>
          <cell r="T19">
            <v>7676714971267.75</v>
          </cell>
          <cell r="U19">
            <v>7890195188859.3906</v>
          </cell>
          <cell r="V19">
            <v>8095964393945.1191</v>
          </cell>
          <cell r="W19">
            <v>8293338304345.6768</v>
          </cell>
          <cell r="X19">
            <v>8481673708860.8447</v>
          </cell>
          <cell r="Y19">
            <v>8660372354864.0625</v>
          </cell>
          <cell r="Z19">
            <v>8828884392000.0234</v>
          </cell>
          <cell r="AA19">
            <v>8986711346736.8301</v>
          </cell>
          <cell r="AB19">
            <v>9133408609075.5645</v>
          </cell>
          <cell r="AC19">
            <v>9268587419297.7051</v>
          </cell>
          <cell r="AD19">
            <v>9391916349121.3086</v>
          </cell>
          <cell r="AE19">
            <v>9503122277941.6582</v>
          </cell>
          <cell r="AF19">
            <v>9601990870857.1875</v>
          </cell>
          <cell r="AG19">
            <v>9688366570844.6738</v>
          </cell>
          <cell r="AH19">
            <v>9762152122678.3457</v>
          </cell>
          <cell r="AI19">
            <v>9823307650923.3281</v>
          </cell>
          <cell r="AJ19">
            <v>9871849318531.2461</v>
          </cell>
          <cell r="AK19">
            <v>9907847596186.6855</v>
          </cell>
          <cell r="AL19">
            <v>9931425175576.6797</v>
          </cell>
          <cell r="AM19">
            <v>9942754562169.5723</v>
          </cell>
          <cell r="AN19">
            <v>9942055384896.6875</v>
          </cell>
          <cell r="AO19">
            <v>9929591461339.2422</v>
          </cell>
          <cell r="AP19">
            <v>9905667657655.1191</v>
          </cell>
          <cell r="AQ19">
            <v>9867330880867.4805</v>
          </cell>
        </row>
        <row r="20">
          <cell r="B20">
            <v>2405262678060</v>
          </cell>
          <cell r="C20">
            <v>2056340142615</v>
          </cell>
          <cell r="D20">
            <v>1787763939866.043</v>
          </cell>
          <cell r="E20">
            <v>2562762666291.2646</v>
          </cell>
          <cell r="F20">
            <v>2611952906740.9565</v>
          </cell>
          <cell r="G20">
            <v>2722160237773.3237</v>
          </cell>
          <cell r="H20">
            <v>2873951407749.2603</v>
          </cell>
          <cell r="I20">
            <v>3021535515398.1162</v>
          </cell>
          <cell r="J20">
            <v>3156566672631.6353</v>
          </cell>
          <cell r="K20">
            <v>3279227916282.2422</v>
          </cell>
          <cell r="L20">
            <v>3390351201285.4141</v>
          </cell>
          <cell r="M20">
            <v>3491355450379.312</v>
          </cell>
          <cell r="N20">
            <v>3601538087056.269</v>
          </cell>
          <cell r="O20">
            <v>3705071322121.0889</v>
          </cell>
          <cell r="P20">
            <v>3802207262351.5659</v>
          </cell>
          <cell r="Q20">
            <v>3893333116006.1309</v>
          </cell>
          <cell r="R20">
            <v>3978960901260.7583</v>
          </cell>
          <cell r="S20">
            <v>4081107830936.23</v>
          </cell>
          <cell r="T20">
            <v>4179375697527.8081</v>
          </cell>
          <cell r="U20">
            <v>4273463892848.7954</v>
          </cell>
          <cell r="V20">
            <v>4363084328074.3164</v>
          </cell>
          <cell r="W20">
            <v>4447962484236.1045</v>
          </cell>
          <cell r="X20">
            <v>4527838489512.2568</v>
          </cell>
          <cell r="Y20">
            <v>4602468219141.9971</v>
          </cell>
          <cell r="Z20">
            <v>4671624409869.6016</v>
          </cell>
          <cell r="AA20">
            <v>4735097777430.3516</v>
          </cell>
          <cell r="AB20">
            <v>4792698122830.3008</v>
          </cell>
          <cell r="AC20">
            <v>4844255411102.4189</v>
          </cell>
          <cell r="AD20">
            <v>4889620804869.2451</v>
          </cell>
          <cell r="AE20">
            <v>4928667634403.3682</v>
          </cell>
          <cell r="AF20">
            <v>4961292285922.3389</v>
          </cell>
          <cell r="AG20">
            <v>4987414990533.0654</v>
          </cell>
          <cell r="AH20">
            <v>5006980497487.5195</v>
          </cell>
          <cell r="AI20">
            <v>5019958617148.9404</v>
          </cell>
          <cell r="AJ20">
            <v>5026344621213.1357</v>
          </cell>
          <cell r="AK20">
            <v>5026159490196.8438</v>
          </cell>
          <cell r="AL20">
            <v>5019450000910.0605</v>
          </cell>
          <cell r="AM20">
            <v>5006288649490.5225</v>
          </cell>
          <cell r="AN20">
            <v>4986773408521.6465</v>
          </cell>
          <cell r="AO20">
            <v>4961027319712.3809</v>
          </cell>
          <cell r="AP20">
            <v>4929197926531.374</v>
          </cell>
          <cell r="AQ20">
            <v>4889823346479.1299</v>
          </cell>
        </row>
        <row r="21">
          <cell r="B21">
            <v>10305617782020</v>
          </cell>
          <cell r="C21">
            <v>6159853606995</v>
          </cell>
          <cell r="D21">
            <v>6304399978716.2168</v>
          </cell>
          <cell r="E21">
            <v>7235629148856.7314</v>
          </cell>
          <cell r="F21">
            <v>7979100383232.1162</v>
          </cell>
          <cell r="G21">
            <v>8458707208001.5947</v>
          </cell>
          <cell r="H21">
            <v>8933631019922.8457</v>
          </cell>
          <cell r="I21">
            <v>9170713039300.5352</v>
          </cell>
          <cell r="J21">
            <v>9406216213500.3223</v>
          </cell>
          <cell r="K21">
            <v>9640141443631.5449</v>
          </cell>
          <cell r="L21">
            <v>9872489631251.7051</v>
          </cell>
          <cell r="M21">
            <v>10103261678366.477</v>
          </cell>
          <cell r="N21">
            <v>10211728367521.326</v>
          </cell>
          <cell r="O21">
            <v>10319642658362.002</v>
          </cell>
          <cell r="P21">
            <v>10427004760357.219</v>
          </cell>
          <cell r="Q21">
            <v>10533814883048.779</v>
          </cell>
          <cell r="R21">
            <v>10640073236051.574</v>
          </cell>
          <cell r="S21">
            <v>10594893601765.914</v>
          </cell>
          <cell r="T21">
            <v>10549794015820.811</v>
          </cell>
          <cell r="U21">
            <v>10504774465415.074</v>
          </cell>
          <cell r="V21">
            <v>10459834937747.016</v>
          </cell>
          <cell r="W21">
            <v>10414975420014.455</v>
          </cell>
          <cell r="X21">
            <v>10370195899414.709</v>
          </cell>
          <cell r="Y21">
            <v>10325496363144.6</v>
          </cell>
          <cell r="Z21">
            <v>10280876798400.449</v>
          </cell>
          <cell r="AA21">
            <v>10236337192378.096</v>
          </cell>
          <cell r="AB21">
            <v>10191877532272.867</v>
          </cell>
          <cell r="AC21">
            <v>10147497805279.596</v>
          </cell>
          <cell r="AD21">
            <v>10103197998592.619</v>
          </cell>
          <cell r="AE21">
            <v>10058978099405.785</v>
          </cell>
          <cell r="AF21">
            <v>10014838094912.441</v>
          </cell>
          <cell r="AG21">
            <v>9970777972305.4297</v>
          </cell>
          <cell r="AH21">
            <v>9945766122061.3906</v>
          </cell>
          <cell r="AI21">
            <v>9920787023710.4531</v>
          </cell>
          <cell r="AJ21">
            <v>9895840672152.623</v>
          </cell>
          <cell r="AK21">
            <v>9870927062287.709</v>
          </cell>
          <cell r="AL21">
            <v>9846046189015.332</v>
          </cell>
          <cell r="AM21">
            <v>9814914491222.5898</v>
          </cell>
          <cell r="AN21">
            <v>9783831212714.4961</v>
          </cell>
          <cell r="AO21">
            <v>9752796345820.1406</v>
          </cell>
          <cell r="AP21">
            <v>9721809882868.3223</v>
          </cell>
          <cell r="AQ21">
            <v>9687591187583.2227</v>
          </cell>
        </row>
        <row r="22">
          <cell r="B22">
            <v>4060484962875</v>
          </cell>
          <cell r="C22">
            <v>3039578902635</v>
          </cell>
          <cell r="D22">
            <v>3320419006520.5562</v>
          </cell>
          <cell r="E22">
            <v>3579412170806.4551</v>
          </cell>
          <cell r="F22">
            <v>3686685857480.251</v>
          </cell>
          <cell r="G22">
            <v>3751855341919.2168</v>
          </cell>
          <cell r="H22">
            <v>3835625457216.4409</v>
          </cell>
          <cell r="I22">
            <v>3918902851494.4043</v>
          </cell>
          <cell r="J22">
            <v>3991105003349.1206</v>
          </cell>
          <cell r="K22">
            <v>4051741428823.3154</v>
          </cell>
          <cell r="L22">
            <v>4100433400811.9585</v>
          </cell>
          <cell r="M22">
            <v>4136917266319.3086</v>
          </cell>
          <cell r="N22">
            <v>4164556936024.396</v>
          </cell>
          <cell r="O22">
            <v>4181562920314.8071</v>
          </cell>
          <cell r="P22">
            <v>4189713457078.2676</v>
          </cell>
          <cell r="Q22">
            <v>4190866733651.854</v>
          </cell>
          <cell r="R22">
            <v>4186925305724.2251</v>
          </cell>
          <cell r="S22">
            <v>4182883202313.7358</v>
          </cell>
          <cell r="T22">
            <v>4175924584287.127</v>
          </cell>
          <cell r="U22">
            <v>4166310453969.8584</v>
          </cell>
          <cell r="V22">
            <v>4154304934355.2661</v>
          </cell>
          <cell r="W22">
            <v>4140173724244.1543</v>
          </cell>
          <cell r="X22">
            <v>4124182709006.3818</v>
          </cell>
          <cell r="Y22">
            <v>4106596731916.3423</v>
          </cell>
          <cell r="Z22">
            <v>4087678528792.3359</v>
          </cell>
          <cell r="AA22">
            <v>4067687826711.8379</v>
          </cell>
          <cell r="AB22">
            <v>4046880605891.2485</v>
          </cell>
          <cell r="AC22">
            <v>4025508522414.501</v>
          </cell>
          <cell r="AD22">
            <v>4003818488370.811</v>
          </cell>
          <cell r="AE22">
            <v>3982052405111.752</v>
          </cell>
          <cell r="AF22">
            <v>3960447044755.9692</v>
          </cell>
          <cell r="AG22">
            <v>3939234074744.2178</v>
          </cell>
          <cell r="AH22">
            <v>3918640220167.855</v>
          </cell>
          <cell r="AI22">
            <v>3898887558746.9092</v>
          </cell>
          <cell r="AJ22">
            <v>3880193943708.5498</v>
          </cell>
          <cell r="AK22">
            <v>3862773550400.3613</v>
          </cell>
          <cell r="AL22">
            <v>3846837543256.7124</v>
          </cell>
          <cell r="AM22">
            <v>3832594860712.2661</v>
          </cell>
          <cell r="AN22">
            <v>3820253116820.1836</v>
          </cell>
          <cell r="AO22">
            <v>3810019619681.2197</v>
          </cell>
          <cell r="AP22">
            <v>3802102508328.0718</v>
          </cell>
          <cell r="AQ22">
            <v>3795443337674.4507</v>
          </cell>
        </row>
        <row r="23">
          <cell r="B23">
            <v>8337751349729.999</v>
          </cell>
          <cell r="C23">
            <v>5919738457215.001</v>
          </cell>
          <cell r="D23">
            <v>7067234681467.1172</v>
          </cell>
          <cell r="E23">
            <v>7655816558333.3164</v>
          </cell>
          <cell r="F23">
            <v>7996521036899.75</v>
          </cell>
          <cell r="G23">
            <v>8258675981125.5908</v>
          </cell>
          <cell r="H23">
            <v>8579472295258.8125</v>
          </cell>
          <cell r="I23">
            <v>8888367122239.6563</v>
          </cell>
          <cell r="J23">
            <v>9157840323308.9023</v>
          </cell>
          <cell r="K23">
            <v>9390074069646.3672</v>
          </cell>
          <cell r="L23">
            <v>9588375453988.9551</v>
          </cell>
          <cell r="M23">
            <v>9756999899875.752</v>
          </cell>
          <cell r="N23">
            <v>9905348422726.4961</v>
          </cell>
          <cell r="O23">
            <v>10032581171285.023</v>
          </cell>
          <cell r="P23">
            <v>10142404359838.789</v>
          </cell>
          <cell r="Q23">
            <v>10238829636293.598</v>
          </cell>
          <cell r="R23">
            <v>10326109184980.891</v>
          </cell>
          <cell r="S23">
            <v>10408104552335.898</v>
          </cell>
          <cell r="T23">
            <v>10485439967083.279</v>
          </cell>
          <cell r="U23">
            <v>10558120771629.104</v>
          </cell>
          <cell r="V23">
            <v>10626161819168.648</v>
          </cell>
          <cell r="W23">
            <v>10689587196529.859</v>
          </cell>
          <cell r="X23">
            <v>10748429924941.266</v>
          </cell>
          <cell r="Y23">
            <v>10802731640976.375</v>
          </cell>
          <cell r="Z23">
            <v>10852542259933.715</v>
          </cell>
          <cell r="AA23">
            <v>10897919623903.709</v>
          </cell>
          <cell r="AB23">
            <v>10938929136753.527</v>
          </cell>
          <cell r="AC23">
            <v>10975643388225.928</v>
          </cell>
          <cell r="AD23">
            <v>11008141769304.977</v>
          </cell>
          <cell r="AE23">
            <v>11036510080944.137</v>
          </cell>
          <cell r="AF23">
            <v>11060840138187.969</v>
          </cell>
          <cell r="AG23">
            <v>11081229371645.158</v>
          </cell>
          <cell r="AH23">
            <v>11097780428188.66</v>
          </cell>
          <cell r="AI23">
            <v>11110600772671.949</v>
          </cell>
          <cell r="AJ23">
            <v>11119802292357.068</v>
          </cell>
          <cell r="AK23">
            <v>11125500905652.809</v>
          </cell>
          <cell r="AL23">
            <v>11127816176660.789</v>
          </cell>
          <cell r="AM23">
            <v>11126870936923.549</v>
          </cell>
          <cell r="AN23">
            <v>11122790915664.248</v>
          </cell>
          <cell r="AO23">
            <v>11115704379701.201</v>
          </cell>
          <cell r="AP23">
            <v>11105741784115.666</v>
          </cell>
          <cell r="AQ23">
            <v>11089441229471.691</v>
          </cell>
        </row>
        <row r="24">
          <cell r="B24">
            <v>632510638650</v>
          </cell>
          <cell r="C24">
            <v>2542459430115</v>
          </cell>
          <cell r="D24">
            <v>3126435225990.4766</v>
          </cell>
          <cell r="E24">
            <v>3388494433307.2622</v>
          </cell>
          <cell r="F24">
            <v>3558303295895.1064</v>
          </cell>
          <cell r="G24">
            <v>3954277767151.1484</v>
          </cell>
          <cell r="H24">
            <v>4480773086601.4121</v>
          </cell>
          <cell r="I24">
            <v>5005161235622.6104</v>
          </cell>
          <cell r="J24">
            <v>5491074708124.4824</v>
          </cell>
          <cell r="K24">
            <v>5941699860138.2783</v>
          </cell>
          <cell r="L24">
            <v>6368220073605.7891</v>
          </cell>
          <cell r="M24">
            <v>6789211388924.9434</v>
          </cell>
          <cell r="N24">
            <v>7225406275212.3965</v>
          </cell>
          <cell r="O24">
            <v>7680873161638.4268</v>
          </cell>
          <cell r="P24">
            <v>8155222501529.8789</v>
          </cell>
          <cell r="Q24">
            <v>8647876008610.4082</v>
          </cell>
          <cell r="R24">
            <v>9158050442373.5957</v>
          </cell>
          <cell r="S24">
            <v>9685009388412.1035</v>
          </cell>
          <cell r="T24">
            <v>10227238405850.223</v>
          </cell>
          <cell r="U24">
            <v>10783205173859.889</v>
          </cell>
          <cell r="V24">
            <v>11351110424474.221</v>
          </cell>
          <cell r="W24">
            <v>11928879606352.475</v>
          </cell>
          <cell r="X24">
            <v>12514157752381.287</v>
          </cell>
          <cell r="Y24">
            <v>13104308067102.543</v>
          </cell>
          <cell r="Z24">
            <v>13696414736646.096</v>
          </cell>
          <cell r="AA24">
            <v>14287290434924.092</v>
          </cell>
          <cell r="AB24">
            <v>14873488953760.988</v>
          </cell>
          <cell r="AC24">
            <v>15451323320193.416</v>
          </cell>
          <cell r="AD24">
            <v>16016889680646.246</v>
          </cell>
          <cell r="AE24">
            <v>16566097128926.625</v>
          </cell>
          <cell r="AF24">
            <v>17094703533499.219</v>
          </cell>
          <cell r="AG24">
            <v>17598357280612.613</v>
          </cell>
          <cell r="AH24">
            <v>18072644695672.008</v>
          </cell>
          <cell r="AI24">
            <v>18513142738815.516</v>
          </cell>
          <cell r="AJ24">
            <v>18915476395853.359</v>
          </cell>
          <cell r="AK24">
            <v>19275380007341.883</v>
          </cell>
          <cell r="AL24">
            <v>19588761602129.211</v>
          </cell>
          <cell r="AM24">
            <v>19851769133434.145</v>
          </cell>
          <cell r="AN24">
            <v>20060857362084.031</v>
          </cell>
          <cell r="AO24">
            <v>20212853999880.836</v>
          </cell>
          <cell r="AP24">
            <v>20305023623114.566</v>
          </cell>
          <cell r="AQ24">
            <v>20333989734971.805</v>
          </cell>
        </row>
        <row r="25">
          <cell r="B25">
            <v>2708656669950</v>
          </cell>
          <cell r="C25">
            <v>1875614880645.0027</v>
          </cell>
          <cell r="D25">
            <v>2555638739971.1499</v>
          </cell>
          <cell r="E25">
            <v>3177169222600.4976</v>
          </cell>
          <cell r="F25">
            <v>3408306102164.146</v>
          </cell>
          <cell r="G25">
            <v>3729058118182.0762</v>
          </cell>
          <cell r="H25">
            <v>4153887825775.228</v>
          </cell>
          <cell r="I25">
            <v>4592103097735.6182</v>
          </cell>
          <cell r="J25">
            <v>5012494918407.6807</v>
          </cell>
          <cell r="K25">
            <v>5416670182027.2842</v>
          </cell>
          <cell r="L25">
            <v>5810349679947.4844</v>
          </cell>
          <cell r="M25">
            <v>6203301217212.0713</v>
          </cell>
          <cell r="N25">
            <v>6605315049245.9111</v>
          </cell>
          <cell r="O25">
            <v>7020673573749.2773</v>
          </cell>
          <cell r="P25">
            <v>7450417671065.6289</v>
          </cell>
          <cell r="Q25">
            <v>7895903400267.3613</v>
          </cell>
          <cell r="R25">
            <v>8358837976134.5459</v>
          </cell>
          <cell r="S25">
            <v>8835564803564.6582</v>
          </cell>
          <cell r="T25">
            <v>9330515088999.8945</v>
          </cell>
          <cell r="U25">
            <v>9842737757096.6523</v>
          </cell>
          <cell r="V25">
            <v>10370993921990.42</v>
          </cell>
          <cell r="W25">
            <v>10913732648198.553</v>
          </cell>
          <cell r="X25">
            <v>11469068923860.848</v>
          </cell>
          <cell r="Y25">
            <v>12034764765689.668</v>
          </cell>
          <cell r="Z25">
            <v>12608214449871.285</v>
          </cell>
          <cell r="AA25">
            <v>13186434917691.59</v>
          </cell>
          <cell r="AB25">
            <v>13766062432464.801</v>
          </cell>
          <cell r="AC25">
            <v>14343356558889.383</v>
          </cell>
          <cell r="AD25">
            <v>14914212490883.605</v>
          </cell>
          <cell r="AE25">
            <v>15474182663453.525</v>
          </cell>
          <cell r="AF25">
            <v>16018508443396.619</v>
          </cell>
          <cell r="AG25">
            <v>16542162499279.896</v>
          </cell>
          <cell r="AH25">
            <v>17039902201741.324</v>
          </cell>
          <cell r="AI25">
            <v>17506334101779.025</v>
          </cell>
          <cell r="AJ25">
            <v>17935989181211.57</v>
          </cell>
          <cell r="AK25">
            <v>18323408173043.188</v>
          </cell>
          <cell r="AL25">
            <v>18663235820621.871</v>
          </cell>
          <cell r="AM25">
            <v>18950322497295.262</v>
          </cell>
          <cell r="AN25">
            <v>19179831160137.273</v>
          </cell>
          <cell r="AO25">
            <v>19347347182528.59</v>
          </cell>
          <cell r="AP25">
            <v>19448988223450.355</v>
          </cell>
          <cell r="AQ25">
            <v>19475006291978.227</v>
          </cell>
        </row>
        <row r="26">
          <cell r="B26">
            <v>425504379085500</v>
          </cell>
          <cell r="C26">
            <v>416179222239000</v>
          </cell>
          <cell r="D26">
            <v>440508308565238</v>
          </cell>
          <cell r="E26">
            <v>458837887226344.44</v>
          </cell>
          <cell r="F26">
            <v>498533817968863</v>
          </cell>
          <cell r="G26">
            <v>522862063585169.13</v>
          </cell>
          <cell r="H26">
            <v>543142651605932</v>
          </cell>
          <cell r="I26">
            <v>571008739953067.88</v>
          </cell>
          <cell r="J26">
            <v>594841588433704.75</v>
          </cell>
          <cell r="K26">
            <v>618031922334705.75</v>
          </cell>
          <cell r="L26">
            <v>640489571938821.5</v>
          </cell>
          <cell r="M26">
            <v>665853201278456.13</v>
          </cell>
          <cell r="N26">
            <v>683084266720226.13</v>
          </cell>
          <cell r="O26">
            <v>703099711340218.38</v>
          </cell>
          <cell r="P26">
            <v>722127395331267.75</v>
          </cell>
          <cell r="Q26">
            <v>740125805488204.75</v>
          </cell>
          <cell r="R26">
            <v>755499646165996.63</v>
          </cell>
          <cell r="S26">
            <v>773067947093419.13</v>
          </cell>
          <cell r="T26">
            <v>787987828678950.13</v>
          </cell>
          <cell r="U26">
            <v>801823432524510.5</v>
          </cell>
          <cell r="V26">
            <v>814584104055856.5</v>
          </cell>
          <cell r="W26">
            <v>826288352106680.25</v>
          </cell>
          <cell r="X26">
            <v>836963277981065.75</v>
          </cell>
          <cell r="Y26">
            <v>846643951306612.88</v>
          </cell>
          <cell r="Z26">
            <v>855372749123962.5</v>
          </cell>
          <cell r="AA26">
            <v>863198673993633.75</v>
          </cell>
          <cell r="AB26">
            <v>870176665975473.25</v>
          </cell>
          <cell r="AC26">
            <v>876366922209918</v>
          </cell>
          <cell r="AD26">
            <v>881834236561685.75</v>
          </cell>
          <cell r="AE26">
            <v>886647370431690</v>
          </cell>
          <cell r="AF26">
            <v>890878464453497.63</v>
          </cell>
          <cell r="AG26">
            <v>894602499413618.25</v>
          </cell>
          <cell r="AH26">
            <v>897896813411350.38</v>
          </cell>
          <cell r="AI26">
            <v>900840681039735.13</v>
          </cell>
          <cell r="AJ26">
            <v>903514959253590.5</v>
          </cell>
          <cell r="AK26">
            <v>906001803618066.88</v>
          </cell>
          <cell r="AL26">
            <v>908384457820666.88</v>
          </cell>
          <cell r="AM26">
            <v>910747118695860.38</v>
          </cell>
          <cell r="AN26">
            <v>913174878565431.63</v>
          </cell>
          <cell r="AO26">
            <v>915753746447995.63</v>
          </cell>
          <cell r="AP26">
            <v>918570749643981.38</v>
          </cell>
          <cell r="AQ26">
            <v>921347946567990.38</v>
          </cell>
        </row>
      </sheetData>
      <sheetData sheetId="4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</row>
        <row r="3">
          <cell r="B3">
            <v>86112559500</v>
          </cell>
          <cell r="C3">
            <v>33333894000.000011</v>
          </cell>
          <cell r="D3">
            <v>38553499440.163597</v>
          </cell>
          <cell r="E3">
            <v>44494736619.573853</v>
          </cell>
          <cell r="F3">
            <v>49341542833.528343</v>
          </cell>
          <cell r="G3">
            <v>51997491824.982193</v>
          </cell>
          <cell r="H3">
            <v>54576808188.334351</v>
          </cell>
          <cell r="I3">
            <v>55551040465.405174</v>
          </cell>
          <cell r="J3">
            <v>56527468372.040779</v>
          </cell>
          <cell r="K3">
            <v>57506069669.25193</v>
          </cell>
          <cell r="L3">
            <v>58486822141.742218</v>
          </cell>
          <cell r="M3">
            <v>59469703597.908195</v>
          </cell>
          <cell r="N3">
            <v>59865797957.847939</v>
          </cell>
          <cell r="O3">
            <v>60262317437.210472</v>
          </cell>
          <cell r="P3">
            <v>60659258062.845726</v>
          </cell>
          <cell r="Q3">
            <v>61056615864.501389</v>
          </cell>
          <cell r="R3">
            <v>61454386874.822868</v>
          </cell>
          <cell r="S3">
            <v>60873609030.840279</v>
          </cell>
          <cell r="T3">
            <v>60293129709.818947</v>
          </cell>
          <cell r="U3">
            <v>59712949359.624924</v>
          </cell>
          <cell r="V3">
            <v>59133068427.99292</v>
          </cell>
          <cell r="W3">
            <v>58553487362.526428</v>
          </cell>
          <cell r="X3">
            <v>57636492785.780937</v>
          </cell>
          <cell r="Y3">
            <v>56719988659.613945</v>
          </cell>
          <cell r="Z3">
            <v>55803975697.512901</v>
          </cell>
          <cell r="AA3">
            <v>54888454612.755196</v>
          </cell>
          <cell r="AB3">
            <v>53973426118.408218</v>
          </cell>
          <cell r="AC3">
            <v>53058890927.3293</v>
          </cell>
          <cell r="AD3">
            <v>52144849752.165741</v>
          </cell>
          <cell r="AE3">
            <v>51231303305.354729</v>
          </cell>
          <cell r="AF3">
            <v>50318252299.123459</v>
          </cell>
          <cell r="AG3">
            <v>49405697445.489082</v>
          </cell>
          <cell r="AH3">
            <v>48269131866.183411</v>
          </cell>
          <cell r="AI3">
            <v>47133191504.887543</v>
          </cell>
          <cell r="AJ3">
            <v>45997877250.113152</v>
          </cell>
          <cell r="AK3">
            <v>44863189990.109451</v>
          </cell>
          <cell r="AL3">
            <v>43729130612.863014</v>
          </cell>
          <cell r="AM3">
            <v>42819887900.866821</v>
          </cell>
          <cell r="AN3">
            <v>41911146614.651497</v>
          </cell>
          <cell r="AO3">
            <v>41002907464.488174</v>
          </cell>
          <cell r="AP3">
            <v>40095171160.437935</v>
          </cell>
          <cell r="AQ3">
            <v>39174853958.791786</v>
          </cell>
        </row>
        <row r="4">
          <cell r="B4">
            <v>106432345717499.97</v>
          </cell>
          <cell r="C4">
            <v>98223874319999.984</v>
          </cell>
          <cell r="D4">
            <v>102997294168850.11</v>
          </cell>
          <cell r="E4">
            <v>112978048598984.38</v>
          </cell>
          <cell r="F4">
            <v>123966184906422.08</v>
          </cell>
          <cell r="G4">
            <v>130783365720716.91</v>
          </cell>
          <cell r="H4">
            <v>137564406557375.19</v>
          </cell>
          <cell r="I4">
            <v>140839528871897.03</v>
          </cell>
          <cell r="J4">
            <v>144109386812711.31</v>
          </cell>
          <cell r="K4">
            <v>147373982893489.72</v>
          </cell>
          <cell r="L4">
            <v>150633319628425.94</v>
          </cell>
          <cell r="M4">
            <v>153887399532235.69</v>
          </cell>
          <cell r="N4">
            <v>156000206188686.53</v>
          </cell>
          <cell r="O4">
            <v>158110645166320.84</v>
          </cell>
          <cell r="P4">
            <v>160218717232937.41</v>
          </cell>
          <cell r="Q4">
            <v>162324423156445.91</v>
          </cell>
          <cell r="R4">
            <v>164427763704866.84</v>
          </cell>
          <cell r="S4">
            <v>166572588154169.41</v>
          </cell>
          <cell r="T4">
            <v>168716204675516.69</v>
          </cell>
          <cell r="U4">
            <v>170858613441723.16</v>
          </cell>
          <cell r="V4">
            <v>172999814625606.34</v>
          </cell>
          <cell r="W4">
            <v>175139808399986.69</v>
          </cell>
          <cell r="X4">
            <v>176183748006298.09</v>
          </cell>
          <cell r="Y4">
            <v>177227087052021.5</v>
          </cell>
          <cell r="Z4">
            <v>178269825623506.84</v>
          </cell>
          <cell r="AA4">
            <v>179311963807105.56</v>
          </cell>
          <cell r="AB4">
            <v>180353501689170.53</v>
          </cell>
          <cell r="AC4">
            <v>181394439356056.22</v>
          </cell>
          <cell r="AD4">
            <v>182434776894118.56</v>
          </cell>
          <cell r="AE4">
            <v>183474514389715.03</v>
          </cell>
          <cell r="AF4">
            <v>184513651929204.59</v>
          </cell>
          <cell r="AG4">
            <v>185552189598947.78</v>
          </cell>
          <cell r="AH4">
            <v>186589582231754.5</v>
          </cell>
          <cell r="AI4">
            <v>187626375470140.5</v>
          </cell>
          <cell r="AJ4">
            <v>188662569400427.53</v>
          </cell>
          <cell r="AK4">
            <v>189698164108938.88</v>
          </cell>
          <cell r="AL4">
            <v>190733159681999.47</v>
          </cell>
          <cell r="AM4">
            <v>190679541910293.5</v>
          </cell>
          <cell r="AN4">
            <v>190625929543863.97</v>
          </cell>
          <cell r="AO4">
            <v>190572322582724.94</v>
          </cell>
          <cell r="AP4">
            <v>190518721026890.59</v>
          </cell>
          <cell r="AQ4">
            <v>190401530510807.28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</row>
        <row r="9">
          <cell r="B9">
            <v>13889122500.000002</v>
          </cell>
          <cell r="C9">
            <v>11111298000</v>
          </cell>
          <cell r="D9">
            <v>11665919351.187954</v>
          </cell>
          <cell r="E9">
            <v>12955043577.870995</v>
          </cell>
          <cell r="F9">
            <v>14155988665.216175</v>
          </cell>
          <cell r="G9">
            <v>14869308761.31098</v>
          </cell>
          <cell r="H9">
            <v>15574729872.679935</v>
          </cell>
          <cell r="I9">
            <v>15947440921.616987</v>
          </cell>
          <cell r="J9">
            <v>16319321639.749317</v>
          </cell>
          <cell r="K9">
            <v>16690370779.875164</v>
          </cell>
          <cell r="L9">
            <v>17060587096.943867</v>
          </cell>
          <cell r="M9">
            <v>17429969348.055859</v>
          </cell>
          <cell r="N9">
            <v>17610576738.886803</v>
          </cell>
          <cell r="O9">
            <v>17790887535.108093</v>
          </cell>
          <cell r="P9">
            <v>17970901432.319729</v>
          </cell>
          <cell r="Q9">
            <v>18150618126.472504</v>
          </cell>
          <cell r="R9">
            <v>18330037313.867985</v>
          </cell>
          <cell r="S9">
            <v>18416298121.329212</v>
          </cell>
          <cell r="T9">
            <v>18502452045.851723</v>
          </cell>
          <cell r="U9">
            <v>18588499088.606731</v>
          </cell>
          <cell r="V9">
            <v>18674439250.770226</v>
          </cell>
          <cell r="W9">
            <v>18760272533.522953</v>
          </cell>
          <cell r="X9">
            <v>18653692826.437672</v>
          </cell>
          <cell r="Y9">
            <v>18547220121.064926</v>
          </cell>
          <cell r="Z9">
            <v>18440854416.674492</v>
          </cell>
          <cell r="AA9">
            <v>18334595712.531387</v>
          </cell>
          <cell r="AB9">
            <v>18228444007.895866</v>
          </cell>
          <cell r="AC9">
            <v>17988159307.193611</v>
          </cell>
          <cell r="AD9">
            <v>17748131315.102718</v>
          </cell>
          <cell r="AE9">
            <v>17508360029.496414</v>
          </cell>
          <cell r="AF9">
            <v>17268845448.236492</v>
          </cell>
          <cell r="AG9">
            <v>17029587569.173306</v>
          </cell>
          <cell r="AH9">
            <v>16771462715.441706</v>
          </cell>
          <cell r="AI9">
            <v>16513615946.142979</v>
          </cell>
          <cell r="AJ9">
            <v>16256047258.893471</v>
          </cell>
          <cell r="AK9">
            <v>15998756651.297125</v>
          </cell>
          <cell r="AL9">
            <v>15741744120.945486</v>
          </cell>
          <cell r="AM9">
            <v>15446869247.522604</v>
          </cell>
          <cell r="AN9">
            <v>15152315218.28919</v>
          </cell>
          <cell r="AO9">
            <v>14858082030.393101</v>
          </cell>
          <cell r="AP9">
            <v>14564169680.96789</v>
          </cell>
          <cell r="AQ9">
            <v>14265813366.409208</v>
          </cell>
        </row>
        <row r="10">
          <cell r="B10">
            <v>2.65675996372875E+16</v>
          </cell>
          <cell r="C10">
            <v>2.74121916208635E+16</v>
          </cell>
          <cell r="D10">
            <v>2.8716282981006392E+16</v>
          </cell>
          <cell r="E10">
            <v>3.0629079838811504E+16</v>
          </cell>
          <cell r="F10">
            <v>3.254241962123144E+16</v>
          </cell>
          <cell r="G10">
            <v>3.432468002758066E+16</v>
          </cell>
          <cell r="H10">
            <v>3.6106933186320976E+16</v>
          </cell>
          <cell r="I10">
            <v>3.6909291332815064E+16</v>
          </cell>
          <cell r="J10">
            <v>3.7711648925116864E+16</v>
          </cell>
          <cell r="K10">
            <v>3.8514005963191376E+16</v>
          </cell>
          <cell r="L10">
            <v>3.931636244700364E+16</v>
          </cell>
          <cell r="M10">
            <v>4.0118718376518784E+16</v>
          </cell>
          <cell r="N10">
            <v>4.017602303569088E+16</v>
          </cell>
          <cell r="O10">
            <v>4.0233327667627416E+16</v>
          </cell>
          <cell r="P10">
            <v>4.0290632272327408E+16</v>
          </cell>
          <cell r="Q10">
            <v>4.0347936849789936E+16</v>
          </cell>
          <cell r="R10">
            <v>4.0405241400014016E+16</v>
          </cell>
          <cell r="S10">
            <v>3.9946741244790768E+16</v>
          </cell>
          <cell r="T10">
            <v>3.948824119971744E+16</v>
          </cell>
          <cell r="U10">
            <v>3.902974126478864E+16</v>
          </cell>
          <cell r="V10">
            <v>3.8571241439999E+16</v>
          </cell>
          <cell r="W10">
            <v>3.811274172534312E+16</v>
          </cell>
          <cell r="X10">
            <v>3.7253055440917072E+16</v>
          </cell>
          <cell r="Y10">
            <v>3.6393369362841672E+16</v>
          </cell>
          <cell r="Z10">
            <v>3.5533683491106756E+16</v>
          </cell>
          <cell r="AA10">
            <v>3.4673997825702252E+16</v>
          </cell>
          <cell r="AB10">
            <v>3.381431236661802E+16</v>
          </cell>
          <cell r="AC10">
            <v>3.295462711384398E+16</v>
          </cell>
          <cell r="AD10">
            <v>3.2094942067370004E+16</v>
          </cell>
          <cell r="AE10">
            <v>3.1235257227185972E+16</v>
          </cell>
          <cell r="AF10">
            <v>3.037557259328178E+16</v>
          </cell>
          <cell r="AG10">
            <v>2.95158881656473E+16</v>
          </cell>
          <cell r="AH10">
            <v>2.877082641140892E+16</v>
          </cell>
          <cell r="AI10">
            <v>2.8025764835935924E+16</v>
          </cell>
          <cell r="AJ10">
            <v>2.728070343921956E+16</v>
          </cell>
          <cell r="AK10">
            <v>2.6535642221251048E+16</v>
          </cell>
          <cell r="AL10">
            <v>2.5790581182021624E+16</v>
          </cell>
          <cell r="AM10">
            <v>2.5008093699086076E+16</v>
          </cell>
          <cell r="AN10">
            <v>2.4225606403844748E+16</v>
          </cell>
          <cell r="AO10">
            <v>2.3443119296288424E+16</v>
          </cell>
          <cell r="AP10">
            <v>2.2660632376407892E+16</v>
          </cell>
          <cell r="AQ10">
            <v>2.1878139781555992E+16</v>
          </cell>
        </row>
        <row r="11">
          <cell r="B11">
            <v>533342304000.00018</v>
          </cell>
          <cell r="C11">
            <v>46917455804999.992</v>
          </cell>
          <cell r="D11">
            <v>51424738803785.344</v>
          </cell>
          <cell r="E11">
            <v>58063767155415.938</v>
          </cell>
          <cell r="F11">
            <v>64850279841267.656</v>
          </cell>
          <cell r="G11">
            <v>68974475491537.516</v>
          </cell>
          <cell r="H11">
            <v>73049957488948.156</v>
          </cell>
          <cell r="I11">
            <v>75725701847600.672</v>
          </cell>
          <cell r="J11">
            <v>78402394918579.047</v>
          </cell>
          <cell r="K11">
            <v>81080023398249.516</v>
          </cell>
          <cell r="L11">
            <v>83758573990107.906</v>
          </cell>
          <cell r="M11">
            <v>86438033404779.516</v>
          </cell>
          <cell r="N11">
            <v>87979394530842.063</v>
          </cell>
          <cell r="O11">
            <v>89521100831376.938</v>
          </cell>
          <cell r="P11">
            <v>91063148649313.313</v>
          </cell>
          <cell r="Q11">
            <v>92605534328915.609</v>
          </cell>
          <cell r="R11">
            <v>94148254215783.672</v>
          </cell>
          <cell r="S11">
            <v>94927108027072.891</v>
          </cell>
          <cell r="T11">
            <v>95705653256951.203</v>
          </cell>
          <cell r="U11">
            <v>96483889802546.875</v>
          </cell>
          <cell r="V11">
            <v>97261817561007.063</v>
          </cell>
          <cell r="W11">
            <v>98039436429497.766</v>
          </cell>
          <cell r="X11">
            <v>98380897281292.891</v>
          </cell>
          <cell r="Y11">
            <v>98722215943858</v>
          </cell>
          <cell r="Z11">
            <v>99063392371004.813</v>
          </cell>
          <cell r="AA11">
            <v>99404426516553.563</v>
          </cell>
          <cell r="AB11">
            <v>99745318334333.141</v>
          </cell>
          <cell r="AC11">
            <v>99712263988113.266</v>
          </cell>
          <cell r="AD11">
            <v>99679210667349.813</v>
          </cell>
          <cell r="AE11">
            <v>99646158374443.656</v>
          </cell>
          <cell r="AF11">
            <v>99613107111795.422</v>
          </cell>
          <cell r="AG11">
            <v>99580056881805.313</v>
          </cell>
          <cell r="AH11">
            <v>99207721738138.875</v>
          </cell>
          <cell r="AI11">
            <v>98835518103468.672</v>
          </cell>
          <cell r="AJ11">
            <v>98463446024269.578</v>
          </cell>
          <cell r="AK11">
            <v>98091505547008.031</v>
          </cell>
          <cell r="AL11">
            <v>97719696718142.109</v>
          </cell>
          <cell r="AM11">
            <v>97285728969270.844</v>
          </cell>
          <cell r="AN11">
            <v>96851916965434.5</v>
          </cell>
          <cell r="AO11">
            <v>96418260761160.188</v>
          </cell>
          <cell r="AP11">
            <v>95984760410965.063</v>
          </cell>
          <cell r="AQ11">
            <v>95516184182299.422</v>
          </cell>
        </row>
        <row r="12">
          <cell r="B12">
            <v>2777824500</v>
          </cell>
          <cell r="C12">
            <v>16666947000.000002</v>
          </cell>
          <cell r="D12">
            <v>17025083017.604023</v>
          </cell>
          <cell r="E12">
            <v>18968830384.176105</v>
          </cell>
          <cell r="F12">
            <v>19549540116.228939</v>
          </cell>
          <cell r="G12">
            <v>20100566165.954975</v>
          </cell>
          <cell r="H12">
            <v>20800125439.339554</v>
          </cell>
          <cell r="I12">
            <v>21447221913.590786</v>
          </cell>
          <cell r="J12">
            <v>21973156911.969391</v>
          </cell>
          <cell r="K12">
            <v>22369529164.857403</v>
          </cell>
          <cell r="L12">
            <v>22630328177.189182</v>
          </cell>
          <cell r="M12">
            <v>22752081033.82407</v>
          </cell>
          <cell r="N12">
            <v>22783152844.755291</v>
          </cell>
          <cell r="O12">
            <v>22702926598.169228</v>
          </cell>
          <cell r="P12">
            <v>22540663469.800804</v>
          </cell>
          <cell r="Q12">
            <v>22325946389.323467</v>
          </cell>
          <cell r="R12">
            <v>22087822030.554485</v>
          </cell>
          <cell r="S12">
            <v>21891413183.913731</v>
          </cell>
          <cell r="T12">
            <v>21699408544.483101</v>
          </cell>
          <cell r="U12">
            <v>21511928922.953495</v>
          </cell>
          <cell r="V12">
            <v>21329090420.270473</v>
          </cell>
          <cell r="W12">
            <v>21151004794.325722</v>
          </cell>
          <cell r="X12">
            <v>20977779831.311108</v>
          </cell>
          <cell r="Y12">
            <v>20809519721.424107</v>
          </cell>
          <cell r="Z12">
            <v>20646325438.695427</v>
          </cell>
          <cell r="AA12">
            <v>20488295124.792118</v>
          </cell>
          <cell r="AB12">
            <v>20335524476.732059</v>
          </cell>
          <cell r="AC12">
            <v>20188107138.52766</v>
          </cell>
          <cell r="AD12">
            <v>20046135096.861107</v>
          </cell>
          <cell r="AE12">
            <v>19909699080.97654</v>
          </cell>
          <cell r="AF12">
            <v>19778888967.059135</v>
          </cell>
          <cell r="AG12">
            <v>19653794187.456776</v>
          </cell>
          <cell r="AH12">
            <v>19534504145.186806</v>
          </cell>
          <cell r="AI12">
            <v>19421108634.259315</v>
          </cell>
          <cell r="AJ12">
            <v>19313698266.437664</v>
          </cell>
          <cell r="AK12">
            <v>19212364905.150471</v>
          </cell>
          <cell r="AL12">
            <v>19117202107.364529</v>
          </cell>
          <cell r="AM12">
            <v>19028305574.326649</v>
          </cell>
          <cell r="AN12">
            <v>18945773612.184906</v>
          </cell>
          <cell r="AO12">
            <v>18869707603.605919</v>
          </cell>
          <cell r="AP12">
            <v>18800212491.616764</v>
          </cell>
          <cell r="AQ12">
            <v>18731123809.680744</v>
          </cell>
        </row>
        <row r="13">
          <cell r="B13">
            <v>0</v>
          </cell>
          <cell r="C13">
            <v>2777824500</v>
          </cell>
          <cell r="D13">
            <v>3111008991.9090824</v>
          </cell>
          <cell r="E13">
            <v>3425681140.9076829</v>
          </cell>
          <cell r="F13">
            <v>3572505144.9297624</v>
          </cell>
          <cell r="G13">
            <v>3755304264.5578771</v>
          </cell>
          <cell r="H13">
            <v>3988509202.7412276</v>
          </cell>
          <cell r="I13">
            <v>4211761288.1500382</v>
          </cell>
          <cell r="J13">
            <v>4406974919.4841948</v>
          </cell>
          <cell r="K13">
            <v>4576991274.3283548</v>
          </cell>
          <cell r="L13">
            <v>4726299727.9510517</v>
          </cell>
          <cell r="M13">
            <v>4860747923.8194504</v>
          </cell>
          <cell r="N13">
            <v>4991305833.7925005</v>
          </cell>
          <cell r="O13">
            <v>5115637434.8235979</v>
          </cell>
          <cell r="P13">
            <v>5235431419.0652351</v>
          </cell>
          <cell r="Q13">
            <v>5352602410.3031836</v>
          </cell>
          <cell r="R13">
            <v>5469277221.5365725</v>
          </cell>
          <cell r="S13">
            <v>5593289181.0796967</v>
          </cell>
          <cell r="T13">
            <v>5719028475.3722382</v>
          </cell>
          <cell r="U13">
            <v>5846096180.5561562</v>
          </cell>
          <cell r="V13">
            <v>5974057909.9104252</v>
          </cell>
          <cell r="W13">
            <v>6102443089.409874</v>
          </cell>
          <cell r="X13">
            <v>6230744581.0940056</v>
          </cell>
          <cell r="Y13">
            <v>6358418699.3141422</v>
          </cell>
          <cell r="Z13">
            <v>6484885665.063736</v>
          </cell>
          <cell r="AA13">
            <v>6609530542.7992573</v>
          </cell>
          <cell r="AB13">
            <v>6731704702.3024216</v>
          </cell>
          <cell r="AC13">
            <v>6850727845.1010418</v>
          </cell>
          <cell r="AD13">
            <v>6965890630.6509037</v>
          </cell>
          <cell r="AE13">
            <v>7076457931.792305</v>
          </cell>
          <cell r="AF13">
            <v>7181672741.8697939</v>
          </cell>
          <cell r="AG13">
            <v>7280760747.3028498</v>
          </cell>
          <cell r="AH13">
            <v>7372935569.3178349</v>
          </cell>
          <cell r="AI13">
            <v>7457404667.0372219</v>
          </cell>
          <cell r="AJ13">
            <v>7533375881.2579317</v>
          </cell>
          <cell r="AK13">
            <v>7600064584.1740475</v>
          </cell>
          <cell r="AL13">
            <v>7656701385.2056799</v>
          </cell>
          <cell r="AM13">
            <v>7702540327.236743</v>
          </cell>
          <cell r="AN13">
            <v>7736867491.250432</v>
          </cell>
          <cell r="AO13">
            <v>7759009910.9520454</v>
          </cell>
          <cell r="AP13">
            <v>7768344682.9031754</v>
          </cell>
          <cell r="AQ13">
            <v>7761685725.284152</v>
          </cell>
        </row>
        <row r="14">
          <cell r="B14">
            <v>38889543000</v>
          </cell>
          <cell r="C14">
            <v>144446874000</v>
          </cell>
          <cell r="D14">
            <v>178121347784.60977</v>
          </cell>
          <cell r="E14">
            <v>198043340317.84277</v>
          </cell>
          <cell r="F14">
            <v>212520305396.50327</v>
          </cell>
          <cell r="G14">
            <v>216600992316.34143</v>
          </cell>
          <cell r="H14">
            <v>220158824793.7525</v>
          </cell>
          <cell r="I14">
            <v>223869949538.69818</v>
          </cell>
          <cell r="J14">
            <v>227602439845.88791</v>
          </cell>
          <cell r="K14">
            <v>231356234791.4259</v>
          </cell>
          <cell r="L14">
            <v>235131273491.64728</v>
          </cell>
          <cell r="M14">
            <v>238927495103.1181</v>
          </cell>
          <cell r="N14">
            <v>236880014775.58026</v>
          </cell>
          <cell r="O14">
            <v>234816701136.54089</v>
          </cell>
          <cell r="P14">
            <v>232737582450.51071</v>
          </cell>
          <cell r="Q14">
            <v>230642686969.54749</v>
          </cell>
          <cell r="R14">
            <v>228532042933.25446</v>
          </cell>
          <cell r="S14">
            <v>224664640127.11447</v>
          </cell>
          <cell r="T14">
            <v>220795600153.82312</v>
          </cell>
          <cell r="U14">
            <v>216924925584.11874</v>
          </cell>
          <cell r="V14">
            <v>213052618988.25671</v>
          </cell>
          <cell r="W14">
            <v>209178682936.00916</v>
          </cell>
          <cell r="X14">
            <v>203847991653.95914</v>
          </cell>
          <cell r="Y14">
            <v>198515089692.78293</v>
          </cell>
          <cell r="Z14">
            <v>193179980572.32843</v>
          </cell>
          <cell r="AA14">
            <v>187842667811.78131</v>
          </cell>
          <cell r="AB14">
            <v>182503154929.66437</v>
          </cell>
          <cell r="AC14">
            <v>178386888031.5448</v>
          </cell>
          <cell r="AD14">
            <v>174268918689.65533</v>
          </cell>
          <cell r="AE14">
            <v>170149249620.57028</v>
          </cell>
          <cell r="AF14">
            <v>166027883540.3522</v>
          </cell>
          <cell r="AG14">
            <v>161904823164.55203</v>
          </cell>
          <cell r="AH14">
            <v>159436747361.1976</v>
          </cell>
          <cell r="AI14">
            <v>156967641729.77991</v>
          </cell>
          <cell r="AJ14">
            <v>154497507904.69153</v>
          </cell>
          <cell r="AK14">
            <v>152026347520.0177</v>
          </cell>
          <cell r="AL14">
            <v>149554162209.53564</v>
          </cell>
          <cell r="AM14">
            <v>148334172337.69821</v>
          </cell>
          <cell r="AN14">
            <v>147113656133.21713</v>
          </cell>
          <cell r="AO14">
            <v>145892614413.63599</v>
          </cell>
          <cell r="AP14">
            <v>144671047996.34497</v>
          </cell>
          <cell r="AQ14">
            <v>143399555588.62292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</row>
        <row r="16">
          <cell r="B16">
            <v>119446453500.00002</v>
          </cell>
          <cell r="C16">
            <v>83334735000</v>
          </cell>
          <cell r="D16">
            <v>88948220271.242355</v>
          </cell>
          <cell r="E16">
            <v>106368517579.55769</v>
          </cell>
          <cell r="F16">
            <v>118510376967.77786</v>
          </cell>
          <cell r="G16">
            <v>126573553073.25426</v>
          </cell>
          <cell r="H16">
            <v>134458900691.56064</v>
          </cell>
          <cell r="I16">
            <v>141023993514.72574</v>
          </cell>
          <cell r="J16">
            <v>147548391398.28711</v>
          </cell>
          <cell r="K16">
            <v>154031791328.50241</v>
          </cell>
          <cell r="L16">
            <v>160473890685.28079</v>
          </cell>
          <cell r="M16">
            <v>166874387242.18271</v>
          </cell>
          <cell r="N16">
            <v>170225921855.43265</v>
          </cell>
          <cell r="O16">
            <v>173561025866.85876</v>
          </cell>
          <cell r="P16">
            <v>176879619597.25937</v>
          </cell>
          <cell r="Q16">
            <v>180181623436.70587</v>
          </cell>
          <cell r="R16">
            <v>183466957844.54257</v>
          </cell>
          <cell r="S16">
            <v>184225744787.93823</v>
          </cell>
          <cell r="T16">
            <v>184980776187.33655</v>
          </cell>
          <cell r="U16">
            <v>185732050643.75983</v>
          </cell>
          <cell r="V16">
            <v>186479566758.78287</v>
          </cell>
          <cell r="W16">
            <v>187223323134.53256</v>
          </cell>
          <cell r="X16">
            <v>186432544828.20239</v>
          </cell>
          <cell r="Y16">
            <v>185643300948.22272</v>
          </cell>
          <cell r="Z16">
            <v>184855592143.41241</v>
          </cell>
          <cell r="AA16">
            <v>184069419062.34756</v>
          </cell>
          <cell r="AB16">
            <v>183284782353.36124</v>
          </cell>
          <cell r="AC16">
            <v>180520709624.62537</v>
          </cell>
          <cell r="AD16">
            <v>177765098097.29364</v>
          </cell>
          <cell r="AE16">
            <v>175017951084.66278</v>
          </cell>
          <cell r="AF16">
            <v>172279271898.74936</v>
          </cell>
          <cell r="AG16">
            <v>169549063850.28864</v>
          </cell>
          <cell r="AH16">
            <v>165354588756.18256</v>
          </cell>
          <cell r="AI16">
            <v>161173790727.53714</v>
          </cell>
          <cell r="AJ16">
            <v>157006675067.5957</v>
          </cell>
          <cell r="AK16">
            <v>152853247077.54254</v>
          </cell>
          <cell r="AL16">
            <v>148713512056.50253</v>
          </cell>
          <cell r="AM16">
            <v>144581227641.98151</v>
          </cell>
          <cell r="AN16">
            <v>140462669070.01294</v>
          </cell>
          <cell r="AO16">
            <v>136357841642.07611</v>
          </cell>
          <cell r="AP16">
            <v>132266750657.58783</v>
          </cell>
          <cell r="AQ16">
            <v>128144660464.68172</v>
          </cell>
        </row>
        <row r="17">
          <cell r="B17">
            <v>2777824500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</row>
        <row r="18">
          <cell r="B18">
            <v>2777824500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</row>
        <row r="20">
          <cell r="B20">
            <v>5555649000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</row>
        <row r="21">
          <cell r="B21">
            <v>2777824500</v>
          </cell>
          <cell r="C21">
            <v>2777824500</v>
          </cell>
          <cell r="D21">
            <v>2843008590.1376843</v>
          </cell>
          <cell r="E21">
            <v>3262952207.1407709</v>
          </cell>
          <cell r="F21">
            <v>3598225209.0101585</v>
          </cell>
          <cell r="G21">
            <v>3814506905.4938169</v>
          </cell>
          <cell r="H21">
            <v>4028676768.0519342</v>
          </cell>
          <cell r="I21">
            <v>4135590387.1010885</v>
          </cell>
          <cell r="J21">
            <v>4241792016.0451689</v>
          </cell>
          <cell r="K21">
            <v>4347282061.2450647</v>
          </cell>
          <cell r="L21">
            <v>4452060929.2637711</v>
          </cell>
          <cell r="M21">
            <v>4556129026.8663845</v>
          </cell>
          <cell r="N21">
            <v>4605042758.5541105</v>
          </cell>
          <cell r="O21">
            <v>4653707382.7680597</v>
          </cell>
          <cell r="P21">
            <v>4702122993.9694605</v>
          </cell>
          <cell r="Q21">
            <v>4750289686.6524973</v>
          </cell>
          <cell r="R21">
            <v>4798207555.3443155</v>
          </cell>
          <cell r="S21">
            <v>4777833516.7669649</v>
          </cell>
          <cell r="T21">
            <v>4757495576.4893103</v>
          </cell>
          <cell r="U21">
            <v>4737193728.7385731</v>
          </cell>
          <cell r="V21">
            <v>4716927967.7417526</v>
          </cell>
          <cell r="W21">
            <v>4696698287.7256269</v>
          </cell>
          <cell r="X21">
            <v>4676504682.9167442</v>
          </cell>
          <cell r="Y21">
            <v>4656347147.5414314</v>
          </cell>
          <cell r="Z21">
            <v>4636225675.8257904</v>
          </cell>
          <cell r="AA21">
            <v>4616140261.9957047</v>
          </cell>
          <cell r="AB21">
            <v>4596090900.2768269</v>
          </cell>
          <cell r="AC21">
            <v>4576077584.8945866</v>
          </cell>
          <cell r="AD21">
            <v>4556100310.0741901</v>
          </cell>
          <cell r="AE21">
            <v>4536159070.0406237</v>
          </cell>
          <cell r="AF21">
            <v>4516253859.0186472</v>
          </cell>
          <cell r="AG21">
            <v>4496384671.2327919</v>
          </cell>
          <cell r="AH21">
            <v>4485105420.9727983</v>
          </cell>
          <cell r="AI21">
            <v>4473840940.3837881</v>
          </cell>
          <cell r="AJ21">
            <v>4462591227.1658859</v>
          </cell>
          <cell r="AK21">
            <v>4451356279.0191288</v>
          </cell>
          <cell r="AL21">
            <v>4440136093.6434708</v>
          </cell>
          <cell r="AM21">
            <v>4426097059.8656101</v>
          </cell>
          <cell r="AN21">
            <v>4412079861.0669155</v>
          </cell>
          <cell r="AO21">
            <v>4398084493.7881413</v>
          </cell>
          <cell r="AP21">
            <v>4384110954.56991</v>
          </cell>
          <cell r="AQ21">
            <v>4368679819.9706984</v>
          </cell>
        </row>
        <row r="22">
          <cell r="B22">
            <v>2777824500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</row>
        <row r="25">
          <cell r="B25">
            <v>0</v>
          </cell>
          <cell r="C25">
            <v>13889122500.000086</v>
          </cell>
          <cell r="D25">
            <v>16019304468.373798</v>
          </cell>
          <cell r="E25">
            <v>16803171933.80514</v>
          </cell>
          <cell r="F25">
            <v>17747073017.129765</v>
          </cell>
          <cell r="G25">
            <v>18932945268.888157</v>
          </cell>
          <cell r="H25">
            <v>20449334659.919754</v>
          </cell>
          <cell r="I25">
            <v>21935290446.152367</v>
          </cell>
          <cell r="J25">
            <v>23270521218.604897</v>
          </cell>
          <cell r="K25">
            <v>24469827439.297829</v>
          </cell>
          <cell r="L25">
            <v>25561205788.235382</v>
          </cell>
          <cell r="M25">
            <v>26584038712.565712</v>
          </cell>
          <cell r="N25">
            <v>27577673995.982433</v>
          </cell>
          <cell r="O25">
            <v>28549488554.799702</v>
          </cell>
          <cell r="P25">
            <v>29498116118.775875</v>
          </cell>
          <cell r="Q25">
            <v>30422626174.345943</v>
          </cell>
          <cell r="R25">
            <v>31322528669.637962</v>
          </cell>
          <cell r="S25">
            <v>32194854991.171818</v>
          </cell>
          <cell r="T25">
            <v>33040077413.34787</v>
          </cell>
          <cell r="U25">
            <v>33856068983.490219</v>
          </cell>
          <cell r="V25">
            <v>34640875870.00782</v>
          </cell>
          <cell r="W25">
            <v>35392726759.528755</v>
          </cell>
          <cell r="X25">
            <v>36110040421.777084</v>
          </cell>
          <cell r="Y25">
            <v>36791431436.199432</v>
          </cell>
          <cell r="Z25">
            <v>37435714098.161209</v>
          </cell>
          <cell r="AA25">
            <v>38041904544.750183</v>
          </cell>
          <cell r="AB25">
            <v>38609221160.584221</v>
          </cell>
          <cell r="AC25">
            <v>39137083342.299988</v>
          </cell>
          <cell r="AD25">
            <v>39625108716.422012</v>
          </cell>
          <cell r="AE25">
            <v>40073108918.964851</v>
          </cell>
          <cell r="AF25">
            <v>40481084056.367477</v>
          </cell>
          <cell r="AG25">
            <v>40849215976.166489</v>
          </cell>
          <cell r="AH25">
            <v>41177860482.229317</v>
          </cell>
          <cell r="AI25">
            <v>41467538633.471237</v>
          </cell>
          <cell r="AJ25">
            <v>41718927266.901672</v>
          </cell>
          <cell r="AK25">
            <v>41932848885.679962</v>
          </cell>
          <cell r="AL25">
            <v>42110261050.852791</v>
          </cell>
          <cell r="AM25">
            <v>42252245411.716042</v>
          </cell>
          <cell r="AN25">
            <v>42359996504.536034</v>
          </cell>
          <cell r="AO25">
            <v>42434810442.876617</v>
          </cell>
          <cell r="AP25">
            <v>42478073615.218689</v>
          </cell>
          <cell r="AQ25">
            <v>42477064100.986038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</row>
      </sheetData>
      <sheetData sheetId="45">
        <row r="2">
          <cell r="B2">
            <v>472230165000</v>
          </cell>
          <cell r="C2">
            <v>450007569000.00006</v>
          </cell>
          <cell r="D2">
            <v>470352643144.26062</v>
          </cell>
          <cell r="E2">
            <v>504867980153.0907</v>
          </cell>
          <cell r="F2">
            <v>543720145828.20898</v>
          </cell>
          <cell r="G2">
            <v>570831927885.85071</v>
          </cell>
          <cell r="H2">
            <v>585831028203.37244</v>
          </cell>
          <cell r="I2">
            <v>623730880270.45801</v>
          </cell>
          <cell r="J2">
            <v>649641357366.05164</v>
          </cell>
          <cell r="K2">
            <v>674739811967.00635</v>
          </cell>
          <cell r="L2">
            <v>698920137152.09241</v>
          </cell>
          <cell r="M2">
            <v>734252569553.43164</v>
          </cell>
          <cell r="N2">
            <v>744182751743.63147</v>
          </cell>
          <cell r="O2">
            <v>765112481001.52869</v>
          </cell>
          <cell r="P2">
            <v>784818023773.73169</v>
          </cell>
          <cell r="Q2">
            <v>803254080548.51062</v>
          </cell>
          <cell r="R2">
            <v>815343119790.10364</v>
          </cell>
          <cell r="S2">
            <v>835984306852.2334</v>
          </cell>
          <cell r="T2">
            <v>850245345420.62341</v>
          </cell>
          <cell r="U2">
            <v>863177691460.59924</v>
          </cell>
          <cell r="V2">
            <v>874798950547.00452</v>
          </cell>
          <cell r="W2">
            <v>885137407588.60925</v>
          </cell>
          <cell r="X2">
            <v>894231220012.71399</v>
          </cell>
          <cell r="Y2">
            <v>902127552454.81567</v>
          </cell>
          <cell r="Z2">
            <v>908881674310.89893</v>
          </cell>
          <cell r="AA2">
            <v>914556040339.89465</v>
          </cell>
          <cell r="AB2">
            <v>919219373007.42676</v>
          </cell>
          <cell r="AC2">
            <v>922945763523.41577</v>
          </cell>
          <cell r="AD2">
            <v>925813806626.8844</v>
          </cell>
          <cell r="AE2">
            <v>927905782187.54736</v>
          </cell>
          <cell r="AF2">
            <v>929306894694.51807</v>
          </cell>
          <cell r="AG2">
            <v>930104579749.05212</v>
          </cell>
          <cell r="AH2">
            <v>930387884822.35498</v>
          </cell>
          <cell r="AI2">
            <v>930246929824.9259</v>
          </cell>
          <cell r="AJ2">
            <v>929772451494.52332</v>
          </cell>
          <cell r="AK2">
            <v>929055434272.09521</v>
          </cell>
          <cell r="AL2">
            <v>928186829217.30298</v>
          </cell>
          <cell r="AM2">
            <v>927257361629.8822</v>
          </cell>
          <cell r="AN2">
            <v>926357427396.91455</v>
          </cell>
          <cell r="AO2">
            <v>925577077681.70288</v>
          </cell>
          <cell r="AP2">
            <v>925006091407.43774</v>
          </cell>
          <cell r="AQ2">
            <v>924518280245.17944</v>
          </cell>
        </row>
        <row r="3">
          <cell r="B3">
            <v>333338940000</v>
          </cell>
          <cell r="C3">
            <v>394451079000.00012</v>
          </cell>
          <cell r="D3">
            <v>456216410041.93591</v>
          </cell>
          <cell r="E3">
            <v>526521049998.29065</v>
          </cell>
          <cell r="F3">
            <v>583874923530.08545</v>
          </cell>
          <cell r="G3">
            <v>615303653262.28931</v>
          </cell>
          <cell r="H3">
            <v>645825563561.95654</v>
          </cell>
          <cell r="I3">
            <v>657353978840.62793</v>
          </cell>
          <cell r="J3">
            <v>668908375735.81592</v>
          </cell>
          <cell r="K3">
            <v>680488491086.14783</v>
          </cell>
          <cell r="L3">
            <v>692094062010.61621</v>
          </cell>
          <cell r="M3">
            <v>703724825908.58032</v>
          </cell>
          <cell r="N3">
            <v>708411942501.20056</v>
          </cell>
          <cell r="O3">
            <v>713104089673.65723</v>
          </cell>
          <cell r="P3">
            <v>717801220410.34119</v>
          </cell>
          <cell r="Q3">
            <v>722503287729.93311</v>
          </cell>
          <cell r="R3">
            <v>727210244685.40393</v>
          </cell>
          <cell r="S3">
            <v>720337706864.94324</v>
          </cell>
          <cell r="T3">
            <v>713468701566.19092</v>
          </cell>
          <cell r="U3">
            <v>706603234088.8949</v>
          </cell>
          <cell r="V3">
            <v>699741309731.24951</v>
          </cell>
          <cell r="W3">
            <v>692882933789.89612</v>
          </cell>
          <cell r="X3">
            <v>682031831298.40784</v>
          </cell>
          <cell r="Y3">
            <v>671186532472.09839</v>
          </cell>
          <cell r="Z3">
            <v>660347045753.90271</v>
          </cell>
          <cell r="AA3">
            <v>649513379584.26978</v>
          </cell>
          <cell r="AB3">
            <v>638685542401.16394</v>
          </cell>
          <cell r="AC3">
            <v>627863542640.06348</v>
          </cell>
          <cell r="AD3">
            <v>617047388733.96118</v>
          </cell>
          <cell r="AE3">
            <v>606237089113.36426</v>
          </cell>
          <cell r="AF3">
            <v>595432652206.29431</v>
          </cell>
          <cell r="AG3">
            <v>584634086438.28748</v>
          </cell>
          <cell r="AH3">
            <v>571184727083.17041</v>
          </cell>
          <cell r="AI3">
            <v>557742766141.16931</v>
          </cell>
          <cell r="AJ3">
            <v>544308214126.33899</v>
          </cell>
          <cell r="AK3">
            <v>530881081549.62854</v>
          </cell>
          <cell r="AL3">
            <v>517461378918.87903</v>
          </cell>
          <cell r="AM3">
            <v>506702006826.92401</v>
          </cell>
          <cell r="AN3">
            <v>495948568273.37604</v>
          </cell>
          <cell r="AO3">
            <v>485201071663.11005</v>
          </cell>
          <cell r="AP3">
            <v>474459525398.51563</v>
          </cell>
          <cell r="AQ3">
            <v>463569105179.03619</v>
          </cell>
        </row>
        <row r="4">
          <cell r="B4">
            <v>6814003498499.998</v>
          </cell>
          <cell r="C4">
            <v>6141769969500</v>
          </cell>
          <cell r="D4">
            <v>6440243704958.3594</v>
          </cell>
          <cell r="E4">
            <v>7064323117996.4492</v>
          </cell>
          <cell r="F4">
            <v>7751392387672.4893</v>
          </cell>
          <cell r="G4">
            <v>8177658982140.9814</v>
          </cell>
          <cell r="H4">
            <v>8601665805948.9971</v>
          </cell>
          <cell r="I4">
            <v>8806453572844.0137</v>
          </cell>
          <cell r="J4">
            <v>9010912167502.9609</v>
          </cell>
          <cell r="K4">
            <v>9215041747101.4082</v>
          </cell>
          <cell r="L4">
            <v>9418842468847.5605</v>
          </cell>
          <cell r="M4">
            <v>9622314489982.2715</v>
          </cell>
          <cell r="N4">
            <v>9754424657329.918</v>
          </cell>
          <cell r="O4">
            <v>9886386777792.291</v>
          </cell>
          <cell r="P4">
            <v>10018200899378.523</v>
          </cell>
          <cell r="Q4">
            <v>10149867070104.693</v>
          </cell>
          <cell r="R4">
            <v>10281385337993.795</v>
          </cell>
          <cell r="S4">
            <v>10415497522875.242</v>
          </cell>
          <cell r="T4">
            <v>10549534178098.625</v>
          </cell>
          <cell r="U4">
            <v>10683495314469.738</v>
          </cell>
          <cell r="V4">
            <v>10817380942794.559</v>
          </cell>
          <cell r="W4">
            <v>10951191073879.258</v>
          </cell>
          <cell r="X4">
            <v>11016466822452.633</v>
          </cell>
          <cell r="Y4">
            <v>11081705019005.078</v>
          </cell>
          <cell r="Z4">
            <v>11146905668935.906</v>
          </cell>
          <cell r="AA4">
            <v>11212068777644.525</v>
          </cell>
          <cell r="AB4">
            <v>11277194350530.432</v>
          </cell>
          <cell r="AC4">
            <v>11342282392993.223</v>
          </cell>
          <cell r="AD4">
            <v>11407332910432.584</v>
          </cell>
          <cell r="AE4">
            <v>11472345908248.303</v>
          </cell>
          <cell r="AF4">
            <v>11537321391840.252</v>
          </cell>
          <cell r="AG4">
            <v>11602259366608.414</v>
          </cell>
          <cell r="AH4">
            <v>11667125744185.779</v>
          </cell>
          <cell r="AI4">
            <v>11731954642660.652</v>
          </cell>
          <cell r="AJ4">
            <v>11796746067430.58</v>
          </cell>
          <cell r="AK4">
            <v>11861500023893.209</v>
          </cell>
          <cell r="AL4">
            <v>11926216517446.289</v>
          </cell>
          <cell r="AM4">
            <v>11922863890374.971</v>
          </cell>
          <cell r="AN4">
            <v>11919511601286.291</v>
          </cell>
          <cell r="AO4">
            <v>11916159650181.131</v>
          </cell>
          <cell r="AP4">
            <v>11912808037060.381</v>
          </cell>
          <cell r="AQ4">
            <v>11905480315593.748</v>
          </cell>
        </row>
        <row r="5">
          <cell r="B5">
            <v>1155574992000</v>
          </cell>
          <cell r="C5">
            <v>913904260499.99963</v>
          </cell>
          <cell r="D5">
            <v>938778404666.32251</v>
          </cell>
          <cell r="E5">
            <v>1085007173941.1265</v>
          </cell>
          <cell r="F5">
            <v>1155388880103.0342</v>
          </cell>
          <cell r="G5">
            <v>1186150944595.0425</v>
          </cell>
          <cell r="H5">
            <v>1215300859726.4268</v>
          </cell>
          <cell r="I5">
            <v>1251383231781.1863</v>
          </cell>
          <cell r="J5">
            <v>1287002214850.0586</v>
          </cell>
          <cell r="K5">
            <v>1322154553438.02</v>
          </cell>
          <cell r="L5">
            <v>1356836996437.7109</v>
          </cell>
          <cell r="M5">
            <v>1391046297129.436</v>
          </cell>
          <cell r="N5">
            <v>1397327873596.9014</v>
          </cell>
          <cell r="O5">
            <v>1403419567690.6453</v>
          </cell>
          <cell r="P5">
            <v>1409320616733.4373</v>
          </cell>
          <cell r="Q5">
            <v>1415030258748.5293</v>
          </cell>
          <cell r="R5">
            <v>1420547732459.6543</v>
          </cell>
          <cell r="S5">
            <v>1412073276705.1519</v>
          </cell>
          <cell r="T5">
            <v>1403571950946.1001</v>
          </cell>
          <cell r="U5">
            <v>1395043745467.9849</v>
          </cell>
          <cell r="V5">
            <v>1386488650560.3767</v>
          </cell>
          <cell r="W5">
            <v>1377906656516.9314</v>
          </cell>
          <cell r="X5">
            <v>1358422322984.7983</v>
          </cell>
          <cell r="Y5">
            <v>1338965727335.8005</v>
          </cell>
          <cell r="Z5">
            <v>1319536884180.1987</v>
          </cell>
          <cell r="AA5">
            <v>1300135808123.0122</v>
          </cell>
          <cell r="AB5">
            <v>1280762513764.0195</v>
          </cell>
          <cell r="AC5">
            <v>1255692539567.8398</v>
          </cell>
          <cell r="AD5">
            <v>1230714809156.5002</v>
          </cell>
          <cell r="AE5">
            <v>1205829364630.4375</v>
          </cell>
          <cell r="AF5">
            <v>1181036248074.1018</v>
          </cell>
          <cell r="AG5">
            <v>1156335501555.9573</v>
          </cell>
          <cell r="AH5">
            <v>1129350261956.5491</v>
          </cell>
          <cell r="AI5">
            <v>1102504236757.918</v>
          </cell>
          <cell r="AJ5">
            <v>1075797487640.124</v>
          </cell>
          <cell r="AK5">
            <v>1049230076259.5093</v>
          </cell>
          <cell r="AL5">
            <v>1022802064248.6968</v>
          </cell>
          <cell r="AM5">
            <v>999787379541.448</v>
          </cell>
          <cell r="AN5">
            <v>976909412702.02283</v>
          </cell>
          <cell r="AO5">
            <v>954168223788.06299</v>
          </cell>
          <cell r="AP5">
            <v>931563872834.02014</v>
          </cell>
          <cell r="AQ5">
            <v>908792881814.47705</v>
          </cell>
        </row>
        <row r="6">
          <cell r="B6">
            <v>2191703530500</v>
          </cell>
          <cell r="C6">
            <v>1677805998000.0002</v>
          </cell>
          <cell r="D6">
            <v>1925924340476.0527</v>
          </cell>
          <cell r="E6">
            <v>2055201287367.9761</v>
          </cell>
          <cell r="F6">
            <v>2136232899698.0186</v>
          </cell>
          <cell r="G6">
            <v>2185105482617.1858</v>
          </cell>
          <cell r="H6">
            <v>2250440740608.7573</v>
          </cell>
          <cell r="I6">
            <v>2324286450884.3989</v>
          </cell>
          <cell r="J6">
            <v>2399120882177.4653</v>
          </cell>
          <cell r="K6">
            <v>2472936706790.0142</v>
          </cell>
          <cell r="L6">
            <v>2543538142924.377</v>
          </cell>
          <cell r="M6">
            <v>2608555068476.6963</v>
          </cell>
          <cell r="N6">
            <v>2666178019974.0649</v>
          </cell>
          <cell r="O6">
            <v>2715858484929.0107</v>
          </cell>
          <cell r="P6">
            <v>2757841616422.1626</v>
          </cell>
          <cell r="Q6">
            <v>2792486467445.9053</v>
          </cell>
          <cell r="R6">
            <v>2820251462294.6367</v>
          </cell>
          <cell r="S6">
            <v>2841171531207.7227</v>
          </cell>
          <cell r="T6">
            <v>2856072865929.6016</v>
          </cell>
          <cell r="U6">
            <v>2865329862928.3716</v>
          </cell>
          <cell r="V6">
            <v>2869355420839.582</v>
          </cell>
          <cell r="W6">
            <v>2868592388976.0425</v>
          </cell>
          <cell r="X6">
            <v>2863505505072.4854</v>
          </cell>
          <cell r="Y6">
            <v>2854573966733.5322</v>
          </cell>
          <cell r="Z6">
            <v>2842284744884.9014</v>
          </cell>
          <cell r="AA6">
            <v>2827126713705.2456</v>
          </cell>
          <cell r="AB6">
            <v>2809585641029.0518</v>
          </cell>
          <cell r="AC6">
            <v>2790140056738.1777</v>
          </cell>
          <cell r="AD6">
            <v>2769257994599.0513</v>
          </cell>
          <cell r="AE6">
            <v>2747394585510.9902</v>
          </cell>
          <cell r="AF6">
            <v>2724990467170.7998</v>
          </cell>
          <cell r="AG6">
            <v>2702470966543.2314</v>
          </cell>
          <cell r="AH6">
            <v>2680246006969.2432</v>
          </cell>
          <cell r="AI6">
            <v>2658710690899.2485</v>
          </cell>
          <cell r="AJ6">
            <v>2638246511744.2041</v>
          </cell>
          <cell r="AK6">
            <v>2619223153846.6045</v>
          </cell>
          <cell r="AL6">
            <v>2602000847786.7554</v>
          </cell>
          <cell r="AM6">
            <v>2586933258929.4868</v>
          </cell>
          <cell r="AN6">
            <v>2574370900150.0801</v>
          </cell>
          <cell r="AO6">
            <v>2564665075040.3579</v>
          </cell>
          <cell r="AP6">
            <v>2558172375707.4834</v>
          </cell>
          <cell r="AQ6">
            <v>2554402475530.7427</v>
          </cell>
        </row>
        <row r="7">
          <cell r="B7">
            <v>2780602324500</v>
          </cell>
          <cell r="C7">
            <v>1480580458500</v>
          </cell>
          <cell r="D7">
            <v>1531132789135.033</v>
          </cell>
          <cell r="E7">
            <v>1581174516408.9871</v>
          </cell>
          <cell r="F7">
            <v>1620942951251.3423</v>
          </cell>
          <cell r="G7">
            <v>1630836331063.0491</v>
          </cell>
          <cell r="H7">
            <v>1646073929989.0164</v>
          </cell>
          <cell r="I7">
            <v>1665013518898.6597</v>
          </cell>
          <cell r="J7">
            <v>1682939897077.4946</v>
          </cell>
          <cell r="K7">
            <v>1697576037053.1711</v>
          </cell>
          <cell r="L7">
            <v>1706593469039.8604</v>
          </cell>
          <cell r="M7">
            <v>1707667504103.6382</v>
          </cell>
          <cell r="N7">
            <v>1700656993930.8628</v>
          </cell>
          <cell r="O7">
            <v>1685675719255.8679</v>
          </cell>
          <cell r="P7">
            <v>1664985920341.1885</v>
          </cell>
          <cell r="Q7">
            <v>1640819858276.7573</v>
          </cell>
          <cell r="R7">
            <v>1615321921370.5486</v>
          </cell>
          <cell r="S7">
            <v>1591486559701.5044</v>
          </cell>
          <cell r="T7">
            <v>1568349366715.835</v>
          </cell>
          <cell r="U7">
            <v>1545936777224.6128</v>
          </cell>
          <cell r="V7">
            <v>1524275697183.8223</v>
          </cell>
          <cell r="W7">
            <v>1503392704562.3906</v>
          </cell>
          <cell r="X7">
            <v>1483313406707.74</v>
          </cell>
          <cell r="Y7">
            <v>1464061950841.616</v>
          </cell>
          <cell r="Z7">
            <v>1445660679653.7952</v>
          </cell>
          <cell r="AA7">
            <v>1428129920529.9016</v>
          </cell>
          <cell r="AB7">
            <v>1411487894683.4917</v>
          </cell>
          <cell r="AC7">
            <v>1395750731247.6091</v>
          </cell>
          <cell r="AD7">
            <v>1380932571072.9934</v>
          </cell>
          <cell r="AE7">
            <v>1367045745423.2212</v>
          </cell>
          <cell r="AF7">
            <v>1354101015793.2878</v>
          </cell>
          <cell r="AG7">
            <v>1342107862561.1602</v>
          </cell>
          <cell r="AH7">
            <v>1331074811981.8652</v>
          </cell>
          <cell r="AI7">
            <v>1321009793042.2395</v>
          </cell>
          <cell r="AJ7">
            <v>1311920517829.6658</v>
          </cell>
          <cell r="AK7">
            <v>1303814881271.9893</v>
          </cell>
          <cell r="AL7">
            <v>1296701378348.5542</v>
          </cell>
          <cell r="AM7">
            <v>1290589539148.7874</v>
          </cell>
          <cell r="AN7">
            <v>1285490384486.6799</v>
          </cell>
          <cell r="AO7">
            <v>1281416907214.2627</v>
          </cell>
          <cell r="AP7">
            <v>1278384586990.5535</v>
          </cell>
          <cell r="AQ7">
            <v>1275985768209.0908</v>
          </cell>
        </row>
        <row r="8">
          <cell r="B8">
            <v>788902158000</v>
          </cell>
          <cell r="C8">
            <v>713900896500</v>
          </cell>
          <cell r="D8">
            <v>811720350727.68848</v>
          </cell>
          <cell r="E8">
            <v>828859854927.39148</v>
          </cell>
          <cell r="F8">
            <v>834103369469.90479</v>
          </cell>
          <cell r="G8">
            <v>844473763545.64624</v>
          </cell>
          <cell r="H8">
            <v>859604548639.26672</v>
          </cell>
          <cell r="I8">
            <v>877582117316.46582</v>
          </cell>
          <cell r="J8">
            <v>897120301654.16724</v>
          </cell>
          <cell r="K8">
            <v>917105557524.10474</v>
          </cell>
          <cell r="L8">
            <v>936322794675.65125</v>
          </cell>
          <cell r="M8">
            <v>953457757291.53247</v>
          </cell>
          <cell r="N8">
            <v>967604168581.08093</v>
          </cell>
          <cell r="O8">
            <v>978391040399.88562</v>
          </cell>
          <cell r="P8">
            <v>985967281313.02454</v>
          </cell>
          <cell r="Q8">
            <v>990523257512.77405</v>
          </cell>
          <cell r="R8">
            <v>992283626594.3396</v>
          </cell>
          <cell r="S8">
            <v>991730058947.02747</v>
          </cell>
          <cell r="T8">
            <v>988836868886.31995</v>
          </cell>
          <cell r="U8">
            <v>983823214216.80359</v>
          </cell>
          <cell r="V8">
            <v>976918737356.01807</v>
          </cell>
          <cell r="W8">
            <v>968359209795.23438</v>
          </cell>
          <cell r="X8">
            <v>958382608770.16223</v>
          </cell>
          <cell r="Y8">
            <v>947225679499.75671</v>
          </cell>
          <cell r="Z8">
            <v>935121014520.83752</v>
          </cell>
          <cell r="AA8">
            <v>922294662382.43396</v>
          </cell>
          <cell r="AB8">
            <v>908964261672.28369</v>
          </cell>
          <cell r="AC8">
            <v>895337683227.17456</v>
          </cell>
          <cell r="AD8">
            <v>881612153453.35828</v>
          </cell>
          <cell r="AE8">
            <v>867973824840.55396</v>
          </cell>
          <cell r="AF8">
            <v>854597755779.04077</v>
          </cell>
          <cell r="AG8">
            <v>841648260407.48645</v>
          </cell>
          <cell r="AH8">
            <v>829279590118.80151</v>
          </cell>
          <cell r="AI8">
            <v>817636911220.13867</v>
          </cell>
          <cell r="AJ8">
            <v>806857547788.21155</v>
          </cell>
          <cell r="AK8">
            <v>797072464730.11377</v>
          </cell>
          <cell r="AL8">
            <v>788407973256.22852</v>
          </cell>
          <cell r="AM8">
            <v>780987649268.24817</v>
          </cell>
          <cell r="AN8">
            <v>774934464514.18823</v>
          </cell>
          <cell r="AO8">
            <v>770373140806.68506</v>
          </cell>
          <cell r="AP8">
            <v>767432749285.93091</v>
          </cell>
          <cell r="AQ8">
            <v>766225400866.12036</v>
          </cell>
        </row>
        <row r="9">
          <cell r="B9">
            <v>7483459203000</v>
          </cell>
          <cell r="C9">
            <v>4980639328500</v>
          </cell>
          <cell r="D9">
            <v>5676599992082.2637</v>
          </cell>
          <cell r="E9">
            <v>5880019707191.9902</v>
          </cell>
          <cell r="F9">
            <v>6147945712700.1074</v>
          </cell>
          <cell r="G9">
            <v>6318618509132.7881</v>
          </cell>
          <cell r="H9">
            <v>6524364287715.4033</v>
          </cell>
          <cell r="I9">
            <v>6710894225580.8203</v>
          </cell>
          <cell r="J9">
            <v>6900085999601.4121</v>
          </cell>
          <cell r="K9">
            <v>7087547123130.7949</v>
          </cell>
          <cell r="L9">
            <v>7268392151541.4639</v>
          </cell>
          <cell r="M9">
            <v>7437280948488.5283</v>
          </cell>
          <cell r="N9">
            <v>7571761122981.752</v>
          </cell>
          <cell r="O9">
            <v>7689194839927.4775</v>
          </cell>
          <cell r="P9">
            <v>7790227496587.999</v>
          </cell>
          <cell r="Q9">
            <v>7875743055032.541</v>
          </cell>
          <cell r="R9">
            <v>7946830409121.375</v>
          </cell>
          <cell r="S9">
            <v>7997714928687.1992</v>
          </cell>
          <cell r="T9">
            <v>8036149980020.6328</v>
          </cell>
          <cell r="U9">
            <v>8062877463026.5547</v>
          </cell>
          <cell r="V9">
            <v>8078722080605.1543</v>
          </cell>
          <cell r="W9">
            <v>8084574921098.8193</v>
          </cell>
          <cell r="X9">
            <v>8060079819250.999</v>
          </cell>
          <cell r="Y9">
            <v>8027535992272.502</v>
          </cell>
          <cell r="Z9">
            <v>7987943423757.1641</v>
          </cell>
          <cell r="AA9">
            <v>7942312318293.3359</v>
          </cell>
          <cell r="AB9">
            <v>7891652494671.4971</v>
          </cell>
          <cell r="AC9">
            <v>7822097303648.6553</v>
          </cell>
          <cell r="AD9">
            <v>7749514080450.4453</v>
          </cell>
          <cell r="AE9">
            <v>7674864011657.4648</v>
          </cell>
          <cell r="AF9">
            <v>7599081660296.6504</v>
          </cell>
          <cell r="AG9">
            <v>7523072373988.7383</v>
          </cell>
          <cell r="AH9">
            <v>7445593218410.6934</v>
          </cell>
          <cell r="AI9">
            <v>7369609460462.5469</v>
          </cell>
          <cell r="AJ9">
            <v>7295937576189.7959</v>
          </cell>
          <cell r="AK9">
            <v>7225368387651.8643</v>
          </cell>
          <cell r="AL9">
            <v>7158671051899.2402</v>
          </cell>
          <cell r="AM9">
            <v>7092374112968.1621</v>
          </cell>
          <cell r="AN9">
            <v>7031448575824.2188</v>
          </cell>
          <cell r="AO9">
            <v>6976633530379.75</v>
          </cell>
          <cell r="AP9">
            <v>6928673277064.4941</v>
          </cell>
          <cell r="AQ9">
            <v>6886116403880.792</v>
          </cell>
        </row>
        <row r="10">
          <cell r="B10">
            <v>5572502061241500</v>
          </cell>
          <cell r="C10">
            <v>7032054388276500</v>
          </cell>
          <cell r="D10">
            <v>7365855763871331</v>
          </cell>
          <cell r="E10">
            <v>7862738848473613</v>
          </cell>
          <cell r="F10">
            <v>8390252373202877</v>
          </cell>
          <cell r="G10">
            <v>8846572503507530</v>
          </cell>
          <cell r="H10">
            <v>9302483741961382</v>
          </cell>
          <cell r="I10">
            <v>9508485811670652</v>
          </cell>
          <cell r="J10">
            <v>9714456615246582</v>
          </cell>
          <cell r="K10">
            <v>9920396150713532</v>
          </cell>
          <cell r="L10">
            <v>1.0126304416099846E+16</v>
          </cell>
          <cell r="M10">
            <v>1.0332181409437878E+16</v>
          </cell>
          <cell r="N10">
            <v>1.0346409288988132E+16</v>
          </cell>
          <cell r="O10">
            <v>1.0360635631975724E+16</v>
          </cell>
          <cell r="P10">
            <v>1.037486043834694E+16</v>
          </cell>
          <cell r="Q10">
            <v>1.0389083708048174E+16</v>
          </cell>
          <cell r="R10">
            <v>1.0403305441025896E+16</v>
          </cell>
          <cell r="S10">
            <v>1.0284984398462824E+16</v>
          </cell>
          <cell r="T10">
            <v>1.0166669570281102E+16</v>
          </cell>
          <cell r="U10">
            <v>1.0048360956176812E+16</v>
          </cell>
          <cell r="V10">
            <v>9930058555846030</v>
          </cell>
          <cell r="W10">
            <v>9811762368984802</v>
          </cell>
          <cell r="X10">
            <v>9590193407639466</v>
          </cell>
          <cell r="Y10">
            <v>9368636088076704</v>
          </cell>
          <cell r="Z10">
            <v>9147090409726116</v>
          </cell>
          <cell r="AA10">
            <v>8925556372017276</v>
          </cell>
          <cell r="AB10">
            <v>8704033974379710</v>
          </cell>
          <cell r="AC10">
            <v>8482523216242913</v>
          </cell>
          <cell r="AD10">
            <v>8261024097036340</v>
          </cell>
          <cell r="AE10">
            <v>8039536616189405</v>
          </cell>
          <cell r="AF10">
            <v>7818060773131488</v>
          </cell>
          <cell r="AG10">
            <v>7596596567291927</v>
          </cell>
          <cell r="AH10">
            <v>7404643969631254</v>
          </cell>
          <cell r="AI10">
            <v>7212701457463967</v>
          </cell>
          <cell r="AJ10">
            <v>7020769030295438</v>
          </cell>
          <cell r="AK10">
            <v>6828846687631006</v>
          </cell>
          <cell r="AL10">
            <v>6636934428975976</v>
          </cell>
          <cell r="AM10">
            <v>6435401158707299</v>
          </cell>
          <cell r="AN10">
            <v>6233878477673772</v>
          </cell>
          <cell r="AO10">
            <v>6032366385355735</v>
          </cell>
          <cell r="AP10">
            <v>5830864881233490</v>
          </cell>
          <cell r="AQ10">
            <v>5629043209512138</v>
          </cell>
        </row>
        <row r="11">
          <cell r="B11">
            <v>693308883481500.13</v>
          </cell>
          <cell r="C11">
            <v>810913639338000</v>
          </cell>
          <cell r="D11">
            <v>874190829369498.88</v>
          </cell>
          <cell r="E11">
            <v>973213660399912.13</v>
          </cell>
          <cell r="F11">
            <v>1067264736772063.8</v>
          </cell>
          <cell r="G11">
            <v>1135786008344949.3</v>
          </cell>
          <cell r="H11">
            <v>1203956355841367.5</v>
          </cell>
          <cell r="I11">
            <v>1247925731587441.3</v>
          </cell>
          <cell r="J11">
            <v>1291898174580235</v>
          </cell>
          <cell r="K11">
            <v>1335873541389861.5</v>
          </cell>
          <cell r="L11">
            <v>1379851886284108.8</v>
          </cell>
          <cell r="M11">
            <v>1423833433276981.5</v>
          </cell>
          <cell r="N11">
            <v>1449112522802017</v>
          </cell>
          <cell r="O11">
            <v>1474391631138782.8</v>
          </cell>
          <cell r="P11">
            <v>1499671281951794.5</v>
          </cell>
          <cell r="Q11">
            <v>1524952043687335</v>
          </cell>
          <cell r="R11">
            <v>1550234511108164</v>
          </cell>
          <cell r="S11">
            <v>1563221867045354.5</v>
          </cell>
          <cell r="T11">
            <v>1576206861896071.8</v>
          </cell>
          <cell r="U11">
            <v>1589189496724756.5</v>
          </cell>
          <cell r="V11">
            <v>1602169772679672</v>
          </cell>
          <cell r="W11">
            <v>1615147690988805.5</v>
          </cell>
          <cell r="X11">
            <v>1620944611702375.5</v>
          </cell>
          <cell r="Y11">
            <v>1626740398783264.3</v>
          </cell>
          <cell r="Z11">
            <v>1632535054088285.5</v>
          </cell>
          <cell r="AA11">
            <v>1638328579537709.5</v>
          </cell>
          <cell r="AB11">
            <v>1644120977111315.3</v>
          </cell>
          <cell r="AC11">
            <v>1643752242009858</v>
          </cell>
          <cell r="AD11">
            <v>1643383432815381.8</v>
          </cell>
          <cell r="AE11">
            <v>1643014552018326.3</v>
          </cell>
          <cell r="AF11">
            <v>1642645602153413.5</v>
          </cell>
          <cell r="AG11">
            <v>1642276585796054</v>
          </cell>
          <cell r="AH11">
            <v>1636313340572425</v>
          </cell>
          <cell r="AI11">
            <v>1630350988838510.5</v>
          </cell>
          <cell r="AJ11">
            <v>1624389533593688.5</v>
          </cell>
          <cell r="AK11">
            <v>1618428977864560.5</v>
          </cell>
          <cell r="AL11">
            <v>1612469324701868</v>
          </cell>
          <cell r="AM11">
            <v>1605482976217814</v>
          </cell>
          <cell r="AN11">
            <v>1598497712109349</v>
          </cell>
          <cell r="AO11">
            <v>1591513535541530.8</v>
          </cell>
          <cell r="AP11">
            <v>1584530449692401.5</v>
          </cell>
          <cell r="AQ11">
            <v>1577290459040400</v>
          </cell>
        </row>
        <row r="12">
          <cell r="B12">
            <v>3238943367000</v>
          </cell>
          <cell r="C12">
            <v>3711173532000</v>
          </cell>
          <cell r="D12">
            <v>3790918485253.1621</v>
          </cell>
          <cell r="E12">
            <v>4223726232209.8794</v>
          </cell>
          <cell r="F12">
            <v>4353030932546.9766</v>
          </cell>
          <cell r="G12">
            <v>4475726066285.9736</v>
          </cell>
          <cell r="H12">
            <v>4631494597826.2734</v>
          </cell>
          <cell r="I12">
            <v>4775581412759.5479</v>
          </cell>
          <cell r="J12">
            <v>4892689605731.8506</v>
          </cell>
          <cell r="K12">
            <v>4980948494041.5811</v>
          </cell>
          <cell r="L12">
            <v>5039019740787.457</v>
          </cell>
          <cell r="M12">
            <v>5066130043531.4922</v>
          </cell>
          <cell r="N12">
            <v>5073048700098.8447</v>
          </cell>
          <cell r="O12">
            <v>5055184989192.3477</v>
          </cell>
          <cell r="P12">
            <v>5019054399275.6445</v>
          </cell>
          <cell r="Q12">
            <v>4971244062689.3574</v>
          </cell>
          <cell r="R12">
            <v>4918221705470.1318</v>
          </cell>
          <cell r="S12">
            <v>4874488002284.79</v>
          </cell>
          <cell r="T12">
            <v>4831734969238.2363</v>
          </cell>
          <cell r="U12">
            <v>4789989506844.3115</v>
          </cell>
          <cell r="V12">
            <v>4749277466913.5586</v>
          </cell>
          <cell r="W12">
            <v>4709623734203.1934</v>
          </cell>
          <cell r="X12">
            <v>4671052309105.2734</v>
          </cell>
          <cell r="Y12">
            <v>4633586391303.7676</v>
          </cell>
          <cell r="Z12">
            <v>4597248464349.5146</v>
          </cell>
          <cell r="AA12">
            <v>4562060381120.3779</v>
          </cell>
          <cell r="AB12">
            <v>4528043450152.3379</v>
          </cell>
          <cell r="AC12">
            <v>4495218522845.4922</v>
          </cell>
          <cell r="AD12">
            <v>4463606081567.7393</v>
          </cell>
          <cell r="AE12">
            <v>4433226328697.4424</v>
          </cell>
          <cell r="AF12">
            <v>4404099276665.167</v>
          </cell>
          <cell r="AG12">
            <v>4376244839073.7085</v>
          </cell>
          <cell r="AH12">
            <v>4349682922994.9282</v>
          </cell>
          <cell r="AI12">
            <v>4324433522561.7402</v>
          </cell>
          <cell r="AJ12">
            <v>4300516813993.4526</v>
          </cell>
          <cell r="AK12">
            <v>4277953252213.5049</v>
          </cell>
          <cell r="AL12">
            <v>4256763669239.835</v>
          </cell>
          <cell r="AM12">
            <v>4236969374550.0664</v>
          </cell>
          <cell r="AN12">
            <v>4218592257646.5054</v>
          </cell>
          <cell r="AO12">
            <v>4201654893069.584</v>
          </cell>
          <cell r="AP12">
            <v>4186180648133.332</v>
          </cell>
          <cell r="AQ12">
            <v>4170796901622.2451</v>
          </cell>
        </row>
        <row r="13">
          <cell r="B13">
            <v>1641694279500</v>
          </cell>
          <cell r="C13">
            <v>1347244882500</v>
          </cell>
          <cell r="D13">
            <v>1508839361075.9048</v>
          </cell>
          <cell r="E13">
            <v>1661455353340.2261</v>
          </cell>
          <cell r="F13">
            <v>1732664995290.9348</v>
          </cell>
          <cell r="G13">
            <v>1821322568310.5703</v>
          </cell>
          <cell r="H13">
            <v>1934426963329.4954</v>
          </cell>
          <cell r="I13">
            <v>2042704224752.7683</v>
          </cell>
          <cell r="J13">
            <v>2137382835949.8342</v>
          </cell>
          <cell r="K13">
            <v>2219840768049.252</v>
          </cell>
          <cell r="L13">
            <v>2292255368056.2598</v>
          </cell>
          <cell r="M13">
            <v>2357462743052.4336</v>
          </cell>
          <cell r="N13">
            <v>2420783329389.3628</v>
          </cell>
          <cell r="O13">
            <v>2481084155889.4448</v>
          </cell>
          <cell r="P13">
            <v>2539184238246.6392</v>
          </cell>
          <cell r="Q13">
            <v>2596012168997.0439</v>
          </cell>
          <cell r="R13">
            <v>2652599452445.2378</v>
          </cell>
          <cell r="S13">
            <v>2712745252823.6523</v>
          </cell>
          <cell r="T13">
            <v>2773728810555.5356</v>
          </cell>
          <cell r="U13">
            <v>2835356647569.7358</v>
          </cell>
          <cell r="V13">
            <v>2897418086306.5562</v>
          </cell>
          <cell r="W13">
            <v>2959684898363.7886</v>
          </cell>
          <cell r="X13">
            <v>3021911121830.5923</v>
          </cell>
          <cell r="Y13">
            <v>3083833069167.3589</v>
          </cell>
          <cell r="Z13">
            <v>3145169547555.9116</v>
          </cell>
          <cell r="AA13">
            <v>3205622313257.6396</v>
          </cell>
          <cell r="AB13">
            <v>3264876780616.6743</v>
          </cell>
          <cell r="AC13">
            <v>3322603004874.0049</v>
          </cell>
          <cell r="AD13">
            <v>3378456955865.688</v>
          </cell>
          <cell r="AE13">
            <v>3432082096919.2676</v>
          </cell>
          <cell r="AF13">
            <v>3483111279806.8501</v>
          </cell>
          <cell r="AG13">
            <v>3531168962441.8818</v>
          </cell>
          <cell r="AH13">
            <v>3575873751119.1494</v>
          </cell>
          <cell r="AI13">
            <v>3616841263513.0522</v>
          </cell>
          <cell r="AJ13">
            <v>3653687302410.0967</v>
          </cell>
          <cell r="AK13">
            <v>3686031323324.4126</v>
          </cell>
          <cell r="AL13">
            <v>3713500171824.7544</v>
          </cell>
          <cell r="AM13">
            <v>3735732058709.8203</v>
          </cell>
          <cell r="AN13">
            <v>3752380733256.459</v>
          </cell>
          <cell r="AO13">
            <v>3763119806811.7417</v>
          </cell>
          <cell r="AP13">
            <v>3767647171208.0396</v>
          </cell>
          <cell r="AQ13">
            <v>3764417576762.8135</v>
          </cell>
        </row>
        <row r="14">
          <cell r="B14">
            <v>844675318311000</v>
          </cell>
          <cell r="C14">
            <v>879498126243000</v>
          </cell>
          <cell r="D14">
            <v>920632225361292.13</v>
          </cell>
          <cell r="E14">
            <v>951911451353274</v>
          </cell>
          <cell r="F14">
            <v>977822602466956.5</v>
          </cell>
          <cell r="G14">
            <v>992690848776329.63</v>
          </cell>
          <cell r="H14">
            <v>1007043629953374.9</v>
          </cell>
          <cell r="I14">
            <v>1020718769824859.5</v>
          </cell>
          <cell r="J14">
            <v>1034414973306931.8</v>
          </cell>
          <cell r="K14">
            <v>1048132180336711</v>
          </cell>
          <cell r="L14">
            <v>1061870330890979.3</v>
          </cell>
          <cell r="M14">
            <v>1075629364986180.1</v>
          </cell>
          <cell r="N14">
            <v>1064103794676258.3</v>
          </cell>
          <cell r="O14">
            <v>1052562614821220</v>
          </cell>
          <cell r="P14">
            <v>1041005853286124.4</v>
          </cell>
          <cell r="Q14">
            <v>1029433537923752.8</v>
          </cell>
          <cell r="R14">
            <v>1017845696574608.9</v>
          </cell>
          <cell r="S14">
            <v>1000462734755249</v>
          </cell>
          <cell r="T14">
            <v>983078158906220.88</v>
          </cell>
          <cell r="U14">
            <v>965691971561931</v>
          </cell>
          <cell r="V14">
            <v>948304175256311</v>
          </cell>
          <cell r="W14">
            <v>930914772522815.13</v>
          </cell>
          <cell r="X14">
            <v>907048977184391.5</v>
          </cell>
          <cell r="Y14">
            <v>883181002409559.13</v>
          </cell>
          <cell r="Z14">
            <v>859310851668421.25</v>
          </cell>
          <cell r="AA14">
            <v>835438528430427.88</v>
          </cell>
          <cell r="AB14">
            <v>811564036164376.13</v>
          </cell>
          <cell r="AC14">
            <v>793135886939121</v>
          </cell>
          <cell r="AD14">
            <v>774706059330109.5</v>
          </cell>
          <cell r="AE14">
            <v>756274556015523.75</v>
          </cell>
          <cell r="AF14">
            <v>737841379673040.75</v>
          </cell>
          <cell r="AG14">
            <v>719406532979833.88</v>
          </cell>
          <cell r="AH14">
            <v>708330138968095</v>
          </cell>
          <cell r="AI14">
            <v>697252729682475.25</v>
          </cell>
          <cell r="AJ14">
            <v>686174306734268.88</v>
          </cell>
          <cell r="AK14">
            <v>675094871734467.25</v>
          </cell>
          <cell r="AL14">
            <v>664014426293758</v>
          </cell>
          <cell r="AM14">
            <v>658496356067500.13</v>
          </cell>
          <cell r="AN14">
            <v>652977766947064.75</v>
          </cell>
          <cell r="AO14">
            <v>647458659738441.63</v>
          </cell>
          <cell r="AP14">
            <v>641939035247469</v>
          </cell>
          <cell r="AQ14">
            <v>636370190351779.5</v>
          </cell>
        </row>
        <row r="15">
          <cell r="B15">
            <v>5830653625500</v>
          </cell>
          <cell r="C15">
            <v>6472331085000</v>
          </cell>
          <cell r="D15">
            <v>7662660749310.8008</v>
          </cell>
          <cell r="E15">
            <v>8585866478225.2246</v>
          </cell>
          <cell r="F15">
            <v>9450152776108.3457</v>
          </cell>
          <cell r="G15">
            <v>9908583839567.9941</v>
          </cell>
          <cell r="H15">
            <v>10351266388280.367</v>
          </cell>
          <cell r="I15">
            <v>10612139097594.035</v>
          </cell>
          <cell r="J15">
            <v>10874312974037.662</v>
          </cell>
          <cell r="K15">
            <v>11137785486536.436</v>
          </cell>
          <cell r="L15">
            <v>11402554105332.096</v>
          </cell>
          <cell r="M15">
            <v>11668616301982.922</v>
          </cell>
          <cell r="N15">
            <v>11708466545955.939</v>
          </cell>
          <cell r="O15">
            <v>11748362769704.148</v>
          </cell>
          <cell r="P15">
            <v>11788304892478.615</v>
          </cell>
          <cell r="Q15">
            <v>11828292833561.078</v>
          </cell>
          <cell r="R15">
            <v>11868326512263.953</v>
          </cell>
          <cell r="S15">
            <v>11735555372159.982</v>
          </cell>
          <cell r="T15">
            <v>11602739350652.615</v>
          </cell>
          <cell r="U15">
            <v>11469878488056.852</v>
          </cell>
          <cell r="V15">
            <v>11336972824681.031</v>
          </cell>
          <cell r="W15">
            <v>11204022400826.811</v>
          </cell>
          <cell r="X15">
            <v>10953071106412.443</v>
          </cell>
          <cell r="Y15">
            <v>10702037010576.076</v>
          </cell>
          <cell r="Z15">
            <v>10450920188724.545</v>
          </cell>
          <cell r="AA15">
            <v>10199720716252.168</v>
          </cell>
          <cell r="AB15">
            <v>9948438668540.7656</v>
          </cell>
          <cell r="AC15">
            <v>9697074120959.6445</v>
          </cell>
          <cell r="AD15">
            <v>9445627148865.623</v>
          </cell>
          <cell r="AE15">
            <v>9194097827602.9922</v>
          </cell>
          <cell r="AF15">
            <v>8942486232503.5508</v>
          </cell>
          <cell r="AG15">
            <v>8690792438886.5947</v>
          </cell>
          <cell r="AH15">
            <v>8472772588147.1387</v>
          </cell>
          <cell r="AI15">
            <v>8254681514488.4893</v>
          </cell>
          <cell r="AJ15">
            <v>8036519283169.165</v>
          </cell>
          <cell r="AK15">
            <v>7818285959436.8398</v>
          </cell>
          <cell r="AL15">
            <v>7599981608528.3574</v>
          </cell>
          <cell r="AM15">
            <v>7370574848229.1172</v>
          </cell>
          <cell r="AN15">
            <v>7141093667334.5186</v>
          </cell>
          <cell r="AO15">
            <v>6911538134319.8213</v>
          </cell>
          <cell r="AP15">
            <v>6681908317648.8955</v>
          </cell>
          <cell r="AQ15">
            <v>6450027569964.9746</v>
          </cell>
        </row>
        <row r="16">
          <cell r="B16">
            <v>87465360031500</v>
          </cell>
          <cell r="C16">
            <v>86568122718000</v>
          </cell>
          <cell r="D16">
            <v>92276268696244.234</v>
          </cell>
          <cell r="E16">
            <v>103073359358291.33</v>
          </cell>
          <cell r="F16">
            <v>112477099699386.17</v>
          </cell>
          <cell r="G16">
            <v>120381553878752.92</v>
          </cell>
          <cell r="H16">
            <v>128239066636543.19</v>
          </cell>
          <cell r="I16">
            <v>134770563832606.34</v>
          </cell>
          <cell r="J16">
            <v>141291318777265.56</v>
          </cell>
          <cell r="K16">
            <v>147801251483922.16</v>
          </cell>
          <cell r="L16">
            <v>154300282069889.84</v>
          </cell>
          <cell r="M16">
            <v>160788330756394.47</v>
          </cell>
          <cell r="N16">
            <v>164262134053192.13</v>
          </cell>
          <cell r="O16">
            <v>167731600160716.88</v>
          </cell>
          <cell r="P16">
            <v>171196708046033.88</v>
          </cell>
          <cell r="Q16">
            <v>174657436694494.13</v>
          </cell>
          <cell r="R16">
            <v>178113765109734.81</v>
          </cell>
          <cell r="S16">
            <v>179073437729123.34</v>
          </cell>
          <cell r="T16">
            <v>180032118996806.47</v>
          </cell>
          <cell r="U16">
            <v>180989808543495.72</v>
          </cell>
          <cell r="V16">
            <v>181946506000048.53</v>
          </cell>
          <cell r="W16">
            <v>182902210997468.16</v>
          </cell>
          <cell r="X16">
            <v>182359592110113.09</v>
          </cell>
          <cell r="Y16">
            <v>181817378265590.88</v>
          </cell>
          <cell r="Z16">
            <v>181275569635170.25</v>
          </cell>
          <cell r="AA16">
            <v>180734166390056.09</v>
          </cell>
          <cell r="AB16">
            <v>180193168701388.91</v>
          </cell>
          <cell r="AC16">
            <v>177702529453676.06</v>
          </cell>
          <cell r="AD16">
            <v>175214123711002.06</v>
          </cell>
          <cell r="AE16">
            <v>172727952347978.59</v>
          </cell>
          <cell r="AF16">
            <v>170244016238879.31</v>
          </cell>
          <cell r="AG16">
            <v>167762316257639.72</v>
          </cell>
          <cell r="AH16">
            <v>163823746333767.59</v>
          </cell>
          <cell r="AI16">
            <v>159888786747619.97</v>
          </cell>
          <cell r="AJ16">
            <v>155957438899095.06</v>
          </cell>
          <cell r="AK16">
            <v>152029704187547.53</v>
          </cell>
          <cell r="AL16">
            <v>148105584011788.44</v>
          </cell>
          <cell r="AM16">
            <v>144178849498133.03</v>
          </cell>
          <cell r="AN16">
            <v>140255738197900.86</v>
          </cell>
          <cell r="AO16">
            <v>136336251510524.47</v>
          </cell>
          <cell r="AP16">
            <v>132420390834892</v>
          </cell>
          <cell r="AQ16">
            <v>128496347291969.63</v>
          </cell>
        </row>
        <row r="17">
          <cell r="B17">
            <v>1241687551500</v>
          </cell>
          <cell r="C17">
            <v>583343145000</v>
          </cell>
          <cell r="D17">
            <v>701381991807.26807</v>
          </cell>
          <cell r="E17">
            <v>752462342361.16663</v>
          </cell>
          <cell r="F17">
            <v>782596645180.10461</v>
          </cell>
          <cell r="G17">
            <v>805894636797.41504</v>
          </cell>
          <cell r="H17">
            <v>834802816461.56335</v>
          </cell>
          <cell r="I17">
            <v>862738304721.07129</v>
          </cell>
          <cell r="J17">
            <v>887033116692.0675</v>
          </cell>
          <cell r="K17">
            <v>907858983959.93079</v>
          </cell>
          <cell r="L17">
            <v>925479907241.10779</v>
          </cell>
          <cell r="M17">
            <v>940238130675.19507</v>
          </cell>
          <cell r="N17">
            <v>953102385593.55566</v>
          </cell>
          <cell r="O17">
            <v>963860150746.06555</v>
          </cell>
          <cell r="P17">
            <v>972875882994.13904</v>
          </cell>
          <cell r="Q17">
            <v>980541466570.03442</v>
          </cell>
          <cell r="R17">
            <v>987269629093.25793</v>
          </cell>
          <cell r="S17">
            <v>993775281383.63416</v>
          </cell>
          <cell r="T17">
            <v>999787464462.12134</v>
          </cell>
          <cell r="U17">
            <v>1005315548580.6383</v>
          </cell>
          <cell r="V17">
            <v>1010370037007.4811</v>
          </cell>
          <cell r="W17">
            <v>1014962497004.3596</v>
          </cell>
          <cell r="X17">
            <v>1019105489846.679</v>
          </cell>
          <cell r="Y17">
            <v>1022812500377.6094</v>
          </cell>
          <cell r="Z17">
            <v>1026097866562.9951</v>
          </cell>
          <cell r="AA17">
            <v>1028976709488.29</v>
          </cell>
          <cell r="AB17">
            <v>1031464864211.55</v>
          </cell>
          <cell r="AC17">
            <v>1033578811857.9819</v>
          </cell>
          <cell r="AD17">
            <v>1035335613312.2081</v>
          </cell>
          <cell r="AE17">
            <v>1036752844834.7578</v>
          </cell>
          <cell r="AF17">
            <v>1037848535899.2234</v>
          </cell>
          <cell r="AG17">
            <v>1038641109516.9237</v>
          </cell>
          <cell r="AH17">
            <v>1039149325286.5299</v>
          </cell>
          <cell r="AI17">
            <v>1039392225377.6346</v>
          </cell>
          <cell r="AJ17">
            <v>1039389083629.5076</v>
          </cell>
          <cell r="AK17">
            <v>1039159357919.9172</v>
          </cell>
          <cell r="AL17">
            <v>1038722645933.6516</v>
          </cell>
          <cell r="AM17">
            <v>1038098644436.8359</v>
          </cell>
          <cell r="AN17">
            <v>1037307112140.9203</v>
          </cell>
          <cell r="AO17">
            <v>1036367836220.0492</v>
          </cell>
          <cell r="AP17">
            <v>1035300602526.9501</v>
          </cell>
          <cell r="AQ17">
            <v>1033779885672.8002</v>
          </cell>
        </row>
        <row r="18">
          <cell r="B18">
            <v>338894588999.99994</v>
          </cell>
          <cell r="C18">
            <v>419451499500</v>
          </cell>
          <cell r="D18">
            <v>423846890919.50134</v>
          </cell>
          <cell r="E18">
            <v>542952347082.21405</v>
          </cell>
          <cell r="F18">
            <v>558936326954.62329</v>
          </cell>
          <cell r="G18">
            <v>586270349400.24902</v>
          </cell>
          <cell r="H18">
            <v>620423349236.57129</v>
          </cell>
          <cell r="I18">
            <v>649290184765.36536</v>
          </cell>
          <cell r="J18">
            <v>671291212627.74487</v>
          </cell>
          <cell r="K18">
            <v>688308700610.33057</v>
          </cell>
          <cell r="L18">
            <v>702660007966.86499</v>
          </cell>
          <cell r="M18">
            <v>716958933791.2738</v>
          </cell>
          <cell r="N18">
            <v>736056224012.41919</v>
          </cell>
          <cell r="O18">
            <v>757547737587.41064</v>
          </cell>
          <cell r="P18">
            <v>780819921288.12219</v>
          </cell>
          <cell r="Q18">
            <v>805175737610.84094</v>
          </cell>
          <cell r="R18">
            <v>829820347773.18384</v>
          </cell>
          <cell r="S18">
            <v>857227780509.36694</v>
          </cell>
          <cell r="T18">
            <v>884164721063.98584</v>
          </cell>
          <cell r="U18">
            <v>910525345138.84326</v>
          </cell>
          <cell r="V18">
            <v>936204245871.41089</v>
          </cell>
          <cell r="W18">
            <v>961097114473.23083</v>
          </cell>
          <cell r="X18">
            <v>985101419506.48474</v>
          </cell>
          <cell r="Y18">
            <v>1008117078568.3523</v>
          </cell>
          <cell r="Z18">
            <v>1030047116339.7526</v>
          </cell>
          <cell r="AA18">
            <v>1050798303214.9717</v>
          </cell>
          <cell r="AB18">
            <v>1070281769052.8888</v>
          </cell>
          <cell r="AC18">
            <v>1088413586969.927</v>
          </cell>
          <cell r="AD18">
            <v>1105115322518.9624</v>
          </cell>
          <cell r="AE18">
            <v>1120314544056.6965</v>
          </cell>
          <cell r="AF18">
            <v>1133945290583.4233</v>
          </cell>
          <cell r="AG18">
            <v>1145948493833.041</v>
          </cell>
          <cell r="AH18">
            <v>1156272351887.4529</v>
          </cell>
          <cell r="AI18">
            <v>1164872652078.7031</v>
          </cell>
          <cell r="AJ18">
            <v>1171713041416.3337</v>
          </cell>
          <cell r="AK18">
            <v>1176765243229.3452</v>
          </cell>
          <cell r="AL18">
            <v>1180009219137.0359</v>
          </cell>
          <cell r="AM18">
            <v>1181433275856.8928</v>
          </cell>
          <cell r="AN18">
            <v>1181034116719.2981</v>
          </cell>
          <cell r="AO18">
            <v>1178816838087.8572</v>
          </cell>
          <cell r="AP18">
            <v>1174794871182.9172</v>
          </cell>
          <cell r="AQ18">
            <v>1168599556264.2236</v>
          </cell>
        </row>
        <row r="19">
          <cell r="B19">
            <v>1569470842500</v>
          </cell>
          <cell r="C19">
            <v>1102796326500</v>
          </cell>
          <cell r="D19">
            <v>1181654917966.4668</v>
          </cell>
          <cell r="E19">
            <v>1520884190787.4268</v>
          </cell>
          <cell r="F19">
            <v>1583521571737.4067</v>
          </cell>
          <cell r="G19">
            <v>1691611986488.1228</v>
          </cell>
          <cell r="H19">
            <v>1832110158894.5254</v>
          </cell>
          <cell r="I19">
            <v>1964669459671.8564</v>
          </cell>
          <cell r="J19">
            <v>2079798831982.4421</v>
          </cell>
          <cell r="K19">
            <v>2179685110469.7898</v>
          </cell>
          <cell r="L19">
            <v>2268054209070.334</v>
          </cell>
          <cell r="M19">
            <v>2349887051932.1187</v>
          </cell>
          <cell r="N19">
            <v>2436483721075.6006</v>
          </cell>
          <cell r="O19">
            <v>2522564174179.6406</v>
          </cell>
          <cell r="P19">
            <v>2607643205602.6865</v>
          </cell>
          <cell r="Q19">
            <v>2691202611590.4023</v>
          </cell>
          <cell r="R19">
            <v>2772694041487.0288</v>
          </cell>
          <cell r="S19">
            <v>2859641385143.958</v>
          </cell>
          <cell r="T19">
            <v>2944196769126.2017</v>
          </cell>
          <cell r="U19">
            <v>3026071342984.6958</v>
          </cell>
          <cell r="V19">
            <v>3104988566180.625</v>
          </cell>
          <cell r="W19">
            <v>3180686000758.5771</v>
          </cell>
          <cell r="X19">
            <v>3252916960428.3047</v>
          </cell>
          <cell r="Y19">
            <v>3321452001546.6821</v>
          </cell>
          <cell r="Z19">
            <v>3386080243854.9463</v>
          </cell>
          <cell r="AA19">
            <v>3446610511287.8657</v>
          </cell>
          <cell r="AB19">
            <v>3502872285684.0615</v>
          </cell>
          <cell r="AC19">
            <v>3554716468749.3374</v>
          </cell>
          <cell r="AD19">
            <v>3602015950114.1479</v>
          </cell>
          <cell r="AE19">
            <v>3644665981744.3418</v>
          </cell>
          <cell r="AF19">
            <v>3682584361275.0962</v>
          </cell>
          <cell r="AG19">
            <v>3715711429009.9268</v>
          </cell>
          <cell r="AH19">
            <v>3744009885332.7114</v>
          </cell>
          <cell r="AI19">
            <v>3767464437096.9731</v>
          </cell>
          <cell r="AJ19">
            <v>3786081283166.436</v>
          </cell>
          <cell r="AK19">
            <v>3799887450669.5845</v>
          </cell>
          <cell r="AL19">
            <v>3808929994690.5166</v>
          </cell>
          <cell r="AM19">
            <v>3813275075044.2646</v>
          </cell>
          <cell r="AN19">
            <v>3813006924477.834</v>
          </cell>
          <cell r="AO19">
            <v>3808226723101.8789</v>
          </cell>
          <cell r="AP19">
            <v>3799051394100.394</v>
          </cell>
          <cell r="AQ19">
            <v>3784348358390.5454</v>
          </cell>
        </row>
        <row r="20">
          <cell r="B20">
            <v>127779927000</v>
          </cell>
          <cell r="C20">
            <v>97223857500</v>
          </cell>
          <cell r="D20">
            <v>83367617195.280014</v>
          </cell>
          <cell r="E20">
            <v>121038194576.94073</v>
          </cell>
          <cell r="F20">
            <v>122889785101.86815</v>
          </cell>
          <cell r="G20">
            <v>127409122714.16228</v>
          </cell>
          <cell r="H20">
            <v>133730291584.1297</v>
          </cell>
          <cell r="I20">
            <v>139864687871.38367</v>
          </cell>
          <cell r="J20">
            <v>145472017532.55771</v>
          </cell>
          <cell r="K20">
            <v>150545307783.69141</v>
          </cell>
          <cell r="L20">
            <v>155103297114.45456</v>
          </cell>
          <cell r="M20">
            <v>159188284016.36182</v>
          </cell>
          <cell r="N20">
            <v>163710739594.4823</v>
          </cell>
          <cell r="O20">
            <v>167896301259.22556</v>
          </cell>
          <cell r="P20">
            <v>171759783763.13147</v>
          </cell>
          <cell r="Q20">
            <v>175322073602.84995</v>
          </cell>
          <cell r="R20">
            <v>178609546067.14917</v>
          </cell>
          <cell r="S20">
            <v>182673770480.96402</v>
          </cell>
          <cell r="T20">
            <v>186540581406.59183</v>
          </cell>
          <cell r="U20">
            <v>190201027012.80994</v>
          </cell>
          <cell r="V20">
            <v>193646843137.25146</v>
          </cell>
          <cell r="W20">
            <v>196870437451.67676</v>
          </cell>
          <cell r="X20">
            <v>199864878487.91168</v>
          </cell>
          <cell r="Y20">
            <v>202623890132.73718</v>
          </cell>
          <cell r="Z20">
            <v>205141851829.41629</v>
          </cell>
          <cell r="AA20">
            <v>207413804387.40695</v>
          </cell>
          <cell r="AB20">
            <v>209435461009.07602</v>
          </cell>
          <cell r="AC20">
            <v>211203222898.91165</v>
          </cell>
          <cell r="AD20">
            <v>212714198629.99643</v>
          </cell>
          <cell r="AE20">
            <v>213966226305.10901</v>
          </cell>
          <cell r="AF20">
            <v>214957897464.42963</v>
          </cell>
          <cell r="AG20">
            <v>215688581655.35834</v>
          </cell>
          <cell r="AH20">
            <v>216158450588.13983</v>
          </cell>
          <cell r="AI20">
            <v>216368500848.57364</v>
          </cell>
          <cell r="AJ20">
            <v>216320574220.35208</v>
          </cell>
          <cell r="AK20">
            <v>216017374778.52573</v>
          </cell>
          <cell r="AL20">
            <v>215462482046.36047</v>
          </cell>
          <cell r="AM20">
            <v>214660359654.76364</v>
          </cell>
          <cell r="AN20">
            <v>213616359101.35999</v>
          </cell>
          <cell r="AO20">
            <v>212336718370.5488</v>
          </cell>
          <cell r="AP20">
            <v>210828555342.57849</v>
          </cell>
          <cell r="AQ20">
            <v>209030039773.04715</v>
          </cell>
        </row>
        <row r="21">
          <cell r="B21">
            <v>900015138000</v>
          </cell>
          <cell r="C21">
            <v>636121810500</v>
          </cell>
          <cell r="D21">
            <v>651048967141.52966</v>
          </cell>
          <cell r="E21">
            <v>747216055435.23657</v>
          </cell>
          <cell r="F21">
            <v>823993572863.32617</v>
          </cell>
          <cell r="G21">
            <v>873522081358.08411</v>
          </cell>
          <cell r="H21">
            <v>922566979883.89294</v>
          </cell>
          <cell r="I21">
            <v>947050198646.14929</v>
          </cell>
          <cell r="J21">
            <v>971370371674.34363</v>
          </cell>
          <cell r="K21">
            <v>995527592025.11987</v>
          </cell>
          <cell r="L21">
            <v>1019521952801.4034</v>
          </cell>
          <cell r="M21">
            <v>1043353547152.402</v>
          </cell>
          <cell r="N21">
            <v>1054554791708.8914</v>
          </cell>
          <cell r="O21">
            <v>1065698990653.8857</v>
          </cell>
          <cell r="P21">
            <v>1076786165619.0065</v>
          </cell>
          <cell r="Q21">
            <v>1087816338243.4219</v>
          </cell>
          <cell r="R21">
            <v>1098789530173.8483</v>
          </cell>
          <cell r="S21">
            <v>1094123875339.635</v>
          </cell>
          <cell r="T21">
            <v>1089466487016.052</v>
          </cell>
          <cell r="U21">
            <v>1084817363881.1333</v>
          </cell>
          <cell r="V21">
            <v>1080176504612.8613</v>
          </cell>
          <cell r="W21">
            <v>1075543907889.1685</v>
          </cell>
          <cell r="X21">
            <v>1070919572387.9343</v>
          </cell>
          <cell r="Y21">
            <v>1066303496786.9878</v>
          </cell>
          <cell r="Z21">
            <v>1061695679764.1061</v>
          </cell>
          <cell r="AA21">
            <v>1057096119997.0164</v>
          </cell>
          <cell r="AB21">
            <v>1052504816163.3933</v>
          </cell>
          <cell r="AC21">
            <v>1047921766940.8604</v>
          </cell>
          <cell r="AD21">
            <v>1043346971006.9896</v>
          </cell>
          <cell r="AE21">
            <v>1038780427039.3029</v>
          </cell>
          <cell r="AF21">
            <v>1034222133715.2703</v>
          </cell>
          <cell r="AG21">
            <v>1029672089712.3093</v>
          </cell>
          <cell r="AH21">
            <v>1027089141402.7708</v>
          </cell>
          <cell r="AI21">
            <v>1024509575347.8873</v>
          </cell>
          <cell r="AJ21">
            <v>1021933391020.9878</v>
          </cell>
          <cell r="AK21">
            <v>1019360587895.3805</v>
          </cell>
          <cell r="AL21">
            <v>1016791165444.3547</v>
          </cell>
          <cell r="AM21">
            <v>1013576226709.2247</v>
          </cell>
          <cell r="AN21">
            <v>1010366288184.3236</v>
          </cell>
          <cell r="AO21">
            <v>1007161349077.4843</v>
          </cell>
          <cell r="AP21">
            <v>1003961408596.5093</v>
          </cell>
          <cell r="AQ21">
            <v>1000427678773.2899</v>
          </cell>
        </row>
        <row r="22">
          <cell r="B22">
            <v>702789598500</v>
          </cell>
          <cell r="C22">
            <v>602787916500</v>
          </cell>
          <cell r="D22">
            <v>658482151298.13708</v>
          </cell>
          <cell r="E22">
            <v>709843854642.07764</v>
          </cell>
          <cell r="F22">
            <v>731117617935.18225</v>
          </cell>
          <cell r="G22">
            <v>744041571878.37109</v>
          </cell>
          <cell r="H22">
            <v>760654272151.16345</v>
          </cell>
          <cell r="I22">
            <v>777169259455.76868</v>
          </cell>
          <cell r="J22">
            <v>791487882553.72192</v>
          </cell>
          <cell r="K22">
            <v>803512872115.24023</v>
          </cell>
          <cell r="L22">
            <v>813169121643.70825</v>
          </cell>
          <cell r="M22">
            <v>820404345330.77124</v>
          </cell>
          <cell r="N22">
            <v>825885650290.42688</v>
          </cell>
          <cell r="O22">
            <v>829258157524.75537</v>
          </cell>
          <cell r="P22">
            <v>830874514668.74792</v>
          </cell>
          <cell r="Q22">
            <v>831103224370.06128</v>
          </cell>
          <cell r="R22">
            <v>830321588095.88184</v>
          </cell>
          <cell r="S22">
            <v>829519986567.79712</v>
          </cell>
          <cell r="T22">
            <v>828140002367.24133</v>
          </cell>
          <cell r="U22">
            <v>826233395640.276</v>
          </cell>
          <cell r="V22">
            <v>823852545401.87415</v>
          </cell>
          <cell r="W22">
            <v>821050143170.06604</v>
          </cell>
          <cell r="X22">
            <v>817878917461.94568</v>
          </cell>
          <cell r="Y22">
            <v>814391390133.56079</v>
          </cell>
          <cell r="Z22">
            <v>810639665105.08472</v>
          </cell>
          <cell r="AA22">
            <v>806675249624.36487</v>
          </cell>
          <cell r="AB22">
            <v>802548907888.10474</v>
          </cell>
          <cell r="AC22">
            <v>798310546561.46021</v>
          </cell>
          <cell r="AD22">
            <v>794009131513.91016</v>
          </cell>
          <cell r="AE22">
            <v>789692634920.67493</v>
          </cell>
          <cell r="AF22">
            <v>785408011763.56458</v>
          </cell>
          <cell r="AG22">
            <v>781201204700.56128</v>
          </cell>
          <cell r="AH22">
            <v>777117176257.66467</v>
          </cell>
          <cell r="AI22">
            <v>773199967326.86841</v>
          </cell>
          <cell r="AJ22">
            <v>769492781028.44495</v>
          </cell>
          <cell r="AK22">
            <v>766038091111.44678</v>
          </cell>
          <cell r="AL22">
            <v>762877774221.78748</v>
          </cell>
          <cell r="AM22">
            <v>760053265560.77039</v>
          </cell>
          <cell r="AN22">
            <v>757605737687.67053</v>
          </cell>
          <cell r="AO22">
            <v>755576302487.43372</v>
          </cell>
          <cell r="AP22">
            <v>754006236629.58569</v>
          </cell>
          <cell r="AQ22">
            <v>752685636726.60754</v>
          </cell>
        </row>
        <row r="23">
          <cell r="B23">
            <v>961127277000</v>
          </cell>
          <cell r="C23">
            <v>816680403000.00012</v>
          </cell>
          <cell r="D23">
            <v>975733551679.02124</v>
          </cell>
          <cell r="E23">
            <v>1059948243658.139</v>
          </cell>
          <cell r="F23">
            <v>1108241143031.2454</v>
          </cell>
          <cell r="G23">
            <v>1144503446088.9875</v>
          </cell>
          <cell r="H23">
            <v>1188847849759.269</v>
          </cell>
          <cell r="I23">
            <v>1231583254108.3147</v>
          </cell>
          <cell r="J23">
            <v>1268851203371.2856</v>
          </cell>
          <cell r="K23">
            <v>1300954869321.5735</v>
          </cell>
          <cell r="L23">
            <v>1328353217667.8381</v>
          </cell>
          <cell r="M23">
            <v>1351636498663.2288</v>
          </cell>
          <cell r="N23">
            <v>1372130361571.8879</v>
          </cell>
          <cell r="O23">
            <v>1389697183192.6997</v>
          </cell>
          <cell r="P23">
            <v>1404850668916.9207</v>
          </cell>
          <cell r="Q23">
            <v>1418146746944.9182</v>
          </cell>
          <cell r="R23">
            <v>1430174569444.7766</v>
          </cell>
          <cell r="S23">
            <v>1441469957439.0654</v>
          </cell>
          <cell r="T23">
            <v>1452118863294.1267</v>
          </cell>
          <cell r="U23">
            <v>1462122104657.1003</v>
          </cell>
          <cell r="V23">
            <v>1471481816503.1765</v>
          </cell>
          <cell r="W23">
            <v>1480201412477.4204</v>
          </cell>
          <cell r="X23">
            <v>1488285543187.481</v>
          </cell>
          <cell r="Y23">
            <v>1495740051759.991</v>
          </cell>
          <cell r="Z23">
            <v>1502571926974.3613</v>
          </cell>
          <cell r="AA23">
            <v>1508789254286.4604</v>
          </cell>
          <cell r="AB23">
            <v>1514401165051.8118</v>
          </cell>
          <cell r="AC23">
            <v>1519417784252.9646</v>
          </cell>
          <cell r="AD23">
            <v>1523850177029.6265</v>
          </cell>
          <cell r="AE23">
            <v>1527710294302.1179</v>
          </cell>
          <cell r="AF23">
            <v>1531010917769.6965</v>
          </cell>
          <cell r="AG23">
            <v>1533765604555.0444</v>
          </cell>
          <cell r="AH23">
            <v>1535988631754.7759</v>
          </cell>
          <cell r="AI23">
            <v>1537694941143.7156</v>
          </cell>
          <cell r="AJ23">
            <v>1538900084267.7065</v>
          </cell>
          <cell r="AK23">
            <v>1539620168146.1489</v>
          </cell>
          <cell r="AL23">
            <v>1539871801791.4727</v>
          </cell>
          <cell r="AM23">
            <v>1539672043738.3306</v>
          </cell>
          <cell r="AN23">
            <v>1539038350760.7715</v>
          </cell>
          <cell r="AO23">
            <v>1537988527940.8569</v>
          </cell>
          <cell r="AP23">
            <v>1536540680237.6362</v>
          </cell>
          <cell r="AQ23">
            <v>1534198079899.9253</v>
          </cell>
        </row>
        <row r="24">
          <cell r="B24">
            <v>44445192000</v>
          </cell>
          <cell r="C24">
            <v>2700045414000</v>
          </cell>
          <cell r="D24">
            <v>3320096941767.7397</v>
          </cell>
          <cell r="E24">
            <v>3585221305077.3442</v>
          </cell>
          <cell r="F24">
            <v>3748765065309.5703</v>
          </cell>
          <cell r="G24">
            <v>4167464093923.1846</v>
          </cell>
          <cell r="H24">
            <v>4724269438305.3896</v>
          </cell>
          <cell r="I24">
            <v>5277925835951.167</v>
          </cell>
          <cell r="J24">
            <v>5791167468873.5313</v>
          </cell>
          <cell r="K24">
            <v>6267337743264.3789</v>
          </cell>
          <cell r="L24">
            <v>6718218543096.2607</v>
          </cell>
          <cell r="M24">
            <v>7163398748780.4414</v>
          </cell>
          <cell r="N24">
            <v>7624418690909.0889</v>
          </cell>
          <cell r="O24">
            <v>8105872285431.7217</v>
          </cell>
          <cell r="P24">
            <v>8607354777087.2197</v>
          </cell>
          <cell r="Q24">
            <v>9128262026314.7441</v>
          </cell>
          <cell r="R24">
            <v>9667773289113.1914</v>
          </cell>
          <cell r="S24">
            <v>10224830057778.342</v>
          </cell>
          <cell r="T24">
            <v>10798092916176.566</v>
          </cell>
          <cell r="U24">
            <v>11385947542225.814</v>
          </cell>
          <cell r="V24">
            <v>11986497238771.717</v>
          </cell>
          <cell r="W24">
            <v>12597554024000.15</v>
          </cell>
          <cell r="X24">
            <v>13216633101522.141</v>
          </cell>
          <cell r="Y24">
            <v>13840951256905.365</v>
          </cell>
          <cell r="Z24">
            <v>14467429713693.756</v>
          </cell>
          <cell r="AA24">
            <v>15092701951725.08</v>
          </cell>
          <cell r="AB24">
            <v>15713126942174.379</v>
          </cell>
          <cell r="AC24">
            <v>16324808185941.371</v>
          </cell>
          <cell r="AD24">
            <v>16923618853975.734</v>
          </cell>
          <cell r="AE24">
            <v>17505233219723.178</v>
          </cell>
          <cell r="AF24">
            <v>18065164445614.391</v>
          </cell>
          <cell r="AG24">
            <v>18598808638766.719</v>
          </cell>
          <cell r="AH24">
            <v>19101494928065.172</v>
          </cell>
          <cell r="AI24">
            <v>19568541138714.055</v>
          </cell>
          <cell r="AJ24">
            <v>19995314455318.18</v>
          </cell>
          <cell r="AK24">
            <v>20377296275600.883</v>
          </cell>
          <cell r="AL24">
            <v>20710150269850.402</v>
          </cell>
          <cell r="AM24">
            <v>20989792482671.586</v>
          </cell>
          <cell r="AN24">
            <v>21212462150675.824</v>
          </cell>
          <cell r="AO24">
            <v>21374791769719.047</v>
          </cell>
          <cell r="AP24">
            <v>21473874835539.043</v>
          </cell>
          <cell r="AQ24">
            <v>21507322035697.43</v>
          </cell>
        </row>
        <row r="25">
          <cell r="B25">
            <v>558342724500</v>
          </cell>
          <cell r="C25">
            <v>1094462853000.0002</v>
          </cell>
          <cell r="D25">
            <v>1550693062105.5386</v>
          </cell>
          <cell r="E25">
            <v>1991466713055.6895</v>
          </cell>
          <cell r="F25">
            <v>2142040671919.6396</v>
          </cell>
          <cell r="G25">
            <v>2353530196511.3213</v>
          </cell>
          <cell r="H25">
            <v>2634753899514.6484</v>
          </cell>
          <cell r="I25">
            <v>2926437976262.8931</v>
          </cell>
          <cell r="J25">
            <v>3208104946317.3203</v>
          </cell>
          <cell r="K25">
            <v>3480633133198.0298</v>
          </cell>
          <cell r="L25">
            <v>3747654559790.6445</v>
          </cell>
          <cell r="M25">
            <v>4015542817670.499</v>
          </cell>
          <cell r="N25">
            <v>4290688707642.7129</v>
          </cell>
          <cell r="O25">
            <v>4576088785227.3389</v>
          </cell>
          <cell r="P25">
            <v>4872536006365.5518</v>
          </cell>
          <cell r="Q25">
            <v>5181046061349.2773</v>
          </cell>
          <cell r="R25">
            <v>5502883720520.2402</v>
          </cell>
          <cell r="S25">
            <v>5835422216618.5303</v>
          </cell>
          <cell r="T25">
            <v>6181908685319.3721</v>
          </cell>
          <cell r="U25">
            <v>6541687616234.5518</v>
          </cell>
          <cell r="V25">
            <v>6913888426895.5605</v>
          </cell>
          <cell r="W25">
            <v>7297407455609.876</v>
          </cell>
          <cell r="X25">
            <v>7690891617786.9111</v>
          </cell>
          <cell r="Y25">
            <v>8092724401564.9678</v>
          </cell>
          <cell r="Z25">
            <v>8501014933110.374</v>
          </cell>
          <cell r="AA25">
            <v>8913590881584.6074</v>
          </cell>
          <cell r="AB25">
            <v>9327995993794.877</v>
          </cell>
          <cell r="AC25">
            <v>9741493044161.0078</v>
          </cell>
          <cell r="AD25">
            <v>10151072952177.475</v>
          </cell>
          <cell r="AE25">
            <v>10553470752755.816</v>
          </cell>
          <cell r="AF25">
            <v>10945189001156.332</v>
          </cell>
          <cell r="AG25">
            <v>11322529051186.174</v>
          </cell>
          <cell r="AH25">
            <v>11681630461916.148</v>
          </cell>
          <cell r="AI25">
            <v>12018518565106.906</v>
          </cell>
          <cell r="AJ25">
            <v>12329159965698.533</v>
          </cell>
          <cell r="AK25">
            <v>12609525456343.352</v>
          </cell>
          <cell r="AL25">
            <v>12855659511814.904</v>
          </cell>
          <cell r="AM25">
            <v>13063755200537.018</v>
          </cell>
          <cell r="AN25">
            <v>13230233021221.002</v>
          </cell>
          <cell r="AO25">
            <v>13351821857584.777</v>
          </cell>
          <cell r="AP25">
            <v>13425639959905.877</v>
          </cell>
          <cell r="AQ25">
            <v>13444783050721.238</v>
          </cell>
        </row>
        <row r="26">
          <cell r="B26">
            <v>1091368356507000</v>
          </cell>
          <cell r="C26">
            <v>1146574840620000</v>
          </cell>
          <cell r="D26">
            <v>1212619436991495</v>
          </cell>
          <cell r="E26">
            <v>1235309866194109.5</v>
          </cell>
          <cell r="F26">
            <v>1301122945563449.3</v>
          </cell>
          <cell r="G26">
            <v>1368095230578539.3</v>
          </cell>
          <cell r="H26">
            <v>1425144369009491</v>
          </cell>
          <cell r="I26">
            <v>1499588102633333.8</v>
          </cell>
          <cell r="J26">
            <v>1563564090041053.8</v>
          </cell>
          <cell r="K26">
            <v>1625965250275793.5</v>
          </cell>
          <cell r="L26">
            <v>1686550163894825.5</v>
          </cell>
          <cell r="M26">
            <v>1754904148069893.3</v>
          </cell>
          <cell r="N26">
            <v>1801441596291828.8</v>
          </cell>
          <cell r="O26">
            <v>1855385846576778.3</v>
          </cell>
          <cell r="P26">
            <v>1906790488532974</v>
          </cell>
          <cell r="Q26">
            <v>1955541152752798.5</v>
          </cell>
          <cell r="R26">
            <v>1997415231704794</v>
          </cell>
          <cell r="S26">
            <v>2044779485776375</v>
          </cell>
          <cell r="T26">
            <v>2085178064658743.8</v>
          </cell>
          <cell r="U26">
            <v>2122742491586364.5</v>
          </cell>
          <cell r="V26">
            <v>2157493704507864</v>
          </cell>
          <cell r="W26">
            <v>2189476959262442.8</v>
          </cell>
          <cell r="X26">
            <v>2218760370729036.8</v>
          </cell>
          <cell r="Y26">
            <v>2245433308932880.5</v>
          </cell>
          <cell r="Z26">
            <v>2269604693287466.5</v>
          </cell>
          <cell r="AA26">
            <v>2291401226540502</v>
          </cell>
          <cell r="AB26">
            <v>2310965607684025</v>
          </cell>
          <cell r="AC26">
            <v>2328454760238402.5</v>
          </cell>
          <cell r="AD26">
            <v>2344038109079261.5</v>
          </cell>
          <cell r="AE26">
            <v>2357895935493255.5</v>
          </cell>
          <cell r="AF26">
            <v>2370217836559127.5</v>
          </cell>
          <cell r="AG26">
            <v>2381201311379671</v>
          </cell>
          <cell r="AH26">
            <v>2391050493247192.5</v>
          </cell>
          <cell r="AI26">
            <v>2399975043606293</v>
          </cell>
          <cell r="AJ26">
            <v>2408189220761933</v>
          </cell>
          <cell r="AK26">
            <v>2415911133734585</v>
          </cell>
          <cell r="AL26">
            <v>2423362189539930</v>
          </cell>
          <cell r="AM26">
            <v>2430766740509146.5</v>
          </cell>
          <cell r="AN26">
            <v>2438351937099238.5</v>
          </cell>
          <cell r="AO26">
            <v>2446347790995766.5</v>
          </cell>
          <cell r="AP26">
            <v>2454987453202070.5</v>
          </cell>
          <cell r="AQ26">
            <v>2464544913297905</v>
          </cell>
        </row>
      </sheetData>
      <sheetData sheetId="46">
        <row r="2">
          <cell r="B2">
            <v>4402851832500</v>
          </cell>
          <cell r="C2">
            <v>4538965233000</v>
          </cell>
          <cell r="D2">
            <v>4744174190726.6777</v>
          </cell>
          <cell r="E2">
            <v>5092310367716.9756</v>
          </cell>
          <cell r="F2">
            <v>5484189619032.6748</v>
          </cell>
          <cell r="G2">
            <v>5757650433120.2461</v>
          </cell>
          <cell r="H2">
            <v>5908937654841.4219</v>
          </cell>
          <cell r="I2">
            <v>6291211471369.9277</v>
          </cell>
          <cell r="J2">
            <v>6552555419358.8164</v>
          </cell>
          <cell r="K2">
            <v>6805708967617.8281</v>
          </cell>
          <cell r="L2">
            <v>7049601877200.7344</v>
          </cell>
          <cell r="M2">
            <v>7405979621298.1914</v>
          </cell>
          <cell r="N2">
            <v>7506139607093.1709</v>
          </cell>
          <cell r="O2">
            <v>7717245641706.7754</v>
          </cell>
          <cell r="P2">
            <v>7916004017569.6133</v>
          </cell>
          <cell r="Q2">
            <v>8101957824791.7666</v>
          </cell>
          <cell r="R2">
            <v>8223892948994.0068</v>
          </cell>
          <cell r="S2">
            <v>8432088625904.624</v>
          </cell>
          <cell r="T2">
            <v>8575931447020.3613</v>
          </cell>
          <cell r="U2">
            <v>8706372517571.7227</v>
          </cell>
          <cell r="V2">
            <v>8823589414776.5742</v>
          </cell>
          <cell r="W2">
            <v>8927867432097.4531</v>
          </cell>
          <cell r="X2">
            <v>9019591441362.8066</v>
          </cell>
          <cell r="Y2">
            <v>9099237164883.7578</v>
          </cell>
          <cell r="Z2">
            <v>9167362072987.709</v>
          </cell>
          <cell r="AA2">
            <v>9224596110588.8125</v>
          </cell>
          <cell r="AB2">
            <v>9271632441321.8223</v>
          </cell>
          <cell r="AC2">
            <v>9309218380230.0078</v>
          </cell>
          <cell r="AD2">
            <v>9338146666841.5371</v>
          </cell>
          <cell r="AE2">
            <v>9359247210459.582</v>
          </cell>
          <cell r="AF2">
            <v>9373379419326.1875</v>
          </cell>
          <cell r="AG2">
            <v>9381425205616.9805</v>
          </cell>
          <cell r="AH2">
            <v>9384282739504.4922</v>
          </cell>
          <cell r="AI2">
            <v>9382861008234.1289</v>
          </cell>
          <cell r="AJ2">
            <v>9378075220629.9434</v>
          </cell>
          <cell r="AK2">
            <v>9370843083954.3418</v>
          </cell>
          <cell r="AL2">
            <v>9362081968772.0547</v>
          </cell>
          <cell r="AM2">
            <v>9352706968538.4395</v>
          </cell>
          <cell r="AN2">
            <v>9343629854114.5566</v>
          </cell>
          <cell r="AO2">
            <v>9335758919332.7305</v>
          </cell>
          <cell r="AP2">
            <v>9329999712097.2402</v>
          </cell>
          <cell r="AQ2">
            <v>9325079443954.4629</v>
          </cell>
        </row>
        <row r="3">
          <cell r="B3">
            <v>57445410660000</v>
          </cell>
          <cell r="C3">
            <v>38131196911500.016</v>
          </cell>
          <cell r="D3">
            <v>44101990567927.141</v>
          </cell>
          <cell r="E3">
            <v>50898270798074.195</v>
          </cell>
          <cell r="F3">
            <v>56442613206320.297</v>
          </cell>
          <cell r="G3">
            <v>59480797523460.891</v>
          </cell>
          <cell r="H3">
            <v>62431320500105.477</v>
          </cell>
          <cell r="I3">
            <v>63545761039051.406</v>
          </cell>
          <cell r="J3">
            <v>64662713195250.32</v>
          </cell>
          <cell r="K3">
            <v>65782151529151.773</v>
          </cell>
          <cell r="L3">
            <v>66904050628307.953</v>
          </cell>
          <cell r="M3">
            <v>68028385107373.82</v>
          </cell>
          <cell r="N3">
            <v>68481484047281.555</v>
          </cell>
          <cell r="O3">
            <v>68935069288382.352</v>
          </cell>
          <cell r="P3">
            <v>69389136285723.617</v>
          </cell>
          <cell r="Q3">
            <v>69843680497667.547</v>
          </cell>
          <cell r="R3">
            <v>70298697385891.133</v>
          </cell>
          <cell r="S3">
            <v>69634335930528.711</v>
          </cell>
          <cell r="T3">
            <v>68970315960557.063</v>
          </cell>
          <cell r="U3">
            <v>68306637988297.609</v>
          </cell>
          <cell r="V3">
            <v>67643302525921.57</v>
          </cell>
          <cell r="W3">
            <v>66980310085450.031</v>
          </cell>
          <cell r="X3">
            <v>65931344705867.914</v>
          </cell>
          <cell r="Y3">
            <v>64882940360876.727</v>
          </cell>
          <cell r="Z3">
            <v>63835097866646.633</v>
          </cell>
          <cell r="AA3">
            <v>62787818039107.547</v>
          </cell>
          <cell r="AB3">
            <v>61741101693949.141</v>
          </cell>
          <cell r="AC3">
            <v>60694949646620.781</v>
          </cell>
          <cell r="AD3">
            <v>59649362712331.594</v>
          </cell>
          <cell r="AE3">
            <v>58604341706050.367</v>
          </cell>
          <cell r="AF3">
            <v>57559887442505.648</v>
          </cell>
          <cell r="AG3">
            <v>56516000736185.719</v>
          </cell>
          <cell r="AH3">
            <v>55215864427258.313</v>
          </cell>
          <cell r="AI3">
            <v>53916443315632.609</v>
          </cell>
          <cell r="AJ3">
            <v>52617738417691.945</v>
          </cell>
          <cell r="AK3">
            <v>51319750749519.375</v>
          </cell>
          <cell r="AL3">
            <v>50022481326897.555</v>
          </cell>
          <cell r="AM3">
            <v>48982383434599.906</v>
          </cell>
          <cell r="AN3">
            <v>47942859131610.094</v>
          </cell>
          <cell r="AO3">
            <v>46903909230419.102</v>
          </cell>
          <cell r="AP3">
            <v>45865534543277.633</v>
          </cell>
          <cell r="AQ3">
            <v>44812768357694.578</v>
          </cell>
        </row>
        <row r="4">
          <cell r="B4">
            <v>471496819331999.81</v>
          </cell>
          <cell r="C4">
            <v>454102082313000.06</v>
          </cell>
          <cell r="D4">
            <v>476170239450186.81</v>
          </cell>
          <cell r="E4">
            <v>522312599453347.69</v>
          </cell>
          <cell r="F4">
            <v>573112220344809</v>
          </cell>
          <cell r="G4">
            <v>604628957234968.38</v>
          </cell>
          <cell r="H4">
            <v>635978614184399.13</v>
          </cell>
          <cell r="I4">
            <v>651119941821394.13</v>
          </cell>
          <cell r="J4">
            <v>666236931556028.63</v>
          </cell>
          <cell r="K4">
            <v>681329595009342.25</v>
          </cell>
          <cell r="L4">
            <v>696397943804788</v>
          </cell>
          <cell r="M4">
            <v>711441989568232.5</v>
          </cell>
          <cell r="N4">
            <v>721209776767232.63</v>
          </cell>
          <cell r="O4">
            <v>730966617871016.38</v>
          </cell>
          <cell r="P4">
            <v>740712516429219.88</v>
          </cell>
          <cell r="Q4">
            <v>750447475991992.25</v>
          </cell>
          <cell r="R4">
            <v>760171500109994.5</v>
          </cell>
          <cell r="S4">
            <v>770087309839216.38</v>
          </cell>
          <cell r="T4">
            <v>779997535156261.75</v>
          </cell>
          <cell r="U4">
            <v>789902176860075.13</v>
          </cell>
          <cell r="V4">
            <v>799801235749614.63</v>
          </cell>
          <cell r="W4">
            <v>809694712623852.5</v>
          </cell>
          <cell r="X4">
            <v>814520984773234.63</v>
          </cell>
          <cell r="Y4">
            <v>819344480450853.25</v>
          </cell>
          <cell r="Z4">
            <v>824165200055915.25</v>
          </cell>
          <cell r="AA4">
            <v>828983143987635.13</v>
          </cell>
          <cell r="AB4">
            <v>833798312645233.75</v>
          </cell>
          <cell r="AC4">
            <v>838610706427939.5</v>
          </cell>
          <cell r="AD4">
            <v>843420325734987.13</v>
          </cell>
          <cell r="AE4">
            <v>848227170965618.88</v>
          </cell>
          <cell r="AF4">
            <v>853031242519083.5</v>
          </cell>
          <cell r="AG4">
            <v>857832540794637.75</v>
          </cell>
          <cell r="AH4">
            <v>862628545411590.38</v>
          </cell>
          <cell r="AI4">
            <v>867421778948126.5</v>
          </cell>
          <cell r="AJ4">
            <v>872212241803322.88</v>
          </cell>
          <cell r="AK4">
            <v>876999934376263.63</v>
          </cell>
          <cell r="AL4">
            <v>881784857066040.25</v>
          </cell>
          <cell r="AM4">
            <v>881536974950320.25</v>
          </cell>
          <cell r="AN4">
            <v>881289117823914.63</v>
          </cell>
          <cell r="AO4">
            <v>881041285686888.5</v>
          </cell>
          <cell r="AP4">
            <v>880793478539307.63</v>
          </cell>
          <cell r="AQ4">
            <v>880251691140376.63</v>
          </cell>
        </row>
        <row r="5">
          <cell r="B5">
            <v>8166804030000</v>
          </cell>
          <cell r="C5">
            <v>14605801220999.996</v>
          </cell>
          <cell r="D5">
            <v>15313035130302.717</v>
          </cell>
          <cell r="E5">
            <v>16942219317892.838</v>
          </cell>
          <cell r="F5">
            <v>17902358483300.758</v>
          </cell>
          <cell r="G5">
            <v>18237652230909.773</v>
          </cell>
          <cell r="H5">
            <v>18551473514575.199</v>
          </cell>
          <cell r="I5">
            <v>18929126589813.625</v>
          </cell>
          <cell r="J5">
            <v>19303699695622.723</v>
          </cell>
          <cell r="K5">
            <v>19675168443608.813</v>
          </cell>
          <cell r="L5">
            <v>20043508477753.215</v>
          </cell>
          <cell r="M5">
            <v>20408695474412.301</v>
          </cell>
          <cell r="N5">
            <v>20326375352656.656</v>
          </cell>
          <cell r="O5">
            <v>20242713409412.324</v>
          </cell>
          <cell r="P5">
            <v>20157705579073.48</v>
          </cell>
          <cell r="Q5">
            <v>20071347799948.508</v>
          </cell>
          <cell r="R5">
            <v>19983636014259.969</v>
          </cell>
          <cell r="S5">
            <v>19740883253795.363</v>
          </cell>
          <cell r="T5">
            <v>19498112047998.703</v>
          </cell>
          <cell r="U5">
            <v>19255322428569.422</v>
          </cell>
          <cell r="V5">
            <v>19012514427201.203</v>
          </cell>
          <cell r="W5">
            <v>18769688075581.992</v>
          </cell>
          <cell r="X5">
            <v>18383308268017.477</v>
          </cell>
          <cell r="Y5">
            <v>17997341214792.773</v>
          </cell>
          <cell r="Z5">
            <v>17611787152009.824</v>
          </cell>
          <cell r="AA5">
            <v>17226646315688.252</v>
          </cell>
          <cell r="AB5">
            <v>16841918941765.406</v>
          </cell>
          <cell r="AC5">
            <v>16478227206202.6</v>
          </cell>
          <cell r="AD5">
            <v>16115327861391.059</v>
          </cell>
          <cell r="AE5">
            <v>15753221298630.227</v>
          </cell>
          <cell r="AF5">
            <v>15391907909075.346</v>
          </cell>
          <cell r="AG5">
            <v>15031388083737.49</v>
          </cell>
          <cell r="AH5">
            <v>14732277485495.449</v>
          </cell>
          <cell r="AI5">
            <v>14434204751047.398</v>
          </cell>
          <cell r="AJ5">
            <v>14137170363293.24</v>
          </cell>
          <cell r="AK5">
            <v>13841174804950.594</v>
          </cell>
          <cell r="AL5">
            <v>13546218558554.789</v>
          </cell>
          <cell r="AM5">
            <v>13332921093771.898</v>
          </cell>
          <cell r="AN5">
            <v>13120592851028.438</v>
          </cell>
          <cell r="AO5">
            <v>12909234274665.887</v>
          </cell>
          <cell r="AP5">
            <v>12698845808856.723</v>
          </cell>
          <cell r="AQ5">
            <v>12485257804817.25</v>
          </cell>
        </row>
        <row r="6">
          <cell r="B6">
            <v>259946038885500</v>
          </cell>
          <cell r="C6">
            <v>255643188735000.03</v>
          </cell>
          <cell r="D6">
            <v>294268070420161.69</v>
          </cell>
          <cell r="E6">
            <v>316136997174192.5</v>
          </cell>
          <cell r="F6">
            <v>329143585952676.06</v>
          </cell>
          <cell r="G6">
            <v>338028555032969</v>
          </cell>
          <cell r="H6">
            <v>349794268507381.19</v>
          </cell>
          <cell r="I6">
            <v>362785576920342.94</v>
          </cell>
          <cell r="J6">
            <v>375774322449079.25</v>
          </cell>
          <cell r="K6">
            <v>388495450389175.75</v>
          </cell>
          <cell r="L6">
            <v>400662070906633.63</v>
          </cell>
          <cell r="M6">
            <v>411967635698493.13</v>
          </cell>
          <cell r="N6">
            <v>422180889868082.88</v>
          </cell>
          <cell r="O6">
            <v>431228314819882.13</v>
          </cell>
          <cell r="P6">
            <v>439142022318609.75</v>
          </cell>
          <cell r="Q6">
            <v>445972050975626.94</v>
          </cell>
          <cell r="R6">
            <v>451784343733217.63</v>
          </cell>
          <cell r="S6">
            <v>456570882227884</v>
          </cell>
          <cell r="T6">
            <v>460454448732899.06</v>
          </cell>
          <cell r="U6">
            <v>463479611703187.63</v>
          </cell>
          <cell r="V6">
            <v>465697162622628.5</v>
          </cell>
          <cell r="W6">
            <v>467163003699626.31</v>
          </cell>
          <cell r="X6">
            <v>467937080103476.88</v>
          </cell>
          <cell r="Y6">
            <v>468082377247694.94</v>
          </cell>
          <cell r="Z6">
            <v>467663999267524.44</v>
          </cell>
          <cell r="AA6">
            <v>466748340678740.69</v>
          </cell>
          <cell r="AB6">
            <v>465402359375545.94</v>
          </cell>
          <cell r="AC6">
            <v>463692955722513.25</v>
          </cell>
          <cell r="AD6">
            <v>461686459581477.69</v>
          </cell>
          <cell r="AE6">
            <v>459448224721924.06</v>
          </cell>
          <cell r="AF6">
            <v>457042328201473.94</v>
          </cell>
          <cell r="AG6">
            <v>454531370960931.06</v>
          </cell>
          <cell r="AH6">
            <v>451976375031775.19</v>
          </cell>
          <cell r="AI6">
            <v>449436772369987.06</v>
          </cell>
          <cell r="AJ6">
            <v>446970480371618.13</v>
          </cell>
          <cell r="AK6">
            <v>444634059555742.81</v>
          </cell>
          <cell r="AL6">
            <v>442482949686360.63</v>
          </cell>
          <cell r="AM6">
            <v>440571781720651.88</v>
          </cell>
          <cell r="AN6">
            <v>438954764400888.25</v>
          </cell>
          <cell r="AO6">
            <v>437686146048308.56</v>
          </cell>
          <cell r="AP6">
            <v>436820754181778.06</v>
          </cell>
          <cell r="AQ6">
            <v>436268460476973.88</v>
          </cell>
        </row>
        <row r="7">
          <cell r="B7">
            <v>205014559398000</v>
          </cell>
          <cell r="C7">
            <v>231395558674500</v>
          </cell>
          <cell r="D7">
            <v>240208236178909.97</v>
          </cell>
          <cell r="E7">
            <v>248070482249142.78</v>
          </cell>
          <cell r="F7">
            <v>254392218684404.09</v>
          </cell>
          <cell r="G7">
            <v>256167100216041.41</v>
          </cell>
          <cell r="H7">
            <v>258803471384330.91</v>
          </cell>
          <cell r="I7">
            <v>261956277425924.34</v>
          </cell>
          <cell r="J7">
            <v>264878253187412.69</v>
          </cell>
          <cell r="K7">
            <v>267223610366858.03</v>
          </cell>
          <cell r="L7">
            <v>268638569534147.66</v>
          </cell>
          <cell r="M7">
            <v>268770672743530.53</v>
          </cell>
          <cell r="N7">
            <v>267613794769495.19</v>
          </cell>
          <cell r="O7">
            <v>265195169998264.94</v>
          </cell>
          <cell r="P7">
            <v>261882093529790.5</v>
          </cell>
          <cell r="Q7">
            <v>258036556586971.56</v>
          </cell>
          <cell r="R7">
            <v>254005884638836.75</v>
          </cell>
          <cell r="S7">
            <v>250270254559882.38</v>
          </cell>
          <cell r="T7">
            <v>246673835854094.38</v>
          </cell>
          <cell r="U7">
            <v>243216836986588.69</v>
          </cell>
          <cell r="V7">
            <v>239899615474991.13</v>
          </cell>
          <cell r="W7">
            <v>236722609439507.63</v>
          </cell>
          <cell r="X7">
            <v>233686282327861.13</v>
          </cell>
          <cell r="Y7">
            <v>230791080538098.25</v>
          </cell>
          <cell r="Z7">
            <v>228037403274971.28</v>
          </cell>
          <cell r="AA7">
            <v>225425583690883.47</v>
          </cell>
          <cell r="AB7">
            <v>222955880174514.44</v>
          </cell>
          <cell r="AC7">
            <v>220628476549768.91</v>
          </cell>
          <cell r="AD7">
            <v>218443489922599.13</v>
          </cell>
          <cell r="AE7">
            <v>216400984950654.06</v>
          </cell>
          <cell r="AF7">
            <v>214500993397412.59</v>
          </cell>
          <cell r="AG7">
            <v>212743537956362.72</v>
          </cell>
          <cell r="AH7">
            <v>211128659481107.31</v>
          </cell>
          <cell r="AI7">
            <v>209656446924957.44</v>
          </cell>
          <cell r="AJ7">
            <v>208327069471892.53</v>
          </cell>
          <cell r="AK7">
            <v>207140810524832.13</v>
          </cell>
          <cell r="AL7">
            <v>206098103404577.44</v>
          </cell>
          <cell r="AM7">
            <v>205199568803074.41</v>
          </cell>
          <cell r="AN7">
            <v>204446054229663.38</v>
          </cell>
          <cell r="AO7">
            <v>203838675892642.56</v>
          </cell>
          <cell r="AP7">
            <v>203378863677114.31</v>
          </cell>
          <cell r="AQ7">
            <v>203000607648322.25</v>
          </cell>
        </row>
        <row r="8">
          <cell r="B8">
            <v>16155827292000</v>
          </cell>
          <cell r="C8">
            <v>17022508535999.994</v>
          </cell>
          <cell r="D8">
            <v>17480699833756.602</v>
          </cell>
          <cell r="E8">
            <v>19573537660996.574</v>
          </cell>
          <cell r="F8">
            <v>19877783868709.555</v>
          </cell>
          <cell r="G8">
            <v>19965448705076.398</v>
          </cell>
          <cell r="H8">
            <v>20157616538052.805</v>
          </cell>
          <cell r="I8">
            <v>20420517121421.152</v>
          </cell>
          <cell r="J8">
            <v>20714430765031.5</v>
          </cell>
          <cell r="K8">
            <v>21012627387945.539</v>
          </cell>
          <cell r="L8">
            <v>21286851639647.867</v>
          </cell>
          <cell r="M8">
            <v>21507459124080.203</v>
          </cell>
          <cell r="N8">
            <v>21704001265581.977</v>
          </cell>
          <cell r="O8">
            <v>21821861920086.77</v>
          </cell>
          <cell r="P8">
            <v>21865628791407.02</v>
          </cell>
          <cell r="Q8">
            <v>21840731291977.234</v>
          </cell>
          <cell r="R8">
            <v>21753256430308.039</v>
          </cell>
          <cell r="S8">
            <v>21665753596012.945</v>
          </cell>
          <cell r="T8">
            <v>21527343375096.578</v>
          </cell>
          <cell r="U8">
            <v>21343341451616.27</v>
          </cell>
          <cell r="V8">
            <v>21119222753837.547</v>
          </cell>
          <cell r="W8">
            <v>20860523082298.93</v>
          </cell>
          <cell r="X8">
            <v>20572752146397.777</v>
          </cell>
          <cell r="Y8">
            <v>20261318917913.969</v>
          </cell>
          <cell r="Z8">
            <v>19931469707004.055</v>
          </cell>
          <cell r="AA8">
            <v>19588238934187.789</v>
          </cell>
          <cell r="AB8">
            <v>19236412217288.316</v>
          </cell>
          <cell r="AC8">
            <v>18880501116989.359</v>
          </cell>
          <cell r="AD8">
            <v>18524728686579.094</v>
          </cell>
          <cell r="AE8">
            <v>18173024845593.883</v>
          </cell>
          <cell r="AF8">
            <v>17829030536466.75</v>
          </cell>
          <cell r="AG8">
            <v>17496109619816.52</v>
          </cell>
          <cell r="AH8">
            <v>17177367509137.365</v>
          </cell>
          <cell r="AI8">
            <v>16875675631060.164</v>
          </cell>
          <cell r="AJ8">
            <v>16593700915457.504</v>
          </cell>
          <cell r="AK8">
            <v>16333939663962.738</v>
          </cell>
          <cell r="AL8">
            <v>16098755310875.34</v>
          </cell>
          <cell r="AM8">
            <v>15890419773438.961</v>
          </cell>
          <cell r="AN8">
            <v>15711158287387.348</v>
          </cell>
          <cell r="AO8">
            <v>15563197838649.191</v>
          </cell>
          <cell r="AP8">
            <v>15448819535446.023</v>
          </cell>
          <cell r="AQ8">
            <v>15365243448436.443</v>
          </cell>
        </row>
        <row r="9">
          <cell r="B9">
            <v>145383000856500</v>
          </cell>
          <cell r="C9">
            <v>150410863201500</v>
          </cell>
          <cell r="D9">
            <v>165926619501520.69</v>
          </cell>
          <cell r="E9">
            <v>176880230653516.97</v>
          </cell>
          <cell r="F9">
            <v>187800772611482.5</v>
          </cell>
          <cell r="G9">
            <v>194483471551924.88</v>
          </cell>
          <cell r="H9">
            <v>201838840634533.47</v>
          </cell>
          <cell r="I9">
            <v>207285169465793.25</v>
          </cell>
          <cell r="J9">
            <v>212769081190851.44</v>
          </cell>
          <cell r="K9">
            <v>218204431320629.28</v>
          </cell>
          <cell r="L9">
            <v>223495594918317.16</v>
          </cell>
          <cell r="M9">
            <v>228538281425443</v>
          </cell>
          <cell r="N9">
            <v>232041245869828.69</v>
          </cell>
          <cell r="O9">
            <v>235199636017330.59</v>
          </cell>
          <cell r="P9">
            <v>238026059767127.81</v>
          </cell>
          <cell r="Q9">
            <v>240537894319500</v>
          </cell>
          <cell r="R9">
            <v>242756618222163.38</v>
          </cell>
          <cell r="S9">
            <v>244156435461073.06</v>
          </cell>
          <cell r="T9">
            <v>245303784158543.63</v>
          </cell>
          <cell r="U9">
            <v>246213766867648.94</v>
          </cell>
          <cell r="V9">
            <v>246903165908579.91</v>
          </cell>
          <cell r="W9">
            <v>247390106783659.75</v>
          </cell>
          <cell r="X9">
            <v>246390236807535.63</v>
          </cell>
          <cell r="Y9">
            <v>245228369355070.72</v>
          </cell>
          <cell r="Z9">
            <v>243924810729286</v>
          </cell>
          <cell r="AA9">
            <v>242500060743338.94</v>
          </cell>
          <cell r="AB9">
            <v>240974596139845.94</v>
          </cell>
          <cell r="AC9">
            <v>238458774769542.81</v>
          </cell>
          <cell r="AD9">
            <v>235883437156929.13</v>
          </cell>
          <cell r="AE9">
            <v>233268023759734.59</v>
          </cell>
          <cell r="AF9">
            <v>230631418317179.56</v>
          </cell>
          <cell r="AG9">
            <v>227991895738523.03</v>
          </cell>
          <cell r="AH9">
            <v>225237475014399.13</v>
          </cell>
          <cell r="AI9">
            <v>222514945688654.19</v>
          </cell>
          <cell r="AJ9">
            <v>219840735852853.88</v>
          </cell>
          <cell r="AK9">
            <v>217230740312331.81</v>
          </cell>
          <cell r="AL9">
            <v>214700402403669.41</v>
          </cell>
          <cell r="AM9">
            <v>212006293063823.75</v>
          </cell>
          <cell r="AN9">
            <v>209422102772671.81</v>
          </cell>
          <cell r="AO9">
            <v>206962633565540.63</v>
          </cell>
          <cell r="AP9">
            <v>204642783825725.5</v>
          </cell>
          <cell r="AQ9">
            <v>202410099174567.63</v>
          </cell>
        </row>
        <row r="10">
          <cell r="B10">
            <v>618340955875500.13</v>
          </cell>
          <cell r="C10">
            <v>489374897814000</v>
          </cell>
          <cell r="D10">
            <v>512416991621968.06</v>
          </cell>
          <cell r="E10">
            <v>548573443987677.75</v>
          </cell>
          <cell r="F10">
            <v>594627650666008</v>
          </cell>
          <cell r="G10">
            <v>626158877202839</v>
          </cell>
          <cell r="H10">
            <v>657557976644437.25</v>
          </cell>
          <cell r="I10">
            <v>671938138751676.13</v>
          </cell>
          <cell r="J10">
            <v>686308197690145</v>
          </cell>
          <cell r="K10">
            <v>700668152821445.88</v>
          </cell>
          <cell r="L10">
            <v>715018003508470.5</v>
          </cell>
          <cell r="M10">
            <v>729357749115401.13</v>
          </cell>
          <cell r="N10">
            <v>730227551292364.5</v>
          </cell>
          <cell r="O10">
            <v>731096856952801.88</v>
          </cell>
          <cell r="P10">
            <v>731965666079358</v>
          </cell>
          <cell r="Q10">
            <v>732833978654708</v>
          </cell>
          <cell r="R10">
            <v>733701794661557</v>
          </cell>
          <cell r="S10">
            <v>725288815281265.38</v>
          </cell>
          <cell r="T10">
            <v>716877843982461.63</v>
          </cell>
          <cell r="U10">
            <v>708468880666941.63</v>
          </cell>
          <cell r="V10">
            <v>700061925236494.63</v>
          </cell>
          <cell r="W10">
            <v>691656977592903.13</v>
          </cell>
          <cell r="X10">
            <v>675974315528340.5</v>
          </cell>
          <cell r="Y10">
            <v>660295415326264.5</v>
          </cell>
          <cell r="Z10">
            <v>644620276802360.75</v>
          </cell>
          <cell r="AA10">
            <v>628948899772303.25</v>
          </cell>
          <cell r="AB10">
            <v>613281284051752.88</v>
          </cell>
          <cell r="AC10">
            <v>597617429456359.38</v>
          </cell>
          <cell r="AD10">
            <v>581957335801759.75</v>
          </cell>
          <cell r="AE10">
            <v>566301002903578.5</v>
          </cell>
          <cell r="AF10">
            <v>550648430577428</v>
          </cell>
          <cell r="AG10">
            <v>534999618638908.38</v>
          </cell>
          <cell r="AH10">
            <v>521431942605318.38</v>
          </cell>
          <cell r="AI10">
            <v>507867525543367</v>
          </cell>
          <cell r="AJ10">
            <v>494306367293222.81</v>
          </cell>
          <cell r="AK10">
            <v>480748467695043.75</v>
          </cell>
          <cell r="AL10">
            <v>467193826588977.31</v>
          </cell>
          <cell r="AM10">
            <v>452964545961657.75</v>
          </cell>
          <cell r="AN10">
            <v>438738687082358.94</v>
          </cell>
          <cell r="AO10">
            <v>424516249783160.44</v>
          </cell>
          <cell r="AP10">
            <v>410297233896130.25</v>
          </cell>
          <cell r="AQ10">
            <v>395974760787405.38</v>
          </cell>
        </row>
        <row r="11">
          <cell r="B11">
            <v>1458566199337500.5</v>
          </cell>
          <cell r="C11">
            <v>1565581888199999.8</v>
          </cell>
          <cell r="D11">
            <v>1706538189918789</v>
          </cell>
          <cell r="E11">
            <v>1910156430087012</v>
          </cell>
          <cell r="F11">
            <v>2112136810403774.5</v>
          </cell>
          <cell r="G11">
            <v>2246488851017014</v>
          </cell>
          <cell r="H11">
            <v>2380860117196050.5</v>
          </cell>
          <cell r="I11">
            <v>2470157944794689.5</v>
          </cell>
          <cell r="J11">
            <v>2558657423437240</v>
          </cell>
          <cell r="K11">
            <v>2646348476880934</v>
          </cell>
          <cell r="L11">
            <v>2733262895760419</v>
          </cell>
          <cell r="M11">
            <v>2819468416706059</v>
          </cell>
          <cell r="N11">
            <v>2869444453024804.5</v>
          </cell>
          <cell r="O11">
            <v>2918897614067114.5</v>
          </cell>
          <cell r="P11">
            <v>2967944408261700</v>
          </cell>
          <cell r="Q11">
            <v>3016710827998735.5</v>
          </cell>
          <cell r="R11">
            <v>3065328438177512</v>
          </cell>
          <cell r="S11">
            <v>3090199633812996.5</v>
          </cell>
          <cell r="T11">
            <v>3115041692910506.5</v>
          </cell>
          <cell r="U11">
            <v>3139854997966907</v>
          </cell>
          <cell r="V11">
            <v>3164639949206034.5</v>
          </cell>
          <cell r="W11">
            <v>3189396963710636.5</v>
          </cell>
          <cell r="X11">
            <v>3200477238961196</v>
          </cell>
          <cell r="Y11">
            <v>3211534411683617</v>
          </cell>
          <cell r="Z11">
            <v>3222568945701489</v>
          </cell>
          <cell r="AA11">
            <v>3233581318267402</v>
          </cell>
          <cell r="AB11">
            <v>3244572019226189.5</v>
          </cell>
          <cell r="AC11">
            <v>3243832614410382</v>
          </cell>
          <cell r="AD11">
            <v>3243075949457982</v>
          </cell>
          <cell r="AE11">
            <v>3242302548247400</v>
          </cell>
          <cell r="AF11">
            <v>3241512944037717</v>
          </cell>
          <cell r="AG11">
            <v>3240707678707427.5</v>
          </cell>
          <cell r="AH11">
            <v>3229257103992521</v>
          </cell>
          <cell r="AI11">
            <v>3217795064845556</v>
          </cell>
          <cell r="AJ11">
            <v>3206322125679272.5</v>
          </cell>
          <cell r="AK11">
            <v>3194838856685920</v>
          </cell>
          <cell r="AL11">
            <v>3183345833183988.5</v>
          </cell>
          <cell r="AM11">
            <v>3169891543616563</v>
          </cell>
          <cell r="AN11">
            <v>3156429231558705.5</v>
          </cell>
          <cell r="AO11">
            <v>3142959484228326.5</v>
          </cell>
          <cell r="AP11">
            <v>3129482891608572</v>
          </cell>
          <cell r="AQ11">
            <v>3115125233102529</v>
          </cell>
        </row>
        <row r="12">
          <cell r="B12">
            <v>59009325853500</v>
          </cell>
          <cell r="C12">
            <v>66934459152000</v>
          </cell>
          <cell r="D12">
            <v>68372733398697.75</v>
          </cell>
          <cell r="E12">
            <v>76178822822851.234</v>
          </cell>
          <cell r="F12">
            <v>78510953106775.422</v>
          </cell>
          <cell r="G12">
            <v>80723873722475.172</v>
          </cell>
          <cell r="H12">
            <v>83533303764387.641</v>
          </cell>
          <cell r="I12">
            <v>86132043204980.578</v>
          </cell>
          <cell r="J12">
            <v>88244198158469.063</v>
          </cell>
          <cell r="K12">
            <v>89836029126067.313</v>
          </cell>
          <cell r="L12">
            <v>90883397959591.75</v>
          </cell>
          <cell r="M12">
            <v>91372357431837.453</v>
          </cell>
          <cell r="N12">
            <v>91497141824537.25</v>
          </cell>
          <cell r="O12">
            <v>91174953218247.609</v>
          </cell>
          <cell r="P12">
            <v>90523304494720.016</v>
          </cell>
          <cell r="Q12">
            <v>89661000699523.031</v>
          </cell>
          <cell r="R12">
            <v>88704693274706.813</v>
          </cell>
          <cell r="S12">
            <v>87915915346597.531</v>
          </cell>
          <cell r="T12">
            <v>87144824714644.125</v>
          </cell>
          <cell r="U12">
            <v>86391906554581.234</v>
          </cell>
          <cell r="V12">
            <v>85657627127806.219</v>
          </cell>
          <cell r="W12">
            <v>84942435254012.094</v>
          </cell>
          <cell r="X12">
            <v>84246763802545.406</v>
          </cell>
          <cell r="Y12">
            <v>83571031201239.203</v>
          </cell>
          <cell r="Z12">
            <v>82915642961800.828</v>
          </cell>
          <cell r="AA12">
            <v>82280993221165.141</v>
          </cell>
          <cell r="AB12">
            <v>81667466298555.938</v>
          </cell>
          <cell r="AC12">
            <v>81075438268327.078</v>
          </cell>
          <cell r="AD12">
            <v>80505278548994.188</v>
          </cell>
          <cell r="AE12">
            <v>79957351509201.781</v>
          </cell>
          <cell r="AF12">
            <v>79432018091709.469</v>
          </cell>
          <cell r="AG12">
            <v>78929637456826.406</v>
          </cell>
          <cell r="AH12">
            <v>78450568647070.203</v>
          </cell>
          <cell r="AI12">
            <v>77995172275185.406</v>
          </cell>
          <cell r="AJ12">
            <v>77563812238013.656</v>
          </cell>
          <cell r="AK12">
            <v>77156857459084.297</v>
          </cell>
          <cell r="AL12">
            <v>76774683663175.938</v>
          </cell>
          <cell r="AM12">
            <v>76417675186495.813</v>
          </cell>
          <cell r="AN12">
            <v>76086226826534.578</v>
          </cell>
          <cell r="AO12">
            <v>75780745736081.359</v>
          </cell>
          <cell r="AP12">
            <v>75501653366332.922</v>
          </cell>
          <cell r="AQ12">
            <v>75224193219677.859</v>
          </cell>
        </row>
        <row r="13">
          <cell r="B13">
            <v>72915115300500</v>
          </cell>
          <cell r="C13">
            <v>64467750996000</v>
          </cell>
          <cell r="D13">
            <v>72200296684225.984</v>
          </cell>
          <cell r="E13">
            <v>79503207918185.5</v>
          </cell>
          <cell r="F13">
            <v>82910699403529.922</v>
          </cell>
          <cell r="G13">
            <v>87153101371859.203</v>
          </cell>
          <cell r="H13">
            <v>92565321577218.406</v>
          </cell>
          <cell r="I13">
            <v>97746555975386.078</v>
          </cell>
          <cell r="J13">
            <v>102277073931389.17</v>
          </cell>
          <cell r="K13">
            <v>106222813494612.45</v>
          </cell>
          <cell r="L13">
            <v>109687964086288</v>
          </cell>
          <cell r="M13">
            <v>112808237816001.8</v>
          </cell>
          <cell r="N13">
            <v>115838225790656.34</v>
          </cell>
          <cell r="O13">
            <v>118723713587386.05</v>
          </cell>
          <cell r="P13">
            <v>121503892373665.97</v>
          </cell>
          <cell r="Q13">
            <v>124223196738316.27</v>
          </cell>
          <cell r="R13">
            <v>126930985757420.77</v>
          </cell>
          <cell r="S13">
            <v>129809055314497.58</v>
          </cell>
          <cell r="T13">
            <v>132727212856438.89</v>
          </cell>
          <cell r="U13">
            <v>135676200158347.27</v>
          </cell>
          <cell r="V13">
            <v>138645935973201.14</v>
          </cell>
          <cell r="W13">
            <v>141625499219024.34</v>
          </cell>
          <cell r="X13">
            <v>144603120238029.66</v>
          </cell>
          <cell r="Y13">
            <v>147566181173682.59</v>
          </cell>
          <cell r="Z13">
            <v>150501226514799.16</v>
          </cell>
          <cell r="AA13">
            <v>153393984837285.16</v>
          </cell>
          <cell r="AB13">
            <v>156229402731034.59</v>
          </cell>
          <cell r="AC13">
            <v>158991691829104.97</v>
          </cell>
          <cell r="AD13">
            <v>161664389756146.16</v>
          </cell>
          <cell r="AE13">
            <v>164230435681035.81</v>
          </cell>
          <cell r="AF13">
            <v>166672260993314.16</v>
          </cell>
          <cell r="AG13">
            <v>168971895423404.53</v>
          </cell>
          <cell r="AH13">
            <v>171111088692728.28</v>
          </cell>
          <cell r="AI13">
            <v>173071447512599.81</v>
          </cell>
          <cell r="AJ13">
            <v>174834587452234.06</v>
          </cell>
          <cell r="AK13">
            <v>176382298869511.28</v>
          </cell>
          <cell r="AL13">
            <v>177696725747853.38</v>
          </cell>
          <cell r="AM13">
            <v>178760555914510.31</v>
          </cell>
          <cell r="AN13">
            <v>179557220736940</v>
          </cell>
          <cell r="AO13">
            <v>180071102013375.03</v>
          </cell>
          <cell r="AP13">
            <v>180287743400816.88</v>
          </cell>
          <cell r="AQ13">
            <v>180133202312394.59</v>
          </cell>
        </row>
        <row r="14">
          <cell r="B14">
            <v>632349524829000</v>
          </cell>
          <cell r="C14">
            <v>802394051596500</v>
          </cell>
          <cell r="D14">
            <v>989453810711904.38</v>
          </cell>
          <cell r="E14">
            <v>1100119329888290.5</v>
          </cell>
          <cell r="F14">
            <v>1180538035690725.8</v>
          </cell>
          <cell r="G14">
            <v>1203206016106181.5</v>
          </cell>
          <cell r="H14">
            <v>1222969570258634</v>
          </cell>
          <cell r="I14">
            <v>1243584654113456.5</v>
          </cell>
          <cell r="J14">
            <v>1264318422433916.3</v>
          </cell>
          <cell r="K14">
            <v>1285170536791286.8</v>
          </cell>
          <cell r="L14">
            <v>1306140658980322.3</v>
          </cell>
          <cell r="M14">
            <v>1327228451019257.5</v>
          </cell>
          <cell r="N14">
            <v>1315854815923649.8</v>
          </cell>
          <cell r="O14">
            <v>1304393227696111.3</v>
          </cell>
          <cell r="P14">
            <v>1292843843344368.8</v>
          </cell>
          <cell r="Q14">
            <v>1281206819806972.8</v>
          </cell>
          <cell r="R14">
            <v>1269482313953290</v>
          </cell>
          <cell r="S14">
            <v>1247999114484575</v>
          </cell>
          <cell r="T14">
            <v>1226506820646786.3</v>
          </cell>
          <cell r="U14">
            <v>1205005446720226.8</v>
          </cell>
          <cell r="V14">
            <v>1183495006982516.8</v>
          </cell>
          <cell r="W14">
            <v>1161975515708592.3</v>
          </cell>
          <cell r="X14">
            <v>1132363833176686</v>
          </cell>
          <cell r="Y14">
            <v>1102739870449772.9</v>
          </cell>
          <cell r="Z14">
            <v>1073103647080405.1</v>
          </cell>
          <cell r="AA14">
            <v>1043455182617456.1</v>
          </cell>
          <cell r="AB14">
            <v>1013794496606116.6</v>
          </cell>
          <cell r="AC14">
            <v>990928871463998.75</v>
          </cell>
          <cell r="AD14">
            <v>968053789344957.13</v>
          </cell>
          <cell r="AE14">
            <v>945169265339405.13</v>
          </cell>
          <cell r="AF14">
            <v>922275314534913.75</v>
          </cell>
          <cell r="AG14">
            <v>899371952016211.5</v>
          </cell>
          <cell r="AH14">
            <v>885661933317566.5</v>
          </cell>
          <cell r="AI14">
            <v>871946193983442.88</v>
          </cell>
          <cell r="AJ14">
            <v>858224743092797.75</v>
          </cell>
          <cell r="AK14">
            <v>844497589722879.75</v>
          </cell>
          <cell r="AL14">
            <v>830764742949227.63</v>
          </cell>
          <cell r="AM14">
            <v>823987769595201.75</v>
          </cell>
          <cell r="AN14">
            <v>817207872493705.75</v>
          </cell>
          <cell r="AO14">
            <v>810425056186147.13</v>
          </cell>
          <cell r="AP14">
            <v>803639325213081.13</v>
          </cell>
          <cell r="AQ14">
            <v>796576258243516.38</v>
          </cell>
        </row>
        <row r="15">
          <cell r="B15">
            <v>485377608358500</v>
          </cell>
          <cell r="C15">
            <v>509597460174000</v>
          </cell>
          <cell r="D15">
            <v>603317785314405.63</v>
          </cell>
          <cell r="E15">
            <v>676006170456383.63</v>
          </cell>
          <cell r="F15">
            <v>744055548104132.25</v>
          </cell>
          <cell r="G15">
            <v>780150009672286.63</v>
          </cell>
          <cell r="H15">
            <v>815004515649274.75</v>
          </cell>
          <cell r="I15">
            <v>835544266837691.5</v>
          </cell>
          <cell r="J15">
            <v>856186465112943</v>
          </cell>
          <cell r="K15">
            <v>876930911191451.63</v>
          </cell>
          <cell r="L15">
            <v>897777405893297.75</v>
          </cell>
          <cell r="M15">
            <v>918725750142219.38</v>
          </cell>
          <cell r="N15">
            <v>921863349694724.88</v>
          </cell>
          <cell r="O15">
            <v>925004569453976.63</v>
          </cell>
          <cell r="P15">
            <v>928149403062226.13</v>
          </cell>
          <cell r="Q15">
            <v>931297844164140.38</v>
          </cell>
          <cell r="R15">
            <v>934449886406801.13</v>
          </cell>
          <cell r="S15">
            <v>923996182031542.13</v>
          </cell>
          <cell r="T15">
            <v>913538943929580.88</v>
          </cell>
          <cell r="U15">
            <v>903078175275109.75</v>
          </cell>
          <cell r="V15">
            <v>892613879241796</v>
          </cell>
          <cell r="W15">
            <v>882146059002781.25</v>
          </cell>
          <cell r="X15">
            <v>862387468074496</v>
          </cell>
          <cell r="Y15">
            <v>842622357795795</v>
          </cell>
          <cell r="Z15">
            <v>822850734103817.75</v>
          </cell>
          <cell r="AA15">
            <v>803072602934717.88</v>
          </cell>
          <cell r="AB15">
            <v>783287970223665.5</v>
          </cell>
          <cell r="AC15">
            <v>763496841904845</v>
          </cell>
          <cell r="AD15">
            <v>743699223911457.75</v>
          </cell>
          <cell r="AE15">
            <v>723895122175718.5</v>
          </cell>
          <cell r="AF15">
            <v>704084542628859</v>
          </cell>
          <cell r="AG15">
            <v>684267491201126</v>
          </cell>
          <cell r="AH15">
            <v>667101749717068.13</v>
          </cell>
          <cell r="AI15">
            <v>649930400513280</v>
          </cell>
          <cell r="AJ15">
            <v>632753448727875.38</v>
          </cell>
          <cell r="AK15">
            <v>615570899498114.63</v>
          </cell>
          <cell r="AL15">
            <v>598382757960405.25</v>
          </cell>
          <cell r="AM15">
            <v>580320470840055</v>
          </cell>
          <cell r="AN15">
            <v>562252324231696.19</v>
          </cell>
          <cell r="AO15">
            <v>544178323526712.38</v>
          </cell>
          <cell r="AP15">
            <v>526098474115590.25</v>
          </cell>
          <cell r="AQ15">
            <v>507841398182495.56</v>
          </cell>
        </row>
        <row r="16">
          <cell r="B16">
            <v>199039458898500.03</v>
          </cell>
          <cell r="C16">
            <v>184811441809500</v>
          </cell>
          <cell r="D16">
            <v>197260468095534.19</v>
          </cell>
          <cell r="E16">
            <v>235893461436185.13</v>
          </cell>
          <cell r="F16">
            <v>262820463001440.97</v>
          </cell>
          <cell r="G16">
            <v>280702168650556</v>
          </cell>
          <cell r="H16">
            <v>298189504063674.06</v>
          </cell>
          <cell r="I16">
            <v>312748910417607.25</v>
          </cell>
          <cell r="J16">
            <v>327218067603981.31</v>
          </cell>
          <cell r="K16">
            <v>341596303629219.81</v>
          </cell>
          <cell r="L16">
            <v>355882947372747.25</v>
          </cell>
          <cell r="M16">
            <v>370077328586988.63</v>
          </cell>
          <cell r="N16">
            <v>377510026898793</v>
          </cell>
          <cell r="O16">
            <v>384906287064932.69</v>
          </cell>
          <cell r="P16">
            <v>392265932380842.13</v>
          </cell>
          <cell r="Q16">
            <v>399588786295582.63</v>
          </cell>
          <cell r="R16">
            <v>406874672411842.13</v>
          </cell>
          <cell r="S16">
            <v>408557434216210.69</v>
          </cell>
          <cell r="T16">
            <v>410231867350656.31</v>
          </cell>
          <cell r="U16">
            <v>411897968712666.19</v>
          </cell>
          <cell r="V16">
            <v>413555735200952.75</v>
          </cell>
          <cell r="W16">
            <v>415205163715452.94</v>
          </cell>
          <cell r="X16">
            <v>413451454665504.44</v>
          </cell>
          <cell r="Y16">
            <v>411701148512873.56</v>
          </cell>
          <cell r="Z16">
            <v>409954246696445.75</v>
          </cell>
          <cell r="AA16">
            <v>408210750654568.19</v>
          </cell>
          <cell r="AB16">
            <v>406470661825049.25</v>
          </cell>
          <cell r="AC16">
            <v>400340777734531.69</v>
          </cell>
          <cell r="AD16">
            <v>394229658050368.13</v>
          </cell>
          <cell r="AE16">
            <v>388137310120456.63</v>
          </cell>
          <cell r="AF16">
            <v>382063741289856.44</v>
          </cell>
          <cell r="AG16">
            <v>376008958900785.13</v>
          </cell>
          <cell r="AH16">
            <v>366706871484586.13</v>
          </cell>
          <cell r="AI16">
            <v>357435115696459.13</v>
          </cell>
          <cell r="AJ16">
            <v>348193703297407.06</v>
          </cell>
          <cell r="AK16">
            <v>338982646043866.13</v>
          </cell>
          <cell r="AL16">
            <v>329801955687705.69</v>
          </cell>
          <cell r="AM16">
            <v>320637788541622.44</v>
          </cell>
          <cell r="AN16">
            <v>311504061196567.75</v>
          </cell>
          <cell r="AO16">
            <v>302400785409632.19</v>
          </cell>
          <cell r="AP16">
            <v>293327972933332.56</v>
          </cell>
          <cell r="AQ16">
            <v>284186413512524.69</v>
          </cell>
        </row>
        <row r="17">
          <cell r="B17">
            <v>223712096107500</v>
          </cell>
          <cell r="C17">
            <v>263112758815500</v>
          </cell>
          <cell r="D17">
            <v>316353337533298.19</v>
          </cell>
          <cell r="E17">
            <v>339392764790987.38</v>
          </cell>
          <cell r="F17">
            <v>352984626832449.19</v>
          </cell>
          <cell r="G17">
            <v>363493019537211.19</v>
          </cell>
          <cell r="H17">
            <v>376531847487727.69</v>
          </cell>
          <cell r="I17">
            <v>389131949927976.94</v>
          </cell>
          <cell r="J17">
            <v>400089951333123.5</v>
          </cell>
          <cell r="K17">
            <v>409483310008098.5</v>
          </cell>
          <cell r="L17">
            <v>417431101590335.63</v>
          </cell>
          <cell r="M17">
            <v>424087692854399.06</v>
          </cell>
          <cell r="N17">
            <v>429890023147790.44</v>
          </cell>
          <cell r="O17">
            <v>434742236278650.38</v>
          </cell>
          <cell r="P17">
            <v>438808717911056.44</v>
          </cell>
          <cell r="Q17">
            <v>442266224628795.69</v>
          </cell>
          <cell r="R17">
            <v>445300914276591.94</v>
          </cell>
          <cell r="S17">
            <v>448235242273221.19</v>
          </cell>
          <cell r="T17">
            <v>450946994506607.94</v>
          </cell>
          <cell r="U17">
            <v>453440397361949.88</v>
          </cell>
          <cell r="V17">
            <v>455720188263388.56</v>
          </cell>
          <cell r="W17">
            <v>457791584541694.94</v>
          </cell>
          <cell r="X17">
            <v>459660251870417.06</v>
          </cell>
          <cell r="Y17">
            <v>461332272491746.56</v>
          </cell>
          <cell r="Z17">
            <v>462814113442763.5</v>
          </cell>
          <cell r="AA17">
            <v>464112594981054</v>
          </cell>
          <cell r="AB17">
            <v>465234859396446.69</v>
          </cell>
          <cell r="AC17">
            <v>466188340382743.75</v>
          </cell>
          <cell r="AD17">
            <v>466980733130090.69</v>
          </cell>
          <cell r="AE17">
            <v>467619965285254.38</v>
          </cell>
          <cell r="AF17">
            <v>468114168913516.88</v>
          </cell>
          <cell r="AG17">
            <v>468471653582540.44</v>
          </cell>
          <cell r="AH17">
            <v>468700880675308.69</v>
          </cell>
          <cell r="AI17">
            <v>468810439026400.81</v>
          </cell>
          <cell r="AJ17">
            <v>468809021963349.13</v>
          </cell>
          <cell r="AK17">
            <v>468705405822936.38</v>
          </cell>
          <cell r="AL17">
            <v>468508430000902.63</v>
          </cell>
          <cell r="AM17">
            <v>468226978582917.44</v>
          </cell>
          <cell r="AN17">
            <v>467869963594646.81</v>
          </cell>
          <cell r="AO17">
            <v>467446309899651.63</v>
          </cell>
          <cell r="AP17">
            <v>466964941765477.06</v>
          </cell>
          <cell r="AQ17">
            <v>466279033290676</v>
          </cell>
        </row>
        <row r="18">
          <cell r="B18">
            <v>125363219685000</v>
          </cell>
          <cell r="C18">
            <v>102873952533000</v>
          </cell>
          <cell r="D18">
            <v>104443200568768.03</v>
          </cell>
          <cell r="E18">
            <v>134651852716604.58</v>
          </cell>
          <cell r="F18">
            <v>138880120258771.22</v>
          </cell>
          <cell r="G18">
            <v>146400251743668.22</v>
          </cell>
          <cell r="H18">
            <v>155821209353784.5</v>
          </cell>
          <cell r="I18">
            <v>163862492828854.69</v>
          </cell>
          <cell r="J18">
            <v>170075739571989.13</v>
          </cell>
          <cell r="K18">
            <v>174954626802691.78</v>
          </cell>
          <cell r="L18">
            <v>179118659567368.06</v>
          </cell>
          <cell r="M18">
            <v>183274407318217.88</v>
          </cell>
          <cell r="N18">
            <v>188706061315526.03</v>
          </cell>
          <cell r="O18">
            <v>194795456247998.22</v>
          </cell>
          <cell r="P18">
            <v>201372222792392.22</v>
          </cell>
          <cell r="Q18">
            <v>208241130749079.63</v>
          </cell>
          <cell r="R18">
            <v>215177942525316.41</v>
          </cell>
          <cell r="S18">
            <v>222815216354629.91</v>
          </cell>
          <cell r="T18">
            <v>230303949096941.59</v>
          </cell>
          <cell r="U18">
            <v>237614512553515.5</v>
          </cell>
          <cell r="V18">
            <v>244717638381767.56</v>
          </cell>
          <cell r="W18">
            <v>251584626984227.31</v>
          </cell>
          <cell r="X18">
            <v>258187553119723.19</v>
          </cell>
          <cell r="Y18">
            <v>264499466059881.34</v>
          </cell>
          <cell r="Z18">
            <v>270494582189975.63</v>
          </cell>
          <cell r="AA18">
            <v>276148468058501.84</v>
          </cell>
          <cell r="AB18">
            <v>281438212012293.53</v>
          </cell>
          <cell r="AC18">
            <v>286342582711011.56</v>
          </cell>
          <cell r="AD18">
            <v>290842172993304.5</v>
          </cell>
          <cell r="AE18">
            <v>294919527763577.94</v>
          </cell>
          <cell r="AF18">
            <v>298559254779471.63</v>
          </cell>
          <cell r="AG18">
            <v>301748117442107.63</v>
          </cell>
          <cell r="AH18">
            <v>304475108920101.56</v>
          </cell>
          <cell r="AI18">
            <v>306731507170369.56</v>
          </cell>
          <cell r="AJ18">
            <v>308510910650226.75</v>
          </cell>
          <cell r="AK18">
            <v>309809254742485.63</v>
          </cell>
          <cell r="AL18">
            <v>310624809134969.31</v>
          </cell>
          <cell r="AM18">
            <v>310958156604864.81</v>
          </cell>
          <cell r="AN18">
            <v>310812153854016.25</v>
          </cell>
          <cell r="AO18">
            <v>310191875221112.69</v>
          </cell>
          <cell r="AP18">
            <v>309104540258928.06</v>
          </cell>
          <cell r="AQ18">
            <v>307456735347259</v>
          </cell>
        </row>
        <row r="19">
          <cell r="B19">
            <v>42250710645000</v>
          </cell>
          <cell r="C19">
            <v>55098148957500</v>
          </cell>
          <cell r="D19">
            <v>59038098987065.156</v>
          </cell>
          <cell r="E19">
            <v>75986745401180.375</v>
          </cell>
          <cell r="F19">
            <v>79116247797006.203</v>
          </cell>
          <cell r="G19">
            <v>84516684513833.531</v>
          </cell>
          <cell r="H19">
            <v>91536284638974.578</v>
          </cell>
          <cell r="I19">
            <v>98159241140028.406</v>
          </cell>
          <cell r="J19">
            <v>103911359779273.91</v>
          </cell>
          <cell r="K19">
            <v>108901899662892.39</v>
          </cell>
          <cell r="L19">
            <v>113317015710100.95</v>
          </cell>
          <cell r="M19">
            <v>117405565932175.23</v>
          </cell>
          <cell r="N19">
            <v>121732127474898.08</v>
          </cell>
          <cell r="O19">
            <v>126032897720033.17</v>
          </cell>
          <cell r="P19">
            <v>130283634718209.8</v>
          </cell>
          <cell r="Q19">
            <v>134458447861198.06</v>
          </cell>
          <cell r="R19">
            <v>138529940334748.66</v>
          </cell>
          <cell r="S19">
            <v>142874022353477.09</v>
          </cell>
          <cell r="T19">
            <v>147098596764781.38</v>
          </cell>
          <cell r="U19">
            <v>151189231959953.25</v>
          </cell>
          <cell r="V19">
            <v>155132111360686.91</v>
          </cell>
          <cell r="W19">
            <v>158914122985003.47</v>
          </cell>
          <cell r="X19">
            <v>162522941839031.28</v>
          </cell>
          <cell r="Y19">
            <v>165947104409769.38</v>
          </cell>
          <cell r="Z19">
            <v>169176074652047.5</v>
          </cell>
          <cell r="AA19">
            <v>172200300985881.16</v>
          </cell>
          <cell r="AB19">
            <v>175011263945953.03</v>
          </cell>
          <cell r="AC19">
            <v>177601514250990.19</v>
          </cell>
          <cell r="AD19">
            <v>179964701185174.13</v>
          </cell>
          <cell r="AE19">
            <v>182095591304531.53</v>
          </cell>
          <cell r="AF19">
            <v>183990077596704.09</v>
          </cell>
          <cell r="AG19">
            <v>185645179331012.34</v>
          </cell>
          <cell r="AH19">
            <v>187059032935955.5</v>
          </cell>
          <cell r="AI19">
            <v>188230874332036.44</v>
          </cell>
          <cell r="AJ19">
            <v>189161013228227.34</v>
          </cell>
          <cell r="AK19">
            <v>189850799959776.34</v>
          </cell>
          <cell r="AL19">
            <v>190302585502988.41</v>
          </cell>
          <cell r="AM19">
            <v>190519675348874.03</v>
          </cell>
          <cell r="AN19">
            <v>190506277952185.97</v>
          </cell>
          <cell r="AO19">
            <v>190267448495530.91</v>
          </cell>
          <cell r="AP19">
            <v>189809028720355.97</v>
          </cell>
          <cell r="AQ19">
            <v>189074432465180.03</v>
          </cell>
        </row>
        <row r="20">
          <cell r="B20">
            <v>17978080164000</v>
          </cell>
          <cell r="C20">
            <v>16983618993000</v>
          </cell>
          <cell r="D20">
            <v>13644279591829.564</v>
          </cell>
          <cell r="E20">
            <v>21041006955452.598</v>
          </cell>
          <cell r="F20">
            <v>20988224773752.875</v>
          </cell>
          <cell r="G20">
            <v>21229152016091.051</v>
          </cell>
          <cell r="H20">
            <v>21654494189368.508</v>
          </cell>
          <cell r="I20">
            <v>22056841221865.18</v>
          </cell>
          <cell r="J20">
            <v>22419836673738.32</v>
          </cell>
          <cell r="K20">
            <v>22729862345890.957</v>
          </cell>
          <cell r="L20">
            <v>22973847952273.055</v>
          </cell>
          <cell r="M20">
            <v>23139512476492.129</v>
          </cell>
          <cell r="N20">
            <v>23384385024478.559</v>
          </cell>
          <cell r="O20">
            <v>23552544971928.164</v>
          </cell>
          <cell r="P20">
            <v>23648877589116.473</v>
          </cell>
          <cell r="Q20">
            <v>23679078151998.199</v>
          </cell>
          <cell r="R20">
            <v>23649473640174.406</v>
          </cell>
          <cell r="S20">
            <v>23752165120875.324</v>
          </cell>
          <cell r="T20">
            <v>23809253117570.469</v>
          </cell>
          <cell r="U20">
            <v>23823348531162.301</v>
          </cell>
          <cell r="V20">
            <v>23797258370251.5</v>
          </cell>
          <cell r="W20">
            <v>23733931007771.555</v>
          </cell>
          <cell r="X20">
            <v>23636405138462.609</v>
          </cell>
          <cell r="Y20">
            <v>23507763182577.641</v>
          </cell>
          <cell r="Z20">
            <v>23351089669684.824</v>
          </cell>
          <cell r="AA20">
            <v>23169434938216.992</v>
          </cell>
          <cell r="AB20">
            <v>22965784306579.465</v>
          </cell>
          <cell r="AC20">
            <v>22743032713679.68</v>
          </cell>
          <cell r="AD20">
            <v>22503964692810.125</v>
          </cell>
          <cell r="AE20">
            <v>22251239433758.594</v>
          </cell>
          <cell r="AF20">
            <v>21987380603641.531</v>
          </cell>
          <cell r="AG20">
            <v>21714770536196.211</v>
          </cell>
          <cell r="AH20">
            <v>21435648360416.703</v>
          </cell>
          <cell r="AI20">
            <v>21152111620307.684</v>
          </cell>
          <cell r="AJ20">
            <v>20866120935719.93</v>
          </cell>
          <cell r="AK20">
            <v>20579507267155.086</v>
          </cell>
          <cell r="AL20">
            <v>20293981372550.066</v>
          </cell>
          <cell r="AM20">
            <v>20011145078946.023</v>
          </cell>
          <cell r="AN20">
            <v>19732504034409.926</v>
          </cell>
          <cell r="AO20">
            <v>19459481653660.984</v>
          </cell>
          <cell r="AP20">
            <v>19193434022933.395</v>
          </cell>
          <cell r="AQ20">
            <v>18929343158480.273</v>
          </cell>
        </row>
        <row r="21">
          <cell r="B21">
            <v>94468255596000</v>
          </cell>
          <cell r="C21">
            <v>102360055000500</v>
          </cell>
          <cell r="D21">
            <v>104762023537983.53</v>
          </cell>
          <cell r="E21">
            <v>120236525880930.27</v>
          </cell>
          <cell r="F21">
            <v>132591000726815.33</v>
          </cell>
          <cell r="G21">
            <v>140560764960541.66</v>
          </cell>
          <cell r="H21">
            <v>148452710225945.72</v>
          </cell>
          <cell r="I21">
            <v>152392370174288</v>
          </cell>
          <cell r="J21">
            <v>156305793999248.44</v>
          </cell>
          <cell r="K21">
            <v>160192996674819.41</v>
          </cell>
          <cell r="L21">
            <v>164053993182440.69</v>
          </cell>
          <cell r="M21">
            <v>167888798510999.41</v>
          </cell>
          <cell r="N21">
            <v>169691220609960.44</v>
          </cell>
          <cell r="O21">
            <v>171484463347620.25</v>
          </cell>
          <cell r="P21">
            <v>173268530204780.66</v>
          </cell>
          <cell r="Q21">
            <v>175043424663457.88</v>
          </cell>
          <cell r="R21">
            <v>176809150206882.69</v>
          </cell>
          <cell r="S21">
            <v>176058387259345.91</v>
          </cell>
          <cell r="T21">
            <v>175308954498054.59</v>
          </cell>
          <cell r="U21">
            <v>174560851710287.69</v>
          </cell>
          <cell r="V21">
            <v>173814078683315.84</v>
          </cell>
          <cell r="W21">
            <v>173068635204401.63</v>
          </cell>
          <cell r="X21">
            <v>172324521060799.09</v>
          </cell>
          <cell r="Y21">
            <v>171581736039754.19</v>
          </cell>
          <cell r="Z21">
            <v>170840279928504.56</v>
          </cell>
          <cell r="AA21">
            <v>170100152514279.72</v>
          </cell>
          <cell r="AB21">
            <v>169361353584300.78</v>
          </cell>
          <cell r="AC21">
            <v>168623882925780.63</v>
          </cell>
          <cell r="AD21">
            <v>167887740325923.84</v>
          </cell>
          <cell r="AE21">
            <v>167152925571926.94</v>
          </cell>
          <cell r="AF21">
            <v>166419438450978.16</v>
          </cell>
          <cell r="AG21">
            <v>165687278750257.16</v>
          </cell>
          <cell r="AH21">
            <v>165271649657426.66</v>
          </cell>
          <cell r="AI21">
            <v>164856564812202.19</v>
          </cell>
          <cell r="AJ21">
            <v>164442024129835.72</v>
          </cell>
          <cell r="AK21">
            <v>164028027525575.88</v>
          </cell>
          <cell r="AL21">
            <v>163614574914668.25</v>
          </cell>
          <cell r="AM21">
            <v>163097250558987.88</v>
          </cell>
          <cell r="AN21">
            <v>162580730800454.75</v>
          </cell>
          <cell r="AO21">
            <v>162065015511599.22</v>
          </cell>
          <cell r="AP21">
            <v>161550104564946.59</v>
          </cell>
          <cell r="AQ21">
            <v>160981482686100.25</v>
          </cell>
        </row>
        <row r="22">
          <cell r="B22">
            <v>78067979748000</v>
          </cell>
          <cell r="C22">
            <v>80020790371500</v>
          </cell>
          <cell r="D22">
            <v>87414264204817.688</v>
          </cell>
          <cell r="E22">
            <v>94232589496195.078</v>
          </cell>
          <cell r="F22">
            <v>97056706082298.594</v>
          </cell>
          <cell r="G22">
            <v>98772375857604.766</v>
          </cell>
          <cell r="H22">
            <v>100977730957873.58</v>
          </cell>
          <cell r="I22">
            <v>103170114549042.98</v>
          </cell>
          <cell r="J22">
            <v>105070928261405.84</v>
          </cell>
          <cell r="K22">
            <v>106667259479372.02</v>
          </cell>
          <cell r="L22">
            <v>107949137728987.59</v>
          </cell>
          <cell r="M22">
            <v>108909622008956.36</v>
          </cell>
          <cell r="N22">
            <v>109637271557218.11</v>
          </cell>
          <cell r="O22">
            <v>110084975777952.2</v>
          </cell>
          <cell r="P22">
            <v>110299549050979.83</v>
          </cell>
          <cell r="Q22">
            <v>110329910527319.63</v>
          </cell>
          <cell r="R22">
            <v>110226147411419.67</v>
          </cell>
          <cell r="S22">
            <v>110119733885062.36</v>
          </cell>
          <cell r="T22">
            <v>109936539392595.03</v>
          </cell>
          <cell r="U22">
            <v>109683435153038.86</v>
          </cell>
          <cell r="V22">
            <v>109367374540975.98</v>
          </cell>
          <cell r="W22">
            <v>108995352416129.47</v>
          </cell>
          <cell r="X22">
            <v>108574368549890.64</v>
          </cell>
          <cell r="Y22">
            <v>108111395279158.92</v>
          </cell>
          <cell r="Z22">
            <v>107613349459364.88</v>
          </cell>
          <cell r="AA22">
            <v>107087068737000.38</v>
          </cell>
          <cell r="AB22">
            <v>106539292117661.92</v>
          </cell>
          <cell r="AC22">
            <v>105976644768645.09</v>
          </cell>
          <cell r="AD22">
            <v>105405626965535.53</v>
          </cell>
          <cell r="AE22">
            <v>104832607069861.22</v>
          </cell>
          <cell r="AF22">
            <v>104263818409553.03</v>
          </cell>
          <cell r="AG22">
            <v>103705359925387.42</v>
          </cell>
          <cell r="AH22">
            <v>103163200444491</v>
          </cell>
          <cell r="AI22">
            <v>102643186446014.28</v>
          </cell>
          <cell r="AJ22">
            <v>102151053193946.61</v>
          </cell>
          <cell r="AK22">
            <v>101692439127407.59</v>
          </cell>
          <cell r="AL22">
            <v>101272903419387.25</v>
          </cell>
          <cell r="AM22">
            <v>100897946640594.98</v>
          </cell>
          <cell r="AN22">
            <v>100573034495708.42</v>
          </cell>
          <cell r="AO22">
            <v>100303624634817.98</v>
          </cell>
          <cell r="AP22">
            <v>100095196583357.03</v>
          </cell>
          <cell r="AQ22">
            <v>99919885424808.219</v>
          </cell>
        </row>
        <row r="23">
          <cell r="B23">
            <v>77065185103500</v>
          </cell>
          <cell r="C23">
            <v>78481875598500.016</v>
          </cell>
          <cell r="D23">
            <v>93766666787712.203</v>
          </cell>
          <cell r="E23">
            <v>101859584109093.2</v>
          </cell>
          <cell r="F23">
            <v>106500466034223.72</v>
          </cell>
          <cell r="G23">
            <v>109985224021606.02</v>
          </cell>
          <cell r="H23">
            <v>114246660881798.05</v>
          </cell>
          <cell r="I23">
            <v>118353475096334.06</v>
          </cell>
          <cell r="J23">
            <v>121934874315812.7</v>
          </cell>
          <cell r="K23">
            <v>125019992935178.28</v>
          </cell>
          <cell r="L23">
            <v>127652936934589.91</v>
          </cell>
          <cell r="M23">
            <v>129890428560313.61</v>
          </cell>
          <cell r="N23">
            <v>131859860903029.09</v>
          </cell>
          <cell r="O23">
            <v>133548008560351.52</v>
          </cell>
          <cell r="P23">
            <v>135004237921461.77</v>
          </cell>
          <cell r="Q23">
            <v>136281972930050.25</v>
          </cell>
          <cell r="R23">
            <v>137437830307902.3</v>
          </cell>
          <cell r="S23">
            <v>138523301726278.63</v>
          </cell>
          <cell r="T23">
            <v>139546647090642.73</v>
          </cell>
          <cell r="U23">
            <v>140507944975772.31</v>
          </cell>
          <cell r="V23">
            <v>141407400549878.41</v>
          </cell>
          <cell r="W23">
            <v>142245341859607.34</v>
          </cell>
          <cell r="X23">
            <v>143022215822026.88</v>
          </cell>
          <cell r="Y23">
            <v>143738583953656.56</v>
          </cell>
          <cell r="Z23">
            <v>144395117866689.22</v>
          </cell>
          <cell r="AA23">
            <v>144992594562433.22</v>
          </cell>
          <cell r="AB23">
            <v>145531891551730.75</v>
          </cell>
          <cell r="AC23">
            <v>146013981831629.28</v>
          </cell>
          <cell r="AD23">
            <v>146439928747000.13</v>
          </cell>
          <cell r="AE23">
            <v>146810880765026.31</v>
          </cell>
          <cell r="AF23">
            <v>147128066189616.44</v>
          </cell>
          <cell r="AG23">
            <v>147392787841815.19</v>
          </cell>
          <cell r="AH23">
            <v>147606417731182.59</v>
          </cell>
          <cell r="AI23">
            <v>147770391741950.34</v>
          </cell>
          <cell r="AJ23">
            <v>147886204356515.34</v>
          </cell>
          <cell r="AK23">
            <v>147955403437527.72</v>
          </cell>
          <cell r="AL23">
            <v>147979585088484.59</v>
          </cell>
          <cell r="AM23">
            <v>147960388611357.34</v>
          </cell>
          <cell r="AN23">
            <v>147899491578381.22</v>
          </cell>
          <cell r="AO23">
            <v>147798605033717.81</v>
          </cell>
          <cell r="AP23">
            <v>147659468839299.09</v>
          </cell>
          <cell r="AQ23">
            <v>147434348134056.41</v>
          </cell>
        </row>
        <row r="24">
          <cell r="B24">
            <v>99354448891500</v>
          </cell>
          <cell r="C24">
            <v>150724757370000</v>
          </cell>
          <cell r="D24">
            <v>185350474077287.78</v>
          </cell>
          <cell r="E24">
            <v>201527940183442.41</v>
          </cell>
          <cell r="F24">
            <v>212412460545177.38</v>
          </cell>
          <cell r="G24">
            <v>235975608503028.97</v>
          </cell>
          <cell r="H24">
            <v>267300998530979.38</v>
          </cell>
          <cell r="I24">
            <v>298545845900539.31</v>
          </cell>
          <cell r="J24">
            <v>327488141717898.31</v>
          </cell>
          <cell r="K24">
            <v>354318752725582.5</v>
          </cell>
          <cell r="L24">
            <v>379705274337976.5</v>
          </cell>
          <cell r="M24">
            <v>404755698018676.88</v>
          </cell>
          <cell r="N24">
            <v>430722347621898.19</v>
          </cell>
          <cell r="O24">
            <v>457833100581723.63</v>
          </cell>
          <cell r="P24">
            <v>486064428162123.75</v>
          </cell>
          <cell r="Q24">
            <v>515381561248337.75</v>
          </cell>
          <cell r="R24">
            <v>545737529118802.25</v>
          </cell>
          <cell r="S24">
            <v>577102138812225.25</v>
          </cell>
          <cell r="T24">
            <v>609372513751289.13</v>
          </cell>
          <cell r="U24">
            <v>642457181374889.38</v>
          </cell>
          <cell r="V24">
            <v>676248789234971.88</v>
          </cell>
          <cell r="W24">
            <v>710623613558501</v>
          </cell>
          <cell r="X24">
            <v>745441258850294.25</v>
          </cell>
          <cell r="Y24">
            <v>780544579184545.75</v>
          </cell>
          <cell r="Z24">
            <v>815759851023994.63</v>
          </cell>
          <cell r="AA24">
            <v>850897225667634</v>
          </cell>
          <cell r="AB24">
            <v>885751486668816.13</v>
          </cell>
          <cell r="AC24">
            <v>920103133715007.75</v>
          </cell>
          <cell r="AD24">
            <v>953719809475507</v>
          </cell>
          <cell r="AE24">
            <v>986358079796025.88</v>
          </cell>
          <cell r="AF24">
            <v>1017765570381020.1</v>
          </cell>
          <cell r="AG24">
            <v>1047683454834127.3</v>
          </cell>
          <cell r="AH24">
            <v>1075849279751663</v>
          </cell>
          <cell r="AI24">
            <v>1102000102664155.8</v>
          </cell>
          <cell r="AJ24">
            <v>1125875908229099.5</v>
          </cell>
          <cell r="AK24">
            <v>1147223257478782.8</v>
          </cell>
          <cell r="AL24">
            <v>1165799114450149.8</v>
          </cell>
          <cell r="AM24">
            <v>1181374784538484.3</v>
          </cell>
          <cell r="AN24">
            <v>1193739889820470</v>
          </cell>
          <cell r="AO24">
            <v>1202706298797223.3</v>
          </cell>
          <cell r="AP24">
            <v>1208111921925523.5</v>
          </cell>
          <cell r="AQ24">
            <v>1209698318563172.5</v>
          </cell>
        </row>
        <row r="25">
          <cell r="B25">
            <v>69726172774500</v>
          </cell>
          <cell r="C25">
            <v>58589874354000.008</v>
          </cell>
          <cell r="D25">
            <v>83068442386665.125</v>
          </cell>
          <cell r="E25">
            <v>106736923047421.83</v>
          </cell>
          <cell r="F25">
            <v>114812182767213.3</v>
          </cell>
          <cell r="G25">
            <v>126156445518422.53</v>
          </cell>
          <cell r="H25">
            <v>141242150479637.03</v>
          </cell>
          <cell r="I25">
            <v>156890291887110.78</v>
          </cell>
          <cell r="J25">
            <v>172002543608478.06</v>
          </cell>
          <cell r="K25">
            <v>186625869813916.84</v>
          </cell>
          <cell r="L25">
            <v>200954976501130.91</v>
          </cell>
          <cell r="M25">
            <v>215331687089826.97</v>
          </cell>
          <cell r="N25">
            <v>230098750078263.97</v>
          </cell>
          <cell r="O25">
            <v>245417042372681.53</v>
          </cell>
          <cell r="P25">
            <v>261329185670827.03</v>
          </cell>
          <cell r="Q25">
            <v>277889761369185.31</v>
          </cell>
          <cell r="R25">
            <v>295166725899134.13</v>
          </cell>
          <cell r="S25">
            <v>313019002517851.5</v>
          </cell>
          <cell r="T25">
            <v>331621034548354.88</v>
          </cell>
          <cell r="U25">
            <v>350937637163965.13</v>
          </cell>
          <cell r="V25">
            <v>370922068306234.88</v>
          </cell>
          <cell r="W25">
            <v>391515061120044.38</v>
          </cell>
          <cell r="X25">
            <v>412643945785260.94</v>
          </cell>
          <cell r="Y25">
            <v>434221897053689.69</v>
          </cell>
          <cell r="Z25">
            <v>456147346729808.19</v>
          </cell>
          <cell r="AA25">
            <v>478303602462250.81</v>
          </cell>
          <cell r="AB25">
            <v>500558715288245.88</v>
          </cell>
          <cell r="AC25">
            <v>522765638137480.69</v>
          </cell>
          <cell r="AD25">
            <v>544762715704328.56</v>
          </cell>
          <cell r="AE25">
            <v>566374542508722.5</v>
          </cell>
          <cell r="AF25">
            <v>587413220395836.88</v>
          </cell>
          <cell r="AG25">
            <v>607680039040309.63</v>
          </cell>
          <cell r="AH25">
            <v>626967593166252.88</v>
          </cell>
          <cell r="AI25">
            <v>645062338210379.13</v>
          </cell>
          <cell r="AJ25">
            <v>661747572195973.38</v>
          </cell>
          <cell r="AK25">
            <v>676806815931537.75</v>
          </cell>
          <cell r="AL25">
            <v>690027546716882.5</v>
          </cell>
          <cell r="AM25">
            <v>701205223086247.25</v>
          </cell>
          <cell r="AN25">
            <v>710147520429030.13</v>
          </cell>
          <cell r="AO25">
            <v>716678680404854.75</v>
          </cell>
          <cell r="AP25">
            <v>720643861800161.25</v>
          </cell>
          <cell r="AQ25">
            <v>721672328276213.75</v>
          </cell>
        </row>
        <row r="26">
          <cell r="B26">
            <v>9975167779500</v>
          </cell>
          <cell r="C26">
            <v>9361268565000</v>
          </cell>
          <cell r="D26">
            <v>9908511432665.7773</v>
          </cell>
          <cell r="E26">
            <v>10320805221881.838</v>
          </cell>
          <cell r="F26">
            <v>11213700034407.953</v>
          </cell>
          <cell r="G26">
            <v>11760923991683.598</v>
          </cell>
          <cell r="H26">
            <v>12217102534420.783</v>
          </cell>
          <cell r="I26">
            <v>12843904457568.572</v>
          </cell>
          <cell r="J26">
            <v>13379985269330.17</v>
          </cell>
          <cell r="K26">
            <v>13901613770126.939</v>
          </cell>
          <cell r="L26">
            <v>14406761740157.176</v>
          </cell>
          <cell r="M26">
            <v>14977274955002.584</v>
          </cell>
          <cell r="N26">
            <v>15364859492245.211</v>
          </cell>
          <cell r="O26">
            <v>15815074069339.188</v>
          </cell>
          <cell r="P26">
            <v>16243070592211.906</v>
          </cell>
          <cell r="Q26">
            <v>16647915289445.141</v>
          </cell>
          <cell r="R26">
            <v>16993724603725.811</v>
          </cell>
          <cell r="S26">
            <v>17388894699742.508</v>
          </cell>
          <cell r="T26">
            <v>17724492949286.898</v>
          </cell>
          <cell r="U26">
            <v>18035702150602.715</v>
          </cell>
          <cell r="V26">
            <v>18322732513704.504</v>
          </cell>
          <cell r="W26">
            <v>18586000364429.203</v>
          </cell>
          <cell r="X26">
            <v>18826115302133.141</v>
          </cell>
          <cell r="Y26">
            <v>19043866160532.398</v>
          </cell>
          <cell r="Z26">
            <v>19240206141606.398</v>
          </cell>
          <cell r="AA26">
            <v>19416237477530.309</v>
          </cell>
          <cell r="AB26">
            <v>19573195954781.973</v>
          </cell>
          <cell r="AC26">
            <v>19712435609239.121</v>
          </cell>
          <cell r="AD26">
            <v>19835413872547.961</v>
          </cell>
          <cell r="AE26">
            <v>19943677419569.855</v>
          </cell>
          <cell r="AF26">
            <v>20038848935458.656</v>
          </cell>
          <cell r="AG26">
            <v>20122614989947.359</v>
          </cell>
          <cell r="AH26">
            <v>20196715176651.297</v>
          </cell>
          <cell r="AI26">
            <v>20262932647434.336</v>
          </cell>
          <cell r="AJ26">
            <v>20323086146791.523</v>
          </cell>
          <cell r="AK26">
            <v>20379023629326.035</v>
          </cell>
          <cell r="AL26">
            <v>20432617525167.516</v>
          </cell>
          <cell r="AM26">
            <v>20485761703922.316</v>
          </cell>
          <cell r="AN26">
            <v>20540370177714.25</v>
          </cell>
          <cell r="AO26">
            <v>20598377578257.832</v>
          </cell>
          <cell r="AP26">
            <v>20661741441845.77</v>
          </cell>
          <cell r="AQ26">
            <v>20724209928676.215</v>
          </cell>
        </row>
      </sheetData>
      <sheetData sheetId="47">
        <row r="2">
          <cell r="B2">
            <v>456171561565499.94</v>
          </cell>
          <cell r="C2">
            <v>485499832636500</v>
          </cell>
          <cell r="D2">
            <v>509413140776125.38</v>
          </cell>
          <cell r="E2">
            <v>516619084686057.38</v>
          </cell>
          <cell r="F2">
            <v>555812592281842.44</v>
          </cell>
          <cell r="G2">
            <v>583964811340141.25</v>
          </cell>
          <cell r="H2">
            <v>600084742728089.75</v>
          </cell>
          <cell r="I2">
            <v>639894151595463.25</v>
          </cell>
          <cell r="J2">
            <v>667504896840873.25</v>
          </cell>
          <cell r="K2">
            <v>694362476524719</v>
          </cell>
          <cell r="L2">
            <v>720353719569934.5</v>
          </cell>
          <cell r="M2">
            <v>757933837155245.63</v>
          </cell>
          <cell r="N2">
            <v>769120866869762.13</v>
          </cell>
          <cell r="O2">
            <v>791715187123111.25</v>
          </cell>
          <cell r="P2">
            <v>813094225543767.13</v>
          </cell>
          <cell r="Q2">
            <v>833206394365867.75</v>
          </cell>
          <cell r="R2">
            <v>846773656005657.75</v>
          </cell>
          <cell r="S2">
            <v>869093694066177.88</v>
          </cell>
          <cell r="T2">
            <v>884818217064915.75</v>
          </cell>
          <cell r="U2">
            <v>899189218742560</v>
          </cell>
          <cell r="V2">
            <v>912220863592558.63</v>
          </cell>
          <cell r="W2">
            <v>923938533936190.38</v>
          </cell>
          <cell r="X2">
            <v>934378043522055.13</v>
          </cell>
          <cell r="Y2">
            <v>943584784898330.13</v>
          </cell>
          <cell r="Z2">
            <v>951612832476592.25</v>
          </cell>
          <cell r="AA2">
            <v>958524022160069</v>
          </cell>
          <cell r="AB2">
            <v>964387027010028.13</v>
          </cell>
          <cell r="AC2">
            <v>969276446756682.38</v>
          </cell>
          <cell r="AD2">
            <v>973271927108453.63</v>
          </cell>
          <cell r="AE2">
            <v>976457322854135.25</v>
          </cell>
          <cell r="AF2">
            <v>978919916758153.88</v>
          </cell>
          <cell r="AG2">
            <v>980749704284253.88</v>
          </cell>
          <cell r="AH2">
            <v>982038752302486</v>
          </cell>
          <cell r="AI2">
            <v>982880638185648.25</v>
          </cell>
          <cell r="AJ2">
            <v>983369974121583.25</v>
          </cell>
          <cell r="AK2">
            <v>983602020086811.38</v>
          </cell>
          <cell r="AL2">
            <v>983672387766460.25</v>
          </cell>
          <cell r="AM2">
            <v>983676836780743.75</v>
          </cell>
          <cell r="AN2">
            <v>983711163899070.75</v>
          </cell>
          <cell r="AO2">
            <v>983871185494516.38</v>
          </cell>
          <cell r="AP2">
            <v>984252813316533</v>
          </cell>
          <cell r="AQ2">
            <v>984722312591499</v>
          </cell>
        </row>
        <row r="3">
          <cell r="B3">
            <v>350343689466391.31</v>
          </cell>
          <cell r="C3">
            <v>310098673153218.81</v>
          </cell>
          <cell r="D3">
            <v>335097669723487.81</v>
          </cell>
          <cell r="E3">
            <v>351330948976986.5</v>
          </cell>
          <cell r="F3">
            <v>384811740814107.69</v>
          </cell>
          <cell r="G3">
            <v>404774538730163.31</v>
          </cell>
          <cell r="H3">
            <v>424725187797922.44</v>
          </cell>
          <cell r="I3">
            <v>432393038692793.81</v>
          </cell>
          <cell r="J3">
            <v>440083931535853.5</v>
          </cell>
          <cell r="K3">
            <v>447797841363661.94</v>
          </cell>
          <cell r="L3">
            <v>455534743212779.5</v>
          </cell>
          <cell r="M3">
            <v>463294612119766.38</v>
          </cell>
          <cell r="N3">
            <v>466476004437093.13</v>
          </cell>
          <cell r="O3">
            <v>469663426717366.13</v>
          </cell>
          <cell r="P3">
            <v>472856874554916</v>
          </cell>
          <cell r="Q3">
            <v>476056343544073.13</v>
          </cell>
          <cell r="R3">
            <v>479261829279168.06</v>
          </cell>
          <cell r="S3">
            <v>475213140720008.38</v>
          </cell>
          <cell r="T3">
            <v>471157953663570.19</v>
          </cell>
          <cell r="U3">
            <v>467096269516860.75</v>
          </cell>
          <cell r="V3">
            <v>463028089686887.19</v>
          </cell>
          <cell r="W3">
            <v>458953415580656.69</v>
          </cell>
          <cell r="X3">
            <v>452222507351165.75</v>
          </cell>
          <cell r="Y3">
            <v>445481242047836.75</v>
          </cell>
          <cell r="Z3">
            <v>438729621921881.06</v>
          </cell>
          <cell r="AA3">
            <v>431967649224510.38</v>
          </cell>
          <cell r="AB3">
            <v>425195326206936.06</v>
          </cell>
          <cell r="AC3">
            <v>418412655120369.75</v>
          </cell>
          <cell r="AD3">
            <v>411619638216023</v>
          </cell>
          <cell r="AE3">
            <v>404816277745107.31</v>
          </cell>
          <cell r="AF3">
            <v>398002575958834.13</v>
          </cell>
          <cell r="AG3">
            <v>391178535108415.06</v>
          </cell>
          <cell r="AH3">
            <v>382564786345778.88</v>
          </cell>
          <cell r="AI3">
            <v>373938129699042.06</v>
          </cell>
          <cell r="AJ3">
            <v>365298567982218.88</v>
          </cell>
          <cell r="AK3">
            <v>356646104009323.81</v>
          </cell>
          <cell r="AL3">
            <v>347980740594371.38</v>
          </cell>
          <cell r="AM3">
            <v>341088283080593.56</v>
          </cell>
          <cell r="AN3">
            <v>334185503199155.31</v>
          </cell>
          <cell r="AO3">
            <v>327272403201268.25</v>
          </cell>
          <cell r="AP3">
            <v>320348985338143.81</v>
          </cell>
          <cell r="AQ3">
            <v>313310605700105.88</v>
          </cell>
        </row>
        <row r="4">
          <cell r="B4">
            <v>148236978745361.31</v>
          </cell>
          <cell r="C4">
            <v>158092881609818.72</v>
          </cell>
          <cell r="D4">
            <v>171850843945290.66</v>
          </cell>
          <cell r="E4">
            <v>181739147042748.25</v>
          </cell>
          <cell r="F4">
            <v>200370562962137.41</v>
          </cell>
          <cell r="G4">
            <v>211829607448094.84</v>
          </cell>
          <cell r="H4">
            <v>223281680141435.25</v>
          </cell>
          <cell r="I4">
            <v>229165413331072.03</v>
          </cell>
          <cell r="J4">
            <v>235067541631497.78</v>
          </cell>
          <cell r="K4">
            <v>240988045260891.81</v>
          </cell>
          <cell r="L4">
            <v>246926904437433.53</v>
          </cell>
          <cell r="M4">
            <v>252884099379302.16</v>
          </cell>
          <cell r="N4">
            <v>256803059607158.34</v>
          </cell>
          <cell r="O4">
            <v>260730539123380.66</v>
          </cell>
          <cell r="P4">
            <v>264666531861089.97</v>
          </cell>
          <cell r="Q4">
            <v>268611031753407.06</v>
          </cell>
          <cell r="R4">
            <v>272564032733452.63</v>
          </cell>
          <cell r="S4">
            <v>276398351967760</v>
          </cell>
          <cell r="T4">
            <v>280237967592260.56</v>
          </cell>
          <cell r="U4">
            <v>284082878444781.56</v>
          </cell>
          <cell r="V4">
            <v>287933083363149.94</v>
          </cell>
          <cell r="W4">
            <v>291788581185192.81</v>
          </cell>
          <cell r="X4">
            <v>293823483046698.13</v>
          </cell>
          <cell r="Y4">
            <v>295861011766060.13</v>
          </cell>
          <cell r="Z4">
            <v>297901166762831.69</v>
          </cell>
          <cell r="AA4">
            <v>299943947456565.31</v>
          </cell>
          <cell r="AB4">
            <v>301989353266813.88</v>
          </cell>
          <cell r="AC4">
            <v>304037383613129.81</v>
          </cell>
          <cell r="AD4">
            <v>306088037915065.88</v>
          </cell>
          <cell r="AE4">
            <v>308141315592174.81</v>
          </cell>
          <cell r="AF4">
            <v>310197216064009.19</v>
          </cell>
          <cell r="AG4">
            <v>312255738750121.88</v>
          </cell>
          <cell r="AH4">
            <v>314315964573469.44</v>
          </cell>
          <cell r="AI4">
            <v>316378810121872.94</v>
          </cell>
          <cell r="AJ4">
            <v>318444274815175.38</v>
          </cell>
          <cell r="AK4">
            <v>320512358073220.19</v>
          </cell>
          <cell r="AL4">
            <v>322583059315850.44</v>
          </cell>
          <cell r="AM4">
            <v>322814404339301.94</v>
          </cell>
          <cell r="AN4">
            <v>323045713857718.25</v>
          </cell>
          <cell r="AO4">
            <v>323276987871447.88</v>
          </cell>
          <cell r="AP4">
            <v>323508226380839.5</v>
          </cell>
          <cell r="AQ4">
            <v>323631336087616.06</v>
          </cell>
        </row>
        <row r="5">
          <cell r="B5">
            <v>362645620181972.81</v>
          </cell>
          <cell r="C5">
            <v>342104595793375.25</v>
          </cell>
          <cell r="D5">
            <v>368915658966337.69</v>
          </cell>
          <cell r="E5">
            <v>385601941548718.88</v>
          </cell>
          <cell r="F5">
            <v>421353739936810.25</v>
          </cell>
          <cell r="G5">
            <v>442405148746030.44</v>
          </cell>
          <cell r="H5">
            <v>463443744774116</v>
          </cell>
          <cell r="I5">
            <v>478151007166221.56</v>
          </cell>
          <cell r="J5">
            <v>492904910041748.06</v>
          </cell>
          <cell r="K5">
            <v>507705403374839.38</v>
          </cell>
          <cell r="L5">
            <v>522552437139639.5</v>
          </cell>
          <cell r="M5">
            <v>537445961310292.63</v>
          </cell>
          <cell r="N5">
            <v>541604570585674.75</v>
          </cell>
          <cell r="O5">
            <v>545771296068892.88</v>
          </cell>
          <cell r="P5">
            <v>549946131863795.56</v>
          </cell>
          <cell r="Q5">
            <v>554129072074231</v>
          </cell>
          <cell r="R5">
            <v>558320110804047.69</v>
          </cell>
          <cell r="S5">
            <v>555494953425267.06</v>
          </cell>
          <cell r="T5">
            <v>552664996978012.88</v>
          </cell>
          <cell r="U5">
            <v>549830242496586.56</v>
          </cell>
          <cell r="V5">
            <v>546990691015289.81</v>
          </cell>
          <cell r="W5">
            <v>544146343568423.94</v>
          </cell>
          <cell r="X5">
            <v>536316096344272.38</v>
          </cell>
          <cell r="Y5">
            <v>528473788469609.38</v>
          </cell>
          <cell r="Z5">
            <v>520619422565710.5</v>
          </cell>
          <cell r="AA5">
            <v>512753001253851.13</v>
          </cell>
          <cell r="AB5">
            <v>504874527155306.75</v>
          </cell>
          <cell r="AC5">
            <v>495103983243450.75</v>
          </cell>
          <cell r="AD5">
            <v>485318661047968</v>
          </cell>
          <cell r="AE5">
            <v>475518563786930</v>
          </cell>
          <cell r="AF5">
            <v>465703694678408</v>
          </cell>
          <cell r="AG5">
            <v>455874056940473.63</v>
          </cell>
          <cell r="AH5">
            <v>445634524553600.38</v>
          </cell>
          <cell r="AI5">
            <v>435379658538465.69</v>
          </cell>
          <cell r="AJ5">
            <v>425109462238117.94</v>
          </cell>
          <cell r="AK5">
            <v>414823938995605</v>
          </cell>
          <cell r="AL5">
            <v>404523092153975.13</v>
          </cell>
          <cell r="AM5">
            <v>394465865970321.81</v>
          </cell>
          <cell r="AN5">
            <v>384393695732719.25</v>
          </cell>
          <cell r="AO5">
            <v>374306584702609.25</v>
          </cell>
          <cell r="AP5">
            <v>364204536141433.5</v>
          </cell>
          <cell r="AQ5">
            <v>353969327082483.75</v>
          </cell>
        </row>
        <row r="6">
          <cell r="B6">
            <v>414297221246194.06</v>
          </cell>
          <cell r="C6">
            <v>440656015362107.31</v>
          </cell>
          <cell r="D6">
            <v>510169357497129</v>
          </cell>
          <cell r="E6">
            <v>513939459580582.94</v>
          </cell>
          <cell r="F6">
            <v>534104524501659.56</v>
          </cell>
          <cell r="G6">
            <v>547495194261590.88</v>
          </cell>
          <cell r="H6">
            <v>565487623776669.13</v>
          </cell>
          <cell r="I6">
            <v>585890298091000.75</v>
          </cell>
          <cell r="J6">
            <v>606550753519623.5</v>
          </cell>
          <cell r="K6">
            <v>626984182216788.38</v>
          </cell>
          <cell r="L6">
            <v>646656930677222.5</v>
          </cell>
          <cell r="M6">
            <v>664989603645668</v>
          </cell>
          <cell r="N6">
            <v>681146456903585.13</v>
          </cell>
          <cell r="O6">
            <v>695355095953459.75</v>
          </cell>
          <cell r="P6">
            <v>707666850681283.63</v>
          </cell>
          <cell r="Q6">
            <v>718162575746761.75</v>
          </cell>
          <cell r="R6">
            <v>726949246861773</v>
          </cell>
          <cell r="S6">
            <v>733807938715840</v>
          </cell>
          <cell r="T6">
            <v>739152575080740.75</v>
          </cell>
          <cell r="U6">
            <v>743067689168550.5</v>
          </cell>
          <cell r="V6">
            <v>745648242808911</v>
          </cell>
          <cell r="W6">
            <v>746997587573024.75</v>
          </cell>
          <cell r="X6">
            <v>747225521837229.63</v>
          </cell>
          <cell r="Y6">
            <v>746446481037623.63</v>
          </cell>
          <cell r="Z6">
            <v>744777889994689.25</v>
          </cell>
          <cell r="AA6">
            <v>742338698244491.25</v>
          </cell>
          <cell r="AB6">
            <v>739248112052207.75</v>
          </cell>
          <cell r="AC6">
            <v>735624530384695.13</v>
          </cell>
          <cell r="AD6">
            <v>731584686696366.88</v>
          </cell>
          <cell r="AE6">
            <v>727242993994449.25</v>
          </cell>
          <cell r="AF6">
            <v>722711087306369.88</v>
          </cell>
          <cell r="AG6">
            <v>718097555347442.63</v>
          </cell>
          <cell r="AH6">
            <v>713507851829237.75</v>
          </cell>
          <cell r="AI6">
            <v>709044376390308.75</v>
          </cell>
          <cell r="AJ6">
            <v>704806715497115.38</v>
          </cell>
          <cell r="AK6">
            <v>700892034781784.88</v>
          </cell>
          <cell r="AL6">
            <v>697395616091929</v>
          </cell>
          <cell r="AM6">
            <v>694411534979174.13</v>
          </cell>
          <cell r="AN6">
            <v>692033477422092.75</v>
          </cell>
          <cell r="AO6">
            <v>690355698268283.88</v>
          </cell>
          <cell r="AP6">
            <v>689474128224637.13</v>
          </cell>
          <cell r="AQ6">
            <v>689258923794474.13</v>
          </cell>
        </row>
        <row r="7">
          <cell r="B7">
            <v>755643024983194.25</v>
          </cell>
          <cell r="C7">
            <v>707143219145493.25</v>
          </cell>
          <cell r="D7">
            <v>782330287221176.38</v>
          </cell>
          <cell r="E7">
            <v>754283772161994.88</v>
          </cell>
          <cell r="F7">
            <v>779302645040401.63</v>
          </cell>
          <cell r="G7">
            <v>786923230528677.38</v>
          </cell>
          <cell r="H7">
            <v>797300041323948.75</v>
          </cell>
          <cell r="I7">
            <v>810125745721362.88</v>
          </cell>
          <cell r="J7">
            <v>822574593141828</v>
          </cell>
          <cell r="K7">
            <v>833529038074162.63</v>
          </cell>
          <cell r="L7">
            <v>841825457151687.63</v>
          </cell>
          <cell r="M7">
            <v>846279781736065.88</v>
          </cell>
          <cell r="N7">
            <v>845679910956077.5</v>
          </cell>
          <cell r="O7">
            <v>841111798557842.88</v>
          </cell>
          <cell r="P7">
            <v>833652338872432.13</v>
          </cell>
          <cell r="Q7">
            <v>824377440177300.25</v>
          </cell>
          <cell r="R7">
            <v>814333239900831.38</v>
          </cell>
          <cell r="S7">
            <v>803996674735648.5</v>
          </cell>
          <cell r="T7">
            <v>793924842835839.25</v>
          </cell>
          <cell r="U7">
            <v>784136583580284.75</v>
          </cell>
          <cell r="V7">
            <v>774651271462653.38</v>
          </cell>
          <cell r="W7">
            <v>765488329516224</v>
          </cell>
          <cell r="X7">
            <v>756666826949846.5</v>
          </cell>
          <cell r="Y7">
            <v>748205161397678.13</v>
          </cell>
          <cell r="Z7">
            <v>740120823283223</v>
          </cell>
          <cell r="AA7">
            <v>732430237556670.63</v>
          </cell>
          <cell r="AB7">
            <v>725148676469270.25</v>
          </cell>
          <cell r="AC7">
            <v>718290236055304.13</v>
          </cell>
          <cell r="AD7">
            <v>711867868535974</v>
          </cell>
          <cell r="AE7">
            <v>705893462864054.75</v>
          </cell>
          <cell r="AF7">
            <v>700377966012609</v>
          </cell>
          <cell r="AG7">
            <v>695331538297752.25</v>
          </cell>
          <cell r="AH7">
            <v>690763736943671.75</v>
          </cell>
          <cell r="AI7">
            <v>686683723187601.88</v>
          </cell>
          <cell r="AJ7">
            <v>683100489437031.25</v>
          </cell>
          <cell r="AK7">
            <v>680023104298429.5</v>
          </cell>
          <cell r="AL7">
            <v>677460974680317.75</v>
          </cell>
          <cell r="AM7">
            <v>675424125633042</v>
          </cell>
          <cell r="AN7">
            <v>673923500140328.25</v>
          </cell>
          <cell r="AO7">
            <v>672971282758531</v>
          </cell>
          <cell r="AP7">
            <v>672581252863938.13</v>
          </cell>
          <cell r="AQ7">
            <v>672544544618409.88</v>
          </cell>
        </row>
        <row r="8">
          <cell r="B8">
            <v>174890445412711.59</v>
          </cell>
          <cell r="C8">
            <v>179467628685054.75</v>
          </cell>
          <cell r="D8">
            <v>213494691419529.97</v>
          </cell>
          <cell r="E8">
            <v>205438451397027.63</v>
          </cell>
          <cell r="F8">
            <v>212435544821657.38</v>
          </cell>
          <cell r="G8">
            <v>215119678923408.69</v>
          </cell>
          <cell r="H8">
            <v>219006508934291.94</v>
          </cell>
          <cell r="I8">
            <v>224065961978571.81</v>
          </cell>
          <cell r="J8">
            <v>229560233548597.78</v>
          </cell>
          <cell r="K8">
            <v>235203087848446.53</v>
          </cell>
          <cell r="L8">
            <v>240679272722452.06</v>
          </cell>
          <cell r="M8">
            <v>245644710457728.19</v>
          </cell>
          <cell r="N8">
            <v>249678113099886.5</v>
          </cell>
          <cell r="O8">
            <v>252853060234346.97</v>
          </cell>
          <cell r="P8">
            <v>255204090279044.41</v>
          </cell>
          <cell r="Q8">
            <v>256776760273255.69</v>
          </cell>
          <cell r="R8">
            <v>257625862538851.56</v>
          </cell>
          <cell r="S8">
            <v>257693133884103.13</v>
          </cell>
          <cell r="T8">
            <v>257150698752394.75</v>
          </cell>
          <cell r="U8">
            <v>256054426699283.75</v>
          </cell>
          <cell r="V8">
            <v>254463109103537.88</v>
          </cell>
          <cell r="W8">
            <v>252437327142604.38</v>
          </cell>
          <cell r="X8">
            <v>250038428418802.28</v>
          </cell>
          <cell r="Y8">
            <v>247327626883191.53</v>
          </cell>
          <cell r="Z8">
            <v>244365235022604</v>
          </cell>
          <cell r="AA8">
            <v>241210032236748.06</v>
          </cell>
          <cell r="AB8">
            <v>237918769048959.69</v>
          </cell>
          <cell r="AC8">
            <v>234545803324236.34</v>
          </cell>
          <cell r="AD8">
            <v>231142862024015.88</v>
          </cell>
          <cell r="AE8">
            <v>227758920184726.88</v>
          </cell>
          <cell r="AF8">
            <v>224440187715386.06</v>
          </cell>
          <cell r="AG8">
            <v>221230194200229.41</v>
          </cell>
          <cell r="AH8">
            <v>218169962088053.88</v>
          </cell>
          <cell r="AI8">
            <v>215298259371985.09</v>
          </cell>
          <cell r="AJ8">
            <v>212651924038044.81</v>
          </cell>
          <cell r="AK8">
            <v>210266254124800.28</v>
          </cell>
          <cell r="AL8">
            <v>208175459140867.19</v>
          </cell>
          <cell r="AM8">
            <v>206413170801784.31</v>
          </cell>
          <cell r="AN8">
            <v>205013013563936.31</v>
          </cell>
          <cell r="AO8">
            <v>204009238266565.25</v>
          </cell>
          <cell r="AP8">
            <v>203437425387283.03</v>
          </cell>
          <cell r="AQ8">
            <v>203267548939289.94</v>
          </cell>
        </row>
        <row r="9">
          <cell r="B9">
            <v>354287101551797.31</v>
          </cell>
          <cell r="C9">
            <v>370171883346412.06</v>
          </cell>
          <cell r="D9">
            <v>413165097866573.19</v>
          </cell>
          <cell r="E9">
            <v>424739420219149.63</v>
          </cell>
          <cell r="F9">
            <v>458936994974380.88</v>
          </cell>
          <cell r="G9">
            <v>479589483750606.63</v>
          </cell>
          <cell r="H9">
            <v>501226839438445.38</v>
          </cell>
          <cell r="I9">
            <v>515669953354251.5</v>
          </cell>
          <cell r="J9">
            <v>530217836946196.5</v>
          </cell>
          <cell r="K9">
            <v>544759480537365.81</v>
          </cell>
          <cell r="L9">
            <v>559169934593471.88</v>
          </cell>
          <cell r="M9">
            <v>573311208479039.25</v>
          </cell>
          <cell r="N9">
            <v>582056200619060.75</v>
          </cell>
          <cell r="O9">
            <v>590365878554418.5</v>
          </cell>
          <cell r="P9">
            <v>598252543514748.5</v>
          </cell>
          <cell r="Q9">
            <v>605735149498069</v>
          </cell>
          <cell r="R9">
            <v>612838503060631</v>
          </cell>
          <cell r="S9">
            <v>616932105009542.75</v>
          </cell>
          <cell r="T9">
            <v>620683675038693.13</v>
          </cell>
          <cell r="U9">
            <v>624112497966336.63</v>
          </cell>
          <cell r="V9">
            <v>627240357310743.38</v>
          </cell>
          <cell r="W9">
            <v>630091079289291.38</v>
          </cell>
          <cell r="X9">
            <v>627923137805485</v>
          </cell>
          <cell r="Y9">
            <v>625523146491949.75</v>
          </cell>
          <cell r="Z9">
            <v>622918521376522.25</v>
          </cell>
          <cell r="AA9">
            <v>620137131987844.88</v>
          </cell>
          <cell r="AB9">
            <v>617206995604967.38</v>
          </cell>
          <cell r="AC9">
            <v>610806981224629</v>
          </cell>
          <cell r="AD9">
            <v>604308832840474.75</v>
          </cell>
          <cell r="AE9">
            <v>597739626064526.5</v>
          </cell>
          <cell r="AF9">
            <v>591125812737073.63</v>
          </cell>
          <cell r="AG9">
            <v>584493140797092</v>
          </cell>
          <cell r="AH9">
            <v>577386446390773.13</v>
          </cell>
          <cell r="AI9">
            <v>570309473433019.25</v>
          </cell>
          <cell r="AJ9">
            <v>563285793258721.25</v>
          </cell>
          <cell r="AK9">
            <v>556338358621905.88</v>
          </cell>
          <cell r="AL9">
            <v>549489616927192.63</v>
          </cell>
          <cell r="AM9">
            <v>541797845452907.5</v>
          </cell>
          <cell r="AN9">
            <v>534247378676394.25</v>
          </cell>
          <cell r="AO9">
            <v>526860162046114.25</v>
          </cell>
          <cell r="AP9">
            <v>519658422429793.25</v>
          </cell>
          <cell r="AQ9">
            <v>512493818925807.25</v>
          </cell>
        </row>
        <row r="10">
          <cell r="B10">
            <v>436530190184994.31</v>
          </cell>
          <cell r="C10">
            <v>463310144942684.69</v>
          </cell>
          <cell r="D10">
            <v>499748922289655.5</v>
          </cell>
          <cell r="E10">
            <v>518042705923834.94</v>
          </cell>
          <cell r="F10">
            <v>561614141614570.13</v>
          </cell>
          <cell r="G10">
            <v>592598798446963.63</v>
          </cell>
          <cell r="H10">
            <v>623607535356136.13</v>
          </cell>
          <cell r="I10">
            <v>638614312896125.25</v>
          </cell>
          <cell r="J10">
            <v>653670529453107.88</v>
          </cell>
          <cell r="K10">
            <v>668776152222048.25</v>
          </cell>
          <cell r="L10">
            <v>683931148397909.13</v>
          </cell>
          <cell r="M10">
            <v>699135485175654.25</v>
          </cell>
          <cell r="N10">
            <v>701022307883599.88</v>
          </cell>
          <cell r="O10">
            <v>702911406218590.5</v>
          </cell>
          <cell r="P10">
            <v>704802779077807.75</v>
          </cell>
          <cell r="Q10">
            <v>706696425358433.75</v>
          </cell>
          <cell r="R10">
            <v>708592343957650.5</v>
          </cell>
          <cell r="S10">
            <v>701081379228788.25</v>
          </cell>
          <cell r="T10">
            <v>693558205788730.13</v>
          </cell>
          <cell r="U10">
            <v>686022825327969.63</v>
          </cell>
          <cell r="V10">
            <v>678475239537000.13</v>
          </cell>
          <cell r="W10">
            <v>670915450106315.13</v>
          </cell>
          <cell r="X10">
            <v>656275873645688.88</v>
          </cell>
          <cell r="Y10">
            <v>641613462592514.38</v>
          </cell>
          <cell r="Z10">
            <v>626928220116479.63</v>
          </cell>
          <cell r="AA10">
            <v>612220149387272.38</v>
          </cell>
          <cell r="AB10">
            <v>597489253574580.63</v>
          </cell>
          <cell r="AC10">
            <v>582735535848092.5</v>
          </cell>
          <cell r="AD10">
            <v>567958999377495.75</v>
          </cell>
          <cell r="AE10">
            <v>553159647332478.31</v>
          </cell>
          <cell r="AF10">
            <v>538337482882728.25</v>
          </cell>
          <cell r="AG10">
            <v>523492509197933.25</v>
          </cell>
          <cell r="AH10">
            <v>510659186679078.06</v>
          </cell>
          <cell r="AI10">
            <v>497806096770899.88</v>
          </cell>
          <cell r="AJ10">
            <v>484933242220467.5</v>
          </cell>
          <cell r="AK10">
            <v>472040625774849.81</v>
          </cell>
          <cell r="AL10">
            <v>459128250181115.69</v>
          </cell>
          <cell r="AM10">
            <v>445529347704683.69</v>
          </cell>
          <cell r="AN10">
            <v>431909700877625</v>
          </cell>
          <cell r="AO10">
            <v>418269312585002.75</v>
          </cell>
          <cell r="AP10">
            <v>404608185711879.5</v>
          </cell>
          <cell r="AQ10">
            <v>390840615559032.38</v>
          </cell>
        </row>
        <row r="11">
          <cell r="B11">
            <v>1677679989741281</v>
          </cell>
          <cell r="C11">
            <v>1771150491568371.5</v>
          </cell>
          <cell r="D11">
            <v>1949097184988560.8</v>
          </cell>
          <cell r="E11">
            <v>2074716994487257.8</v>
          </cell>
          <cell r="F11">
            <v>2279514018214021</v>
          </cell>
          <cell r="G11">
            <v>2426888679024007.5</v>
          </cell>
          <cell r="H11">
            <v>2576897041452702</v>
          </cell>
          <cell r="I11">
            <v>2680171489912170</v>
          </cell>
          <cell r="J11">
            <v>2782119746020071.5</v>
          </cell>
          <cell r="K11">
            <v>2882711570335168</v>
          </cell>
          <cell r="L11">
            <v>2982002821216994.5</v>
          </cell>
          <cell r="M11">
            <v>3080124083534612.5</v>
          </cell>
          <cell r="N11">
            <v>3138244522996405.5</v>
          </cell>
          <cell r="O11">
            <v>3195403289926348.5</v>
          </cell>
          <cell r="P11">
            <v>3251837457308831.5</v>
          </cell>
          <cell r="Q11">
            <v>3307805149550002.5</v>
          </cell>
          <cell r="R11">
            <v>3363577550122903.5</v>
          </cell>
          <cell r="S11">
            <v>3393359839057994.5</v>
          </cell>
          <cell r="T11">
            <v>3423138233504483.5</v>
          </cell>
          <cell r="U11">
            <v>3452913381271408</v>
          </cell>
          <cell r="V11">
            <v>3482685970558094</v>
          </cell>
          <cell r="W11">
            <v>3512456728350693.5</v>
          </cell>
          <cell r="X11">
            <v>3527706521997333</v>
          </cell>
          <cell r="Y11">
            <v>3542934157742562</v>
          </cell>
          <cell r="Z11">
            <v>3558140472200258</v>
          </cell>
          <cell r="AA11">
            <v>3573326334330203.5</v>
          </cell>
          <cell r="AB11">
            <v>3588492643842364.5</v>
          </cell>
          <cell r="AC11">
            <v>3591128500267023</v>
          </cell>
          <cell r="AD11">
            <v>3593727905734260</v>
          </cell>
          <cell r="AE11">
            <v>3596291845307583.5</v>
          </cell>
          <cell r="AF11">
            <v>3598821328591687</v>
          </cell>
          <cell r="AG11">
            <v>3601317388240900.5</v>
          </cell>
          <cell r="AH11">
            <v>3592371051617623</v>
          </cell>
          <cell r="AI11">
            <v>3583376362089540</v>
          </cell>
          <cell r="AJ11">
            <v>3574334415120822</v>
          </cell>
          <cell r="AK11">
            <v>3565246323592252.5</v>
          </cell>
          <cell r="AL11">
            <v>3556113216489208.5</v>
          </cell>
          <cell r="AM11">
            <v>3544831581395856.5</v>
          </cell>
          <cell r="AN11">
            <v>3533504098651424</v>
          </cell>
          <cell r="AO11">
            <v>3522131938544604.5</v>
          </cell>
          <cell r="AP11">
            <v>3510716282670725.5</v>
          </cell>
          <cell r="AQ11">
            <v>3498485348688808.5</v>
          </cell>
        </row>
        <row r="12">
          <cell r="B12">
            <v>486702354879924</v>
          </cell>
          <cell r="C12">
            <v>505257922295037</v>
          </cell>
          <cell r="D12">
            <v>575700052321030</v>
          </cell>
          <cell r="E12">
            <v>558096237923927.13</v>
          </cell>
          <cell r="F12">
            <v>582675759379055.25</v>
          </cell>
          <cell r="G12">
            <v>602930559341792.75</v>
          </cell>
          <cell r="H12">
            <v>628151820132039.88</v>
          </cell>
          <cell r="I12">
            <v>652984677367826.75</v>
          </cell>
          <cell r="J12">
            <v>674491615502443.75</v>
          </cell>
          <cell r="K12">
            <v>692328580993929.63</v>
          </cell>
          <cell r="L12">
            <v>706215181998374.63</v>
          </cell>
          <cell r="M12">
            <v>715942041038740.63</v>
          </cell>
          <cell r="N12">
            <v>721173045133338.38</v>
          </cell>
          <cell r="O12">
            <v>722913887050333.88</v>
          </cell>
          <cell r="P12">
            <v>722039119025063.63</v>
          </cell>
          <cell r="Q12">
            <v>719454914782127.38</v>
          </cell>
          <cell r="R12">
            <v>716072100562411.13</v>
          </cell>
          <cell r="S12">
            <v>712318417435166.63</v>
          </cell>
          <cell r="T12">
            <v>708676919333263.5</v>
          </cell>
          <cell r="U12">
            <v>705152882880254</v>
          </cell>
          <cell r="V12">
            <v>701751504048004.75</v>
          </cell>
          <cell r="W12">
            <v>698477908491936.5</v>
          </cell>
          <cell r="X12">
            <v>695337162279751.88</v>
          </cell>
          <cell r="Y12">
            <v>692334283012329.75</v>
          </cell>
          <cell r="Z12">
            <v>689474251338105.13</v>
          </cell>
          <cell r="AA12">
            <v>686762022865024.13</v>
          </cell>
          <cell r="AB12">
            <v>684202540476981.88</v>
          </cell>
          <cell r="AC12">
            <v>681800747064609.88</v>
          </cell>
          <cell r="AD12">
            <v>679561598683353.63</v>
          </cell>
          <cell r="AE12">
            <v>677490078154971.88</v>
          </cell>
          <cell r="AF12">
            <v>675591209131886.38</v>
          </cell>
          <cell r="AG12">
            <v>673870070647298.38</v>
          </cell>
          <cell r="AH12">
            <v>672331812177609.13</v>
          </cell>
          <cell r="AI12">
            <v>670981669247483.13</v>
          </cell>
          <cell r="AJ12">
            <v>669824979611875</v>
          </cell>
          <cell r="AK12">
            <v>668867200053550.13</v>
          </cell>
          <cell r="AL12">
            <v>668113923839083.38</v>
          </cell>
          <cell r="AM12">
            <v>667570898880999.88</v>
          </cell>
          <cell r="AN12">
            <v>667244046658728.13</v>
          </cell>
          <cell r="AO12">
            <v>667139481956311.13</v>
          </cell>
          <cell r="AP12">
            <v>667263533480493</v>
          </cell>
          <cell r="AQ12">
            <v>667400004845796</v>
          </cell>
        </row>
        <row r="13">
          <cell r="B13">
            <v>132608755880141.38</v>
          </cell>
          <cell r="C13">
            <v>132374785328357.8</v>
          </cell>
          <cell r="D13">
            <v>159769868107901.31</v>
          </cell>
          <cell r="E13">
            <v>163401676615118.44</v>
          </cell>
          <cell r="F13">
            <v>172019030356098.19</v>
          </cell>
          <cell r="G13">
            <v>181598056642855.69</v>
          </cell>
          <cell r="H13">
            <v>193710429935443.91</v>
          </cell>
          <cell r="I13">
            <v>205592601014637.25</v>
          </cell>
          <cell r="J13">
            <v>216216147965252.13</v>
          </cell>
          <cell r="K13">
            <v>225701251803595.69</v>
          </cell>
          <cell r="L13">
            <v>234252392398357.81</v>
          </cell>
          <cell r="M13">
            <v>242146031292415.41</v>
          </cell>
          <cell r="N13">
            <v>249547766064597.53</v>
          </cell>
          <cell r="O13">
            <v>256688158025292.03</v>
          </cell>
          <cell r="P13">
            <v>263649200199378.22</v>
          </cell>
          <cell r="Q13">
            <v>270525508455890.94</v>
          </cell>
          <cell r="R13">
            <v>277423844805485.72</v>
          </cell>
          <cell r="S13">
            <v>284308876274045</v>
          </cell>
          <cell r="T13">
            <v>291309840492599.06</v>
          </cell>
          <cell r="U13">
            <v>298407037721019.88</v>
          </cell>
          <cell r="V13">
            <v>305578786741966.88</v>
          </cell>
          <cell r="W13">
            <v>312801367586845.31</v>
          </cell>
          <cell r="X13">
            <v>320048981501427.56</v>
          </cell>
          <cell r="Y13">
            <v>327293730728169.31</v>
          </cell>
          <cell r="Z13">
            <v>334505620731030.56</v>
          </cell>
          <cell r="AA13">
            <v>341652587489720</v>
          </cell>
          <cell r="AB13">
            <v>348700552436270</v>
          </cell>
          <cell r="AC13">
            <v>355613507490396.44</v>
          </cell>
          <cell r="AD13">
            <v>362353632464509</v>
          </cell>
          <cell r="AE13">
            <v>368881446848221.81</v>
          </cell>
          <cell r="AF13">
            <v>375155997640957.81</v>
          </cell>
          <cell r="AG13">
            <v>381135084476033.88</v>
          </cell>
          <cell r="AH13">
            <v>386775522768686.38</v>
          </cell>
          <cell r="AI13">
            <v>392033445024173.88</v>
          </cell>
          <cell r="AJ13">
            <v>396864639763274.25</v>
          </cell>
          <cell r="AK13">
            <v>401224926766715.06</v>
          </cell>
          <cell r="AL13">
            <v>405070566516231.13</v>
          </cell>
          <cell r="AM13">
            <v>408358700829946.63</v>
          </cell>
          <cell r="AN13">
            <v>411047820769138.69</v>
          </cell>
          <cell r="AO13">
            <v>413098256951058.94</v>
          </cell>
          <cell r="AP13">
            <v>414472686460400.5</v>
          </cell>
          <cell r="AQ13">
            <v>414998978779593</v>
          </cell>
        </row>
        <row r="14">
          <cell r="B14">
            <v>1283184654763116.3</v>
          </cell>
          <cell r="C14">
            <v>1340811052312610</v>
          </cell>
          <cell r="D14">
            <v>1395296466619330.8</v>
          </cell>
          <cell r="E14">
            <v>1377175455073834.8</v>
          </cell>
          <cell r="F14">
            <v>1434481074847045.5</v>
          </cell>
          <cell r="G14">
            <v>1454659898073355.5</v>
          </cell>
          <cell r="H14">
            <v>1474837434627339.3</v>
          </cell>
          <cell r="I14">
            <v>1496132613872398.8</v>
          </cell>
          <cell r="J14">
            <v>1517491204455666.5</v>
          </cell>
          <cell r="K14">
            <v>1538913147666734.5</v>
          </cell>
          <cell r="L14">
            <v>1560398384795196</v>
          </cell>
          <cell r="M14">
            <v>1581946857130643.3</v>
          </cell>
          <cell r="N14">
            <v>1565960756952785.3</v>
          </cell>
          <cell r="O14">
            <v>1549930027329448.8</v>
          </cell>
          <cell r="P14">
            <v>1533854694486003.8</v>
          </cell>
          <cell r="Q14">
            <v>1517734784647820</v>
          </cell>
          <cell r="R14">
            <v>1501570324040266.8</v>
          </cell>
          <cell r="S14">
            <v>1476954730413886</v>
          </cell>
          <cell r="T14">
            <v>1452300856368477.3</v>
          </cell>
          <cell r="U14">
            <v>1427608709077014.5</v>
          </cell>
          <cell r="V14">
            <v>1402878295712473.8</v>
          </cell>
          <cell r="W14">
            <v>1378109623447830.3</v>
          </cell>
          <cell r="X14">
            <v>1343710886558764.5</v>
          </cell>
          <cell r="Y14">
            <v>1309259747816862</v>
          </cell>
          <cell r="Z14">
            <v>1274756217059270.5</v>
          </cell>
          <cell r="AA14">
            <v>1240200304123139.5</v>
          </cell>
          <cell r="AB14">
            <v>1205592018845617.5</v>
          </cell>
          <cell r="AC14">
            <v>1179030814855300.8</v>
          </cell>
          <cell r="AD14">
            <v>1152429161383631</v>
          </cell>
          <cell r="AE14">
            <v>1125787066026364.6</v>
          </cell>
          <cell r="AF14">
            <v>1099104536379258.8</v>
          </cell>
          <cell r="AG14">
            <v>1072381580038069.5</v>
          </cell>
          <cell r="AH14">
            <v>1056597099026883.5</v>
          </cell>
          <cell r="AI14">
            <v>1040788272286480.1</v>
          </cell>
          <cell r="AJ14">
            <v>1024955104385500.9</v>
          </cell>
          <cell r="AK14">
            <v>1009097599892587</v>
          </cell>
          <cell r="AL14">
            <v>993215763376380.38</v>
          </cell>
          <cell r="AM14">
            <v>985636868612790.13</v>
          </cell>
          <cell r="AN14">
            <v>978045784496415.75</v>
          </cell>
          <cell r="AO14">
            <v>970442513308259.75</v>
          </cell>
          <cell r="AP14">
            <v>962827057329324.88</v>
          </cell>
          <cell r="AQ14">
            <v>954921419156246.13</v>
          </cell>
        </row>
        <row r="15">
          <cell r="B15">
            <v>1938941600977780.3</v>
          </cell>
          <cell r="C15">
            <v>2030208678223862.3</v>
          </cell>
          <cell r="D15">
            <v>2169901800954964.5</v>
          </cell>
          <cell r="E15">
            <v>2222424131758568.5</v>
          </cell>
          <cell r="F15">
            <v>2399305366734761.5</v>
          </cell>
          <cell r="G15">
            <v>2507726859772274.5</v>
          </cell>
          <cell r="H15">
            <v>2616117799757507.5</v>
          </cell>
          <cell r="I15">
            <v>2678862488928819.5</v>
          </cell>
          <cell r="J15">
            <v>2741804540645247.5</v>
          </cell>
          <cell r="K15">
            <v>2804943762308655</v>
          </cell>
          <cell r="L15">
            <v>2868279961320908</v>
          </cell>
          <cell r="M15">
            <v>2931812945083871</v>
          </cell>
          <cell r="N15">
            <v>2939570589599711</v>
          </cell>
          <cell r="O15">
            <v>2947336902670590.5</v>
          </cell>
          <cell r="P15">
            <v>2955111877822098.5</v>
          </cell>
          <cell r="Q15">
            <v>2962895508579823.5</v>
          </cell>
          <cell r="R15">
            <v>2970687788469357.5</v>
          </cell>
          <cell r="S15">
            <v>2939147147107830</v>
          </cell>
          <cell r="T15">
            <v>2907556423608446</v>
          </cell>
          <cell r="U15">
            <v>2875915627896099</v>
          </cell>
          <cell r="V15">
            <v>2844224769895684</v>
          </cell>
          <cell r="W15">
            <v>2812483859532095.5</v>
          </cell>
          <cell r="X15">
            <v>2751066041666132.5</v>
          </cell>
          <cell r="Y15">
            <v>2689554653464578.5</v>
          </cell>
          <cell r="Z15">
            <v>2627949713536611.5</v>
          </cell>
          <cell r="AA15">
            <v>2566251240491410</v>
          </cell>
          <cell r="AB15">
            <v>2504459252938150.5</v>
          </cell>
          <cell r="AC15">
            <v>2442573769486010</v>
          </cell>
          <cell r="AD15">
            <v>2380594808744168</v>
          </cell>
          <cell r="AE15">
            <v>2318522389321800.5</v>
          </cell>
          <cell r="AF15">
            <v>2256356529828086</v>
          </cell>
          <cell r="AG15">
            <v>2194097248872201</v>
          </cell>
          <cell r="AH15">
            <v>2140271543323577.3</v>
          </cell>
          <cell r="AI15">
            <v>2086364876367421</v>
          </cell>
          <cell r="AJ15">
            <v>2032377264131686.3</v>
          </cell>
          <cell r="AK15">
            <v>1978308722744325.8</v>
          </cell>
          <cell r="AL15">
            <v>1924159268333295.3</v>
          </cell>
          <cell r="AM15">
            <v>1867134400258842.3</v>
          </cell>
          <cell r="AN15">
            <v>1810024597595432</v>
          </cell>
          <cell r="AO15">
            <v>1752829877281231.5</v>
          </cell>
          <cell r="AP15">
            <v>1695550256254406.8</v>
          </cell>
          <cell r="AQ15">
            <v>1637682567927605</v>
          </cell>
        </row>
        <row r="16">
          <cell r="B16">
            <v>2120618796098783.8</v>
          </cell>
          <cell r="C16">
            <v>2266549337707232</v>
          </cell>
          <cell r="D16">
            <v>2486130071544900</v>
          </cell>
          <cell r="E16">
            <v>2633732630447026</v>
          </cell>
          <cell r="F16">
            <v>2933041380505208.5</v>
          </cell>
          <cell r="G16">
            <v>3140856900589266.5</v>
          </cell>
          <cell r="H16">
            <v>3348561752089630.5</v>
          </cell>
          <cell r="I16">
            <v>3527814970679090.5</v>
          </cell>
          <cell r="J16">
            <v>3707654608522286.5</v>
          </cell>
          <cell r="K16">
            <v>3888080053503082</v>
          </cell>
          <cell r="L16">
            <v>4069090693505343</v>
          </cell>
          <cell r="M16">
            <v>4250685916412937.5</v>
          </cell>
          <cell r="N16">
            <v>4350189177944335</v>
          </cell>
          <cell r="O16">
            <v>4449916907453227.5</v>
          </cell>
          <cell r="P16">
            <v>4549868949503371</v>
          </cell>
          <cell r="Q16">
            <v>4650045148658522</v>
          </cell>
          <cell r="R16">
            <v>4750445349482436</v>
          </cell>
          <cell r="S16">
            <v>4781771725072760</v>
          </cell>
          <cell r="T16">
            <v>4813138461404217</v>
          </cell>
          <cell r="U16">
            <v>4844545549741141</v>
          </cell>
          <cell r="V16">
            <v>4875992981347864</v>
          </cell>
          <cell r="W16">
            <v>4907480747488721</v>
          </cell>
          <cell r="X16">
            <v>4898785544065251</v>
          </cell>
          <cell r="Y16">
            <v>4890071877426166</v>
          </cell>
          <cell r="Z16">
            <v>4881339751412305</v>
          </cell>
          <cell r="AA16">
            <v>4872589169864506</v>
          </cell>
          <cell r="AB16">
            <v>4863820136623605</v>
          </cell>
          <cell r="AC16">
            <v>4802333476771588</v>
          </cell>
          <cell r="AD16">
            <v>4740751695981985</v>
          </cell>
          <cell r="AE16">
            <v>4679074814512975</v>
          </cell>
          <cell r="AF16">
            <v>4617302852622734</v>
          </cell>
          <cell r="AG16">
            <v>4555435830569443</v>
          </cell>
          <cell r="AH16">
            <v>4453805656348940.5</v>
          </cell>
          <cell r="AI16">
            <v>4352022995830477.5</v>
          </cell>
          <cell r="AJ16">
            <v>4250087881585236.5</v>
          </cell>
          <cell r="AK16">
            <v>4148000346184401</v>
          </cell>
          <cell r="AL16">
            <v>4045760422199158</v>
          </cell>
          <cell r="AM16">
            <v>3943197748315461.5</v>
          </cell>
          <cell r="AN16">
            <v>3840482505208629.5</v>
          </cell>
          <cell r="AO16">
            <v>3737614725502548.5</v>
          </cell>
          <cell r="AP16">
            <v>3634594441821099.5</v>
          </cell>
          <cell r="AQ16">
            <v>3530264560773424</v>
          </cell>
        </row>
        <row r="17">
          <cell r="B17">
            <v>800006325640470.63</v>
          </cell>
          <cell r="C17">
            <v>742149881502071.5</v>
          </cell>
          <cell r="D17">
            <v>922782466124753.88</v>
          </cell>
          <cell r="E17">
            <v>907318884981347.13</v>
          </cell>
          <cell r="F17">
            <v>946318412604331.25</v>
          </cell>
          <cell r="G17">
            <v>976864367708945</v>
          </cell>
          <cell r="H17">
            <v>1014949573230243</v>
          </cell>
          <cell r="I17">
            <v>1052848707592754.1</v>
          </cell>
          <cell r="J17">
            <v>1086564186692641.3</v>
          </cell>
          <cell r="K17">
            <v>1116259004904057.1</v>
          </cell>
          <cell r="L17">
            <v>1142212715208341.3</v>
          </cell>
          <cell r="M17">
            <v>1164806236560352</v>
          </cell>
          <cell r="N17">
            <v>1183913739449953.3</v>
          </cell>
          <cell r="O17">
            <v>1200495193402619.5</v>
          </cell>
          <cell r="P17">
            <v>1214985130328716.3</v>
          </cell>
          <cell r="Q17">
            <v>1227857177465836.3</v>
          </cell>
          <cell r="R17">
            <v>1239616298159165.3</v>
          </cell>
          <cell r="S17">
            <v>1250132387019432.3</v>
          </cell>
          <cell r="T17">
            <v>1260062712636653.8</v>
          </cell>
          <cell r="U17">
            <v>1269415719233982.8</v>
          </cell>
          <cell r="V17">
            <v>1278201357946853</v>
          </cell>
          <cell r="W17">
            <v>1286431013266202.5</v>
          </cell>
          <cell r="X17">
            <v>1294117427373817.3</v>
          </cell>
          <cell r="Y17">
            <v>1301274622970633.8</v>
          </cell>
          <cell r="Z17">
            <v>1307917825178109</v>
          </cell>
          <cell r="AA17">
            <v>1314063383068591.3</v>
          </cell>
          <cell r="AB17">
            <v>1319728691354291.3</v>
          </cell>
          <cell r="AC17">
            <v>1324932112735927.8</v>
          </cell>
          <cell r="AD17">
            <v>1329692901381924.8</v>
          </cell>
          <cell r="AE17">
            <v>1334031127977969.5</v>
          </cell>
          <cell r="AF17">
            <v>1337967606754497.8</v>
          </cell>
          <cell r="AG17">
            <v>1341523824867456.8</v>
          </cell>
          <cell r="AH17">
            <v>1344721874475199</v>
          </cell>
          <cell r="AI17">
            <v>1347584387822410.3</v>
          </cell>
          <cell r="AJ17">
            <v>1350134475610431.3</v>
          </cell>
          <cell r="AK17">
            <v>1352395668903013</v>
          </cell>
          <cell r="AL17">
            <v>1354391864787116.8</v>
          </cell>
          <cell r="AM17">
            <v>1356147275980681</v>
          </cell>
          <cell r="AN17">
            <v>1357686384552778</v>
          </cell>
          <cell r="AO17">
            <v>1359033899897351.8</v>
          </cell>
          <cell r="AP17">
            <v>1360214721079134.5</v>
          </cell>
          <cell r="AQ17">
            <v>1360799394833857.8</v>
          </cell>
        </row>
        <row r="18">
          <cell r="B18">
            <v>562397475476315.88</v>
          </cell>
          <cell r="C18">
            <v>649431995755000.13</v>
          </cell>
          <cell r="D18">
            <v>804350925766132.75</v>
          </cell>
          <cell r="E18">
            <v>853446809987141.88</v>
          </cell>
          <cell r="F18">
            <v>902474837642355.63</v>
          </cell>
          <cell r="G18">
            <v>961517956787703</v>
          </cell>
          <cell r="H18">
            <v>1034438377084992.6</v>
          </cell>
          <cell r="I18">
            <v>1101906927800498.3</v>
          </cell>
          <cell r="J18">
            <v>1158691816751402.8</v>
          </cell>
          <cell r="K18">
            <v>1207755288030171</v>
          </cell>
          <cell r="L18">
            <v>1253099201279652.5</v>
          </cell>
          <cell r="M18">
            <v>1299560864864074.3</v>
          </cell>
          <cell r="N18">
            <v>1350931937747304.5</v>
          </cell>
          <cell r="O18">
            <v>1408017166661789.5</v>
          </cell>
          <cell r="P18">
            <v>1469742583050406.3</v>
          </cell>
          <cell r="Q18">
            <v>1534808385227887</v>
          </cell>
          <cell r="R18">
            <v>1601647188998378.8</v>
          </cell>
          <cell r="S18">
            <v>1667946254927491.5</v>
          </cell>
          <cell r="T18">
            <v>1733894439189490</v>
          </cell>
          <cell r="U18">
            <v>1799260076364538.8</v>
          </cell>
          <cell r="V18">
            <v>1863808729279697.5</v>
          </cell>
          <cell r="W18">
            <v>1927304718773465.3</v>
          </cell>
          <cell r="X18">
            <v>1989512684001221.5</v>
          </cell>
          <cell r="Y18">
            <v>2050199157559715.5</v>
          </cell>
          <cell r="Z18">
            <v>2109134139531439</v>
          </cell>
          <cell r="AA18">
            <v>2166092654595278</v>
          </cell>
          <cell r="AB18">
            <v>2220856276613661</v>
          </cell>
          <cell r="AC18">
            <v>2273214605581767.5</v>
          </cell>
          <cell r="AD18">
            <v>2322966682499106</v>
          </cell>
          <cell r="AE18">
            <v>2369922328583808</v>
          </cell>
          <cell r="AF18">
            <v>2413903396277039</v>
          </cell>
          <cell r="AG18">
            <v>2454744920659174</v>
          </cell>
          <cell r="AH18">
            <v>2492296161198328.5</v>
          </cell>
          <cell r="AI18">
            <v>2526421525151607.5</v>
          </cell>
          <cell r="AJ18">
            <v>2557001365415675</v>
          </cell>
          <cell r="AK18">
            <v>2583932647150352.5</v>
          </cell>
          <cell r="AL18">
            <v>2607129479052473.5</v>
          </cell>
          <cell r="AM18">
            <v>2626523506712701</v>
          </cell>
          <cell r="AN18">
            <v>2642064167022319.5</v>
          </cell>
          <cell r="AO18">
            <v>2653718804088808.5</v>
          </cell>
          <cell r="AP18">
            <v>2661472648548967.5</v>
          </cell>
          <cell r="AQ18">
            <v>2664438737420897.5</v>
          </cell>
        </row>
        <row r="19">
          <cell r="B19">
            <v>285826471888795.88</v>
          </cell>
          <cell r="C19">
            <v>313619116161782.25</v>
          </cell>
          <cell r="D19">
            <v>392640497678275.38</v>
          </cell>
          <cell r="E19">
            <v>433736984902637.31</v>
          </cell>
          <cell r="F19">
            <v>460668185455651.31</v>
          </cell>
          <cell r="G19">
            <v>496376641147185.06</v>
          </cell>
          <cell r="H19">
            <v>542311334933452.75</v>
          </cell>
          <cell r="I19">
            <v>587597922519490.75</v>
          </cell>
          <cell r="J19">
            <v>628543000712637.75</v>
          </cell>
          <cell r="K19">
            <v>665671731769057.5</v>
          </cell>
          <cell r="L19">
            <v>700007698419765.5</v>
          </cell>
          <cell r="M19">
            <v>733010681503924.13</v>
          </cell>
          <cell r="N19">
            <v>765787386090209.38</v>
          </cell>
          <cell r="O19">
            <v>798884953307005.13</v>
          </cell>
          <cell r="P19">
            <v>832153927033403.25</v>
          </cell>
          <cell r="Q19">
            <v>865429609223943.75</v>
          </cell>
          <cell r="R19">
            <v>898532426017621.25</v>
          </cell>
          <cell r="S19">
            <v>930860452905162.25</v>
          </cell>
          <cell r="T19">
            <v>962690424695463</v>
          </cell>
          <cell r="U19">
            <v>993920056429493.88</v>
          </cell>
          <cell r="V19">
            <v>1024449299332929</v>
          </cell>
          <cell r="W19">
            <v>1054180992900283</v>
          </cell>
          <cell r="X19">
            <v>1083021486680630.6</v>
          </cell>
          <cell r="Y19">
            <v>1110881225848154</v>
          </cell>
          <cell r="Z19">
            <v>1137675295225234.3</v>
          </cell>
          <cell r="AA19">
            <v>1163323917068880.5</v>
          </cell>
          <cell r="AB19">
            <v>1187752898619723.8</v>
          </cell>
          <cell r="AC19">
            <v>1210894026134367.8</v>
          </cell>
          <cell r="AD19">
            <v>1232685402863066</v>
          </cell>
          <cell r="AE19">
            <v>1253071729183192.8</v>
          </cell>
          <cell r="AF19">
            <v>1272004523842274.5</v>
          </cell>
          <cell r="AG19">
            <v>1289442285991284</v>
          </cell>
          <cell r="AH19">
            <v>1305350598388637.5</v>
          </cell>
          <cell r="AI19">
            <v>1319702172818387.8</v>
          </cell>
          <cell r="AJ19">
            <v>1332476839384292.8</v>
          </cell>
          <cell r="AK19">
            <v>1343661481907468.8</v>
          </cell>
          <cell r="AL19">
            <v>1353249922163572.8</v>
          </cell>
          <cell r="AM19">
            <v>1361242756141381.3</v>
          </cell>
          <cell r="AN19">
            <v>1367647145885408.5</v>
          </cell>
          <cell r="AO19">
            <v>1372476570798727.8</v>
          </cell>
          <cell r="AP19">
            <v>1375750542528230.5</v>
          </cell>
          <cell r="AQ19">
            <v>1377034356418821.5</v>
          </cell>
        </row>
        <row r="20">
          <cell r="B20">
            <v>216159411308569.44</v>
          </cell>
          <cell r="C20">
            <v>219569915113713.5</v>
          </cell>
          <cell r="D20">
            <v>255777650876463.81</v>
          </cell>
          <cell r="E20">
            <v>274372997584572.88</v>
          </cell>
          <cell r="F20">
            <v>285925956830244.88</v>
          </cell>
          <cell r="G20">
            <v>294889937379631.19</v>
          </cell>
          <cell r="H20">
            <v>306823070118033.56</v>
          </cell>
          <cell r="I20">
            <v>319999773568576.38</v>
          </cell>
          <cell r="J20">
            <v>333166734110037.31</v>
          </cell>
          <cell r="K20">
            <v>346117135615378.38</v>
          </cell>
          <cell r="L20">
            <v>358630728954985.63</v>
          </cell>
          <cell r="M20">
            <v>370475366897984</v>
          </cell>
          <cell r="N20">
            <v>381269095564709.81</v>
          </cell>
          <cell r="O20">
            <v>391153971096267.94</v>
          </cell>
          <cell r="P20">
            <v>400156777580450.31</v>
          </cell>
          <cell r="Q20">
            <v>408320738206540.31</v>
          </cell>
          <cell r="R20">
            <v>415703967769315.94</v>
          </cell>
          <cell r="S20">
            <v>422174166655634.5</v>
          </cell>
          <cell r="T20">
            <v>427945153815130.19</v>
          </cell>
          <cell r="U20">
            <v>433039008029014.19</v>
          </cell>
          <cell r="V20">
            <v>437482829970578</v>
          </cell>
          <cell r="W20">
            <v>441308027166666.38</v>
          </cell>
          <cell r="X20">
            <v>444549610804844.94</v>
          </cell>
          <cell r="Y20">
            <v>447245520190513.5</v>
          </cell>
          <cell r="Z20">
            <v>449435988205794.13</v>
          </cell>
          <cell r="AA20">
            <v>451162958625433.75</v>
          </cell>
          <cell r="AB20">
            <v>452469563701955.75</v>
          </cell>
          <cell r="AC20">
            <v>453399668124311.44</v>
          </cell>
          <cell r="AD20">
            <v>453997483345990.75</v>
          </cell>
          <cell r="AE20">
            <v>454307254418352.44</v>
          </cell>
          <cell r="AF20">
            <v>454373019885836.38</v>
          </cell>
          <cell r="AG20">
            <v>454238444021264.06</v>
          </cell>
          <cell r="AH20">
            <v>453946719709661.38</v>
          </cell>
          <cell r="AI20">
            <v>453540539626743.69</v>
          </cell>
          <cell r="AJ20">
            <v>453062132995521.75</v>
          </cell>
          <cell r="AK20">
            <v>452553365129035.88</v>
          </cell>
          <cell r="AL20">
            <v>452055897164686.88</v>
          </cell>
          <cell r="AM20">
            <v>451611403851668.75</v>
          </cell>
          <cell r="AN20">
            <v>451261847955564</v>
          </cell>
          <cell r="AO20">
            <v>451049810785195.25</v>
          </cell>
          <cell r="AP20">
            <v>451018879524301.75</v>
          </cell>
          <cell r="AQ20">
            <v>451063437679402.13</v>
          </cell>
        </row>
        <row r="21">
          <cell r="B21">
            <v>169158900504464.94</v>
          </cell>
          <cell r="C21">
            <v>193986086605516.16</v>
          </cell>
          <cell r="D21">
            <v>212617729004041.34</v>
          </cell>
          <cell r="E21">
            <v>227535219098303.28</v>
          </cell>
          <cell r="F21">
            <v>253037131880249.31</v>
          </cell>
          <cell r="G21">
            <v>269311986584431.81</v>
          </cell>
          <cell r="H21">
            <v>285577545006846</v>
          </cell>
          <cell r="I21">
            <v>294539594313388.13</v>
          </cell>
          <cell r="J21">
            <v>303530089233368.81</v>
          </cell>
          <cell r="K21">
            <v>312548999581706.75</v>
          </cell>
          <cell r="L21">
            <v>321596295173320.81</v>
          </cell>
          <cell r="M21">
            <v>330671945823129.75</v>
          </cell>
          <cell r="N21">
            <v>335341123099195.13</v>
          </cell>
          <cell r="O21">
            <v>340020365459042.56</v>
          </cell>
          <cell r="P21">
            <v>344709665799725.13</v>
          </cell>
          <cell r="Q21">
            <v>349409017018295.81</v>
          </cell>
          <cell r="R21">
            <v>354118412011807.31</v>
          </cell>
          <cell r="S21">
            <v>353304421350742.38</v>
          </cell>
          <cell r="T21">
            <v>352488818439388.13</v>
          </cell>
          <cell r="U21">
            <v>351671603618007.31</v>
          </cell>
          <cell r="V21">
            <v>350852777226862.63</v>
          </cell>
          <cell r="W21">
            <v>350032339606216.44</v>
          </cell>
          <cell r="X21">
            <v>349210291096331.56</v>
          </cell>
          <cell r="Y21">
            <v>348386632037470.56</v>
          </cell>
          <cell r="Z21">
            <v>347561362769896.13</v>
          </cell>
          <cell r="AA21">
            <v>346734483633870.69</v>
          </cell>
          <cell r="AB21">
            <v>345905994969657.13</v>
          </cell>
          <cell r="AC21">
            <v>345075897117517.81</v>
          </cell>
          <cell r="AD21">
            <v>344244190417715.56</v>
          </cell>
          <cell r="AE21">
            <v>343410875210512.88</v>
          </cell>
          <cell r="AF21">
            <v>342575951836172.44</v>
          </cell>
          <cell r="AG21">
            <v>341739420634956.69</v>
          </cell>
          <cell r="AH21">
            <v>341552685670594.38</v>
          </cell>
          <cell r="AI21">
            <v>341365286411147</v>
          </cell>
          <cell r="AJ21">
            <v>341177222992719.69</v>
          </cell>
          <cell r="AK21">
            <v>340988495551417.56</v>
          </cell>
          <cell r="AL21">
            <v>340799104223345.44</v>
          </cell>
          <cell r="AM21">
            <v>340391129087574.25</v>
          </cell>
          <cell r="AN21">
            <v>339982176280330.06</v>
          </cell>
          <cell r="AO21">
            <v>339572246005770.44</v>
          </cell>
          <cell r="AP21">
            <v>339161338468053</v>
          </cell>
          <cell r="AQ21">
            <v>338637379870975.69</v>
          </cell>
        </row>
        <row r="22">
          <cell r="B22">
            <v>115937168346343.58</v>
          </cell>
          <cell r="C22">
            <v>111457196989128.25</v>
          </cell>
          <cell r="D22">
            <v>129505214322632.22</v>
          </cell>
          <cell r="E22">
            <v>130914738685888.05</v>
          </cell>
          <cell r="F22">
            <v>135923612478940.75</v>
          </cell>
          <cell r="G22">
            <v>138818625642933.44</v>
          </cell>
          <cell r="H22">
            <v>142431684205899.34</v>
          </cell>
          <cell r="I22">
            <v>146147449205917.03</v>
          </cell>
          <cell r="J22">
            <v>149477890457210.09</v>
          </cell>
          <cell r="K22">
            <v>152399432588426.19</v>
          </cell>
          <cell r="L22">
            <v>154892357085071.09</v>
          </cell>
          <cell r="M22">
            <v>156941014385951.69</v>
          </cell>
          <cell r="N22">
            <v>158468929464475.13</v>
          </cell>
          <cell r="O22">
            <v>159598964753110.94</v>
          </cell>
          <cell r="P22">
            <v>160395540565906.81</v>
          </cell>
          <cell r="Q22">
            <v>160926949652867.13</v>
          </cell>
          <cell r="R22">
            <v>161264040140319.19</v>
          </cell>
          <cell r="S22">
            <v>161394872891126.16</v>
          </cell>
          <cell r="T22">
            <v>161412982640544.66</v>
          </cell>
          <cell r="U22">
            <v>161327874268460.53</v>
          </cell>
          <cell r="V22">
            <v>161149243270890.41</v>
          </cell>
          <cell r="W22">
            <v>160886917147351.56</v>
          </cell>
          <cell r="X22">
            <v>160550802213686.94</v>
          </cell>
          <cell r="Y22">
            <v>160150836104584.69</v>
          </cell>
          <cell r="Z22">
            <v>159696946146546.66</v>
          </cell>
          <cell r="AA22">
            <v>159199013707529.06</v>
          </cell>
          <cell r="AB22">
            <v>158666844564518.25</v>
          </cell>
          <cell r="AC22">
            <v>158110145275246.09</v>
          </cell>
          <cell r="AD22">
            <v>157538505495342.97</v>
          </cell>
          <cell r="AE22">
            <v>156961386147392.34</v>
          </cell>
          <cell r="AF22">
            <v>156388113323568.56</v>
          </cell>
          <cell r="AG22">
            <v>155827877788501.56</v>
          </cell>
          <cell r="AH22">
            <v>155289739943503.53</v>
          </cell>
          <cell r="AI22">
            <v>154782640116944.28</v>
          </cell>
          <cell r="AJ22">
            <v>154315414058101.91</v>
          </cell>
          <cell r="AK22">
            <v>153896813532904.38</v>
          </cell>
          <cell r="AL22">
            <v>153535531949404.41</v>
          </cell>
          <cell r="AM22">
            <v>153240234978424.91</v>
          </cell>
          <cell r="AN22">
            <v>153019596180532.91</v>
          </cell>
          <cell r="AO22">
            <v>152882337704398.91</v>
          </cell>
          <cell r="AP22">
            <v>152837276183976.06</v>
          </cell>
          <cell r="AQ22">
            <v>152842355409472.53</v>
          </cell>
        </row>
        <row r="23">
          <cell r="B23">
            <v>312974187271704.75</v>
          </cell>
          <cell r="C23">
            <v>334734199258737.25</v>
          </cell>
          <cell r="D23">
            <v>403289344545443.75</v>
          </cell>
          <cell r="E23">
            <v>393346437876897.63</v>
          </cell>
          <cell r="F23">
            <v>410567798958512.63</v>
          </cell>
          <cell r="G23">
            <v>424661186318965.25</v>
          </cell>
          <cell r="H23">
            <v>442244781640162.06</v>
          </cell>
          <cell r="I23">
            <v>459684778281565.06</v>
          </cell>
          <cell r="J23">
            <v>475194739443722.81</v>
          </cell>
          <cell r="K23">
            <v>488868939468661.31</v>
          </cell>
          <cell r="L23">
            <v>500861684474776.69</v>
          </cell>
          <cell r="M23">
            <v>511379062645974.06</v>
          </cell>
          <cell r="N23">
            <v>520401414037836.13</v>
          </cell>
          <cell r="O23">
            <v>528354869077656.44</v>
          </cell>
          <cell r="P23">
            <v>535427330839457</v>
          </cell>
          <cell r="Q23">
            <v>541824686757025.38</v>
          </cell>
          <cell r="R23">
            <v>547767582812605.81</v>
          </cell>
          <cell r="S23">
            <v>553195887443271.31</v>
          </cell>
          <cell r="T23">
            <v>558395816169090.19</v>
          </cell>
          <cell r="U23">
            <v>563366274569883.25</v>
          </cell>
          <cell r="V23">
            <v>568106671849696</v>
          </cell>
          <cell r="W23">
            <v>572616910935945.63</v>
          </cell>
          <cell r="X23">
            <v>576897377257439.5</v>
          </cell>
          <cell r="Y23">
            <v>580948926304892.5</v>
          </cell>
          <cell r="Z23">
            <v>584772870079677.75</v>
          </cell>
          <cell r="AA23">
            <v>588370962537861.5</v>
          </cell>
          <cell r="AB23">
            <v>591745384137235</v>
          </cell>
          <cell r="AC23">
            <v>594898725594939.63</v>
          </cell>
          <cell r="AD23">
            <v>597833970962658.5</v>
          </cell>
          <cell r="AE23">
            <v>600554480124997.88</v>
          </cell>
          <cell r="AF23">
            <v>603063970824854.88</v>
          </cell>
          <cell r="AG23">
            <v>605366500317243.25</v>
          </cell>
          <cell r="AH23">
            <v>607466446750187</v>
          </cell>
          <cell r="AI23">
            <v>609368490368108.75</v>
          </cell>
          <cell r="AJ23">
            <v>611077594629530.13</v>
          </cell>
          <cell r="AK23">
            <v>612598987327010.25</v>
          </cell>
          <cell r="AL23">
            <v>613938141793070.75</v>
          </cell>
          <cell r="AM23">
            <v>615100758271464.88</v>
          </cell>
          <cell r="AN23">
            <v>616092745528589.38</v>
          </cell>
          <cell r="AO23">
            <v>616920202775103.25</v>
          </cell>
          <cell r="AP23">
            <v>617589401963085.38</v>
          </cell>
          <cell r="AQ23">
            <v>617900978457417.63</v>
          </cell>
        </row>
        <row r="24">
          <cell r="B24">
            <v>63414481644601.148</v>
          </cell>
          <cell r="C24">
            <v>57845013463928.055</v>
          </cell>
          <cell r="D24">
            <v>73226039627205.234</v>
          </cell>
          <cell r="E24">
            <v>76842252846136.141</v>
          </cell>
          <cell r="F24">
            <v>82683356761992.234</v>
          </cell>
          <cell r="G24">
            <v>91890575334285.891</v>
          </cell>
          <cell r="H24">
            <v>104136530027959.31</v>
          </cell>
          <cell r="I24">
            <v>116538532215705.47</v>
          </cell>
          <cell r="J24">
            <v>128087996465213.2</v>
          </cell>
          <cell r="K24">
            <v>138854415107088.44</v>
          </cell>
          <cell r="L24">
            <v>149095059220489.69</v>
          </cell>
          <cell r="M24">
            <v>159242516835732.28</v>
          </cell>
          <cell r="N24">
            <v>169694453137439.22</v>
          </cell>
          <cell r="O24">
            <v>180626223966957.47</v>
          </cell>
          <cell r="P24">
            <v>192030416314174.69</v>
          </cell>
          <cell r="Q24">
            <v>203895118921278.84</v>
          </cell>
          <cell r="R24">
            <v>216203510680741.53</v>
          </cell>
          <cell r="S24">
            <v>228828931323479.53</v>
          </cell>
          <cell r="T24">
            <v>241835561966337.38</v>
          </cell>
          <cell r="U24">
            <v>255188015147235</v>
          </cell>
          <cell r="V24">
            <v>268844463885925.91</v>
          </cell>
          <cell r="W24">
            <v>282756418589095.25</v>
          </cell>
          <cell r="X24">
            <v>296868579002253.88</v>
          </cell>
          <cell r="Y24">
            <v>311118773887208.06</v>
          </cell>
          <cell r="Z24">
            <v>325438000866449.44</v>
          </cell>
          <cell r="AA24">
            <v>339750578264904.06</v>
          </cell>
          <cell r="AB24">
            <v>353974419755186</v>
          </cell>
          <cell r="AC24">
            <v>368021441143056.69</v>
          </cell>
          <cell r="AD24">
            <v>381798106694273.94</v>
          </cell>
          <cell r="AE24">
            <v>395206119995221.13</v>
          </cell>
          <cell r="AF24">
            <v>408143261466444.63</v>
          </cell>
          <cell r="AG24">
            <v>420504371337974.06</v>
          </cell>
          <cell r="AH24">
            <v>432182473195719.25</v>
          </cell>
          <cell r="AI24">
            <v>443070029188674.31</v>
          </cell>
          <cell r="AJ24">
            <v>453060313738226.69</v>
          </cell>
          <cell r="AK24">
            <v>462048888226343.63</v>
          </cell>
          <cell r="AL24">
            <v>469935154791042.38</v>
          </cell>
          <cell r="AM24">
            <v>476623963174743.19</v>
          </cell>
          <cell r="AN24">
            <v>482027240715927.19</v>
          </cell>
          <cell r="AO24">
            <v>486065612216678.19</v>
          </cell>
          <cell r="AP24">
            <v>488669973729057.44</v>
          </cell>
          <cell r="AQ24">
            <v>489619448896316.31</v>
          </cell>
        </row>
        <row r="25">
          <cell r="B25">
            <v>239916515672055.38</v>
          </cell>
          <cell r="C25">
            <v>262712249130407.56</v>
          </cell>
          <cell r="D25">
            <v>310280947769092.19</v>
          </cell>
          <cell r="E25">
            <v>333585078851835.56</v>
          </cell>
          <cell r="F25">
            <v>352760310824392.5</v>
          </cell>
          <cell r="G25">
            <v>378661274533439</v>
          </cell>
          <cell r="H25">
            <v>412335747940371.25</v>
          </cell>
          <cell r="I25">
            <v>445962677949429.56</v>
          </cell>
          <cell r="J25">
            <v>476900882065829.63</v>
          </cell>
          <cell r="K25">
            <v>505412318148065.75</v>
          </cell>
          <cell r="L25">
            <v>532063643839828</v>
          </cell>
          <cell r="M25">
            <v>557698001349016.94</v>
          </cell>
          <cell r="N25">
            <v>583165857870266</v>
          </cell>
          <cell r="O25">
            <v>608683622454758.5</v>
          </cell>
          <cell r="P25">
            <v>634260673636158.75</v>
          </cell>
          <cell r="Q25">
            <v>659921446647811.25</v>
          </cell>
          <cell r="R25">
            <v>685706502400929.63</v>
          </cell>
          <cell r="S25">
            <v>711622787702311.75</v>
          </cell>
          <cell r="T25">
            <v>737661259983508</v>
          </cell>
          <cell r="U25">
            <v>763766288656410.38</v>
          </cell>
          <cell r="V25">
            <v>789876822271750.75</v>
          </cell>
          <cell r="W25">
            <v>815925826271221.25</v>
          </cell>
          <cell r="X25">
            <v>841839750935170.13</v>
          </cell>
          <cell r="Y25">
            <v>867538055036082.25</v>
          </cell>
          <cell r="Z25">
            <v>892932813289790.75</v>
          </cell>
          <cell r="AA25">
            <v>917928437712691</v>
          </cell>
          <cell r="AB25">
            <v>942421544259528.5</v>
          </cell>
          <cell r="AC25">
            <v>966300996443085</v>
          </cell>
          <cell r="AD25">
            <v>989448156838751.5</v>
          </cell>
          <cell r="AE25">
            <v>1011737375282087.5</v>
          </cell>
          <cell r="AF25">
            <v>1033036739031132.8</v>
          </cell>
          <cell r="AG25">
            <v>1053209105082224</v>
          </cell>
          <cell r="AH25">
            <v>1072113428146708.5</v>
          </cell>
          <cell r="AI25">
            <v>1089606389532717.8</v>
          </cell>
          <cell r="AJ25">
            <v>1105544322427239.5</v>
          </cell>
          <cell r="AK25">
            <v>1119785418026583.8</v>
          </cell>
          <cell r="AL25">
            <v>1132192184903107.5</v>
          </cell>
          <cell r="AM25">
            <v>1142634121307740.8</v>
          </cell>
          <cell r="AN25">
            <v>1150990547273023</v>
          </cell>
          <cell r="AO25">
            <v>1157153530966787</v>
          </cell>
          <cell r="AP25">
            <v>1161030832387289.8</v>
          </cell>
          <cell r="AQ25">
            <v>1162160614664508</v>
          </cell>
        </row>
        <row r="26">
          <cell r="B26">
            <v>338386247116500</v>
          </cell>
          <cell r="C26">
            <v>345186361492500</v>
          </cell>
          <cell r="D26">
            <v>375918906871357.31</v>
          </cell>
          <cell r="E26">
            <v>371828778754778.13</v>
          </cell>
          <cell r="F26">
            <v>397322111708680.81</v>
          </cell>
          <cell r="G26">
            <v>418129162646385.44</v>
          </cell>
          <cell r="H26">
            <v>435941380738961.19</v>
          </cell>
          <cell r="I26">
            <v>459582960319056.31</v>
          </cell>
          <cell r="J26">
            <v>480096567644311.44</v>
          </cell>
          <cell r="K26">
            <v>500199721056672.25</v>
          </cell>
          <cell r="L26">
            <v>519815251806855</v>
          </cell>
          <cell r="M26">
            <v>541899847342931.31</v>
          </cell>
          <cell r="N26">
            <v>557011350026808.88</v>
          </cell>
          <cell r="O26">
            <v>574454301355153.25</v>
          </cell>
          <cell r="P26">
            <v>591154189883142.63</v>
          </cell>
          <cell r="Q26">
            <v>607072369506860.63</v>
          </cell>
          <cell r="R26">
            <v>620892968298265.25</v>
          </cell>
          <cell r="S26">
            <v>636117192643633.13</v>
          </cell>
          <cell r="T26">
            <v>649195939230745.38</v>
          </cell>
          <cell r="U26">
            <v>661411400308885.5</v>
          </cell>
          <cell r="V26">
            <v>672768020630185.75</v>
          </cell>
          <cell r="W26">
            <v>683277854536012.38</v>
          </cell>
          <cell r="X26">
            <v>692960140125031.25</v>
          </cell>
          <cell r="Y26">
            <v>701840825939297.5</v>
          </cell>
          <cell r="Z26">
            <v>709952063426203</v>
          </cell>
          <cell r="AA26">
            <v>717331678014955.13</v>
          </cell>
          <cell r="AB26">
            <v>724022631004524.5</v>
          </cell>
          <cell r="AC26">
            <v>730072483643233.25</v>
          </cell>
          <cell r="AD26">
            <v>735532873834636</v>
          </cell>
          <cell r="AE26">
            <v>740459014875531.13</v>
          </cell>
          <cell r="AF26">
            <v>744909224562038.63</v>
          </cell>
          <cell r="AG26">
            <v>748944491927687.75</v>
          </cell>
          <cell r="AH26">
            <v>752628087837851.13</v>
          </cell>
          <cell r="AI26">
            <v>756025224688271.75</v>
          </cell>
          <cell r="AJ26">
            <v>759202769567263.13</v>
          </cell>
          <cell r="AK26">
            <v>762229014463167.38</v>
          </cell>
          <cell r="AL26">
            <v>765173506448281</v>
          </cell>
          <cell r="AM26">
            <v>768106940261634</v>
          </cell>
          <cell r="AN26">
            <v>771101115357031.63</v>
          </cell>
          <cell r="AO26">
            <v>774228959288617.88</v>
          </cell>
          <cell r="AP26">
            <v>777564619281311.5</v>
          </cell>
          <cell r="AQ26">
            <v>781084707406340.13</v>
          </cell>
        </row>
      </sheetData>
      <sheetData sheetId="48">
        <row r="2">
          <cell r="B2">
            <v>661122231000</v>
          </cell>
          <cell r="C2">
            <v>1061128959000.0001</v>
          </cell>
          <cell r="D2">
            <v>1109103146179.6763</v>
          </cell>
          <cell r="E2">
            <v>1190491163077.041</v>
          </cell>
          <cell r="F2">
            <v>1282105529051.7026</v>
          </cell>
          <cell r="G2">
            <v>1346035780570.3391</v>
          </cell>
          <cell r="H2">
            <v>1381404029467.2114</v>
          </cell>
          <cell r="I2">
            <v>1470772816440.2158</v>
          </cell>
          <cell r="J2">
            <v>1531870361196.4922</v>
          </cell>
          <cell r="K2">
            <v>1591053136860.4717</v>
          </cell>
          <cell r="L2">
            <v>1648070940691.9709</v>
          </cell>
          <cell r="M2">
            <v>1731385688700.0671</v>
          </cell>
          <cell r="N2">
            <v>1754801303494.2419</v>
          </cell>
          <cell r="O2">
            <v>1804154121867.802</v>
          </cell>
          <cell r="P2">
            <v>1850620278281.2683</v>
          </cell>
          <cell r="Q2">
            <v>1894092955367.4756</v>
          </cell>
          <cell r="R2">
            <v>1922599208393.948</v>
          </cell>
          <cell r="S2">
            <v>1971271637145.3896</v>
          </cell>
          <cell r="T2">
            <v>2004899518214.0627</v>
          </cell>
          <cell r="U2">
            <v>2035394309493.5117</v>
          </cell>
          <cell r="V2">
            <v>2062797525363.9241</v>
          </cell>
          <cell r="W2">
            <v>2087175862338.5723</v>
          </cell>
          <cell r="X2">
            <v>2108619296573.1899</v>
          </cell>
          <cell r="Y2">
            <v>2127239043442.8372</v>
          </cell>
          <cell r="Z2">
            <v>2143165429547.9221</v>
          </cell>
          <cell r="AA2">
            <v>2156545724752.0972</v>
          </cell>
          <cell r="AB2">
            <v>2167541978326.1545</v>
          </cell>
          <cell r="AC2">
            <v>2176328899172.4988</v>
          </cell>
          <cell r="AD2">
            <v>2183091815626.3569</v>
          </cell>
          <cell r="AE2">
            <v>2188024745652.1177</v>
          </cell>
          <cell r="AF2">
            <v>2191328603538.9253</v>
          </cell>
          <cell r="AG2">
            <v>2193209564593.4438</v>
          </cell>
          <cell r="AH2">
            <v>2193877604951.479</v>
          </cell>
          <cell r="AI2">
            <v>2193545229587.1709</v>
          </cell>
          <cell r="AJ2">
            <v>2192426397968.5671</v>
          </cell>
          <cell r="AK2">
            <v>2190735653653.9529</v>
          </cell>
          <cell r="AL2">
            <v>2188687461487.7144</v>
          </cell>
          <cell r="AM2">
            <v>2186495753966.7593</v>
          </cell>
          <cell r="AN2">
            <v>2184373686824.8232</v>
          </cell>
          <cell r="AO2">
            <v>2182533602928.46</v>
          </cell>
          <cell r="AP2">
            <v>2181187203195.3159</v>
          </cell>
          <cell r="AQ2">
            <v>2180036932429.991</v>
          </cell>
        </row>
        <row r="3">
          <cell r="B3">
            <v>6683445747000</v>
          </cell>
          <cell r="C3">
            <v>5944544430000.002</v>
          </cell>
          <cell r="D3">
            <v>6875374066829.1748</v>
          </cell>
          <cell r="E3">
            <v>7934894697157.3369</v>
          </cell>
          <cell r="F3">
            <v>8799241805312.5547</v>
          </cell>
          <cell r="G3">
            <v>9272886042121.8242</v>
          </cell>
          <cell r="H3">
            <v>9732864126919.625</v>
          </cell>
          <cell r="I3">
            <v>9906602216330.5898</v>
          </cell>
          <cell r="J3">
            <v>10080731859680.605</v>
          </cell>
          <cell r="K3">
            <v>10255249091016.594</v>
          </cell>
          <cell r="L3">
            <v>10430149948610.695</v>
          </cell>
          <cell r="M3">
            <v>10605430474960.295</v>
          </cell>
          <cell r="N3">
            <v>10676067302482.881</v>
          </cell>
          <cell r="O3">
            <v>10746779942969.201</v>
          </cell>
          <cell r="P3">
            <v>10817567687874.154</v>
          </cell>
          <cell r="Q3">
            <v>10888429829169.414</v>
          </cell>
          <cell r="R3">
            <v>10959365659343.412</v>
          </cell>
          <cell r="S3">
            <v>10855793610499.85</v>
          </cell>
          <cell r="T3">
            <v>10752274798251.045</v>
          </cell>
          <cell r="U3">
            <v>10648809302466.443</v>
          </cell>
          <cell r="V3">
            <v>10545397202992.07</v>
          </cell>
          <cell r="W3">
            <v>10442038579650.547</v>
          </cell>
          <cell r="X3">
            <v>10278507880130.934</v>
          </cell>
          <cell r="Y3">
            <v>10115064644297.82</v>
          </cell>
          <cell r="Z3">
            <v>9951708999389.8008</v>
          </cell>
          <cell r="AA3">
            <v>9788441072608.0098</v>
          </cell>
          <cell r="AB3">
            <v>9625260991116.1328</v>
          </cell>
          <cell r="AC3">
            <v>9462168882040.3926</v>
          </cell>
          <cell r="AD3">
            <v>9299164872469.5566</v>
          </cell>
          <cell r="AE3">
            <v>9136249089454.9258</v>
          </cell>
          <cell r="AF3">
            <v>8973421660010.3496</v>
          </cell>
          <cell r="AG3">
            <v>8810682711112.2188</v>
          </cell>
          <cell r="AH3">
            <v>8607995182802.708</v>
          </cell>
          <cell r="AI3">
            <v>8405419151704.9453</v>
          </cell>
          <cell r="AJ3">
            <v>8202954776270.1787</v>
          </cell>
          <cell r="AK3">
            <v>8000602214902.8516</v>
          </cell>
          <cell r="AL3">
            <v>7798361625960.5713</v>
          </cell>
          <cell r="AM3">
            <v>7636213342321.249</v>
          </cell>
          <cell r="AN3">
            <v>7474154479612.8496</v>
          </cell>
          <cell r="AO3">
            <v>7312185164500.3906</v>
          </cell>
          <cell r="AP3">
            <v>7150305523611.4316</v>
          </cell>
          <cell r="AQ3">
            <v>6986182289317.8691</v>
          </cell>
        </row>
        <row r="4">
          <cell r="B4">
            <v>26317109312999.992</v>
          </cell>
          <cell r="C4">
            <v>25436538946500</v>
          </cell>
          <cell r="D4">
            <v>26672687293669.699</v>
          </cell>
          <cell r="E4">
            <v>29257352687242.645</v>
          </cell>
          <cell r="F4">
            <v>32102894660297.145</v>
          </cell>
          <cell r="G4">
            <v>33868305427166.426</v>
          </cell>
          <cell r="H4">
            <v>35624357207179.992</v>
          </cell>
          <cell r="I4">
            <v>36472499035066.773</v>
          </cell>
          <cell r="J4">
            <v>37319277574773.688</v>
          </cell>
          <cell r="K4">
            <v>38164693477253.547</v>
          </cell>
          <cell r="L4">
            <v>39008747393594.352</v>
          </cell>
          <cell r="M4">
            <v>39851439975019.297</v>
          </cell>
          <cell r="N4">
            <v>40398582807403.914</v>
          </cell>
          <cell r="O4">
            <v>40945112494004.531</v>
          </cell>
          <cell r="P4">
            <v>41491029233654.07</v>
          </cell>
          <cell r="Q4">
            <v>42036333225214.234</v>
          </cell>
          <cell r="R4">
            <v>42581024667575.391</v>
          </cell>
          <cell r="S4">
            <v>43136458985512.703</v>
          </cell>
          <cell r="T4">
            <v>43691580492469.07</v>
          </cell>
          <cell r="U4">
            <v>44246389233197.375</v>
          </cell>
          <cell r="V4">
            <v>44800885252451.281</v>
          </cell>
          <cell r="W4">
            <v>45355068594985.234</v>
          </cell>
          <cell r="X4">
            <v>45625412344278.047</v>
          </cell>
          <cell r="Y4">
            <v>45895600569438.945</v>
          </cell>
          <cell r="Z4">
            <v>46165633292829.531</v>
          </cell>
          <cell r="AA4">
            <v>46435510536811.813</v>
          </cell>
          <cell r="AB4">
            <v>46705232323748.148</v>
          </cell>
          <cell r="AC4">
            <v>46974798676001.328</v>
          </cell>
          <cell r="AD4">
            <v>47244209615934.5</v>
          </cell>
          <cell r="AE4">
            <v>47513465165911.219</v>
          </cell>
          <cell r="AF4">
            <v>47782565348295.43</v>
          </cell>
          <cell r="AG4">
            <v>48051510185451.492</v>
          </cell>
          <cell r="AH4">
            <v>48320158498195.016</v>
          </cell>
          <cell r="AI4">
            <v>48588651588803.07</v>
          </cell>
          <cell r="AJ4">
            <v>48856989479629.945</v>
          </cell>
          <cell r="AK4">
            <v>49125172193030.359</v>
          </cell>
          <cell r="AL4">
            <v>49393199751359.422</v>
          </cell>
          <cell r="AM4">
            <v>49379314628748.805</v>
          </cell>
          <cell r="AN4">
            <v>49365430905915.227</v>
          </cell>
          <cell r="AO4">
            <v>49351548582862.336</v>
          </cell>
          <cell r="AP4">
            <v>49337667659593.813</v>
          </cell>
          <cell r="AQ4">
            <v>49307319425550.406</v>
          </cell>
        </row>
        <row r="5">
          <cell r="B5">
            <v>22828161741000</v>
          </cell>
          <cell r="C5">
            <v>22925385598499.996</v>
          </cell>
          <cell r="D5">
            <v>24524610553324.66</v>
          </cell>
          <cell r="E5">
            <v>26475556983841.133</v>
          </cell>
          <cell r="F5">
            <v>27927170754690.031</v>
          </cell>
          <cell r="G5">
            <v>28368766365369.367</v>
          </cell>
          <cell r="H5">
            <v>28779148411249.688</v>
          </cell>
          <cell r="I5">
            <v>29173229702363.605</v>
          </cell>
          <cell r="J5">
            <v>29567397706407.223</v>
          </cell>
          <cell r="K5">
            <v>29961642578240.449</v>
          </cell>
          <cell r="L5">
            <v>30355954484192.797</v>
          </cell>
          <cell r="M5">
            <v>30750323602063.383</v>
          </cell>
          <cell r="N5">
            <v>30431321320139.422</v>
          </cell>
          <cell r="O5">
            <v>30112108836103.293</v>
          </cell>
          <cell r="P5">
            <v>29792688738896.691</v>
          </cell>
          <cell r="Q5">
            <v>29473063615550.035</v>
          </cell>
          <cell r="R5">
            <v>29153236051182.473</v>
          </cell>
          <cell r="S5">
            <v>28646460825111.621</v>
          </cell>
          <cell r="T5">
            <v>28140140114606.18</v>
          </cell>
          <cell r="U5">
            <v>27634274231428.98</v>
          </cell>
          <cell r="V5">
            <v>27128863487239.059</v>
          </cell>
          <cell r="W5">
            <v>26623908193591.645</v>
          </cell>
          <cell r="X5">
            <v>25916583803302.973</v>
          </cell>
          <cell r="Y5">
            <v>25209919434665.387</v>
          </cell>
          <cell r="Z5">
            <v>24503915560757.523</v>
          </cell>
          <cell r="AA5">
            <v>23798572654501.574</v>
          </cell>
          <cell r="AB5">
            <v>23093891188663.301</v>
          </cell>
          <cell r="AC5">
            <v>22542879033431.785</v>
          </cell>
          <cell r="AD5">
            <v>21992393728484.156</v>
          </cell>
          <cell r="AE5">
            <v>21442435672610.652</v>
          </cell>
          <cell r="AF5">
            <v>20893005264470.816</v>
          </cell>
          <cell r="AG5">
            <v>20344102902593.563</v>
          </cell>
          <cell r="AH5">
            <v>19999823413256.516</v>
          </cell>
          <cell r="AI5">
            <v>19655883953284.195</v>
          </cell>
          <cell r="AJ5">
            <v>19312284804275.875</v>
          </cell>
          <cell r="AK5">
            <v>18969026247739.918</v>
          </cell>
          <cell r="AL5">
            <v>18626108565093.758</v>
          </cell>
          <cell r="AM5">
            <v>18434454450600.848</v>
          </cell>
          <cell r="AN5">
            <v>18243008967621.055</v>
          </cell>
          <cell r="AO5">
            <v>18051772330483.254</v>
          </cell>
          <cell r="AP5">
            <v>17860744753449.266</v>
          </cell>
          <cell r="AQ5">
            <v>17664026642216.184</v>
          </cell>
        </row>
        <row r="6">
          <cell r="B6">
            <v>195436620522000</v>
          </cell>
          <cell r="C6">
            <v>223864876455000.03</v>
          </cell>
          <cell r="D6">
            <v>258282967501938.69</v>
          </cell>
          <cell r="E6">
            <v>277921994105796.66</v>
          </cell>
          <cell r="F6">
            <v>289537699588907.94</v>
          </cell>
          <cell r="G6">
            <v>297734391632779</v>
          </cell>
          <cell r="H6">
            <v>308559712363536.44</v>
          </cell>
          <cell r="I6">
            <v>320443192784877.25</v>
          </cell>
          <cell r="J6">
            <v>332283802433364.94</v>
          </cell>
          <cell r="K6">
            <v>343860189161274.19</v>
          </cell>
          <cell r="L6">
            <v>354933896137575.81</v>
          </cell>
          <cell r="M6">
            <v>365251254458827.81</v>
          </cell>
          <cell r="N6">
            <v>374617630132325.69</v>
          </cell>
          <cell r="O6">
            <v>382975380387313.13</v>
          </cell>
          <cell r="P6">
            <v>390351214272928.38</v>
          </cell>
          <cell r="Q6">
            <v>396787721502162.88</v>
          </cell>
          <cell r="R6">
            <v>402341654257834.5</v>
          </cell>
          <cell r="S6">
            <v>406996418434062.31</v>
          </cell>
          <cell r="T6">
            <v>410864487333379.19</v>
          </cell>
          <cell r="U6">
            <v>413981429472871.5</v>
          </cell>
          <cell r="V6">
            <v>416388347726093.19</v>
          </cell>
          <cell r="W6">
            <v>418130957735398.56</v>
          </cell>
          <cell r="X6">
            <v>419258697615665.13</v>
          </cell>
          <cell r="Y6">
            <v>419823886431518.75</v>
          </cell>
          <cell r="Z6">
            <v>419880945414843.38</v>
          </cell>
          <cell r="AA6">
            <v>419485692510080.94</v>
          </cell>
          <cell r="AB6">
            <v>418694717701716.69</v>
          </cell>
          <cell r="AC6">
            <v>417564843772559.56</v>
          </cell>
          <cell r="AD6">
            <v>416152674717311.44</v>
          </cell>
          <cell r="AE6">
            <v>414514232024037.69</v>
          </cell>
          <cell r="AF6">
            <v>412704677447246.56</v>
          </cell>
          <cell r="AG6">
            <v>410778119725240.81</v>
          </cell>
          <cell r="AH6">
            <v>408787501924593</v>
          </cell>
          <cell r="AI6">
            <v>406784565701911.69</v>
          </cell>
          <cell r="AJ6">
            <v>404819888729590</v>
          </cell>
          <cell r="AK6">
            <v>402942991809765.63</v>
          </cell>
          <cell r="AL6">
            <v>401202512773641.88</v>
          </cell>
          <cell r="AM6">
            <v>399646445111477.25</v>
          </cell>
          <cell r="AN6">
            <v>398322440389320.06</v>
          </cell>
          <cell r="AO6">
            <v>397278174879500.25</v>
          </cell>
          <cell r="AP6">
            <v>396561782472575.06</v>
          </cell>
          <cell r="AQ6">
            <v>396089718826426.31</v>
          </cell>
        </row>
        <row r="7">
          <cell r="B7">
            <v>314471955996000</v>
          </cell>
          <cell r="C7">
            <v>308382964692000</v>
          </cell>
          <cell r="D7">
            <v>318525604657287.38</v>
          </cell>
          <cell r="E7">
            <v>324992053238251.75</v>
          </cell>
          <cell r="F7">
            <v>333690464419302.94</v>
          </cell>
          <cell r="G7">
            <v>336214777270770.56</v>
          </cell>
          <cell r="H7">
            <v>339851407263795.25</v>
          </cell>
          <cell r="I7">
            <v>344161242206417.06</v>
          </cell>
          <cell r="J7">
            <v>348129800556472.25</v>
          </cell>
          <cell r="K7">
            <v>351305282043331.38</v>
          </cell>
          <cell r="L7">
            <v>353224243778331.88</v>
          </cell>
          <cell r="M7">
            <v>353424709987298.69</v>
          </cell>
          <cell r="N7">
            <v>351834113821349.25</v>
          </cell>
          <cell r="O7">
            <v>348570668316234.13</v>
          </cell>
          <cell r="P7">
            <v>344133970349382.5</v>
          </cell>
          <cell r="Q7">
            <v>339015818987492.88</v>
          </cell>
          <cell r="R7">
            <v>333687512436092.94</v>
          </cell>
          <cell r="S7">
            <v>328723922465414</v>
          </cell>
          <cell r="T7">
            <v>323986318746143.06</v>
          </cell>
          <cell r="U7">
            <v>319469939659332.31</v>
          </cell>
          <cell r="V7">
            <v>315170317043675.25</v>
          </cell>
          <cell r="W7">
            <v>311083260843136.19</v>
          </cell>
          <cell r="X7">
            <v>307204846354417.5</v>
          </cell>
          <cell r="Y7">
            <v>303531404042073.5</v>
          </cell>
          <cell r="Z7">
            <v>300059511824483.56</v>
          </cell>
          <cell r="AA7">
            <v>296785989686781.06</v>
          </cell>
          <cell r="AB7">
            <v>293707896446134.88</v>
          </cell>
          <cell r="AC7">
            <v>290822528479010.19</v>
          </cell>
          <cell r="AD7">
            <v>288127420217048.44</v>
          </cell>
          <cell r="AE7">
            <v>285620346226026.44</v>
          </cell>
          <cell r="AF7">
            <v>283299324698569.56</v>
          </cell>
          <cell r="AG7">
            <v>281162622214002.03</v>
          </cell>
          <cell r="AH7">
            <v>279208759646127.97</v>
          </cell>
          <cell r="AI7">
            <v>277436519130205.44</v>
          </cell>
          <cell r="AJ7">
            <v>275844952032976.28</v>
          </cell>
          <cell r="AK7">
            <v>274433387903353.94</v>
          </cell>
          <cell r="AL7">
            <v>273201444416033.44</v>
          </cell>
          <cell r="AM7">
            <v>272149038355680.81</v>
          </cell>
          <cell r="AN7">
            <v>271276397725929.22</v>
          </cell>
          <cell r="AO7">
            <v>270584075105749.56</v>
          </cell>
          <cell r="AP7">
            <v>270072962417087.75</v>
          </cell>
          <cell r="AQ7">
            <v>269654242436122.69</v>
          </cell>
        </row>
        <row r="8">
          <cell r="B8">
            <v>6939005601000</v>
          </cell>
          <cell r="C8">
            <v>7297344961499.999</v>
          </cell>
          <cell r="D8">
            <v>7739457801366.1172</v>
          </cell>
          <cell r="E8">
            <v>8522970759374.6455</v>
          </cell>
          <cell r="F8">
            <v>8695041577295.8281</v>
          </cell>
          <cell r="G8">
            <v>8752184986376.293</v>
          </cell>
          <cell r="H8">
            <v>8855862538165.2012</v>
          </cell>
          <cell r="I8">
            <v>8993762717881.6465</v>
          </cell>
          <cell r="J8">
            <v>9145710880210.0156</v>
          </cell>
          <cell r="K8">
            <v>9300125092838.6641</v>
          </cell>
          <cell r="L8">
            <v>9444637264502.8223</v>
          </cell>
          <cell r="M8">
            <v>9566144394077.4219</v>
          </cell>
          <cell r="N8">
            <v>9671142326013.4277</v>
          </cell>
          <cell r="O8">
            <v>9741562651806.3184</v>
          </cell>
          <cell r="P8">
            <v>9779267044236.623</v>
          </cell>
          <cell r="Q8">
            <v>9786504933903.8359</v>
          </cell>
          <cell r="R8">
            <v>9765834924159.0586</v>
          </cell>
          <cell r="S8">
            <v>9737941589833.8965</v>
          </cell>
          <cell r="T8">
            <v>9687137961494.25</v>
          </cell>
          <cell r="U8">
            <v>9615727628751.3691</v>
          </cell>
          <cell r="V8">
            <v>9526096626253.0469</v>
          </cell>
          <cell r="W8">
            <v>9420669798043.5195</v>
          </cell>
          <cell r="X8">
            <v>9301871961271.7441</v>
          </cell>
          <cell r="Y8">
            <v>9172094317970.1406</v>
          </cell>
          <cell r="Z8">
            <v>9033666342441.916</v>
          </cell>
          <cell r="AA8">
            <v>8888833179921.6328</v>
          </cell>
          <cell r="AB8">
            <v>8739738432932.4053</v>
          </cell>
          <cell r="AC8">
            <v>8588412086381.4795</v>
          </cell>
          <cell r="AD8">
            <v>8436763230420.3242</v>
          </cell>
          <cell r="AE8">
            <v>8286577179633.6777</v>
          </cell>
          <cell r="AF8">
            <v>8139516555462.4697</v>
          </cell>
          <cell r="AG8">
            <v>7997125892613.6719</v>
          </cell>
          <cell r="AH8">
            <v>7860839346019.6328</v>
          </cell>
          <cell r="AI8">
            <v>7731991109196.1885</v>
          </cell>
          <cell r="AJ8">
            <v>7611828204392.1777</v>
          </cell>
          <cell r="AK8">
            <v>7501525366960.9629</v>
          </cell>
          <cell r="AL8">
            <v>7402201818745.082</v>
          </cell>
          <cell r="AM8">
            <v>7314939806474.8623</v>
          </cell>
          <cell r="AN8">
            <v>7240804870550.0283</v>
          </cell>
          <cell r="AO8">
            <v>7180867907268.8945</v>
          </cell>
          <cell r="AP8">
            <v>7136229194703.5566</v>
          </cell>
          <cell r="AQ8">
            <v>7105647621773.5098</v>
          </cell>
        </row>
        <row r="9">
          <cell r="B9">
            <v>208311837079500</v>
          </cell>
          <cell r="C9">
            <v>220934271607500</v>
          </cell>
          <cell r="D9">
            <v>232363304307085.09</v>
          </cell>
          <cell r="E9">
            <v>257722045323760.72</v>
          </cell>
          <cell r="F9">
            <v>281185718175982.38</v>
          </cell>
          <cell r="G9">
            <v>295147119445259.56</v>
          </cell>
          <cell r="H9">
            <v>309012971295121.56</v>
          </cell>
          <cell r="I9">
            <v>316459148486437</v>
          </cell>
          <cell r="J9">
            <v>323889695225994.63</v>
          </cell>
          <cell r="K9">
            <v>331298448165015</v>
          </cell>
          <cell r="L9">
            <v>338678607363019.44</v>
          </cell>
          <cell r="M9">
            <v>346022809770657.25</v>
          </cell>
          <cell r="N9">
            <v>349693387335077.88</v>
          </cell>
          <cell r="O9">
            <v>353331548126665.31</v>
          </cell>
          <cell r="P9">
            <v>356938158321790.75</v>
          </cell>
          <cell r="Q9">
            <v>360514448958699.56</v>
          </cell>
          <cell r="R9">
            <v>364061966448589.44</v>
          </cell>
          <cell r="S9">
            <v>365792897531078.06</v>
          </cell>
          <cell r="T9">
            <v>367501769683008.38</v>
          </cell>
          <cell r="U9">
            <v>369189797885038.38</v>
          </cell>
          <cell r="V9">
            <v>370858332102754.69</v>
          </cell>
          <cell r="W9">
            <v>372508829541284</v>
          </cell>
          <cell r="X9">
            <v>370418868315500</v>
          </cell>
          <cell r="Y9">
            <v>368318143634402.63</v>
          </cell>
          <cell r="Z9">
            <v>366208282288702.5</v>
          </cell>
          <cell r="AA9">
            <v>364090923857547.38</v>
          </cell>
          <cell r="AB9">
            <v>361967703022520.63</v>
          </cell>
          <cell r="AC9">
            <v>357240710689557.06</v>
          </cell>
          <cell r="AD9">
            <v>352513952770230.75</v>
          </cell>
          <cell r="AE9">
            <v>347788970743757.56</v>
          </cell>
          <cell r="AF9">
            <v>343067258056980.19</v>
          </cell>
          <cell r="AG9">
            <v>338350256041535.25</v>
          </cell>
          <cell r="AH9">
            <v>333269027109175.13</v>
          </cell>
          <cell r="AI9">
            <v>328195645122234.5</v>
          </cell>
          <cell r="AJ9">
            <v>323131394406348.63</v>
          </cell>
          <cell r="AK9">
            <v>318077513946102.94</v>
          </cell>
          <cell r="AL9">
            <v>313035204146509.06</v>
          </cell>
          <cell r="AM9">
            <v>307267055732790.19</v>
          </cell>
          <cell r="AN9">
            <v>301513627274692.94</v>
          </cell>
          <cell r="AO9">
            <v>295776061666637.56</v>
          </cell>
          <cell r="AP9">
            <v>290055507774773.75</v>
          </cell>
          <cell r="AQ9">
            <v>284258192707032.06</v>
          </cell>
        </row>
        <row r="10">
          <cell r="B10">
            <v>600935107558500.13</v>
          </cell>
          <cell r="C10">
            <v>629546699908500</v>
          </cell>
          <cell r="D10">
            <v>659098000102136</v>
          </cell>
          <cell r="E10">
            <v>706372876080660.75</v>
          </cell>
          <cell r="F10">
            <v>770132831672420.75</v>
          </cell>
          <cell r="G10">
            <v>810586838018155.38</v>
          </cell>
          <cell r="H10">
            <v>850820781750172</v>
          </cell>
          <cell r="I10">
            <v>869341146844643.75</v>
          </cell>
          <cell r="J10">
            <v>887844684734049</v>
          </cell>
          <cell r="K10">
            <v>906331394355111.38</v>
          </cell>
          <cell r="L10">
            <v>924801274646703.75</v>
          </cell>
          <cell r="M10">
            <v>943254324549847.63</v>
          </cell>
          <cell r="N10">
            <v>944315118193440</v>
          </cell>
          <cell r="O10">
            <v>945375084870207.13</v>
          </cell>
          <cell r="P10">
            <v>946434224551243</v>
          </cell>
          <cell r="Q10">
            <v>947492537207692.75</v>
          </cell>
          <cell r="R10">
            <v>948550022810751.13</v>
          </cell>
          <cell r="S10">
            <v>937640931834059</v>
          </cell>
          <cell r="T10">
            <v>926735185392112.13</v>
          </cell>
          <cell r="U10">
            <v>915832783321347.88</v>
          </cell>
          <cell r="V10">
            <v>904933725458192.13</v>
          </cell>
          <cell r="W10">
            <v>894038011639060.5</v>
          </cell>
          <cell r="X10">
            <v>873736176845804.75</v>
          </cell>
          <cell r="Y10">
            <v>853440607575073</v>
          </cell>
          <cell r="Z10">
            <v>833151303519883.25</v>
          </cell>
          <cell r="AA10">
            <v>812868264373233.5</v>
          </cell>
          <cell r="AB10">
            <v>792591489828100</v>
          </cell>
          <cell r="AC10">
            <v>772320979577440.75</v>
          </cell>
          <cell r="AD10">
            <v>752056733314191.88</v>
          </cell>
          <cell r="AE10">
            <v>731798750731269.38</v>
          </cell>
          <cell r="AF10">
            <v>711547031521569</v>
          </cell>
          <cell r="AG10">
            <v>691301575377965.5</v>
          </cell>
          <cell r="AH10">
            <v>673746576521526.75</v>
          </cell>
          <cell r="AI10">
            <v>656197005604115.75</v>
          </cell>
          <cell r="AJ10">
            <v>638652862359527.13</v>
          </cell>
          <cell r="AK10">
            <v>621114146521538.13</v>
          </cell>
          <cell r="AL10">
            <v>603580857823908.38</v>
          </cell>
          <cell r="AM10">
            <v>585177231235764.13</v>
          </cell>
          <cell r="AN10">
            <v>566779303696793.88</v>
          </cell>
          <cell r="AO10">
            <v>548387074927319.56</v>
          </cell>
          <cell r="AP10">
            <v>530000544647644.38</v>
          </cell>
          <cell r="AQ10">
            <v>511441702499808.75</v>
          </cell>
        </row>
        <row r="11">
          <cell r="B11">
            <v>1483863847059000.5</v>
          </cell>
          <cell r="C11">
            <v>1684786670968499.8</v>
          </cell>
          <cell r="D11">
            <v>1851114828097206.5</v>
          </cell>
          <cell r="E11">
            <v>2081704518463095.8</v>
          </cell>
          <cell r="F11">
            <v>2317122885936171.5</v>
          </cell>
          <cell r="G11">
            <v>2463650770752473.5</v>
          </cell>
          <cell r="H11">
            <v>2610438466060589</v>
          </cell>
          <cell r="I11">
            <v>2709631164792434.5</v>
          </cell>
          <cell r="J11">
            <v>2807526037637677</v>
          </cell>
          <cell r="K11">
            <v>2904106822934082</v>
          </cell>
          <cell r="L11">
            <v>2999425085806926.5</v>
          </cell>
          <cell r="M11">
            <v>3093590625989984.5</v>
          </cell>
          <cell r="N11">
            <v>3148416567029761</v>
          </cell>
          <cell r="O11">
            <v>3202393798890963.5</v>
          </cell>
          <cell r="P11">
            <v>3255711089294750</v>
          </cell>
          <cell r="Q11">
            <v>3308572570535271.5</v>
          </cell>
          <cell r="R11">
            <v>3361191402695207.5</v>
          </cell>
          <cell r="S11">
            <v>3387984125842153</v>
          </cell>
          <cell r="T11">
            <v>3414731094566100</v>
          </cell>
          <cell r="U11">
            <v>3441432929017505.5</v>
          </cell>
          <cell r="V11">
            <v>3468090278065487</v>
          </cell>
          <cell r="W11">
            <v>3494703817891501.5</v>
          </cell>
          <cell r="X11">
            <v>3506597208891125</v>
          </cell>
          <cell r="Y11">
            <v>3518453839869149</v>
          </cell>
          <cell r="Z11">
            <v>3530274462464067</v>
          </cell>
          <cell r="AA11">
            <v>3542059850070110</v>
          </cell>
          <cell r="AB11">
            <v>3553810796481647.5</v>
          </cell>
          <cell r="AC11">
            <v>3552940421315117</v>
          </cell>
          <cell r="AD11">
            <v>3552042078891541</v>
          </cell>
          <cell r="AE11">
            <v>3551116617913702</v>
          </cell>
          <cell r="AF11">
            <v>3550164902281622.5</v>
          </cell>
          <cell r="AG11">
            <v>3549187809859291</v>
          </cell>
          <cell r="AH11">
            <v>3536760912542996</v>
          </cell>
          <cell r="AI11">
            <v>3524314824859022.5</v>
          </cell>
          <cell r="AJ11">
            <v>3511850460971283</v>
          </cell>
          <cell r="AK11">
            <v>3499368744406874.5</v>
          </cell>
          <cell r="AL11">
            <v>3486870606997749</v>
          </cell>
          <cell r="AM11">
            <v>3472259376301064.5</v>
          </cell>
          <cell r="AN11">
            <v>3457634417621001.5</v>
          </cell>
          <cell r="AO11">
            <v>3442996682029398</v>
          </cell>
          <cell r="AP11">
            <v>3428347125077988</v>
          </cell>
          <cell r="AQ11">
            <v>3412434836859405</v>
          </cell>
        </row>
        <row r="12">
          <cell r="B12">
            <v>29733833448000</v>
          </cell>
          <cell r="C12">
            <v>29608831345500.004</v>
          </cell>
          <cell r="D12">
            <v>30245059980773.547</v>
          </cell>
          <cell r="E12">
            <v>33698127177488.855</v>
          </cell>
          <cell r="F12">
            <v>34729758016480.711</v>
          </cell>
          <cell r="G12">
            <v>35708655793819.016</v>
          </cell>
          <cell r="H12">
            <v>36951422842986.719</v>
          </cell>
          <cell r="I12">
            <v>38100989729494.031</v>
          </cell>
          <cell r="J12">
            <v>39035313254113.625</v>
          </cell>
          <cell r="K12">
            <v>39739468561369.172</v>
          </cell>
          <cell r="L12">
            <v>40202778006776.586</v>
          </cell>
          <cell r="M12">
            <v>40419071956588.461</v>
          </cell>
          <cell r="N12">
            <v>40474271028707.773</v>
          </cell>
          <cell r="O12">
            <v>40331749101647.633</v>
          </cell>
          <cell r="P12">
            <v>40043488654101.125</v>
          </cell>
          <cell r="Q12">
            <v>39662043760633.141</v>
          </cell>
          <cell r="R12">
            <v>39239015837280.047</v>
          </cell>
          <cell r="S12">
            <v>38890095521222.742</v>
          </cell>
          <cell r="T12">
            <v>38548999279274.227</v>
          </cell>
          <cell r="U12">
            <v>38215941731626.883</v>
          </cell>
          <cell r="V12">
            <v>37891129131610.5</v>
          </cell>
          <cell r="W12">
            <v>37574760017119.648</v>
          </cell>
          <cell r="X12">
            <v>37267025870324.188</v>
          </cell>
          <cell r="Y12">
            <v>36968111785109.93</v>
          </cell>
          <cell r="Z12">
            <v>36678197141842.43</v>
          </cell>
          <cell r="AA12">
            <v>36397456289193.203</v>
          </cell>
          <cell r="AB12">
            <v>36126059232914.5</v>
          </cell>
          <cell r="AC12">
            <v>35864172331594.391</v>
          </cell>
          <cell r="AD12">
            <v>35611958999573.758</v>
          </cell>
          <cell r="AE12">
            <v>35369580417354.82</v>
          </cell>
          <cell r="AF12">
            <v>35137196249980.551</v>
          </cell>
          <cell r="AG12">
            <v>34914965374016.965</v>
          </cell>
          <cell r="AH12">
            <v>34703046613924.363</v>
          </cell>
          <cell r="AI12">
            <v>34501599488761.676</v>
          </cell>
          <cell r="AJ12">
            <v>34310784970326.512</v>
          </cell>
          <cell r="AK12">
            <v>34130766253999.816</v>
          </cell>
          <cell r="AL12">
            <v>33961709543733.086</v>
          </cell>
          <cell r="AM12">
            <v>33803784852791.293</v>
          </cell>
          <cell r="AN12">
            <v>33657166822046.488</v>
          </cell>
          <cell r="AO12">
            <v>33522035557805.914</v>
          </cell>
          <cell r="AP12">
            <v>33398577491357.18</v>
          </cell>
          <cell r="AQ12">
            <v>33275841447897.84</v>
          </cell>
        </row>
        <row r="13">
          <cell r="B13">
            <v>9050152221000</v>
          </cell>
          <cell r="C13">
            <v>7891799404500</v>
          </cell>
          <cell r="D13">
            <v>8838376546013.7031</v>
          </cell>
          <cell r="E13">
            <v>9732360121318.7266</v>
          </cell>
          <cell r="F13">
            <v>10149487116745.455</v>
          </cell>
          <cell r="G13">
            <v>10668819415608.928</v>
          </cell>
          <cell r="H13">
            <v>11331354644987.828</v>
          </cell>
          <cell r="I13">
            <v>11965613819634.258</v>
          </cell>
          <cell r="J13">
            <v>12520215746254.596</v>
          </cell>
          <cell r="K13">
            <v>13003232210366.857</v>
          </cell>
          <cell r="L13">
            <v>13427417527108.938</v>
          </cell>
          <cell r="M13">
            <v>13809384851571.059</v>
          </cell>
          <cell r="N13">
            <v>14180299873804.494</v>
          </cell>
          <cell r="O13">
            <v>14533525952333.84</v>
          </cell>
          <cell r="P13">
            <v>14873860661564.334</v>
          </cell>
          <cell r="Q13">
            <v>15206743447671.344</v>
          </cell>
          <cell r="R13">
            <v>15538216586385.402</v>
          </cell>
          <cell r="S13">
            <v>15890534563447.416</v>
          </cell>
          <cell r="T13">
            <v>16247759898532.529</v>
          </cell>
          <cell r="U13">
            <v>16608759248960.039</v>
          </cell>
          <cell r="V13">
            <v>16972298522055.518</v>
          </cell>
          <cell r="W13">
            <v>17337040817013.451</v>
          </cell>
          <cell r="X13">
            <v>17701545354888.07</v>
          </cell>
          <cell r="Y13">
            <v>18064267524751.477</v>
          </cell>
          <cell r="Z13">
            <v>18423560174446.07</v>
          </cell>
          <cell r="AA13">
            <v>18777676272092.688</v>
          </cell>
          <cell r="AB13">
            <v>19124773059241.18</v>
          </cell>
          <cell r="AC13">
            <v>19462917807932.059</v>
          </cell>
          <cell r="AD13">
            <v>19790095281679.215</v>
          </cell>
          <cell r="AE13">
            <v>20104216984221.938</v>
          </cell>
          <cell r="AF13">
            <v>20403132259652.086</v>
          </cell>
          <cell r="AG13">
            <v>20684641283087.395</v>
          </cell>
          <cell r="AH13">
            <v>20946509952431.969</v>
          </cell>
          <cell r="AI13">
            <v>21186486659052.746</v>
          </cell>
          <cell r="AJ13">
            <v>21402320878653.785</v>
          </cell>
          <cell r="AK13">
            <v>21591783483638.465</v>
          </cell>
          <cell r="AL13">
            <v>21752688635369.332</v>
          </cell>
          <cell r="AM13">
            <v>21882917069679.586</v>
          </cell>
          <cell r="AN13">
            <v>21980440542642.477</v>
          </cell>
          <cell r="AO13">
            <v>22043347157014.758</v>
          </cell>
          <cell r="AP13">
            <v>22069867244127.918</v>
          </cell>
          <cell r="AQ13">
            <v>22050949145532.277</v>
          </cell>
        </row>
        <row r="14">
          <cell r="B14">
            <v>23855956806000</v>
          </cell>
          <cell r="C14">
            <v>45331318015500</v>
          </cell>
          <cell r="D14">
            <v>55899274509558.594</v>
          </cell>
          <cell r="E14">
            <v>62151332127824.539</v>
          </cell>
          <cell r="F14">
            <v>66694593533952.633</v>
          </cell>
          <cell r="G14">
            <v>67975222954045.688</v>
          </cell>
          <cell r="H14">
            <v>69091766573254.75</v>
          </cell>
          <cell r="I14">
            <v>70256417433115.68</v>
          </cell>
          <cell r="J14">
            <v>71427773381635.484</v>
          </cell>
          <cell r="K14">
            <v>72605815299255.375</v>
          </cell>
          <cell r="L14">
            <v>73790524079042.156</v>
          </cell>
          <cell r="M14">
            <v>74981880626688.156</v>
          </cell>
          <cell r="N14">
            <v>74339326175436.438</v>
          </cell>
          <cell r="O14">
            <v>73691802804754.047</v>
          </cell>
          <cell r="P14">
            <v>73039319384805.469</v>
          </cell>
          <cell r="Q14">
            <v>72381884781847.031</v>
          </cell>
          <cell r="R14">
            <v>71719507858226.531</v>
          </cell>
          <cell r="S14">
            <v>70505812735276.563</v>
          </cell>
          <cell r="T14">
            <v>69291603825196.914</v>
          </cell>
          <cell r="U14">
            <v>68076881934754.492</v>
          </cell>
          <cell r="V14">
            <v>66861647870564.641</v>
          </cell>
          <cell r="W14">
            <v>65645902439091.031</v>
          </cell>
          <cell r="X14">
            <v>63972987996172.297</v>
          </cell>
          <cell r="Y14">
            <v>62299379782625.469</v>
          </cell>
          <cell r="Z14">
            <v>60625078903073.609</v>
          </cell>
          <cell r="AA14">
            <v>58950086461931.914</v>
          </cell>
          <cell r="AB14">
            <v>57274403563407.555</v>
          </cell>
          <cell r="AC14">
            <v>55982608188207.305</v>
          </cell>
          <cell r="AD14">
            <v>54690278540317.031</v>
          </cell>
          <cell r="AE14">
            <v>53397415472270.898</v>
          </cell>
          <cell r="AF14">
            <v>52104019836442.453</v>
          </cell>
          <cell r="AG14">
            <v>50810092485044.703</v>
          </cell>
          <cell r="AH14">
            <v>50035543849757.383</v>
          </cell>
          <cell r="AI14">
            <v>49260672026697.656</v>
          </cell>
          <cell r="AJ14">
            <v>48485477528781.945</v>
          </cell>
          <cell r="AK14">
            <v>47709960868830.164</v>
          </cell>
          <cell r="AL14">
            <v>46934122559565.625</v>
          </cell>
          <cell r="AM14">
            <v>46551256891901.867</v>
          </cell>
          <cell r="AN14">
            <v>46168226046884.047</v>
          </cell>
          <cell r="AO14">
            <v>45785030281079.344</v>
          </cell>
          <cell r="AP14">
            <v>45401669851006.797</v>
          </cell>
          <cell r="AQ14">
            <v>45002641300975.719</v>
          </cell>
        </row>
        <row r="15">
          <cell r="B15">
            <v>184453102449000</v>
          </cell>
          <cell r="C15">
            <v>177597431583000</v>
          </cell>
          <cell r="D15">
            <v>210259464526367.75</v>
          </cell>
          <cell r="E15">
            <v>235591754257017.84</v>
          </cell>
          <cell r="F15">
            <v>259307325144940.34</v>
          </cell>
          <cell r="G15">
            <v>271886437424437.88</v>
          </cell>
          <cell r="H15">
            <v>284033418570093.19</v>
          </cell>
          <cell r="I15">
            <v>291191631358616.81</v>
          </cell>
          <cell r="J15">
            <v>298385547503057.5</v>
          </cell>
          <cell r="K15">
            <v>305615097552026</v>
          </cell>
          <cell r="L15">
            <v>312880212090258.5</v>
          </cell>
          <cell r="M15">
            <v>320180821738616.44</v>
          </cell>
          <cell r="N15">
            <v>321274291909505.19</v>
          </cell>
          <cell r="O15">
            <v>322369023741744.69</v>
          </cell>
          <cell r="P15">
            <v>323465015019625.69</v>
          </cell>
          <cell r="Q15">
            <v>324562263528280.75</v>
          </cell>
          <cell r="R15">
            <v>325660767053684</v>
          </cell>
          <cell r="S15">
            <v>322017595349217.38</v>
          </cell>
          <cell r="T15">
            <v>318373192122156.38</v>
          </cell>
          <cell r="U15">
            <v>314727558478724</v>
          </cell>
          <cell r="V15">
            <v>311080695524960.19</v>
          </cell>
          <cell r="W15">
            <v>307432604366721.63</v>
          </cell>
          <cell r="X15">
            <v>300546630093293.25</v>
          </cell>
          <cell r="Y15">
            <v>293658383791489.69</v>
          </cell>
          <cell r="Z15">
            <v>286767867530435.69</v>
          </cell>
          <cell r="AA15">
            <v>279875083378912.5</v>
          </cell>
          <cell r="AB15">
            <v>272980033405358.56</v>
          </cell>
          <cell r="AC15">
            <v>266082719677868.69</v>
          </cell>
          <cell r="AD15">
            <v>259183144264195.22</v>
          </cell>
          <cell r="AE15">
            <v>252281309231746.69</v>
          </cell>
          <cell r="AF15">
            <v>245377216647588.91</v>
          </cell>
          <cell r="AG15">
            <v>238470868578444.47</v>
          </cell>
          <cell r="AH15">
            <v>232488516159055.47</v>
          </cell>
          <cell r="AI15">
            <v>226504209419445.13</v>
          </cell>
          <cell r="AJ15">
            <v>220517950150273.59</v>
          </cell>
          <cell r="AK15">
            <v>214529740141903.41</v>
          </cell>
          <cell r="AL15">
            <v>208539581184400.03</v>
          </cell>
          <cell r="AM15">
            <v>202244777831193.31</v>
          </cell>
          <cell r="AN15">
            <v>195947932415178.19</v>
          </cell>
          <cell r="AO15">
            <v>189649046815280.47</v>
          </cell>
          <cell r="AP15">
            <v>183348122910113.53</v>
          </cell>
          <cell r="AQ15">
            <v>176985434617227.81</v>
          </cell>
        </row>
        <row r="16">
          <cell r="B16">
            <v>207047926932000.06</v>
          </cell>
          <cell r="C16">
            <v>205222896235500</v>
          </cell>
          <cell r="D16">
            <v>219046852180637.13</v>
          </cell>
          <cell r="E16">
            <v>261946657008671.44</v>
          </cell>
          <cell r="F16">
            <v>291847604666748.69</v>
          </cell>
          <cell r="G16">
            <v>311704250916631.69</v>
          </cell>
          <cell r="H16">
            <v>331122970806393.63</v>
          </cell>
          <cell r="I16">
            <v>347290387229147.44</v>
          </cell>
          <cell r="J16">
            <v>363357586937135.06</v>
          </cell>
          <cell r="K16">
            <v>379323823718614.31</v>
          </cell>
          <cell r="L16">
            <v>395188352331261.94</v>
          </cell>
          <cell r="M16">
            <v>410950428502173.88</v>
          </cell>
          <cell r="N16">
            <v>419204029358583.63</v>
          </cell>
          <cell r="O16">
            <v>427417167667255.25</v>
          </cell>
          <cell r="P16">
            <v>435589647207530.88</v>
          </cell>
          <cell r="Q16">
            <v>443721271929346.44</v>
          </cell>
          <cell r="R16">
            <v>451811845953232</v>
          </cell>
          <cell r="S16">
            <v>453680459972936.31</v>
          </cell>
          <cell r="T16">
            <v>455539825464807.88</v>
          </cell>
          <cell r="U16">
            <v>457389938983677.69</v>
          </cell>
          <cell r="V16">
            <v>459230797085737.25</v>
          </cell>
          <cell r="W16">
            <v>461062396328537.75</v>
          </cell>
          <cell r="X16">
            <v>459114999312092.13</v>
          </cell>
          <cell r="Y16">
            <v>457171381025124.88</v>
          </cell>
          <cell r="Z16">
            <v>455231543065438.88</v>
          </cell>
          <cell r="AA16">
            <v>453295487030239.19</v>
          </cell>
          <cell r="AB16">
            <v>451363214516132.5</v>
          </cell>
          <cell r="AC16">
            <v>444556316878589.94</v>
          </cell>
          <cell r="AD16">
            <v>437770256077665.19</v>
          </cell>
          <cell r="AE16">
            <v>431005040272793.38</v>
          </cell>
          <cell r="AF16">
            <v>424260677620256.75</v>
          </cell>
          <cell r="AG16">
            <v>417537176273182.44</v>
          </cell>
          <cell r="AH16">
            <v>407207722090600.38</v>
          </cell>
          <cell r="AI16">
            <v>396911949505323.88</v>
          </cell>
          <cell r="AJ16">
            <v>386649871577296.81</v>
          </cell>
          <cell r="AK16">
            <v>376421501361392.19</v>
          </cell>
          <cell r="AL16">
            <v>366226851907411.63</v>
          </cell>
          <cell r="AM16">
            <v>356050550565398.38</v>
          </cell>
          <cell r="AN16">
            <v>345908050940782.88</v>
          </cell>
          <cell r="AO16">
            <v>335799366089164.69</v>
          </cell>
          <cell r="AP16">
            <v>325724509061064.38</v>
          </cell>
          <cell r="AQ16">
            <v>315573312349007.38</v>
          </cell>
        </row>
        <row r="17">
          <cell r="B17">
            <v>6036212638500</v>
          </cell>
          <cell r="C17">
            <v>5963989201500</v>
          </cell>
          <cell r="D17">
            <v>7170795887667.6406</v>
          </cell>
          <cell r="E17">
            <v>7693031662140.1191</v>
          </cell>
          <cell r="F17">
            <v>8001119034293.7373</v>
          </cell>
          <cell r="G17">
            <v>8239313262876.4297</v>
          </cell>
          <cell r="H17">
            <v>8534864985442.7461</v>
          </cell>
          <cell r="I17">
            <v>8820472096362.5723</v>
          </cell>
          <cell r="J17">
            <v>9068857626370.8047</v>
          </cell>
          <cell r="K17">
            <v>9281777326485.5781</v>
          </cell>
          <cell r="L17">
            <v>9461930289745.9922</v>
          </cell>
          <cell r="M17">
            <v>9612815555045.9238</v>
          </cell>
          <cell r="N17">
            <v>9744337246996.9727</v>
          </cell>
          <cell r="O17">
            <v>9854322588818.1094</v>
          </cell>
          <cell r="P17">
            <v>9946497718040.0801</v>
          </cell>
          <cell r="Q17">
            <v>10024869184408.877</v>
          </cell>
          <cell r="R17">
            <v>10093656636491.549</v>
          </cell>
          <cell r="S17">
            <v>10160169186336.488</v>
          </cell>
          <cell r="T17">
            <v>10221636600953.213</v>
          </cell>
          <cell r="U17">
            <v>10278154680012.527</v>
          </cell>
          <cell r="V17">
            <v>10329830806928.867</v>
          </cell>
          <cell r="W17">
            <v>10376783243182.668</v>
          </cell>
          <cell r="X17">
            <v>10419140412861.047</v>
          </cell>
          <cell r="Y17">
            <v>10457040182432.035</v>
          </cell>
          <cell r="Z17">
            <v>10490629140527.385</v>
          </cell>
          <cell r="AA17">
            <v>10520061882244.566</v>
          </cell>
          <cell r="AB17">
            <v>10545500302200.943</v>
          </cell>
          <cell r="AC17">
            <v>10567112900281.369</v>
          </cell>
          <cell r="AD17">
            <v>10585074103720.529</v>
          </cell>
          <cell r="AE17">
            <v>10599563608858.215</v>
          </cell>
          <cell r="AF17">
            <v>10610765745598.252</v>
          </cell>
          <cell r="AG17">
            <v>10618868867299.215</v>
          </cell>
          <cell r="AH17">
            <v>10624064768524.666</v>
          </cell>
          <cell r="AI17">
            <v>10626548132789.438</v>
          </cell>
          <cell r="AJ17">
            <v>10626516012155.014</v>
          </cell>
          <cell r="AK17">
            <v>10624167340257.441</v>
          </cell>
          <cell r="AL17">
            <v>10619702480093.096</v>
          </cell>
          <cell r="AM17">
            <v>10613322807647.08</v>
          </cell>
          <cell r="AN17">
            <v>10605230332221.695</v>
          </cell>
          <cell r="AO17">
            <v>10595627354116.408</v>
          </cell>
          <cell r="AP17">
            <v>10584716160120.771</v>
          </cell>
          <cell r="AQ17">
            <v>10569168640664.295</v>
          </cell>
        </row>
        <row r="18">
          <cell r="B18">
            <v>15311368644000</v>
          </cell>
          <cell r="C18">
            <v>12539099793000</v>
          </cell>
          <cell r="D18">
            <v>12724349909709.697</v>
          </cell>
          <cell r="E18">
            <v>16394198574994.389</v>
          </cell>
          <cell r="F18">
            <v>16905796914918.285</v>
          </cell>
          <cell r="G18">
            <v>17812404015252.258</v>
          </cell>
          <cell r="H18">
            <v>18947898741188.383</v>
          </cell>
          <cell r="I18">
            <v>19916247726218</v>
          </cell>
          <cell r="J18">
            <v>20663548070692.422</v>
          </cell>
          <cell r="K18">
            <v>21249580362248.027</v>
          </cell>
          <cell r="L18">
            <v>21749227712403.188</v>
          </cell>
          <cell r="M18">
            <v>22247809291116.484</v>
          </cell>
          <cell r="N18">
            <v>22900694003925.672</v>
          </cell>
          <cell r="O18">
            <v>23632884681862.227</v>
          </cell>
          <cell r="P18">
            <v>24423859195038.586</v>
          </cell>
          <cell r="Q18">
            <v>25250118937272.578</v>
          </cell>
          <cell r="R18">
            <v>26084691202138.043</v>
          </cell>
          <cell r="S18">
            <v>27004361167388.566</v>
          </cell>
          <cell r="T18">
            <v>27906332147348.02</v>
          </cell>
          <cell r="U18">
            <v>28787037860623.023</v>
          </cell>
          <cell r="V18">
            <v>29642952731430.836</v>
          </cell>
          <cell r="W18">
            <v>30470616836287.148</v>
          </cell>
          <cell r="X18">
            <v>31266660487261.531</v>
          </cell>
          <cell r="Y18">
            <v>32027828194416.031</v>
          </cell>
          <cell r="Z18">
            <v>32751001758930.402</v>
          </cell>
          <cell r="AA18">
            <v>33433222260747.215</v>
          </cell>
          <cell r="AB18">
            <v>34071710720063.977</v>
          </cell>
          <cell r="AC18">
            <v>34663887230353.922</v>
          </cell>
          <cell r="AD18">
            <v>35207388381436.938</v>
          </cell>
          <cell r="AE18">
            <v>35700082814057.555</v>
          </cell>
          <cell r="AF18">
            <v>36140084772023.695</v>
          </cell>
          <cell r="AG18">
            <v>36525765543778.406</v>
          </cell>
          <cell r="AH18">
            <v>36855762711866.445</v>
          </cell>
          <cell r="AI18">
            <v>37128987155666.539</v>
          </cell>
          <cell r="AJ18">
            <v>37344627779560.758</v>
          </cell>
          <cell r="AK18">
            <v>37502153964980.172</v>
          </cell>
          <cell r="AL18">
            <v>37601315770129.625</v>
          </cell>
          <cell r="AM18">
            <v>37642141925292.273</v>
          </cell>
          <cell r="AN18">
            <v>37624935694153.219</v>
          </cell>
          <cell r="AO18">
            <v>37550268692288.102</v>
          </cell>
          <cell r="AP18">
            <v>37418972772643.211</v>
          </cell>
          <cell r="AQ18">
            <v>37219698675227.242</v>
          </cell>
        </row>
        <row r="19">
          <cell r="B19">
            <v>13397447563500</v>
          </cell>
          <cell r="C19">
            <v>13236333742500</v>
          </cell>
          <cell r="D19">
            <v>14182835476348.145</v>
          </cell>
          <cell r="E19">
            <v>18254441231995.184</v>
          </cell>
          <cell r="F19">
            <v>19006247580173.156</v>
          </cell>
          <cell r="G19">
            <v>20303604825228.98</v>
          </cell>
          <cell r="H19">
            <v>21989936793784.414</v>
          </cell>
          <cell r="I19">
            <v>23580982305633.238</v>
          </cell>
          <cell r="J19">
            <v>24962824771779.184</v>
          </cell>
          <cell r="K19">
            <v>26161711716343.949</v>
          </cell>
          <cell r="L19">
            <v>27222363491738.395</v>
          </cell>
          <cell r="M19">
            <v>28204563734147.465</v>
          </cell>
          <cell r="N19">
            <v>29243941891499.336</v>
          </cell>
          <cell r="O19">
            <v>30277124156085.609</v>
          </cell>
          <cell r="P19">
            <v>31298286838027.207</v>
          </cell>
          <cell r="Q19">
            <v>32301210186972.965</v>
          </cell>
          <cell r="R19">
            <v>33279312613817.863</v>
          </cell>
          <cell r="S19">
            <v>34322899748642.215</v>
          </cell>
          <cell r="T19">
            <v>35337777342283</v>
          </cell>
          <cell r="U19">
            <v>36320478461768.453</v>
          </cell>
          <cell r="V19">
            <v>37267683924057.125</v>
          </cell>
          <cell r="W19">
            <v>38176243812631.289</v>
          </cell>
          <cell r="X19">
            <v>39043197270631.922</v>
          </cell>
          <cell r="Y19">
            <v>39865790396397.836</v>
          </cell>
          <cell r="Z19">
            <v>40641492095639.344</v>
          </cell>
          <cell r="AA19">
            <v>41368007774021.867</v>
          </cell>
          <cell r="AB19">
            <v>42043290784092.07</v>
          </cell>
          <cell r="AC19">
            <v>42665551570757.156</v>
          </cell>
          <cell r="AD19">
            <v>43233264489405.328</v>
          </cell>
          <cell r="AE19">
            <v>43745172299777.805</v>
          </cell>
          <cell r="AF19">
            <v>44200288366437.867</v>
          </cell>
          <cell r="AG19">
            <v>44597896622751.391</v>
          </cell>
          <cell r="AH19">
            <v>44937549379371.211</v>
          </cell>
          <cell r="AI19">
            <v>45219063080017.828</v>
          </cell>
          <cell r="AJ19">
            <v>45442512126670.195</v>
          </cell>
          <cell r="AK19">
            <v>45608220912948.539</v>
          </cell>
          <cell r="AL19">
            <v>45716754218388.695</v>
          </cell>
          <cell r="AM19">
            <v>45768906127420.453</v>
          </cell>
          <cell r="AN19">
            <v>45765687645181.055</v>
          </cell>
          <cell r="AO19">
            <v>45708313187860.078</v>
          </cell>
          <cell r="AP19">
            <v>45598186128182.313</v>
          </cell>
          <cell r="AQ19">
            <v>45421712664309.695</v>
          </cell>
        </row>
        <row r="20">
          <cell r="B20">
            <v>794457807000</v>
          </cell>
          <cell r="C20">
            <v>1058351134500</v>
          </cell>
          <cell r="D20">
            <v>862929088434.79578</v>
          </cell>
          <cell r="E20">
            <v>1312606803361.6782</v>
          </cell>
          <cell r="F20">
            <v>1314506330649.6873</v>
          </cell>
          <cell r="G20">
            <v>1337085012140.3982</v>
          </cell>
          <cell r="H20">
            <v>1372953248393.446</v>
          </cell>
          <cell r="I20">
            <v>1407255690037.2551</v>
          </cell>
          <cell r="J20">
            <v>1438378826454.9167</v>
          </cell>
          <cell r="K20">
            <v>1465645040902.0706</v>
          </cell>
          <cell r="L20">
            <v>1488465246296.2671</v>
          </cell>
          <cell r="M20">
            <v>1506345414218.6255</v>
          </cell>
          <cell r="N20">
            <v>1529123051911.0635</v>
          </cell>
          <cell r="O20">
            <v>1547366609287.2971</v>
          </cell>
          <cell r="P20">
            <v>1561348833338.7349</v>
          </cell>
          <cell r="Q20">
            <v>1571396404049.9478</v>
          </cell>
          <cell r="R20">
            <v>1577879877936.0361</v>
          </cell>
          <cell r="S20">
            <v>1592654281425.3164</v>
          </cell>
          <cell r="T20">
            <v>1604740192965.8015</v>
          </cell>
          <cell r="U20">
            <v>1614242739264.9768</v>
          </cell>
          <cell r="V20">
            <v>1621278219785.3989</v>
          </cell>
          <cell r="W20">
            <v>1625971412194.1726</v>
          </cell>
          <cell r="X20">
            <v>1628453069104.4238</v>
          </cell>
          <cell r="Y20">
            <v>1628857643744.1384</v>
          </cell>
          <cell r="Z20">
            <v>1627321271030.5564</v>
          </cell>
          <cell r="AA20">
            <v>1623980020100.2598</v>
          </cell>
          <cell r="AB20">
            <v>1618968424913.2341</v>
          </cell>
          <cell r="AC20">
            <v>1612418291298.6003</v>
          </cell>
          <cell r="AD20">
            <v>1604457771851.2271</v>
          </cell>
          <cell r="AE20">
            <v>1595210694465.4387</v>
          </cell>
          <cell r="AF20">
            <v>1584796125991.8984</v>
          </cell>
          <cell r="AG20">
            <v>1573328149467.5239</v>
          </cell>
          <cell r="AH20">
            <v>1560915831502.7993</v>
          </cell>
          <cell r="AI20">
            <v>1547663355598.1294</v>
          </cell>
          <cell r="AJ20">
            <v>1533670297268.8269</v>
          </cell>
          <cell r="AK20">
            <v>1519032017747.9321</v>
          </cell>
          <cell r="AL20">
            <v>1503840154570.1704</v>
          </cell>
          <cell r="AM20">
            <v>1488183189387.5378</v>
          </cell>
          <cell r="AN20">
            <v>1472147075807.9277</v>
          </cell>
          <cell r="AO20">
            <v>1455815912777.1748</v>
          </cell>
          <cell r="AP20">
            <v>1439272651953.6528</v>
          </cell>
          <cell r="AQ20">
            <v>1422124838986.1699</v>
          </cell>
        </row>
        <row r="21">
          <cell r="B21">
            <v>28253252989500</v>
          </cell>
          <cell r="C21">
            <v>24744860646000</v>
          </cell>
          <cell r="D21">
            <v>25325520520946.492</v>
          </cell>
          <cell r="E21">
            <v>29066378261209.988</v>
          </cell>
          <cell r="F21">
            <v>32052990161862.492</v>
          </cell>
          <cell r="G21">
            <v>33979627514138.926</v>
          </cell>
          <cell r="H21">
            <v>35887452649806.633</v>
          </cell>
          <cell r="I21">
            <v>36839839168296.5</v>
          </cell>
          <cell r="J21">
            <v>37785883278930.367</v>
          </cell>
          <cell r="K21">
            <v>38725588601571.039</v>
          </cell>
          <cell r="L21">
            <v>39658958757881.672</v>
          </cell>
          <cell r="M21">
            <v>40585997371325.758</v>
          </cell>
          <cell r="N21">
            <v>41021720893200.023</v>
          </cell>
          <cell r="O21">
            <v>41455225365697.883</v>
          </cell>
          <cell r="P21">
            <v>41886511630279.961</v>
          </cell>
          <cell r="Q21">
            <v>42315580528700.445</v>
          </cell>
          <cell r="R21">
            <v>42742432903007.164</v>
          </cell>
          <cell r="S21">
            <v>42560940967360.133</v>
          </cell>
          <cell r="T21">
            <v>42379770595366.773</v>
          </cell>
          <cell r="U21">
            <v>42198921735603.211</v>
          </cell>
          <cell r="V21">
            <v>42018394336643.539</v>
          </cell>
          <cell r="W21">
            <v>41838188347059.883</v>
          </cell>
          <cell r="X21">
            <v>41658303715422.359</v>
          </cell>
          <cell r="Y21">
            <v>41478740390299.07</v>
          </cell>
          <cell r="Z21">
            <v>41299498320256.148</v>
          </cell>
          <cell r="AA21">
            <v>41120577453857.742</v>
          </cell>
          <cell r="AB21">
            <v>40941977739665.977</v>
          </cell>
          <cell r="AC21">
            <v>40763699126240.984</v>
          </cell>
          <cell r="AD21">
            <v>40585741562140.891</v>
          </cell>
          <cell r="AE21">
            <v>40408104995921.883</v>
          </cell>
          <cell r="AF21">
            <v>40230789376138.117</v>
          </cell>
          <cell r="AG21">
            <v>40053794651341.711</v>
          </cell>
          <cell r="AH21">
            <v>39953319090025.688</v>
          </cell>
          <cell r="AI21">
            <v>39852975096938.781</v>
          </cell>
          <cell r="AJ21">
            <v>39752762651593.711</v>
          </cell>
          <cell r="AK21">
            <v>39652681733502.398</v>
          </cell>
          <cell r="AL21">
            <v>39552732322176.039</v>
          </cell>
          <cell r="AM21">
            <v>39427672609282.859</v>
          </cell>
          <cell r="AN21">
            <v>39302807402384.086</v>
          </cell>
          <cell r="AO21">
            <v>39178136670664.766</v>
          </cell>
          <cell r="AP21">
            <v>39053660383308.758</v>
          </cell>
          <cell r="AQ21">
            <v>38916199836298.984</v>
          </cell>
        </row>
        <row r="22">
          <cell r="B22">
            <v>6313995088500</v>
          </cell>
          <cell r="C22">
            <v>5611205490000</v>
          </cell>
          <cell r="D22">
            <v>6129649518996.4844</v>
          </cell>
          <cell r="E22">
            <v>6607763070861.7373</v>
          </cell>
          <cell r="F22">
            <v>6805795337461.1436</v>
          </cell>
          <cell r="G22">
            <v>6926101268176.542</v>
          </cell>
          <cell r="H22">
            <v>7080744837536.1768</v>
          </cell>
          <cell r="I22">
            <v>7234478820740.335</v>
          </cell>
          <cell r="J22">
            <v>7367767385983.9551</v>
          </cell>
          <cell r="K22">
            <v>7479705076833.1133</v>
          </cell>
          <cell r="L22">
            <v>7569592745254.7969</v>
          </cell>
          <cell r="M22">
            <v>7636943675429.2998</v>
          </cell>
          <cell r="N22">
            <v>7687967804546.832</v>
          </cell>
          <cell r="O22">
            <v>7719361650691.2715</v>
          </cell>
          <cell r="P22">
            <v>7734407924566.2256</v>
          </cell>
          <cell r="Q22">
            <v>7736536927315.7793</v>
          </cell>
          <cell r="R22">
            <v>7729260866145.9971</v>
          </cell>
          <cell r="S22">
            <v>7721798953303.918</v>
          </cell>
          <cell r="T22">
            <v>7708953017427.7773</v>
          </cell>
          <cell r="U22">
            <v>7691204881075.3809</v>
          </cell>
          <cell r="V22">
            <v>7669042127704.082</v>
          </cell>
          <cell r="W22">
            <v>7642955249785.8691</v>
          </cell>
          <cell r="X22">
            <v>7613435084207.9746</v>
          </cell>
          <cell r="Y22">
            <v>7580970544100.4287</v>
          </cell>
          <cell r="Z22">
            <v>7546046652130.2822</v>
          </cell>
          <cell r="AA22">
            <v>7509142876687.6367</v>
          </cell>
          <cell r="AB22">
            <v>7470731769280.9766</v>
          </cell>
          <cell r="AC22">
            <v>7431277898867.0498</v>
          </cell>
          <cell r="AD22">
            <v>7391237076765.4316</v>
          </cell>
          <cell r="AE22">
            <v>7351055864238.541</v>
          </cell>
          <cell r="AF22">
            <v>7311171353743.7813</v>
          </cell>
          <cell r="AG22">
            <v>7272011214263.29</v>
          </cell>
          <cell r="AH22">
            <v>7233993990969.9668</v>
          </cell>
          <cell r="AI22">
            <v>7197529649770.8496</v>
          </cell>
          <cell r="AJ22">
            <v>7163020357960.6396</v>
          </cell>
          <cell r="AK22">
            <v>7130861493295.4961</v>
          </cell>
          <cell r="AL22">
            <v>7101442875244.29</v>
          </cell>
          <cell r="AM22">
            <v>7075150213975.835</v>
          </cell>
          <cell r="AN22">
            <v>7052366774788.4541</v>
          </cell>
          <cell r="AO22">
            <v>7033475258177.9551</v>
          </cell>
          <cell r="AP22">
            <v>7018859898579.5537</v>
          </cell>
          <cell r="AQ22">
            <v>7006566756625.5635</v>
          </cell>
        </row>
        <row r="23">
          <cell r="B23">
            <v>3255610314000</v>
          </cell>
          <cell r="C23">
            <v>3327833751000.0005</v>
          </cell>
          <cell r="D23">
            <v>3975948282011.7939</v>
          </cell>
          <cell r="E23">
            <v>4319108829600.1719</v>
          </cell>
          <cell r="F23">
            <v>4515894181467.4551</v>
          </cell>
          <cell r="G23">
            <v>4663656899369.4121</v>
          </cell>
          <cell r="H23">
            <v>4844352802760.5586</v>
          </cell>
          <cell r="I23">
            <v>5018492307557.0098</v>
          </cell>
          <cell r="J23">
            <v>5170352862717.0078</v>
          </cell>
          <cell r="K23">
            <v>5301169841657.2959</v>
          </cell>
          <cell r="L23">
            <v>5412813451585.2715</v>
          </cell>
          <cell r="M23">
            <v>5507688861899.8232</v>
          </cell>
          <cell r="N23">
            <v>5591197867901.7744</v>
          </cell>
          <cell r="O23">
            <v>5662779678451.8848</v>
          </cell>
          <cell r="P23">
            <v>5724527555654.6621</v>
          </cell>
          <cell r="Q23">
            <v>5778706812380.9922</v>
          </cell>
          <cell r="R23">
            <v>5827718143519.8711</v>
          </cell>
          <cell r="S23">
            <v>5873744928612.2461</v>
          </cell>
          <cell r="T23">
            <v>5917137408933.21</v>
          </cell>
          <cell r="U23">
            <v>5957898916255.8037</v>
          </cell>
          <cell r="V23">
            <v>5996038150240.835</v>
          </cell>
          <cell r="W23">
            <v>6031569020911.3926</v>
          </cell>
          <cell r="X23">
            <v>6064510478702.7275</v>
          </cell>
          <cell r="Y23">
            <v>6094886333362.1396</v>
          </cell>
          <cell r="Z23">
            <v>6122725062977.1592</v>
          </cell>
          <cell r="AA23">
            <v>6148059614405.3721</v>
          </cell>
          <cell r="AB23">
            <v>6170927196367.5869</v>
          </cell>
          <cell r="AC23">
            <v>6191369066445.7529</v>
          </cell>
          <cell r="AD23">
            <v>6209430313202.3555</v>
          </cell>
          <cell r="AE23">
            <v>6225159634605.2285</v>
          </cell>
          <cell r="AF23">
            <v>6238609113905.0889</v>
          </cell>
          <cell r="AG23">
            <v>6249833994071.2344</v>
          </cell>
          <cell r="AH23">
            <v>6258892451844.291</v>
          </cell>
          <cell r="AI23">
            <v>6265845372415.5479</v>
          </cell>
          <cell r="AJ23">
            <v>6270756125689.498</v>
          </cell>
          <cell r="AK23">
            <v>6273690345030.9063</v>
          </cell>
          <cell r="AL23">
            <v>6274715709340.7617</v>
          </cell>
          <cell r="AM23">
            <v>6273901729246.667</v>
          </cell>
          <cell r="AN23">
            <v>6271319538134.0283</v>
          </cell>
          <cell r="AO23">
            <v>6267041688684.1719</v>
          </cell>
          <cell r="AP23">
            <v>6261141955526.1504</v>
          </cell>
          <cell r="AQ23">
            <v>6251596257551.3955</v>
          </cell>
        </row>
        <row r="24">
          <cell r="B24">
            <v>20850350697000</v>
          </cell>
          <cell r="C24">
            <v>38553426235500</v>
          </cell>
          <cell r="D24">
            <v>47417521044743.273</v>
          </cell>
          <cell r="E24">
            <v>52355285739579.703</v>
          </cell>
          <cell r="F24">
            <v>56158428584346.102</v>
          </cell>
          <cell r="G24">
            <v>62295949589985.445</v>
          </cell>
          <cell r="H24">
            <v>70449566084187</v>
          </cell>
          <cell r="I24">
            <v>78637881401938.813</v>
          </cell>
          <cell r="J24">
            <v>86210248183500.375</v>
          </cell>
          <cell r="K24">
            <v>93217942370464.531</v>
          </cell>
          <cell r="L24">
            <v>99837471435439.156</v>
          </cell>
          <cell r="M24">
            <v>106360653063313.83</v>
          </cell>
          <cell r="N24">
            <v>113136775818942.94</v>
          </cell>
          <cell r="O24">
            <v>120207539573840.53</v>
          </cell>
          <cell r="P24">
            <v>127566383631226.73</v>
          </cell>
          <cell r="Q24">
            <v>135203808200719</v>
          </cell>
          <cell r="R24">
            <v>143107128559283.81</v>
          </cell>
          <cell r="S24">
            <v>151285399939333.47</v>
          </cell>
          <cell r="T24">
            <v>159695988286378.97</v>
          </cell>
          <cell r="U24">
            <v>168314708660024.19</v>
          </cell>
          <cell r="V24">
            <v>177113246404201.28</v>
          </cell>
          <cell r="W24">
            <v>186059034882427.06</v>
          </cell>
          <cell r="X24">
            <v>195115183459150.31</v>
          </cell>
          <cell r="Y24">
            <v>204240463639208.5</v>
          </cell>
          <cell r="Z24">
            <v>213389361045976.13</v>
          </cell>
          <cell r="AA24">
            <v>222512200444929.47</v>
          </cell>
          <cell r="AB24">
            <v>231555350279824.94</v>
          </cell>
          <cell r="AC24">
            <v>240461512165866.16</v>
          </cell>
          <cell r="AD24">
            <v>249170099467832.72</v>
          </cell>
          <cell r="AE24">
            <v>257617707479947.94</v>
          </cell>
          <cell r="AF24">
            <v>265738675827521.56</v>
          </cell>
          <cell r="AG24">
            <v>273465741549403.25</v>
          </cell>
          <cell r="AH24">
            <v>280730778929168.59</v>
          </cell>
          <cell r="AI24">
            <v>287465619569499.44</v>
          </cell>
          <cell r="AJ24">
            <v>293602943509709.13</v>
          </cell>
          <cell r="AK24">
            <v>299077229445317.38</v>
          </cell>
          <cell r="AL24">
            <v>303825749407168.25</v>
          </cell>
          <cell r="AM24">
            <v>307789590691938.75</v>
          </cell>
          <cell r="AN24">
            <v>310914685509066.19</v>
          </cell>
          <cell r="AO24">
            <v>313152826827785.63</v>
          </cell>
          <cell r="AP24">
            <v>314462647378137.94</v>
          </cell>
          <cell r="AQ24">
            <v>314705425749396.5</v>
          </cell>
        </row>
        <row r="25">
          <cell r="B25">
            <v>1580582140500</v>
          </cell>
          <cell r="C25">
            <v>2280593914500.0117</v>
          </cell>
          <cell r="D25">
            <v>2733305684309.8252</v>
          </cell>
          <cell r="E25">
            <v>2997304558552.7749</v>
          </cell>
          <cell r="F25">
            <v>3179491172276.4731</v>
          </cell>
          <cell r="G25">
            <v>3416347405455.6851</v>
          </cell>
          <cell r="H25">
            <v>3723069729244.2939</v>
          </cell>
          <cell r="I25">
            <v>4029384780807.8975</v>
          </cell>
          <cell r="J25">
            <v>4311614730823.5605</v>
          </cell>
          <cell r="K25">
            <v>4572087028822.6387</v>
          </cell>
          <cell r="L25">
            <v>4815907706806.6406</v>
          </cell>
          <cell r="M25">
            <v>5050710697622.6172</v>
          </cell>
          <cell r="N25">
            <v>5284131360322.1113</v>
          </cell>
          <cell r="O25">
            <v>5518243122658.3223</v>
          </cell>
          <cell r="P25">
            <v>5753143123511.4443</v>
          </cell>
          <cell r="Q25">
            <v>5989067302232.5156</v>
          </cell>
          <cell r="R25">
            <v>6226400443103.0488</v>
          </cell>
          <cell r="S25">
            <v>6463800962491.9609</v>
          </cell>
          <cell r="T25">
            <v>6702492206232.5293</v>
          </cell>
          <cell r="U25">
            <v>6941950767838.7822</v>
          </cell>
          <cell r="V25">
            <v>7181600026606.1934</v>
          </cell>
          <cell r="W25">
            <v>7420804998550.9082</v>
          </cell>
          <cell r="X25">
            <v>7658867531814.6396</v>
          </cell>
          <cell r="Y25">
            <v>7895022086961.4102</v>
          </cell>
          <cell r="Z25">
            <v>8128432365300.8447</v>
          </cell>
          <cell r="AA25">
            <v>8358189065540.1787</v>
          </cell>
          <cell r="AB25">
            <v>8583309058983.5586</v>
          </cell>
          <cell r="AC25">
            <v>8802736274420.1895</v>
          </cell>
          <cell r="AD25">
            <v>9015344574081.6016</v>
          </cell>
          <cell r="AE25">
            <v>9219942880063.6563</v>
          </cell>
          <cell r="AF25">
            <v>9415282775131.6094</v>
          </cell>
          <cell r="AG25">
            <v>9600068751968.791</v>
          </cell>
          <cell r="AH25">
            <v>9772971220328.0938</v>
          </cell>
          <cell r="AI25">
            <v>9932642302480.4258</v>
          </cell>
          <cell r="AJ25">
            <v>10077734354865.855</v>
          </cell>
          <cell r="AK25">
            <v>10206921049822.984</v>
          </cell>
          <cell r="AL25">
            <v>10318920738505.535</v>
          </cell>
          <cell r="AM25">
            <v>10412521698296.047</v>
          </cell>
          <cell r="AN25">
            <v>10486608749788.242</v>
          </cell>
          <cell r="AO25">
            <v>10540190615080.734</v>
          </cell>
          <cell r="AP25">
            <v>10572427286641.543</v>
          </cell>
          <cell r="AQ25">
            <v>10579123149373.094</v>
          </cell>
        </row>
        <row r="26">
          <cell r="B26">
            <v>21789255378000</v>
          </cell>
          <cell r="C26">
            <v>18311419104000</v>
          </cell>
          <cell r="D26">
            <v>19381871621404.391</v>
          </cell>
          <cell r="E26">
            <v>20188352528974.801</v>
          </cell>
          <cell r="F26">
            <v>21934928969381.965</v>
          </cell>
          <cell r="G26">
            <v>23005344496492.07</v>
          </cell>
          <cell r="H26">
            <v>23897667628160.773</v>
          </cell>
          <cell r="I26">
            <v>25123744268335.914</v>
          </cell>
          <cell r="J26">
            <v>26172362876980.559</v>
          </cell>
          <cell r="K26">
            <v>27192711564592.52</v>
          </cell>
          <cell r="L26">
            <v>28180822964722.879</v>
          </cell>
          <cell r="M26">
            <v>29296794214651.941</v>
          </cell>
          <cell r="N26">
            <v>30054941772368.082</v>
          </cell>
          <cell r="O26">
            <v>30935598891716.297</v>
          </cell>
          <cell r="P26">
            <v>31772795650997.297</v>
          </cell>
          <cell r="Q26">
            <v>32564705515733.641</v>
          </cell>
          <cell r="R26">
            <v>33241137266397.789</v>
          </cell>
          <cell r="S26">
            <v>34014122807330.156</v>
          </cell>
          <cell r="T26">
            <v>34670580866973.07</v>
          </cell>
          <cell r="U26">
            <v>35279331921891.133</v>
          </cell>
          <cell r="V26">
            <v>35840787160338.305</v>
          </cell>
          <cell r="W26">
            <v>36355760950242.531</v>
          </cell>
          <cell r="X26">
            <v>36825445718593.961</v>
          </cell>
          <cell r="Y26">
            <v>37251384489682.367</v>
          </cell>
          <cell r="Z26">
            <v>37635441805777.266</v>
          </cell>
          <cell r="AA26">
            <v>37979773724593.406</v>
          </cell>
          <cell r="AB26">
            <v>38286797547158.086</v>
          </cell>
          <cell r="AC26">
            <v>38559161880149.641</v>
          </cell>
          <cell r="AD26">
            <v>38799717580960.289</v>
          </cell>
          <cell r="AE26">
            <v>39011490074125.961</v>
          </cell>
          <cell r="AF26">
            <v>39197653466630.109</v>
          </cell>
          <cell r="AG26">
            <v>39361506829000.891</v>
          </cell>
          <cell r="AH26">
            <v>39506452950885.859</v>
          </cell>
          <cell r="AI26">
            <v>39635979825485.805</v>
          </cell>
          <cell r="AJ26">
            <v>39753645068145.32</v>
          </cell>
          <cell r="AK26">
            <v>39863063431607.484</v>
          </cell>
          <cell r="AL26">
            <v>39967897544778.711</v>
          </cell>
          <cell r="AM26">
            <v>40071851973963.18</v>
          </cell>
          <cell r="AN26">
            <v>40178670685902.773</v>
          </cell>
          <cell r="AO26">
            <v>40292137980972</v>
          </cell>
          <cell r="AP26">
            <v>40416082962803.359</v>
          </cell>
          <cell r="AQ26">
            <v>40538276513303.742</v>
          </cell>
        </row>
      </sheetData>
      <sheetData sheetId="49">
        <row r="2">
          <cell r="B2">
            <v>187736491008000.03</v>
          </cell>
          <cell r="C2">
            <v>185067001663500</v>
          </cell>
          <cell r="D2">
            <v>193433976198765.88</v>
          </cell>
          <cell r="E2">
            <v>207628515072465.19</v>
          </cell>
          <cell r="F2">
            <v>223606588120449.16</v>
          </cell>
          <cell r="G2">
            <v>234756392169994</v>
          </cell>
          <cell r="H2">
            <v>240924818469094.31</v>
          </cell>
          <cell r="I2">
            <v>256511249606535.31</v>
          </cell>
          <cell r="J2">
            <v>267167013282706.53</v>
          </cell>
          <cell r="K2">
            <v>277488830201715.19</v>
          </cell>
          <cell r="L2">
            <v>287433063564715.13</v>
          </cell>
          <cell r="M2">
            <v>301963635440483.13</v>
          </cell>
          <cell r="N2">
            <v>306047453514913.31</v>
          </cell>
          <cell r="O2">
            <v>314654869270153.31</v>
          </cell>
          <cell r="P2">
            <v>322758834554798.25</v>
          </cell>
          <cell r="Q2">
            <v>330340719804835.94</v>
          </cell>
          <cell r="R2">
            <v>335312374504790.56</v>
          </cell>
          <cell r="S2">
            <v>343801126391458.88</v>
          </cell>
          <cell r="T2">
            <v>349666022518260.44</v>
          </cell>
          <cell r="U2">
            <v>354984489741848.75</v>
          </cell>
          <cell r="V2">
            <v>359763768409216.5</v>
          </cell>
          <cell r="W2">
            <v>364015490776394.5</v>
          </cell>
          <cell r="X2">
            <v>367755349203129.88</v>
          </cell>
          <cell r="Y2">
            <v>371002740291340.63</v>
          </cell>
          <cell r="Z2">
            <v>373780393750710</v>
          </cell>
          <cell r="AA2">
            <v>376113994293609.88</v>
          </cell>
          <cell r="AB2">
            <v>378031804246134.5</v>
          </cell>
          <cell r="AC2">
            <v>379564293847040.25</v>
          </cell>
          <cell r="AD2">
            <v>380743785425326.63</v>
          </cell>
          <cell r="AE2">
            <v>381604116831363.94</v>
          </cell>
          <cell r="AF2">
            <v>382180328674277</v>
          </cell>
          <cell r="AG2">
            <v>382508379114945</v>
          </cell>
          <cell r="AH2">
            <v>382624889200739.19</v>
          </cell>
          <cell r="AI2">
            <v>382566921023000.25</v>
          </cell>
          <cell r="AJ2">
            <v>382371790345182.88</v>
          </cell>
          <cell r="AK2">
            <v>382076914799443.19</v>
          </cell>
          <cell r="AL2">
            <v>381719698289780.06</v>
          </cell>
          <cell r="AM2">
            <v>381337451875726.13</v>
          </cell>
          <cell r="AN2">
            <v>380967351144843.44</v>
          </cell>
          <cell r="AO2">
            <v>380646429915975.88</v>
          </cell>
          <cell r="AP2">
            <v>380411610048381</v>
          </cell>
          <cell r="AQ2">
            <v>380210996202312.25</v>
          </cell>
        </row>
        <row r="3">
          <cell r="B3">
            <v>800013456000</v>
          </cell>
          <cell r="C3">
            <v>313894168500.00012</v>
          </cell>
          <cell r="D3">
            <v>363045453061.54053</v>
          </cell>
          <cell r="E3">
            <v>418992103167.65381</v>
          </cell>
          <cell r="F3">
            <v>464632861682.39191</v>
          </cell>
          <cell r="G3">
            <v>489643048018.58234</v>
          </cell>
          <cell r="H3">
            <v>513931610440.1485</v>
          </cell>
          <cell r="I3">
            <v>523105631049.23206</v>
          </cell>
          <cell r="J3">
            <v>532300327170.05066</v>
          </cell>
          <cell r="K3">
            <v>541515489385.45563</v>
          </cell>
          <cell r="L3">
            <v>550750908501.40588</v>
          </cell>
          <cell r="M3">
            <v>560006375546.96887</v>
          </cell>
          <cell r="N3">
            <v>563736264103.06812</v>
          </cell>
          <cell r="O3">
            <v>567470155867.06531</v>
          </cell>
          <cell r="P3">
            <v>571208013425.13062</v>
          </cell>
          <cell r="Q3">
            <v>574949799390.72144</v>
          </cell>
          <cell r="R3">
            <v>578695476404.58203</v>
          </cell>
          <cell r="S3">
            <v>573226485040.4126</v>
          </cell>
          <cell r="T3">
            <v>567760304767.46179</v>
          </cell>
          <cell r="U3">
            <v>562296939803.13464</v>
          </cell>
          <cell r="V3">
            <v>556836394363.59998</v>
          </cell>
          <cell r="W3">
            <v>551378672663.79053</v>
          </cell>
          <cell r="X3">
            <v>542743640399.43719</v>
          </cell>
          <cell r="Y3">
            <v>534113226544.698</v>
          </cell>
          <cell r="Z3">
            <v>525487437818.24646</v>
          </cell>
          <cell r="AA3">
            <v>516866280936.77808</v>
          </cell>
          <cell r="AB3">
            <v>508249762615.01074</v>
          </cell>
          <cell r="AC3">
            <v>499637889565.68427</v>
          </cell>
          <cell r="AD3">
            <v>491030668499.56067</v>
          </cell>
          <cell r="AE3">
            <v>482428106125.42371</v>
          </cell>
          <cell r="AF3">
            <v>473830209150.07928</v>
          </cell>
          <cell r="AG3">
            <v>465236984278.35547</v>
          </cell>
          <cell r="AH3">
            <v>454534325073.22711</v>
          </cell>
          <cell r="AI3">
            <v>443837553337.69104</v>
          </cell>
          <cell r="AJ3">
            <v>433146677438.56555</v>
          </cell>
          <cell r="AK3">
            <v>422461705740.19733</v>
          </cell>
          <cell r="AL3">
            <v>411782646604.46008</v>
          </cell>
          <cell r="AM3">
            <v>403220611066.49585</v>
          </cell>
          <cell r="AN3">
            <v>394663297287.96826</v>
          </cell>
          <cell r="AO3">
            <v>386110711957.26367</v>
          </cell>
          <cell r="AP3">
            <v>377562861760.79059</v>
          </cell>
          <cell r="AQ3">
            <v>368896541445.28937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</row>
        <row r="5">
          <cell r="B5">
            <v>1011128118000</v>
          </cell>
          <cell r="C5">
            <v>2425040788499.999</v>
          </cell>
          <cell r="D5">
            <v>2565313289721.7261</v>
          </cell>
          <cell r="E5">
            <v>3192887396934.7871</v>
          </cell>
          <cell r="F5">
            <v>3503871499127.5767</v>
          </cell>
          <cell r="G5">
            <v>3677780666155.4907</v>
          </cell>
          <cell r="H5">
            <v>3845009943342.0889</v>
          </cell>
          <cell r="I5">
            <v>3985520435474.5635</v>
          </cell>
          <cell r="J5">
            <v>4124309967970.2949</v>
          </cell>
          <cell r="K5">
            <v>4261364356300.7349</v>
          </cell>
          <cell r="L5">
            <v>4396669434743.561</v>
          </cell>
          <cell r="M5">
            <v>4530211056382.6846</v>
          </cell>
          <cell r="N5">
            <v>4582079760430.4473</v>
          </cell>
          <cell r="O5">
            <v>4633228454048.6328</v>
          </cell>
          <cell r="P5">
            <v>4683653974165.251</v>
          </cell>
          <cell r="Q5">
            <v>4733353160576.0928</v>
          </cell>
          <cell r="R5">
            <v>4782322855944.7354</v>
          </cell>
          <cell r="S5">
            <v>4769093952994.7363</v>
          </cell>
          <cell r="T5">
            <v>4755759809261.166</v>
          </cell>
          <cell r="U5">
            <v>4742320417187.0635</v>
          </cell>
          <cell r="V5">
            <v>4728775769223.1904</v>
          </cell>
          <cell r="W5">
            <v>4715125857828.0332</v>
          </cell>
          <cell r="X5">
            <v>4659499204578.5557</v>
          </cell>
          <cell r="Y5">
            <v>4603987145088.3828</v>
          </cell>
          <cell r="Z5">
            <v>4548589797442.5098</v>
          </cell>
          <cell r="AA5">
            <v>4493307279688.7031</v>
          </cell>
          <cell r="AB5">
            <v>4438139709837.501</v>
          </cell>
          <cell r="AC5">
            <v>4349646218492.5371</v>
          </cell>
          <cell r="AD5">
            <v>4261521943380.6172</v>
          </cell>
          <cell r="AE5">
            <v>4173767112091.4238</v>
          </cell>
          <cell r="AF5">
            <v>4086381952134.8037</v>
          </cell>
          <cell r="AG5">
            <v>3999366690940.7588</v>
          </cell>
          <cell r="AH5">
            <v>3892639977403.5664</v>
          </cell>
          <cell r="AI5">
            <v>3786466581718.2134</v>
          </cell>
          <cell r="AJ5">
            <v>3680846801211.0645</v>
          </cell>
          <cell r="AK5">
            <v>3575780933100.2803</v>
          </cell>
          <cell r="AL5">
            <v>3471269274495.8179</v>
          </cell>
          <cell r="AM5">
            <v>3366539184098.4609</v>
          </cell>
          <cell r="AN5">
            <v>3262366283494.0239</v>
          </cell>
          <cell r="AO5">
            <v>3158750873232.2515</v>
          </cell>
          <cell r="AP5">
            <v>3055693253753.5562</v>
          </cell>
          <cell r="AQ5">
            <v>2952207684078.3652</v>
          </cell>
        </row>
        <row r="6">
          <cell r="B6">
            <v>76770735706500</v>
          </cell>
          <cell r="C6">
            <v>67445578860000.008</v>
          </cell>
          <cell r="D6">
            <v>76997636956412.984</v>
          </cell>
          <cell r="E6">
            <v>81572406889238.281</v>
          </cell>
          <cell r="F6">
            <v>84332671640183.906</v>
          </cell>
          <cell r="G6">
            <v>86010180350118.313</v>
          </cell>
          <cell r="H6">
            <v>88280956078469.203</v>
          </cell>
          <cell r="I6">
            <v>90890018280615.125</v>
          </cell>
          <cell r="J6">
            <v>93571508186300.156</v>
          </cell>
          <cell r="K6">
            <v>96237099556402.094</v>
          </cell>
          <cell r="L6">
            <v>98789841532111.734</v>
          </cell>
          <cell r="M6">
            <v>101124673415180.48</v>
          </cell>
          <cell r="N6">
            <v>103160661398880.89</v>
          </cell>
          <cell r="O6">
            <v>104874628193502.38</v>
          </cell>
          <cell r="P6">
            <v>106277687857640.31</v>
          </cell>
          <cell r="Q6">
            <v>107385384356684.86</v>
          </cell>
          <cell r="R6">
            <v>108217074896236.7</v>
          </cell>
          <cell r="S6">
            <v>108780688912872.94</v>
          </cell>
          <cell r="T6">
            <v>109105838009369.39</v>
          </cell>
          <cell r="U6">
            <v>109209493204149.63</v>
          </cell>
          <cell r="V6">
            <v>109110036445031.8</v>
          </cell>
          <cell r="W6">
            <v>108826890956045.69</v>
          </cell>
          <cell r="X6">
            <v>108380177411024.11</v>
          </cell>
          <cell r="Y6">
            <v>107790401712764.5</v>
          </cell>
          <cell r="Z6">
            <v>107078178502843.17</v>
          </cell>
          <cell r="AA6">
            <v>106263993006129.22</v>
          </cell>
          <cell r="AB6">
            <v>105368002467036.95</v>
          </cell>
          <cell r="AC6">
            <v>104409877288269.47</v>
          </cell>
          <cell r="AD6">
            <v>103408681050923.72</v>
          </cell>
          <cell r="AE6">
            <v>102382787880101.47</v>
          </cell>
          <cell r="AF6">
            <v>101349835116715.47</v>
          </cell>
          <cell r="AG6">
            <v>100326708951780.22</v>
          </cell>
          <cell r="AH6">
            <v>99329560557865.031</v>
          </cell>
          <cell r="AI6">
            <v>98373850295248.234</v>
          </cell>
          <cell r="AJ6">
            <v>97474417759179.938</v>
          </cell>
          <cell r="AK6">
            <v>96645575752406.547</v>
          </cell>
          <cell r="AL6">
            <v>95901226699366.969</v>
          </cell>
          <cell r="AM6">
            <v>95255000554723.359</v>
          </cell>
          <cell r="AN6">
            <v>94720413893439.25</v>
          </cell>
          <cell r="AO6">
            <v>94311050602619.844</v>
          </cell>
          <cell r="AP6">
            <v>94040765433545.859</v>
          </cell>
          <cell r="AQ6">
            <v>93896204348011.313</v>
          </cell>
        </row>
        <row r="7">
          <cell r="B7">
            <v>23183723277000</v>
          </cell>
          <cell r="C7">
            <v>18358642120500</v>
          </cell>
          <cell r="D7">
            <v>18990414156633.609</v>
          </cell>
          <cell r="E7">
            <v>19702378506048.055</v>
          </cell>
          <cell r="F7">
            <v>20185405168407.086</v>
          </cell>
          <cell r="G7">
            <v>20296332437212.496</v>
          </cell>
          <cell r="H7">
            <v>20473429072906.75</v>
          </cell>
          <cell r="I7">
            <v>20698969439143.785</v>
          </cell>
          <cell r="J7">
            <v>20915282265011.055</v>
          </cell>
          <cell r="K7">
            <v>21093568376595.484</v>
          </cell>
          <cell r="L7">
            <v>21204412015317.094</v>
          </cell>
          <cell r="M7">
            <v>21218425345245.879</v>
          </cell>
          <cell r="N7">
            <v>21134787971349.855</v>
          </cell>
          <cell r="O7">
            <v>20952679813539.469</v>
          </cell>
          <cell r="P7">
            <v>20699433351088.238</v>
          </cell>
          <cell r="Q7">
            <v>20402048042595.598</v>
          </cell>
          <cell r="R7">
            <v>20086488781518.148</v>
          </cell>
          <cell r="S7">
            <v>19790963037552.211</v>
          </cell>
          <cell r="T7">
            <v>19502095576913.496</v>
          </cell>
          <cell r="U7">
            <v>19220469286559.488</v>
          </cell>
          <cell r="V7">
            <v>18946668039006.652</v>
          </cell>
          <cell r="W7">
            <v>18681263034996.289</v>
          </cell>
          <cell r="X7">
            <v>18424801831168.875</v>
          </cell>
          <cell r="Y7">
            <v>18177799994396.758</v>
          </cell>
          <cell r="Z7">
            <v>17940735244062.934</v>
          </cell>
          <cell r="AA7">
            <v>17714043884454.707</v>
          </cell>
          <cell r="AB7">
            <v>17498119290388.539</v>
          </cell>
          <cell r="AC7">
            <v>17293312188227.395</v>
          </cell>
          <cell r="AD7">
            <v>17099932469114.309</v>
          </cell>
          <cell r="AE7">
            <v>16918252278836.781</v>
          </cell>
          <cell r="AF7">
            <v>16748510146540.75</v>
          </cell>
          <cell r="AG7">
            <v>16590915940005.609</v>
          </cell>
          <cell r="AH7">
            <v>16445656466137.824</v>
          </cell>
          <cell r="AI7">
            <v>16312901569874.789</v>
          </cell>
          <cell r="AJ7">
            <v>16192810621396.721</v>
          </cell>
          <cell r="AK7">
            <v>16085539319428.633</v>
          </cell>
          <cell r="AL7">
            <v>15991246776959.723</v>
          </cell>
          <cell r="AM7">
            <v>15910102894826.455</v>
          </cell>
          <cell r="AN7">
            <v>15842296068670.723</v>
          </cell>
          <cell r="AO7">
            <v>15788041316611.117</v>
          </cell>
          <cell r="AP7">
            <v>15747588959857.652</v>
          </cell>
          <cell r="AQ7">
            <v>15715984878337.295</v>
          </cell>
        </row>
        <row r="8">
          <cell r="B8">
            <v>30536624728500.004</v>
          </cell>
          <cell r="C8">
            <v>23378170992000</v>
          </cell>
          <cell r="D8">
            <v>24989380453595.918</v>
          </cell>
          <cell r="E8">
            <v>27409351975333.125</v>
          </cell>
          <cell r="F8">
            <v>27993631053316.875</v>
          </cell>
          <cell r="G8">
            <v>28192211819894.449</v>
          </cell>
          <cell r="H8">
            <v>28541247715675.188</v>
          </cell>
          <cell r="I8">
            <v>29003014045187.691</v>
          </cell>
          <cell r="J8">
            <v>29510382426483.098</v>
          </cell>
          <cell r="K8">
            <v>30026150759386.652</v>
          </cell>
          <cell r="L8">
            <v>30510493453298.551</v>
          </cell>
          <cell r="M8">
            <v>30921119942825.102</v>
          </cell>
          <cell r="N8">
            <v>31273945899176.68</v>
          </cell>
          <cell r="O8">
            <v>31515324856142.02</v>
          </cell>
          <cell r="P8">
            <v>31651137688735.16</v>
          </cell>
          <cell r="Q8">
            <v>31688528867369.727</v>
          </cell>
          <cell r="R8">
            <v>31635654969487.672</v>
          </cell>
          <cell r="S8">
            <v>31553921472982.094</v>
          </cell>
          <cell r="T8">
            <v>31397929398111.34</v>
          </cell>
          <cell r="U8">
            <v>31175078331713.871</v>
          </cell>
          <cell r="V8">
            <v>30893043229895.078</v>
          </cell>
          <cell r="W8">
            <v>30559633462958.508</v>
          </cell>
          <cell r="X8">
            <v>30182667163352.188</v>
          </cell>
          <cell r="Y8">
            <v>29769862361200.914</v>
          </cell>
          <cell r="Z8">
            <v>29328745678954.91</v>
          </cell>
          <cell r="AA8">
            <v>28866578736695.391</v>
          </cell>
          <cell r="AB8">
            <v>28390301903737.531</v>
          </cell>
          <cell r="AC8">
            <v>27906494624652.367</v>
          </cell>
          <cell r="AD8">
            <v>27421351247415.867</v>
          </cell>
          <cell r="AE8">
            <v>26940671082534.078</v>
          </cell>
          <cell r="AF8">
            <v>26469861316064.836</v>
          </cell>
          <cell r="AG8">
            <v>26013951376048.879</v>
          </cell>
          <cell r="AH8">
            <v>25577617399708.641</v>
          </cell>
          <cell r="AI8">
            <v>25165215556769.289</v>
          </cell>
          <cell r="AJ8">
            <v>24780823142116.41</v>
          </cell>
          <cell r="AK8">
            <v>24428286549894.414</v>
          </cell>
          <cell r="AL8">
            <v>24111275474121.727</v>
          </cell>
          <cell r="AM8">
            <v>23833342943250.262</v>
          </cell>
          <cell r="AN8">
            <v>23597991085651.516</v>
          </cell>
          <cell r="AO8">
            <v>23408742840379.211</v>
          </cell>
          <cell r="AP8">
            <v>23269220176410.473</v>
          </cell>
          <cell r="AQ8">
            <v>23175407837698.781</v>
          </cell>
        </row>
        <row r="9">
          <cell r="B9">
            <v>29328271071000</v>
          </cell>
          <cell r="C9">
            <v>20964241501500</v>
          </cell>
          <cell r="D9">
            <v>22307423831983.754</v>
          </cell>
          <cell r="E9">
            <v>24517560773530.727</v>
          </cell>
          <cell r="F9">
            <v>26532026405895.539</v>
          </cell>
          <cell r="G9">
            <v>27741233730189.816</v>
          </cell>
          <cell r="H9">
            <v>28972554740984.234</v>
          </cell>
          <cell r="I9">
            <v>29696126695776.254</v>
          </cell>
          <cell r="J9">
            <v>30419374819602.664</v>
          </cell>
          <cell r="K9">
            <v>31138444950712.129</v>
          </cell>
          <cell r="L9">
            <v>31849073077414.34</v>
          </cell>
          <cell r="M9">
            <v>32546627353122.516</v>
          </cell>
          <cell r="N9">
            <v>32936160682571.703</v>
          </cell>
          <cell r="O9">
            <v>33309091041664.25</v>
          </cell>
          <cell r="P9">
            <v>33665972245694.5</v>
          </cell>
          <cell r="Q9">
            <v>34007580424316.609</v>
          </cell>
          <cell r="R9">
            <v>34334883468359.164</v>
          </cell>
          <cell r="S9">
            <v>34507727249082.352</v>
          </cell>
          <cell r="T9">
            <v>34668404139977.699</v>
          </cell>
          <cell r="U9">
            <v>34817639688358.781</v>
          </cell>
          <cell r="V9">
            <v>34956240086229.969</v>
          </cell>
          <cell r="W9">
            <v>35085075758625.32</v>
          </cell>
          <cell r="X9">
            <v>34902952748604.262</v>
          </cell>
          <cell r="Y9">
            <v>34713272712665.406</v>
          </cell>
          <cell r="Z9">
            <v>34517008737120.906</v>
          </cell>
          <cell r="AA9">
            <v>34315142199423.57</v>
          </cell>
          <cell r="AB9">
            <v>34108652268321.164</v>
          </cell>
          <cell r="AC9">
            <v>33687615991236.324</v>
          </cell>
          <cell r="AD9">
            <v>33264109351313.184</v>
          </cell>
          <cell r="AE9">
            <v>32839058182055.391</v>
          </cell>
          <cell r="AF9">
            <v>32413360397257.742</v>
          </cell>
          <cell r="AG9">
            <v>31987883527080.648</v>
          </cell>
          <cell r="AH9">
            <v>31533420419830.512</v>
          </cell>
          <cell r="AI9">
            <v>31080853087736.48</v>
          </cell>
          <cell r="AJ9">
            <v>30630957287305.145</v>
          </cell>
          <cell r="AK9">
            <v>30184482272745.742</v>
          </cell>
          <cell r="AL9">
            <v>29742154791520.77</v>
          </cell>
          <cell r="AM9">
            <v>29244765559874.344</v>
          </cell>
          <cell r="AN9">
            <v>28752998357567.992</v>
          </cell>
          <cell r="AO9">
            <v>28267546983978.852</v>
          </cell>
          <cell r="AP9">
            <v>27789109223563.035</v>
          </cell>
          <cell r="AQ9">
            <v>27309273854142.656</v>
          </cell>
        </row>
        <row r="10">
          <cell r="B10">
            <v>40317344793000</v>
          </cell>
          <cell r="C10">
            <v>129818850183000</v>
          </cell>
          <cell r="D10">
            <v>135987421442831.05</v>
          </cell>
          <cell r="E10">
            <v>145107817143080.19</v>
          </cell>
          <cell r="F10">
            <v>154534854724870.38</v>
          </cell>
          <cell r="G10">
            <v>162966485992867.91</v>
          </cell>
          <cell r="H10">
            <v>171394023837266.03</v>
          </cell>
          <cell r="I10">
            <v>175195562346472.84</v>
          </cell>
          <cell r="J10">
            <v>178996787849862</v>
          </cell>
          <cell r="K10">
            <v>182797700327655.5</v>
          </cell>
          <cell r="L10">
            <v>186598299760114.81</v>
          </cell>
          <cell r="M10">
            <v>190398586127542</v>
          </cell>
          <cell r="N10">
            <v>190665258018933.81</v>
          </cell>
          <cell r="O10">
            <v>190931914527769.56</v>
          </cell>
          <cell r="P10">
            <v>191198555653511.31</v>
          </cell>
          <cell r="Q10">
            <v>191465181395622.56</v>
          </cell>
          <cell r="R10">
            <v>191731791753567.38</v>
          </cell>
          <cell r="S10">
            <v>189553423684701.13</v>
          </cell>
          <cell r="T10">
            <v>187375117828117.25</v>
          </cell>
          <cell r="U10">
            <v>185196874180773.19</v>
          </cell>
          <cell r="V10">
            <v>183018692739626.38</v>
          </cell>
          <cell r="W10">
            <v>180840573501633.91</v>
          </cell>
          <cell r="X10">
            <v>176758958782989.13</v>
          </cell>
          <cell r="Y10">
            <v>172677460610437.06</v>
          </cell>
          <cell r="Z10">
            <v>168596078978267.31</v>
          </cell>
          <cell r="AA10">
            <v>164514813880769.41</v>
          </cell>
          <cell r="AB10">
            <v>160433665312232.25</v>
          </cell>
          <cell r="AC10">
            <v>156352633266944.59</v>
          </cell>
          <cell r="AD10">
            <v>152271717739194.69</v>
          </cell>
          <cell r="AE10">
            <v>148190918723270.34</v>
          </cell>
          <cell r="AF10">
            <v>144110236213459.09</v>
          </cell>
          <cell r="AG10">
            <v>140029670204048</v>
          </cell>
          <cell r="AH10">
            <v>136493006429786.8</v>
          </cell>
          <cell r="AI10">
            <v>132956443621579.5</v>
          </cell>
          <cell r="AJ10">
            <v>129419981774474.33</v>
          </cell>
          <cell r="AK10">
            <v>125883620883519.23</v>
          </cell>
          <cell r="AL10">
            <v>122347360943761.84</v>
          </cell>
          <cell r="AM10">
            <v>118633657146247.48</v>
          </cell>
          <cell r="AN10">
            <v>114920059357754.8</v>
          </cell>
          <cell r="AO10">
            <v>111206567573081.44</v>
          </cell>
          <cell r="AP10">
            <v>107493181787024.66</v>
          </cell>
          <cell r="AQ10">
            <v>103776590797432.08</v>
          </cell>
        </row>
        <row r="11">
          <cell r="B11">
            <v>28769928346500.012</v>
          </cell>
          <cell r="C11">
            <v>68634487745999.992</v>
          </cell>
          <cell r="D11">
            <v>75017557432051.375</v>
          </cell>
          <cell r="E11">
            <v>84009622571872.344</v>
          </cell>
          <cell r="F11">
            <v>93000953529928.813</v>
          </cell>
          <cell r="G11">
            <v>98899987448681.047</v>
          </cell>
          <cell r="H11">
            <v>104819262072280.84</v>
          </cell>
          <cell r="I11">
            <v>108795044119607.75</v>
          </cell>
          <cell r="J11">
            <v>112719781600735.44</v>
          </cell>
          <cell r="K11">
            <v>116592840133991.56</v>
          </cell>
          <cell r="L11">
            <v>120416242779308.5</v>
          </cell>
          <cell r="M11">
            <v>124194294218128.56</v>
          </cell>
          <cell r="N11">
            <v>126392755320979.05</v>
          </cell>
          <cell r="O11">
            <v>128557892836360.03</v>
          </cell>
          <cell r="P11">
            <v>130697103409818.31</v>
          </cell>
          <cell r="Q11">
            <v>132818385668225.83</v>
          </cell>
          <cell r="R11">
            <v>134930091945541.53</v>
          </cell>
          <cell r="S11">
            <v>136010992137614.78</v>
          </cell>
          <cell r="T11">
            <v>137090163413183.06</v>
          </cell>
          <cell r="U11">
            <v>138167630090892.86</v>
          </cell>
          <cell r="V11">
            <v>139243417614579.52</v>
          </cell>
          <cell r="W11">
            <v>140317552498167.73</v>
          </cell>
          <cell r="X11">
            <v>140799902287376.34</v>
          </cell>
          <cell r="Y11">
            <v>141280841192521.5</v>
          </cell>
          <cell r="Z11">
            <v>141760398672223.25</v>
          </cell>
          <cell r="AA11">
            <v>142238605037486.34</v>
          </cell>
          <cell r="AB11">
            <v>142715491398588.03</v>
          </cell>
          <cell r="AC11">
            <v>142684855333694.69</v>
          </cell>
          <cell r="AD11">
            <v>142653123304183.31</v>
          </cell>
          <cell r="AE11">
            <v>142620328561602.16</v>
          </cell>
          <cell r="AF11">
            <v>142586504952925.19</v>
          </cell>
          <cell r="AG11">
            <v>142551686872232.34</v>
          </cell>
          <cell r="AH11">
            <v>142056342986675.5</v>
          </cell>
          <cell r="AI11">
            <v>141560220063463.31</v>
          </cell>
          <cell r="AJ11">
            <v>141063353909797.97</v>
          </cell>
          <cell r="AK11">
            <v>140565780699731.53</v>
          </cell>
          <cell r="AL11">
            <v>140067536932700.67</v>
          </cell>
          <cell r="AM11">
            <v>139484271636251.97</v>
          </cell>
          <cell r="AN11">
            <v>138900436311785.38</v>
          </cell>
          <cell r="AO11">
            <v>138316068210886.75</v>
          </cell>
          <cell r="AP11">
            <v>137731204760665.67</v>
          </cell>
          <cell r="AQ11">
            <v>137104112303442.28</v>
          </cell>
        </row>
        <row r="12">
          <cell r="B12">
            <v>4522298286000</v>
          </cell>
          <cell r="C12">
            <v>3847286932500</v>
          </cell>
          <cell r="D12">
            <v>3929956663230.2617</v>
          </cell>
          <cell r="E12">
            <v>4378638347013.9844</v>
          </cell>
          <cell r="F12">
            <v>4512685510162.8467</v>
          </cell>
          <cell r="G12">
            <v>4639880689974.6064</v>
          </cell>
          <cell r="H12">
            <v>4801362288914.2139</v>
          </cell>
          <cell r="I12">
            <v>4950733725053.8721</v>
          </cell>
          <cell r="J12">
            <v>5072137053846.2666</v>
          </cell>
          <cell r="K12">
            <v>5163632982221.25</v>
          </cell>
          <cell r="L12">
            <v>5223834087567.8359</v>
          </cell>
          <cell r="M12">
            <v>5251938705307.7227</v>
          </cell>
          <cell r="N12">
            <v>5259111114997.6797</v>
          </cell>
          <cell r="O12">
            <v>5240592223077.3965</v>
          </cell>
          <cell r="P12">
            <v>5203136484279.0186</v>
          </cell>
          <cell r="Q12">
            <v>5153572624868.833</v>
          </cell>
          <cell r="R12">
            <v>5098605585386.3271</v>
          </cell>
          <cell r="S12">
            <v>5053267876620.0859</v>
          </cell>
          <cell r="T12">
            <v>5008946805684.8486</v>
          </cell>
          <cell r="U12">
            <v>4965670259715.0977</v>
          </cell>
          <cell r="V12">
            <v>4923465038679.1006</v>
          </cell>
          <cell r="W12">
            <v>4882356940023.5205</v>
          </cell>
          <cell r="X12">
            <v>4842370844394.3135</v>
          </cell>
          <cell r="Y12">
            <v>4803530802362.0645</v>
          </cell>
          <cell r="Z12">
            <v>4765860122098.8604</v>
          </cell>
          <cell r="AA12">
            <v>4729381457972.8477</v>
          </cell>
          <cell r="AB12">
            <v>4694116900045.6494</v>
          </cell>
          <cell r="AC12">
            <v>4660088064476.8018</v>
          </cell>
          <cell r="AD12">
            <v>4627316184858.7715</v>
          </cell>
          <cell r="AE12">
            <v>4595822204525.417</v>
          </cell>
          <cell r="AF12">
            <v>4565626869896.1494</v>
          </cell>
          <cell r="AG12">
            <v>4536750824937.9385</v>
          </cell>
          <cell r="AH12">
            <v>4509214706847.2871</v>
          </cell>
          <cell r="AI12">
            <v>4483039243074.8584</v>
          </cell>
          <cell r="AJ12">
            <v>4458245349836.0273</v>
          </cell>
          <cell r="AK12">
            <v>4434854232272.2334</v>
          </cell>
          <cell r="AL12">
            <v>4412887486449.9785</v>
          </cell>
          <cell r="AM12">
            <v>4392367203407.0674</v>
          </cell>
          <cell r="AN12">
            <v>4373316075479.3491</v>
          </cell>
          <cell r="AO12">
            <v>4355757505165.6987</v>
          </cell>
          <cell r="AP12">
            <v>4339715716814.8691</v>
          </cell>
          <cell r="AQ12">
            <v>4323767746067.9712</v>
          </cell>
        </row>
        <row r="13">
          <cell r="B13">
            <v>1505580879000</v>
          </cell>
          <cell r="C13">
            <v>1208353657500</v>
          </cell>
          <cell r="D13">
            <v>1353288911480.4507</v>
          </cell>
          <cell r="E13">
            <v>1490171296294.842</v>
          </cell>
          <cell r="F13">
            <v>1554039738044.4465</v>
          </cell>
          <cell r="G13">
            <v>1633557355082.6765</v>
          </cell>
          <cell r="H13">
            <v>1735001503192.4341</v>
          </cell>
          <cell r="I13">
            <v>1832116160345.2666</v>
          </cell>
          <cell r="J13">
            <v>1917034089975.6245</v>
          </cell>
          <cell r="K13">
            <v>1990991204332.8345</v>
          </cell>
          <cell r="L13">
            <v>2055940381658.7073</v>
          </cell>
          <cell r="M13">
            <v>2114425346861.4609</v>
          </cell>
          <cell r="N13">
            <v>2171218037699.7375</v>
          </cell>
          <cell r="O13">
            <v>2225302284148.2646</v>
          </cell>
          <cell r="P13">
            <v>2277412667293.3774</v>
          </cell>
          <cell r="Q13">
            <v>2328382048481.8848</v>
          </cell>
          <cell r="R13">
            <v>2379135591368.4092</v>
          </cell>
          <cell r="S13">
            <v>2433080793769.668</v>
          </cell>
          <cell r="T13">
            <v>2487777386786.9238</v>
          </cell>
          <cell r="U13">
            <v>2543051838541.9277</v>
          </cell>
          <cell r="V13">
            <v>2598715190811.0352</v>
          </cell>
          <cell r="W13">
            <v>2654562743893.2949</v>
          </cell>
          <cell r="X13">
            <v>2710373892775.8921</v>
          </cell>
          <cell r="Y13">
            <v>2765912134201.6519</v>
          </cell>
          <cell r="Z13">
            <v>2820925264302.7251</v>
          </cell>
          <cell r="AA13">
            <v>2875145786117.6768</v>
          </cell>
          <cell r="AB13">
            <v>2928291545501.5532</v>
          </cell>
          <cell r="AC13">
            <v>2980066612618.9531</v>
          </cell>
          <cell r="AD13">
            <v>3030162424333.1431</v>
          </cell>
          <cell r="AE13">
            <v>3078259200329.6523</v>
          </cell>
          <cell r="AF13">
            <v>3124027642713.3604</v>
          </cell>
          <cell r="AG13">
            <v>3167130925076.7393</v>
          </cell>
          <cell r="AH13">
            <v>3207226972653.2578</v>
          </cell>
          <cell r="AI13">
            <v>3243971030161.1914</v>
          </cell>
          <cell r="AJ13">
            <v>3277018508347.2002</v>
          </cell>
          <cell r="AK13">
            <v>3306028094115.7104</v>
          </cell>
          <cell r="AL13">
            <v>3330665102564.4702</v>
          </cell>
          <cell r="AM13">
            <v>3350605042347.9834</v>
          </cell>
          <cell r="AN13">
            <v>3365537358693.9375</v>
          </cell>
          <cell r="AO13">
            <v>3375169311264.1396</v>
          </cell>
          <cell r="AP13">
            <v>3379229937062.8809</v>
          </cell>
          <cell r="AQ13">
            <v>3376333290498.606</v>
          </cell>
        </row>
        <row r="14">
          <cell r="B14">
            <v>25011531798000</v>
          </cell>
          <cell r="C14">
            <v>23064276823500</v>
          </cell>
          <cell r="D14">
            <v>27462360428804.891</v>
          </cell>
          <cell r="E14">
            <v>30105759792308.293</v>
          </cell>
          <cell r="F14">
            <v>32045669663862.195</v>
          </cell>
          <cell r="G14">
            <v>32637656636266.875</v>
          </cell>
          <cell r="H14">
            <v>33162091588202.367</v>
          </cell>
          <cell r="I14">
            <v>33701382235324.906</v>
          </cell>
          <cell r="J14">
            <v>34243433281481.926</v>
          </cell>
          <cell r="K14">
            <v>34788236855396.203</v>
          </cell>
          <cell r="L14">
            <v>35335785090988.32</v>
          </cell>
          <cell r="M14">
            <v>35886070127376.609</v>
          </cell>
          <cell r="N14">
            <v>35564762260101.359</v>
          </cell>
          <cell r="O14">
            <v>35241408752403.344</v>
          </cell>
          <cell r="P14">
            <v>34916013256015.559</v>
          </cell>
          <cell r="Q14">
            <v>34588579421062.047</v>
          </cell>
          <cell r="R14">
            <v>34259110896057.781</v>
          </cell>
          <cell r="S14">
            <v>33678406166330.422</v>
          </cell>
          <cell r="T14">
            <v>33097489917029.07</v>
          </cell>
          <cell r="U14">
            <v>32516362480289.313</v>
          </cell>
          <cell r="V14">
            <v>31935024188184.352</v>
          </cell>
          <cell r="W14">
            <v>31353475372724.945</v>
          </cell>
          <cell r="X14">
            <v>30553615459071.473</v>
          </cell>
          <cell r="Y14">
            <v>29753469928945.285</v>
          </cell>
          <cell r="Z14">
            <v>28953039237105.547</v>
          </cell>
          <cell r="AA14">
            <v>28152323838225.828</v>
          </cell>
          <cell r="AB14">
            <v>27351324186894.063</v>
          </cell>
          <cell r="AC14">
            <v>26733689897528.383</v>
          </cell>
          <cell r="AD14">
            <v>26115835654946.164</v>
          </cell>
          <cell r="AE14">
            <v>25497761810124.789</v>
          </cell>
          <cell r="AF14">
            <v>24879468713975.531</v>
          </cell>
          <cell r="AG14">
            <v>24260956717343.547</v>
          </cell>
          <cell r="AH14">
            <v>23890467358891.406</v>
          </cell>
          <cell r="AI14">
            <v>23519844948176.98</v>
          </cell>
          <cell r="AJ14">
            <v>23149089696361.383</v>
          </cell>
          <cell r="AK14">
            <v>22778201814565.996</v>
          </cell>
          <cell r="AL14">
            <v>22407181513872.43</v>
          </cell>
          <cell r="AM14">
            <v>22223789307583.039</v>
          </cell>
          <cell r="AN14">
            <v>22040329099894.727</v>
          </cell>
          <cell r="AO14">
            <v>21856800996432.922</v>
          </cell>
          <cell r="AP14">
            <v>21673205102803.215</v>
          </cell>
          <cell r="AQ14">
            <v>21483158845068.563</v>
          </cell>
        </row>
        <row r="15">
          <cell r="B15">
            <v>28189363026000</v>
          </cell>
          <cell r="C15">
            <v>13136332060500</v>
          </cell>
          <cell r="D15">
            <v>15552241495060.42</v>
          </cell>
          <cell r="E15">
            <v>17425992521685.445</v>
          </cell>
          <cell r="F15">
            <v>19180159861895.434</v>
          </cell>
          <cell r="G15">
            <v>20110597844342.082</v>
          </cell>
          <cell r="H15">
            <v>21009072424969.039</v>
          </cell>
          <cell r="I15">
            <v>21538543258593.219</v>
          </cell>
          <cell r="J15">
            <v>22070654958894.465</v>
          </cell>
          <cell r="K15">
            <v>22605402388768.586</v>
          </cell>
          <cell r="L15">
            <v>23142780413783.469</v>
          </cell>
          <cell r="M15">
            <v>23682783902179.074</v>
          </cell>
          <cell r="N15">
            <v>23763664504646.195</v>
          </cell>
          <cell r="O15">
            <v>23844638428296.531</v>
          </cell>
          <cell r="P15">
            <v>23925705509240.934</v>
          </cell>
          <cell r="Q15">
            <v>24006865583652.508</v>
          </cell>
          <cell r="R15">
            <v>24088118487766.625</v>
          </cell>
          <cell r="S15">
            <v>23818644358345.305</v>
          </cell>
          <cell r="T15">
            <v>23549079137011.25</v>
          </cell>
          <cell r="U15">
            <v>23279422905588.352</v>
          </cell>
          <cell r="V15">
            <v>23009675745886.953</v>
          </cell>
          <cell r="W15">
            <v>22739837739703.859</v>
          </cell>
          <cell r="X15">
            <v>22230503546019.078</v>
          </cell>
          <cell r="Y15">
            <v>21721001297431.016</v>
          </cell>
          <cell r="Z15">
            <v>21211331146986.426</v>
          </cell>
          <cell r="AA15">
            <v>20701493247706.652</v>
          </cell>
          <cell r="AB15">
            <v>20191487752587.676</v>
          </cell>
          <cell r="AC15">
            <v>19681314814600.07</v>
          </cell>
          <cell r="AD15">
            <v>19170974586689.07</v>
          </cell>
          <cell r="AE15">
            <v>18660467221774.484</v>
          </cell>
          <cell r="AF15">
            <v>18149792872750.77</v>
          </cell>
          <cell r="AG15">
            <v>17638951692487</v>
          </cell>
          <cell r="AH15">
            <v>17196455609162.154</v>
          </cell>
          <cell r="AI15">
            <v>16753814970822.346</v>
          </cell>
          <cell r="AJ15">
            <v>16311029909917.16</v>
          </cell>
          <cell r="AK15">
            <v>15868100558874.17</v>
          </cell>
          <cell r="AL15">
            <v>15425027050098.971</v>
          </cell>
          <cell r="AM15">
            <v>14959419938744.848</v>
          </cell>
          <cell r="AN15">
            <v>14493661782328.301</v>
          </cell>
          <cell r="AO15">
            <v>14027752719827.654</v>
          </cell>
          <cell r="AP15">
            <v>13561692890198.123</v>
          </cell>
          <cell r="AQ15">
            <v>13091064540070.545</v>
          </cell>
        </row>
        <row r="16">
          <cell r="B16">
            <v>1655583402000.0005</v>
          </cell>
          <cell r="C16">
            <v>1966699746000</v>
          </cell>
          <cell r="D16">
            <v>2099177998401.3196</v>
          </cell>
          <cell r="E16">
            <v>2510297014877.562</v>
          </cell>
          <cell r="F16">
            <v>2796844896439.5576</v>
          </cell>
          <cell r="G16">
            <v>2987135852528.8008</v>
          </cell>
          <cell r="H16">
            <v>3173230056320.8315</v>
          </cell>
          <cell r="I16">
            <v>3328166246947.5273</v>
          </cell>
          <cell r="J16">
            <v>3482142036999.5757</v>
          </cell>
          <cell r="K16">
            <v>3635150275352.6572</v>
          </cell>
          <cell r="L16">
            <v>3787183820172.627</v>
          </cell>
          <cell r="M16">
            <v>3938235538915.5127</v>
          </cell>
          <cell r="N16">
            <v>4017331755788.2109</v>
          </cell>
          <cell r="O16">
            <v>4096040210457.8667</v>
          </cell>
          <cell r="P16">
            <v>4174359022495.3218</v>
          </cell>
          <cell r="Q16">
            <v>4252286313106.2588</v>
          </cell>
          <cell r="R16">
            <v>4329820205131.2051</v>
          </cell>
          <cell r="S16">
            <v>4347727576995.3428</v>
          </cell>
          <cell r="T16">
            <v>4365546318021.1431</v>
          </cell>
          <cell r="U16">
            <v>4383276395192.7319</v>
          </cell>
          <cell r="V16">
            <v>4400917775507.2754</v>
          </cell>
          <cell r="W16">
            <v>4418470425974.9688</v>
          </cell>
          <cell r="X16">
            <v>4399808057945.5771</v>
          </cell>
          <cell r="Y16">
            <v>4381181902378.0566</v>
          </cell>
          <cell r="Z16">
            <v>4362591974584.5337</v>
          </cell>
          <cell r="AA16">
            <v>4344038289871.4028</v>
          </cell>
          <cell r="AB16">
            <v>4325520863539.3257</v>
          </cell>
          <cell r="AC16">
            <v>4260288747141.1592</v>
          </cell>
          <cell r="AD16">
            <v>4195256315096.1299</v>
          </cell>
          <cell r="AE16">
            <v>4130423645598.0415</v>
          </cell>
          <cell r="AF16">
            <v>4065790816810.4849</v>
          </cell>
          <cell r="AG16">
            <v>4001357906866.8115</v>
          </cell>
          <cell r="AH16">
            <v>3902368294645.9087</v>
          </cell>
          <cell r="AI16">
            <v>3803701461169.877</v>
          </cell>
          <cell r="AJ16">
            <v>3705357531595.2593</v>
          </cell>
          <cell r="AK16">
            <v>3607336631030.0044</v>
          </cell>
          <cell r="AL16">
            <v>3509638884533.46</v>
          </cell>
          <cell r="AM16">
            <v>3412116972350.7642</v>
          </cell>
          <cell r="AN16">
            <v>3314918990052.3057</v>
          </cell>
          <cell r="AO16">
            <v>3218045062752.9961</v>
          </cell>
          <cell r="AP16">
            <v>3121495315519.0732</v>
          </cell>
          <cell r="AQ16">
            <v>3024213986966.4888</v>
          </cell>
        </row>
        <row r="17">
          <cell r="B17">
            <v>1355578356000</v>
          </cell>
          <cell r="C17">
            <v>1288910568000</v>
          </cell>
          <cell r="D17">
            <v>1549720210469.3923</v>
          </cell>
          <cell r="E17">
            <v>1662583461217.054</v>
          </cell>
          <cell r="F17">
            <v>1729165920778.8977</v>
          </cell>
          <cell r="G17">
            <v>1780643387971.4314</v>
          </cell>
          <cell r="H17">
            <v>1844516699229.3589</v>
          </cell>
          <cell r="I17">
            <v>1906240825669.4148</v>
          </cell>
          <cell r="J17">
            <v>1959920791167.2346</v>
          </cell>
          <cell r="K17">
            <v>2005936040749.5613</v>
          </cell>
          <cell r="L17">
            <v>2044869890285.1143</v>
          </cell>
          <cell r="M17">
            <v>2077478536349.0024</v>
          </cell>
          <cell r="N17">
            <v>2105902413882.9038</v>
          </cell>
          <cell r="O17">
            <v>2129671952124.6401</v>
          </cell>
          <cell r="P17">
            <v>2149592427187.05</v>
          </cell>
          <cell r="Q17">
            <v>2166529716611.8855</v>
          </cell>
          <cell r="R17">
            <v>2181395751901.2939</v>
          </cell>
          <cell r="S17">
            <v>2195770145533.363</v>
          </cell>
          <cell r="T17">
            <v>2209054207192.4966</v>
          </cell>
          <cell r="U17">
            <v>2221268640673.4102</v>
          </cell>
          <cell r="V17">
            <v>2232436653197.4819</v>
          </cell>
          <cell r="W17">
            <v>2242583802904.8706</v>
          </cell>
          <cell r="X17">
            <v>2251737844232.6621</v>
          </cell>
          <cell r="Y17">
            <v>2259928572262.9082</v>
          </cell>
          <cell r="Z17">
            <v>2267187667072.5225</v>
          </cell>
          <cell r="AA17">
            <v>2273548539059.8408</v>
          </cell>
          <cell r="AB17">
            <v>2279046176162.6626</v>
          </cell>
          <cell r="AC17">
            <v>2283716993819.541</v>
          </cell>
          <cell r="AD17">
            <v>2287598688461.2598</v>
          </cell>
          <cell r="AE17">
            <v>2290730095253.9409</v>
          </cell>
          <cell r="AF17">
            <v>2293151050748.7603</v>
          </cell>
          <cell r="AG17">
            <v>2294902261027.8696</v>
          </cell>
          <cell r="AH17">
            <v>2296025175871.1899</v>
          </cell>
          <cell r="AI17">
            <v>2296561869405.8213</v>
          </cell>
          <cell r="AJ17">
            <v>2296554927638.5308</v>
          </cell>
          <cell r="AK17">
            <v>2296047343213.5313</v>
          </cell>
          <cell r="AL17">
            <v>2295082417681.9731</v>
          </cell>
          <cell r="AM17">
            <v>2293703671517.5801</v>
          </cell>
          <cell r="AN17">
            <v>2291954762063.7476</v>
          </cell>
          <cell r="AO17">
            <v>2289879409552.8706</v>
          </cell>
          <cell r="AP17">
            <v>2287521331297.6421</v>
          </cell>
          <cell r="AQ17">
            <v>2284161271200.8535</v>
          </cell>
        </row>
        <row r="18">
          <cell r="B18">
            <v>1036128538499.9998</v>
          </cell>
          <cell r="C18">
            <v>1133352396000</v>
          </cell>
          <cell r="D18">
            <v>1143713151593.4121</v>
          </cell>
          <cell r="E18">
            <v>1462458501307.6738</v>
          </cell>
          <cell r="F18">
            <v>1504696592336.5906</v>
          </cell>
          <cell r="G18">
            <v>1576034582969.7026</v>
          </cell>
          <cell r="H18">
            <v>1665092674039.761</v>
          </cell>
          <cell r="I18">
            <v>1740124295679.1118</v>
          </cell>
          <cell r="J18">
            <v>1797049284999.832</v>
          </cell>
          <cell r="K18">
            <v>1840854671801.2246</v>
          </cell>
          <cell r="L18">
            <v>1877644116057.4546</v>
          </cell>
          <cell r="M18">
            <v>1914277951879.0066</v>
          </cell>
          <cell r="N18">
            <v>1963571270431.8767</v>
          </cell>
          <cell r="O18">
            <v>2019116132002.5469</v>
          </cell>
          <cell r="P18">
            <v>2079316087643.73</v>
          </cell>
          <cell r="Q18">
            <v>2142362645252.009</v>
          </cell>
          <cell r="R18">
            <v>2206198544730.6875</v>
          </cell>
          <cell r="S18">
            <v>2277429038088.2769</v>
          </cell>
          <cell r="T18">
            <v>2347490535965.3789</v>
          </cell>
          <cell r="U18">
            <v>2416108436926.1479</v>
          </cell>
          <cell r="V18">
            <v>2483008473097.5479</v>
          </cell>
          <cell r="W18">
            <v>2547918419804.21</v>
          </cell>
          <cell r="X18">
            <v>2610569810605.4961</v>
          </cell>
          <cell r="Y18">
            <v>2670699642902.1777</v>
          </cell>
          <cell r="Z18">
            <v>2728052059692.4702</v>
          </cell>
          <cell r="AA18">
            <v>2782379993631.1602</v>
          </cell>
          <cell r="AB18">
            <v>2833446760258.249</v>
          </cell>
          <cell r="AC18">
            <v>2881027588091.3994</v>
          </cell>
          <cell r="AD18">
            <v>2924911074192.7178</v>
          </cell>
          <cell r="AE18">
            <v>2964900554798.7314</v>
          </cell>
          <cell r="AF18">
            <v>3000815381616.064</v>
          </cell>
          <cell r="AG18">
            <v>3032492095408.7842</v>
          </cell>
          <cell r="AH18">
            <v>3059785489513.6641</v>
          </cell>
          <cell r="AI18">
            <v>3082569556895.6592</v>
          </cell>
          <cell r="AJ18">
            <v>3100738315281.7256</v>
          </cell>
          <cell r="AK18">
            <v>3114206505773.0508</v>
          </cell>
          <cell r="AL18">
            <v>3122910161127.5171</v>
          </cell>
          <cell r="AM18">
            <v>3126807040621.7188</v>
          </cell>
          <cell r="AN18">
            <v>3125876929048.8296</v>
          </cell>
          <cell r="AO18">
            <v>3120121797991.7441</v>
          </cell>
          <cell r="AP18">
            <v>3109565828043.833</v>
          </cell>
          <cell r="AQ18">
            <v>3093222150816.7554</v>
          </cell>
        </row>
        <row r="19">
          <cell r="B19">
            <v>1719473365500</v>
          </cell>
          <cell r="C19">
            <v>1322244462000</v>
          </cell>
          <cell r="D19">
            <v>1416795317259.5417</v>
          </cell>
          <cell r="E19">
            <v>1823528651926.4863</v>
          </cell>
          <cell r="F19">
            <v>1898630398355.1777</v>
          </cell>
          <cell r="G19">
            <v>2028229988837.1445</v>
          </cell>
          <cell r="H19">
            <v>2196686235853.3853</v>
          </cell>
          <cell r="I19">
            <v>2355623835777.8428</v>
          </cell>
          <cell r="J19">
            <v>2493663083182.978</v>
          </cell>
          <cell r="K19">
            <v>2613425976281.1582</v>
          </cell>
          <cell r="L19">
            <v>2719379857726.6475</v>
          </cell>
          <cell r="M19">
            <v>2817496817933.7236</v>
          </cell>
          <cell r="N19">
            <v>2921325569853.8682</v>
          </cell>
          <cell r="O19">
            <v>3024535382643.5986</v>
          </cell>
          <cell r="P19">
            <v>3126544498405.2358</v>
          </cell>
          <cell r="Q19">
            <v>3226731594753.228</v>
          </cell>
          <cell r="R19">
            <v>3324439203395.0264</v>
          </cell>
          <cell r="S19">
            <v>3428688411406.8613</v>
          </cell>
          <cell r="T19">
            <v>3530069677844.0098</v>
          </cell>
          <cell r="U19">
            <v>3628236673200.7939</v>
          </cell>
          <cell r="V19">
            <v>3722857827460.9004</v>
          </cell>
          <cell r="W19">
            <v>3813618479498.9487</v>
          </cell>
          <cell r="X19">
            <v>3900222854317.0601</v>
          </cell>
          <cell r="Y19">
            <v>3982395850720.9585</v>
          </cell>
          <cell r="Z19">
            <v>4059884624873.9404</v>
          </cell>
          <cell r="AA19">
            <v>4132459958118.4482</v>
          </cell>
          <cell r="AB19">
            <v>4199917400467.5391</v>
          </cell>
          <cell r="AC19">
            <v>4262078184193.1597</v>
          </cell>
          <cell r="AD19">
            <v>4318789904922.7563</v>
          </cell>
          <cell r="AE19">
            <v>4369926970554.9282</v>
          </cell>
          <cell r="AF19">
            <v>4415390821075.4297</v>
          </cell>
          <cell r="AG19">
            <v>4455109924959.0049</v>
          </cell>
          <cell r="AH19">
            <v>4489039560247.7852</v>
          </cell>
          <cell r="AI19">
            <v>4517161390574.708</v>
          </cell>
          <cell r="AJ19">
            <v>4539482848330.5371</v>
          </cell>
          <cell r="AK19">
            <v>4556036338838.0908</v>
          </cell>
          <cell r="AL19">
            <v>4566878280787.6221</v>
          </cell>
          <cell r="AM19">
            <v>4572087999297.4053</v>
          </cell>
          <cell r="AN19">
            <v>4571766488794.5811</v>
          </cell>
          <cell r="AO19">
            <v>4566035063467.2402</v>
          </cell>
          <cell r="AP19">
            <v>4555033913329.4395</v>
          </cell>
          <cell r="AQ19">
            <v>4537405084619.3945</v>
          </cell>
        </row>
        <row r="20">
          <cell r="B20">
            <v>288893748000</v>
          </cell>
          <cell r="C20">
            <v>211114662000</v>
          </cell>
          <cell r="D20">
            <v>167047411922.24838</v>
          </cell>
          <cell r="E20">
            <v>261264282242.62149</v>
          </cell>
          <cell r="F20">
            <v>259560938139.92569</v>
          </cell>
          <cell r="G20">
            <v>261028924713.76233</v>
          </cell>
          <cell r="H20">
            <v>264426478229.13458</v>
          </cell>
          <cell r="I20">
            <v>267564999921.86368</v>
          </cell>
          <cell r="J20">
            <v>270361107318.37915</v>
          </cell>
          <cell r="K20">
            <v>272611003622.01981</v>
          </cell>
          <cell r="L20">
            <v>274106726150.78403</v>
          </cell>
          <cell r="M20">
            <v>274640864369.02344</v>
          </cell>
          <cell r="N20">
            <v>276167358733.02576</v>
          </cell>
          <cell r="O20">
            <v>276690558906.18005</v>
          </cell>
          <cell r="P20">
            <v>276277585859.70221</v>
          </cell>
          <cell r="Q20">
            <v>275004931667.83136</v>
          </cell>
          <cell r="R20">
            <v>272956030275.4519</v>
          </cell>
          <cell r="S20">
            <v>272542192344.77362</v>
          </cell>
          <cell r="T20">
            <v>271530533355.08676</v>
          </cell>
          <cell r="U20">
            <v>269965128277.07492</v>
          </cell>
          <cell r="V20">
            <v>267892701291.67953</v>
          </cell>
          <cell r="W20">
            <v>265361800624.17691</v>
          </cell>
          <cell r="X20">
            <v>262422027319.36594</v>
          </cell>
          <cell r="Y20">
            <v>259123329002.49976</v>
          </cell>
          <cell r="Z20">
            <v>255515366632.59552</v>
          </cell>
          <cell r="AA20">
            <v>251646959402.58148</v>
          </cell>
          <cell r="AB20">
            <v>247565610347.00604</v>
          </cell>
          <cell r="AC20">
            <v>243317112933.32169</v>
          </cell>
          <cell r="AD20">
            <v>238945236967.86111</v>
          </cell>
          <cell r="AE20">
            <v>234491490555.22992</v>
          </cell>
          <cell r="AF20">
            <v>229994953607.63007</v>
          </cell>
          <cell r="AG20">
            <v>225492177493.957</v>
          </cell>
          <cell r="AH20">
            <v>221017144823.45782</v>
          </cell>
          <cell r="AI20">
            <v>216601283044.84778</v>
          </cell>
          <cell r="AJ20">
            <v>212273525474.72641</v>
          </cell>
          <cell r="AK20">
            <v>208060413512.77948</v>
          </cell>
          <cell r="AL20">
            <v>203986234119.88574</v>
          </cell>
          <cell r="AM20">
            <v>200073187094.69974</v>
          </cell>
          <cell r="AN20">
            <v>196341577253.53629</v>
          </cell>
          <cell r="AO20">
            <v>192810027270.06982</v>
          </cell>
          <cell r="AP20">
            <v>189495707642.63693</v>
          </cell>
          <cell r="AQ20">
            <v>186352339079.42514</v>
          </cell>
        </row>
        <row r="21">
          <cell r="B21">
            <v>836125174500</v>
          </cell>
          <cell r="C21">
            <v>644455284000</v>
          </cell>
          <cell r="D21">
            <v>659577992911.94275</v>
          </cell>
          <cell r="E21">
            <v>757004912056.65881</v>
          </cell>
          <cell r="F21">
            <v>834788248490.35669</v>
          </cell>
          <cell r="G21">
            <v>884965602074.56555</v>
          </cell>
          <cell r="H21">
            <v>934653010188.04871</v>
          </cell>
          <cell r="I21">
            <v>959456969807.45251</v>
          </cell>
          <cell r="J21">
            <v>984095747722.47913</v>
          </cell>
          <cell r="K21">
            <v>1008569438208.855</v>
          </cell>
          <cell r="L21">
            <v>1032878135589.1947</v>
          </cell>
          <cell r="M21">
            <v>1057021934233.0011</v>
          </cell>
          <cell r="N21">
            <v>1068369919984.5536</v>
          </cell>
          <cell r="O21">
            <v>1079660112802.1898</v>
          </cell>
          <cell r="P21">
            <v>1090892534600.9148</v>
          </cell>
          <cell r="Q21">
            <v>1102067207303.3794</v>
          </cell>
          <cell r="R21">
            <v>1113184152839.8811</v>
          </cell>
          <cell r="S21">
            <v>1108457375889.9358</v>
          </cell>
          <cell r="T21">
            <v>1103738973745.5198</v>
          </cell>
          <cell r="U21">
            <v>1099028945067.349</v>
          </cell>
          <cell r="V21">
            <v>1094327288516.0865</v>
          </cell>
          <cell r="W21">
            <v>1089634002752.3453</v>
          </cell>
          <cell r="X21">
            <v>1084949086436.6846</v>
          </cell>
          <cell r="Y21">
            <v>1080272538229.6119</v>
          </cell>
          <cell r="Z21">
            <v>1075604356791.5834</v>
          </cell>
          <cell r="AA21">
            <v>1070944540783.0035</v>
          </cell>
          <cell r="AB21">
            <v>1066293088864.2238</v>
          </cell>
          <cell r="AC21">
            <v>1061649999695.5441</v>
          </cell>
          <cell r="AD21">
            <v>1057015271937.2122</v>
          </cell>
          <cell r="AE21">
            <v>1052388904249.4247</v>
          </cell>
          <cell r="AF21">
            <v>1047770895292.3262</v>
          </cell>
          <cell r="AG21">
            <v>1043161243726.0077</v>
          </cell>
          <cell r="AH21">
            <v>1040544457665.6891</v>
          </cell>
          <cell r="AI21">
            <v>1037931098169.0387</v>
          </cell>
          <cell r="AJ21">
            <v>1035321164702.4854</v>
          </cell>
          <cell r="AK21">
            <v>1032714656732.4377</v>
          </cell>
          <cell r="AL21">
            <v>1030111573725.2852</v>
          </cell>
          <cell r="AM21">
            <v>1026854517888.8214</v>
          </cell>
          <cell r="AN21">
            <v>1023602527767.5243</v>
          </cell>
          <cell r="AO21">
            <v>1020355602558.8486</v>
          </cell>
          <cell r="AP21">
            <v>1017113741460.219</v>
          </cell>
          <cell r="AQ21">
            <v>1013533718233.2019</v>
          </cell>
        </row>
        <row r="22">
          <cell r="B22">
            <v>83334735000</v>
          </cell>
          <cell r="C22">
            <v>66667788000</v>
          </cell>
          <cell r="D22">
            <v>72827519037.581985</v>
          </cell>
          <cell r="E22">
            <v>78508076089.446381</v>
          </cell>
          <cell r="F22">
            <v>80860934702.508636</v>
          </cell>
          <cell r="G22">
            <v>82290312097.147034</v>
          </cell>
          <cell r="H22">
            <v>84127661436.07338</v>
          </cell>
          <cell r="I22">
            <v>85954203810.77626</v>
          </cell>
          <cell r="J22">
            <v>87537830328.522232</v>
          </cell>
          <cell r="K22">
            <v>88867783091.086487</v>
          </cell>
          <cell r="L22">
            <v>89935755389.165894</v>
          </cell>
          <cell r="M22">
            <v>90735964460.546143</v>
          </cell>
          <cell r="N22">
            <v>91342191737.190079</v>
          </cell>
          <cell r="O22">
            <v>91715187929.005203</v>
          </cell>
          <cell r="P22">
            <v>91893955539.400696</v>
          </cell>
          <cell r="Q22">
            <v>91919250621.573608</v>
          </cell>
          <cell r="R22">
            <v>91832802370.051453</v>
          </cell>
          <cell r="S22">
            <v>91744145979.848526</v>
          </cell>
          <cell r="T22">
            <v>91591520999.141891</v>
          </cell>
          <cell r="U22">
            <v>91380652052.380753</v>
          </cell>
          <cell r="V22">
            <v>91117332210.34552</v>
          </cell>
          <cell r="W22">
            <v>90807389106.36676</v>
          </cell>
          <cell r="X22">
            <v>90456654465.837311</v>
          </cell>
          <cell r="Y22">
            <v>90070937157.628845</v>
          </cell>
          <cell r="Z22">
            <v>89655999827.290482</v>
          </cell>
          <cell r="AA22">
            <v>89217539128.962021</v>
          </cell>
          <cell r="AB22">
            <v>88761169536.011597</v>
          </cell>
          <cell r="AC22">
            <v>88292410679.608505</v>
          </cell>
          <cell r="AD22">
            <v>87816678139.787308</v>
          </cell>
          <cell r="AE22">
            <v>87339277594.913361</v>
          </cell>
          <cell r="AF22">
            <v>86865402222.698395</v>
          </cell>
          <cell r="AG22">
            <v>86400133238.771759</v>
          </cell>
          <cell r="AH22">
            <v>85948443457.068909</v>
          </cell>
          <cell r="AI22">
            <v>85515203759.653656</v>
          </cell>
          <cell r="AJ22">
            <v>85105192371.80957</v>
          </cell>
          <cell r="AK22">
            <v>84723106851.035583</v>
          </cell>
          <cell r="AL22">
            <v>84373578715.773727</v>
          </cell>
          <cell r="AM22">
            <v>84061190661.09903</v>
          </cell>
          <cell r="AN22">
            <v>83790496334.120239</v>
          </cell>
          <cell r="AO22">
            <v>83566042671.421249</v>
          </cell>
          <cell r="AP22">
            <v>83392394834.608551</v>
          </cell>
          <cell r="AQ22">
            <v>83246337702.481949</v>
          </cell>
        </row>
        <row r="23">
          <cell r="B23">
            <v>1419468319500</v>
          </cell>
          <cell r="C23">
            <v>1405579197000.0002</v>
          </cell>
          <cell r="D23">
            <v>1679323731801.3086</v>
          </cell>
          <cell r="E23">
            <v>1824264664255.1646</v>
          </cell>
          <cell r="F23">
            <v>1907381014876.905</v>
          </cell>
          <cell r="G23">
            <v>1969791645309.6179</v>
          </cell>
          <cell r="H23">
            <v>2046112285640.1023</v>
          </cell>
          <cell r="I23">
            <v>2119663695846.283</v>
          </cell>
          <cell r="J23">
            <v>2183805132332.8931</v>
          </cell>
          <cell r="K23">
            <v>2239058380533.0483</v>
          </cell>
          <cell r="L23">
            <v>2286213361020.1567</v>
          </cell>
          <cell r="M23">
            <v>2326285946678.8901</v>
          </cell>
          <cell r="N23">
            <v>2361557697127.127</v>
          </cell>
          <cell r="O23">
            <v>2391791750664.9863</v>
          </cell>
          <cell r="P23">
            <v>2417872239700.5503</v>
          </cell>
          <cell r="Q23">
            <v>2440755965830.3691</v>
          </cell>
          <cell r="R23">
            <v>2461456912037.6084</v>
          </cell>
          <cell r="S23">
            <v>2480897273687.6431</v>
          </cell>
          <cell r="T23">
            <v>2499224982404.1772</v>
          </cell>
          <cell r="U23">
            <v>2516441445430.2476</v>
          </cell>
          <cell r="V23">
            <v>2532550337246.9639</v>
          </cell>
          <cell r="W23">
            <v>2547557533039.3696</v>
          </cell>
          <cell r="X23">
            <v>2561471036914.5078</v>
          </cell>
          <cell r="Y23">
            <v>2574300905410.0527</v>
          </cell>
          <cell r="Z23">
            <v>2586059166833.4243</v>
          </cell>
          <cell r="AA23">
            <v>2596759736969.2139</v>
          </cell>
          <cell r="AB23">
            <v>2606418331687.812</v>
          </cell>
          <cell r="AC23">
            <v>2615052376979.5918</v>
          </cell>
          <cell r="AD23">
            <v>2622680916928.5405</v>
          </cell>
          <cell r="AE23">
            <v>2629324520125.4136</v>
          </cell>
          <cell r="AF23">
            <v>2635005185004.9878</v>
          </cell>
          <cell r="AG23">
            <v>2639746244574.3281</v>
          </cell>
          <cell r="AH23">
            <v>2643572270979.3081</v>
          </cell>
          <cell r="AI23">
            <v>2646508980335.7827</v>
          </cell>
          <cell r="AJ23">
            <v>2648583138229.4541</v>
          </cell>
          <cell r="AK23">
            <v>2649822466265.1406</v>
          </cell>
          <cell r="AL23">
            <v>2650255550022.0581</v>
          </cell>
          <cell r="AM23">
            <v>2649911748746.9229</v>
          </cell>
          <cell r="AN23">
            <v>2648821107091.668</v>
          </cell>
          <cell r="AO23">
            <v>2647014269177.1211</v>
          </cell>
          <cell r="AP23">
            <v>2644522395238.9248</v>
          </cell>
          <cell r="AQ23">
            <v>2640490572888.9868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</row>
        <row r="25">
          <cell r="B25">
            <v>1630582981500</v>
          </cell>
          <cell r="C25">
            <v>1666694700000</v>
          </cell>
          <cell r="D25">
            <v>2376445465335.0654</v>
          </cell>
          <cell r="E25">
            <v>3067367663035.8994</v>
          </cell>
          <cell r="F25">
            <v>3300627215866.3027</v>
          </cell>
          <cell r="G25">
            <v>3628826045373.562</v>
          </cell>
          <cell r="H25">
            <v>4065489180155.6802</v>
          </cell>
          <cell r="I25">
            <v>4518749954492.751</v>
          </cell>
          <cell r="J25">
            <v>4956852899447.1621</v>
          </cell>
          <cell r="K25">
            <v>5381120601347.8037</v>
          </cell>
          <cell r="L25">
            <v>5797158149198.791</v>
          </cell>
          <cell r="M25">
            <v>6214841444122.5635</v>
          </cell>
          <cell r="N25">
            <v>6644073630319.9346</v>
          </cell>
          <cell r="O25">
            <v>7089543488165.1328</v>
          </cell>
          <cell r="P25">
            <v>7552505361349.1885</v>
          </cell>
          <cell r="Q25">
            <v>8034562572119.6484</v>
          </cell>
          <cell r="R25">
            <v>8537708891305.7969</v>
          </cell>
          <cell r="S25">
            <v>9057819832506.2734</v>
          </cell>
          <cell r="T25">
            <v>9600007061487.666</v>
          </cell>
          <cell r="U25">
            <v>10163246987208.625</v>
          </cell>
          <cell r="V25">
            <v>10746176613596.127</v>
          </cell>
          <cell r="W25">
            <v>11347065143362.363</v>
          </cell>
          <cell r="X25">
            <v>11963788208961.088</v>
          </cell>
          <cell r="Y25">
            <v>12593805795009.213</v>
          </cell>
          <cell r="Z25">
            <v>13234145002291.582</v>
          </cell>
          <cell r="AA25">
            <v>13881388865776.783</v>
          </cell>
          <cell r="AB25">
            <v>14531672470515.523</v>
          </cell>
          <cell r="AC25">
            <v>15180687602316.58</v>
          </cell>
          <cell r="AD25">
            <v>15823697117346.105</v>
          </cell>
          <cell r="AE25">
            <v>16455560109553.555</v>
          </cell>
          <cell r="AF25">
            <v>17070768791511.461</v>
          </cell>
          <cell r="AG25">
            <v>17663497778973.449</v>
          </cell>
          <cell r="AH25">
            <v>18227666180570.633</v>
          </cell>
          <cell r="AI25">
            <v>18757012542771.469</v>
          </cell>
          <cell r="AJ25">
            <v>19245182291030.848</v>
          </cell>
          <cell r="AK25">
            <v>19685826849197.77</v>
          </cell>
          <cell r="AL25">
            <v>20072713122964.859</v>
          </cell>
          <cell r="AM25">
            <v>20399841515695.363</v>
          </cell>
          <cell r="AN25">
            <v>20661570126471.195</v>
          </cell>
          <cell r="AO25">
            <v>20852742284146.926</v>
          </cell>
          <cell r="AP25">
            <v>20968814123631.98</v>
          </cell>
          <cell r="AQ25">
            <v>20998964856785.313</v>
          </cell>
        </row>
        <row r="26">
          <cell r="B26">
            <v>8447364304499.999</v>
          </cell>
          <cell r="C26">
            <v>7930688947500</v>
          </cell>
          <cell r="D26">
            <v>8394302712243.5576</v>
          </cell>
          <cell r="E26">
            <v>8743590180555.6807</v>
          </cell>
          <cell r="F26">
            <v>9500033708674.9863</v>
          </cell>
          <cell r="G26">
            <v>9963631452895.1543</v>
          </cell>
          <cell r="H26">
            <v>10350097250970.723</v>
          </cell>
          <cell r="I26">
            <v>10881111936604.828</v>
          </cell>
          <cell r="J26">
            <v>11335269419566.064</v>
          </cell>
          <cell r="K26">
            <v>11777183179143.15</v>
          </cell>
          <cell r="L26">
            <v>12205134946038.201</v>
          </cell>
          <cell r="M26">
            <v>12688462906982.9</v>
          </cell>
          <cell r="N26">
            <v>13016817166278.955</v>
          </cell>
          <cell r="O26">
            <v>13398230405923.852</v>
          </cell>
          <cell r="P26">
            <v>13760820931977.742</v>
          </cell>
          <cell r="Q26">
            <v>14103797671028.449</v>
          </cell>
          <cell r="R26">
            <v>14396760754788.484</v>
          </cell>
          <cell r="S26">
            <v>14731541355419.84</v>
          </cell>
          <cell r="T26">
            <v>15015853819054.629</v>
          </cell>
          <cell r="U26">
            <v>15279504344204.971</v>
          </cell>
          <cell r="V26">
            <v>15522671016803.074</v>
          </cell>
          <cell r="W26">
            <v>15745706540191.508</v>
          </cell>
          <cell r="X26">
            <v>15949127355367.986</v>
          </cell>
          <cell r="Y26">
            <v>16133601747275.965</v>
          </cell>
          <cell r="Z26">
            <v>16299937250530.047</v>
          </cell>
          <cell r="AA26">
            <v>16449067655296.447</v>
          </cell>
          <cell r="AB26">
            <v>16582039896410.246</v>
          </cell>
          <cell r="AC26">
            <v>16700001087352.43</v>
          </cell>
          <cell r="AD26">
            <v>16804185936535.438</v>
          </cell>
          <cell r="AE26">
            <v>16895904757528.764</v>
          </cell>
          <cell r="AF26">
            <v>16976532258378.178</v>
          </cell>
          <cell r="AG26">
            <v>17047497268931.664</v>
          </cell>
          <cell r="AH26">
            <v>17110273539863.34</v>
          </cell>
          <cell r="AI26">
            <v>17166371723568.258</v>
          </cell>
          <cell r="AJ26">
            <v>17217332625842.67</v>
          </cell>
          <cell r="AK26">
            <v>17264721798731.701</v>
          </cell>
          <cell r="AL26">
            <v>17310125529481.678</v>
          </cell>
          <cell r="AM26">
            <v>17355148268456.443</v>
          </cell>
          <cell r="AN26">
            <v>17401411530378.096</v>
          </cell>
          <cell r="AO26">
            <v>17450554298494.395</v>
          </cell>
          <cell r="AP26">
            <v>17504234960376.758</v>
          </cell>
          <cell r="AQ26">
            <v>17557157076074.357</v>
          </cell>
        </row>
      </sheetData>
      <sheetData sheetId="50">
        <row r="2"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</row>
        <row r="3"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</row>
        <row r="4"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</row>
        <row r="5"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</row>
        <row r="6"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</row>
        <row r="7"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</row>
        <row r="8"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</row>
        <row r="13"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iit.gov.cn/jgsj/jns/wjfb/art/2022/art_d293af44ea69438a9b4f989d01d4288b.html" TargetMode="External"/><Relationship Id="rId2" Type="http://schemas.openxmlformats.org/officeDocument/2006/relationships/hyperlink" Target="https://wap.miit.gov.cn/zwgk/zcwj/wjfb/gg/art/2021/art_722250e2d62b49c5963d325477234d98.html" TargetMode="External"/><Relationship Id="rId1" Type="http://schemas.openxmlformats.org/officeDocument/2006/relationships/hyperlink" Target="https://wap.miit.gov.cn/zwgk/zcwj/wjfb/gg/art/2020/art_e0190e6c3c404e54a7958e863d68d6a2.html" TargetMode="External"/><Relationship Id="rId4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2EBD5-E95B-48D1-8F98-3FF2DE9E700A}">
  <dimension ref="A1:F21"/>
  <sheetViews>
    <sheetView workbookViewId="0">
      <selection activeCell="B9" sqref="B9"/>
    </sheetView>
  </sheetViews>
  <sheetFormatPr defaultRowHeight="14.25" x14ac:dyDescent="0.2"/>
  <cols>
    <col min="1" max="1" width="9" style="68"/>
    <col min="2" max="2" width="86.875" style="68" customWidth="1"/>
    <col min="3" max="6" width="9" style="68"/>
  </cols>
  <sheetData>
    <row r="1" spans="1:2" x14ac:dyDescent="0.2">
      <c r="A1" s="67" t="s">
        <v>446</v>
      </c>
    </row>
    <row r="2" spans="1:2" x14ac:dyDescent="0.2">
      <c r="A2" s="67" t="s">
        <v>447</v>
      </c>
    </row>
    <row r="3" spans="1:2" x14ac:dyDescent="0.2">
      <c r="A3" s="67" t="s">
        <v>448</v>
      </c>
    </row>
    <row r="4" spans="1:2" x14ac:dyDescent="0.2">
      <c r="A4" s="67"/>
    </row>
    <row r="5" spans="1:2" ht="15" x14ac:dyDescent="0.25">
      <c r="A5" s="31"/>
    </row>
    <row r="6" spans="1:2" ht="15" x14ac:dyDescent="0.25">
      <c r="A6" s="67" t="s">
        <v>449</v>
      </c>
      <c r="B6" s="69" t="s">
        <v>452</v>
      </c>
    </row>
    <row r="7" spans="1:2" ht="15" x14ac:dyDescent="0.25">
      <c r="A7" s="31"/>
      <c r="B7" s="70" t="s">
        <v>453</v>
      </c>
    </row>
    <row r="8" spans="1:2" ht="15" x14ac:dyDescent="0.25">
      <c r="A8" s="31"/>
      <c r="B8" s="70" t="s">
        <v>454</v>
      </c>
    </row>
    <row r="9" spans="1:2" ht="15" x14ac:dyDescent="0.25">
      <c r="A9" s="31"/>
      <c r="B9" s="71" t="s">
        <v>455</v>
      </c>
    </row>
    <row r="10" spans="1:2" ht="15" x14ac:dyDescent="0.25">
      <c r="A10" s="31"/>
      <c r="B10" s="81" t="s">
        <v>456</v>
      </c>
    </row>
    <row r="11" spans="1:2" ht="15" x14ac:dyDescent="0.25">
      <c r="A11" s="31"/>
      <c r="B11" s="82" t="s">
        <v>457</v>
      </c>
    </row>
    <row r="12" spans="1:2" ht="15" x14ac:dyDescent="0.25">
      <c r="A12" s="31"/>
      <c r="B12" s="81" t="s">
        <v>458</v>
      </c>
    </row>
    <row r="13" spans="1:2" ht="15" x14ac:dyDescent="0.25">
      <c r="A13" s="31"/>
      <c r="B13" s="81"/>
    </row>
    <row r="14" spans="1:2" x14ac:dyDescent="0.2">
      <c r="A14" s="67" t="s">
        <v>450</v>
      </c>
    </row>
    <row r="15" spans="1:2" ht="15" x14ac:dyDescent="0.25">
      <c r="A15" s="31"/>
    </row>
    <row r="16" spans="1:2" ht="15" x14ac:dyDescent="0.25">
      <c r="A16" s="31"/>
    </row>
    <row r="17" spans="1:1" ht="15" x14ac:dyDescent="0.25">
      <c r="A17" s="31"/>
    </row>
    <row r="18" spans="1:1" ht="15" x14ac:dyDescent="0.25">
      <c r="A18" s="31"/>
    </row>
    <row r="19" spans="1:1" ht="15" x14ac:dyDescent="0.25">
      <c r="A19" s="31"/>
    </row>
    <row r="21" spans="1:1" ht="16.5" x14ac:dyDescent="0.2">
      <c r="A21" s="72"/>
    </row>
  </sheetData>
  <phoneticPr fontId="1" type="noConversion"/>
  <hyperlinks>
    <hyperlink ref="B10" r:id="rId1" xr:uid="{9D776312-A885-4E20-8AB2-213701E359C5}"/>
    <hyperlink ref="B11" r:id="rId2" display="https://wap.miit.gov.cn/zwgk/zcwj/wjfb/gg/art/2021/art_722250e2d62b49c5963d325477234d98.html" xr:uid="{F5F3F87A-03AE-462E-8C69-9B06FBCDEBB3}"/>
    <hyperlink ref="B12" r:id="rId3" display="https://www.miit.gov.cn/jgsj/jns/wjfb/art/2022/art_d293af44ea69438a9b4f989d01d4288b.html" xr:uid="{AFEB7B44-B384-4F74-985B-043E5F6636BF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CF38F-AD05-45F8-8335-72AB371FE321}">
  <dimension ref="A1:H64"/>
  <sheetViews>
    <sheetView workbookViewId="0">
      <selection activeCell="C30" sqref="C30"/>
    </sheetView>
  </sheetViews>
  <sheetFormatPr defaultColWidth="9" defaultRowHeight="13.5" x14ac:dyDescent="0.15"/>
  <cols>
    <col min="1" max="1" width="18.75" style="20" customWidth="1"/>
    <col min="2" max="2" width="38.375" style="20" customWidth="1"/>
    <col min="3" max="3" width="10.875" style="8" customWidth="1"/>
    <col min="4" max="4" width="18.75" style="8" customWidth="1"/>
    <col min="5" max="5" width="16.125" style="5" customWidth="1"/>
    <col min="6" max="6" width="9" style="5"/>
    <col min="7" max="7" width="22.25" style="5" customWidth="1"/>
    <col min="8" max="8" width="36.625" style="5" customWidth="1"/>
    <col min="9" max="16384" width="9" style="5"/>
  </cols>
  <sheetData>
    <row r="1" spans="1:8" x14ac:dyDescent="0.15">
      <c r="A1" s="19" t="s">
        <v>29</v>
      </c>
      <c r="B1" s="19" t="s">
        <v>30</v>
      </c>
      <c r="D1" s="22" t="s">
        <v>58</v>
      </c>
      <c r="E1" s="22" t="s">
        <v>11</v>
      </c>
      <c r="G1" s="19" t="s">
        <v>31</v>
      </c>
      <c r="H1" s="19" t="s">
        <v>32</v>
      </c>
    </row>
    <row r="2" spans="1:8" ht="14.25" x14ac:dyDescent="0.2">
      <c r="A2" s="24" t="s">
        <v>6</v>
      </c>
      <c r="B2" s="25" t="s">
        <v>35</v>
      </c>
      <c r="D2" s="24" t="s">
        <v>57</v>
      </c>
      <c r="E2" s="24" t="s">
        <v>3</v>
      </c>
      <c r="G2" s="26" t="s">
        <v>12</v>
      </c>
      <c r="H2" s="26" t="s">
        <v>103</v>
      </c>
    </row>
    <row r="3" spans="1:8" ht="14.25" x14ac:dyDescent="0.2">
      <c r="A3" s="24" t="s">
        <v>14</v>
      </c>
      <c r="B3" s="25" t="s">
        <v>36</v>
      </c>
      <c r="D3" s="24" t="s">
        <v>57</v>
      </c>
      <c r="E3" s="24" t="s">
        <v>4</v>
      </c>
      <c r="G3" s="26" t="s">
        <v>10</v>
      </c>
      <c r="H3" s="26" t="s">
        <v>105</v>
      </c>
    </row>
    <row r="4" spans="1:8" ht="14.25" x14ac:dyDescent="0.2">
      <c r="A4" s="24" t="s">
        <v>98</v>
      </c>
      <c r="B4" s="25" t="s">
        <v>100</v>
      </c>
      <c r="D4" s="24" t="s">
        <v>57</v>
      </c>
      <c r="E4" s="24" t="s">
        <v>2</v>
      </c>
      <c r="G4" s="26" t="s">
        <v>16</v>
      </c>
      <c r="H4" s="26" t="s">
        <v>104</v>
      </c>
    </row>
    <row r="5" spans="1:8" ht="14.25" x14ac:dyDescent="0.2">
      <c r="A5" s="26" t="s">
        <v>60</v>
      </c>
      <c r="B5" s="25" t="s">
        <v>101</v>
      </c>
      <c r="D5" s="24" t="s">
        <v>57</v>
      </c>
      <c r="E5" s="24" t="s">
        <v>1</v>
      </c>
      <c r="G5" s="26" t="s">
        <v>26</v>
      </c>
      <c r="H5" s="26" t="s">
        <v>103</v>
      </c>
    </row>
    <row r="6" spans="1:8" ht="14.25" x14ac:dyDescent="0.2">
      <c r="A6" s="24" t="s">
        <v>15</v>
      </c>
      <c r="B6" s="25" t="s">
        <v>39</v>
      </c>
      <c r="D6" s="24" t="s">
        <v>57</v>
      </c>
      <c r="E6" s="24" t="s">
        <v>59</v>
      </c>
      <c r="G6" s="26" t="s">
        <v>25</v>
      </c>
      <c r="H6" s="26" t="s">
        <v>103</v>
      </c>
    </row>
    <row r="7" spans="1:8" ht="14.25" x14ac:dyDescent="0.2">
      <c r="A7" s="24" t="s">
        <v>59</v>
      </c>
      <c r="B7" s="25" t="s">
        <v>37</v>
      </c>
      <c r="D7" s="24" t="s">
        <v>57</v>
      </c>
      <c r="E7" s="24" t="s">
        <v>15</v>
      </c>
      <c r="G7" s="26" t="s">
        <v>7</v>
      </c>
      <c r="H7" s="26" t="s">
        <v>104</v>
      </c>
    </row>
    <row r="8" spans="1:8" ht="14.25" x14ac:dyDescent="0.2">
      <c r="A8" s="24" t="s">
        <v>0</v>
      </c>
      <c r="B8" s="25" t="s">
        <v>44</v>
      </c>
      <c r="D8" s="24" t="s">
        <v>57</v>
      </c>
      <c r="E8" s="24" t="s">
        <v>60</v>
      </c>
      <c r="G8" s="26" t="s">
        <v>8</v>
      </c>
      <c r="H8" s="26" t="s">
        <v>102</v>
      </c>
    </row>
    <row r="9" spans="1:8" ht="14.25" x14ac:dyDescent="0.2">
      <c r="A9" s="24" t="s">
        <v>1</v>
      </c>
      <c r="B9" s="25" t="s">
        <v>45</v>
      </c>
      <c r="D9" s="24" t="s">
        <v>13</v>
      </c>
      <c r="E9" s="24" t="s">
        <v>4</v>
      </c>
    </row>
    <row r="10" spans="1:8" ht="14.25" x14ac:dyDescent="0.2">
      <c r="A10" s="24" t="s">
        <v>4</v>
      </c>
      <c r="B10" s="25" t="s">
        <v>40</v>
      </c>
      <c r="D10" s="24" t="s">
        <v>13</v>
      </c>
      <c r="E10" s="24" t="s">
        <v>2</v>
      </c>
    </row>
    <row r="11" spans="1:8" ht="14.25" x14ac:dyDescent="0.2">
      <c r="A11" s="24" t="s">
        <v>2</v>
      </c>
      <c r="B11" s="25" t="s">
        <v>41</v>
      </c>
      <c r="D11" s="24" t="s">
        <v>13</v>
      </c>
      <c r="E11" s="24" t="s">
        <v>1</v>
      </c>
    </row>
    <row r="12" spans="1:8" ht="14.25" x14ac:dyDescent="0.2">
      <c r="A12" s="24" t="s">
        <v>9</v>
      </c>
      <c r="B12" s="25" t="s">
        <v>46</v>
      </c>
      <c r="D12" s="24" t="s">
        <v>13</v>
      </c>
      <c r="E12" s="24" t="s">
        <v>9</v>
      </c>
    </row>
    <row r="13" spans="1:8" ht="14.25" x14ac:dyDescent="0.2">
      <c r="A13" s="24" t="s">
        <v>79</v>
      </c>
      <c r="B13" s="25" t="s">
        <v>51</v>
      </c>
      <c r="D13" s="24" t="s">
        <v>13</v>
      </c>
      <c r="E13" s="24" t="s">
        <v>15</v>
      </c>
    </row>
    <row r="14" spans="1:8" ht="14.25" x14ac:dyDescent="0.2">
      <c r="A14" s="24" t="s">
        <v>80</v>
      </c>
      <c r="B14" s="25" t="s">
        <v>52</v>
      </c>
      <c r="D14" s="24" t="s">
        <v>13</v>
      </c>
      <c r="E14" s="24" t="s">
        <v>59</v>
      </c>
    </row>
    <row r="15" spans="1:8" ht="14.25" x14ac:dyDescent="0.2">
      <c r="A15" s="24" t="s">
        <v>69</v>
      </c>
      <c r="B15" s="25" t="s">
        <v>52</v>
      </c>
      <c r="D15" s="24" t="s">
        <v>13</v>
      </c>
      <c r="E15" s="24" t="s">
        <v>60</v>
      </c>
    </row>
    <row r="16" spans="1:8" ht="14.25" x14ac:dyDescent="0.2">
      <c r="A16" s="24" t="s">
        <v>5</v>
      </c>
      <c r="B16" s="25" t="s">
        <v>54</v>
      </c>
      <c r="D16" s="24" t="s">
        <v>61</v>
      </c>
      <c r="E16" s="24" t="s">
        <v>80</v>
      </c>
    </row>
    <row r="17" spans="1:5" ht="14.25" x14ac:dyDescent="0.2">
      <c r="A17" s="24" t="s">
        <v>75</v>
      </c>
      <c r="B17" s="25" t="s">
        <v>83</v>
      </c>
      <c r="D17" s="24" t="s">
        <v>61</v>
      </c>
      <c r="E17" s="24" t="s">
        <v>3</v>
      </c>
    </row>
    <row r="18" spans="1:5" ht="14.25" x14ac:dyDescent="0.2">
      <c r="A18" s="24" t="s">
        <v>89</v>
      </c>
      <c r="B18" s="25" t="s">
        <v>95</v>
      </c>
      <c r="D18" s="24" t="s">
        <v>62</v>
      </c>
      <c r="E18" s="24" t="s">
        <v>3</v>
      </c>
    </row>
    <row r="19" spans="1:5" ht="14.25" x14ac:dyDescent="0.2">
      <c r="A19" s="24" t="s">
        <v>90</v>
      </c>
      <c r="B19" s="25" t="s">
        <v>94</v>
      </c>
      <c r="D19" s="24" t="s">
        <v>62</v>
      </c>
      <c r="E19" s="24" t="s">
        <v>59</v>
      </c>
    </row>
    <row r="20" spans="1:5" ht="14.25" x14ac:dyDescent="0.2">
      <c r="A20" s="24" t="s">
        <v>88</v>
      </c>
      <c r="B20" s="25" t="s">
        <v>93</v>
      </c>
      <c r="D20" s="24" t="s">
        <v>62</v>
      </c>
      <c r="E20" s="24" t="s">
        <v>60</v>
      </c>
    </row>
    <row r="21" spans="1:5" ht="14.25" x14ac:dyDescent="0.2">
      <c r="A21" s="24" t="s">
        <v>86</v>
      </c>
      <c r="B21" s="25" t="s">
        <v>92</v>
      </c>
      <c r="D21" s="24" t="s">
        <v>62</v>
      </c>
      <c r="E21" s="24" t="s">
        <v>2</v>
      </c>
    </row>
    <row r="22" spans="1:5" ht="14.25" x14ac:dyDescent="0.2">
      <c r="A22" s="24" t="s">
        <v>87</v>
      </c>
      <c r="B22" s="25" t="s">
        <v>91</v>
      </c>
      <c r="D22" s="24" t="s">
        <v>62</v>
      </c>
      <c r="E22" s="24" t="s">
        <v>1</v>
      </c>
    </row>
    <row r="23" spans="1:5" ht="14.25" x14ac:dyDescent="0.2">
      <c r="A23" s="24" t="s">
        <v>97</v>
      </c>
      <c r="B23" s="25" t="s">
        <v>34</v>
      </c>
      <c r="D23" s="24" t="s">
        <v>62</v>
      </c>
      <c r="E23" s="24" t="s">
        <v>9</v>
      </c>
    </row>
    <row r="24" spans="1:5" x14ac:dyDescent="0.15">
      <c r="A24" s="24" t="s">
        <v>3</v>
      </c>
      <c r="B24" s="24" t="s">
        <v>3</v>
      </c>
      <c r="D24" s="27" t="s">
        <v>63</v>
      </c>
      <c r="E24" s="27" t="s">
        <v>65</v>
      </c>
    </row>
    <row r="25" spans="1:5" x14ac:dyDescent="0.15">
      <c r="A25" s="24" t="s">
        <v>57</v>
      </c>
      <c r="B25" s="24" t="s">
        <v>57</v>
      </c>
      <c r="D25" s="27" t="s">
        <v>18</v>
      </c>
      <c r="E25" s="27" t="s">
        <v>66</v>
      </c>
    </row>
    <row r="26" spans="1:5" x14ac:dyDescent="0.15">
      <c r="A26" s="24" t="s">
        <v>13</v>
      </c>
      <c r="B26" s="24" t="s">
        <v>13</v>
      </c>
      <c r="D26" s="27" t="s">
        <v>17</v>
      </c>
      <c r="E26" s="27" t="s">
        <v>65</v>
      </c>
    </row>
    <row r="27" spans="1:5" x14ac:dyDescent="0.15">
      <c r="A27" s="24" t="s">
        <v>61</v>
      </c>
      <c r="B27" s="24" t="s">
        <v>61</v>
      </c>
      <c r="D27" s="24" t="s">
        <v>20</v>
      </c>
      <c r="E27" s="24" t="s">
        <v>6</v>
      </c>
    </row>
    <row r="28" spans="1:5" x14ac:dyDescent="0.15">
      <c r="A28" s="24" t="s">
        <v>62</v>
      </c>
      <c r="B28" s="24" t="s">
        <v>62</v>
      </c>
      <c r="D28" s="24" t="s">
        <v>20</v>
      </c>
      <c r="E28" s="24" t="s">
        <v>4</v>
      </c>
    </row>
    <row r="29" spans="1:5" x14ac:dyDescent="0.15">
      <c r="A29" s="24" t="s">
        <v>63</v>
      </c>
      <c r="B29" s="24" t="s">
        <v>63</v>
      </c>
      <c r="D29" s="24" t="s">
        <v>20</v>
      </c>
      <c r="E29" s="24" t="s">
        <v>2</v>
      </c>
    </row>
    <row r="30" spans="1:5" x14ac:dyDescent="0.15">
      <c r="A30" s="24" t="s">
        <v>18</v>
      </c>
      <c r="B30" s="24" t="s">
        <v>18</v>
      </c>
      <c r="D30" s="24" t="s">
        <v>20</v>
      </c>
      <c r="E30" s="24" t="s">
        <v>1</v>
      </c>
    </row>
    <row r="31" spans="1:5" x14ac:dyDescent="0.15">
      <c r="A31" s="24" t="s">
        <v>17</v>
      </c>
      <c r="B31" s="24" t="s">
        <v>17</v>
      </c>
      <c r="D31" s="24" t="s">
        <v>20</v>
      </c>
      <c r="E31" s="24" t="s">
        <v>3</v>
      </c>
    </row>
    <row r="32" spans="1:5" x14ac:dyDescent="0.15">
      <c r="A32" s="24" t="s">
        <v>20</v>
      </c>
      <c r="B32" s="24" t="s">
        <v>20</v>
      </c>
      <c r="D32" s="24" t="s">
        <v>22</v>
      </c>
      <c r="E32" s="24" t="s">
        <v>4</v>
      </c>
    </row>
    <row r="33" spans="1:5" x14ac:dyDescent="0.15">
      <c r="A33" s="24" t="s">
        <v>22</v>
      </c>
      <c r="B33" s="24" t="s">
        <v>22</v>
      </c>
      <c r="D33" s="24" t="s">
        <v>22</v>
      </c>
      <c r="E33" s="24" t="s">
        <v>1</v>
      </c>
    </row>
    <row r="34" spans="1:5" x14ac:dyDescent="0.15">
      <c r="A34" s="24" t="s">
        <v>78</v>
      </c>
      <c r="B34" s="24" t="s">
        <v>78</v>
      </c>
      <c r="D34" s="24" t="s">
        <v>22</v>
      </c>
      <c r="E34" s="24" t="s">
        <v>9</v>
      </c>
    </row>
    <row r="35" spans="1:5" x14ac:dyDescent="0.15">
      <c r="A35" s="24" t="s">
        <v>21</v>
      </c>
      <c r="B35" s="24" t="s">
        <v>73</v>
      </c>
      <c r="D35" s="24" t="s">
        <v>22</v>
      </c>
      <c r="E35" s="24" t="s">
        <v>15</v>
      </c>
    </row>
    <row r="36" spans="1:5" x14ac:dyDescent="0.15">
      <c r="A36" s="24" t="s">
        <v>19</v>
      </c>
      <c r="B36" s="24" t="s">
        <v>73</v>
      </c>
      <c r="D36" s="24" t="s">
        <v>22</v>
      </c>
      <c r="E36" s="24" t="s">
        <v>3</v>
      </c>
    </row>
    <row r="37" spans="1:5" x14ac:dyDescent="0.15">
      <c r="A37" s="24" t="s">
        <v>77</v>
      </c>
      <c r="B37" s="24" t="s">
        <v>74</v>
      </c>
      <c r="D37" s="24" t="s">
        <v>22</v>
      </c>
      <c r="E37" s="24" t="s">
        <v>75</v>
      </c>
    </row>
    <row r="38" spans="1:5" x14ac:dyDescent="0.15">
      <c r="A38" s="24" t="s">
        <v>23</v>
      </c>
      <c r="B38" s="24" t="s">
        <v>74</v>
      </c>
      <c r="D38" s="24" t="s">
        <v>78</v>
      </c>
      <c r="E38" s="24" t="s">
        <v>1</v>
      </c>
    </row>
    <row r="39" spans="1:5" x14ac:dyDescent="0.15">
      <c r="A39" s="24" t="s">
        <v>82</v>
      </c>
      <c r="B39" s="24" t="s">
        <v>82</v>
      </c>
      <c r="D39" s="24" t="s">
        <v>78</v>
      </c>
      <c r="E39" s="24" t="s">
        <v>4</v>
      </c>
    </row>
    <row r="40" spans="1:5" x14ac:dyDescent="0.15">
      <c r="A40" s="24" t="s">
        <v>85</v>
      </c>
      <c r="B40" s="24" t="s">
        <v>85</v>
      </c>
      <c r="D40" s="24" t="s">
        <v>78</v>
      </c>
      <c r="E40" s="24" t="s">
        <v>9</v>
      </c>
    </row>
    <row r="41" spans="1:5" x14ac:dyDescent="0.15">
      <c r="A41" s="24" t="s">
        <v>24</v>
      </c>
      <c r="B41" s="24" t="s">
        <v>24</v>
      </c>
      <c r="D41" s="24" t="s">
        <v>78</v>
      </c>
      <c r="E41" s="24" t="s">
        <v>0</v>
      </c>
    </row>
    <row r="42" spans="1:5" x14ac:dyDescent="0.15">
      <c r="A42" s="24" t="s">
        <v>96</v>
      </c>
      <c r="B42" s="24" t="s">
        <v>96</v>
      </c>
      <c r="D42" s="24" t="s">
        <v>82</v>
      </c>
      <c r="E42" s="24" t="s">
        <v>6</v>
      </c>
    </row>
    <row r="43" spans="1:5" x14ac:dyDescent="0.15">
      <c r="D43" s="24" t="s">
        <v>82</v>
      </c>
      <c r="E43" s="24" t="s">
        <v>1</v>
      </c>
    </row>
    <row r="44" spans="1:5" x14ac:dyDescent="0.15">
      <c r="D44" s="24" t="s">
        <v>82</v>
      </c>
      <c r="E44" s="24" t="s">
        <v>9</v>
      </c>
    </row>
    <row r="45" spans="1:5" x14ac:dyDescent="0.15">
      <c r="D45" s="24" t="s">
        <v>82</v>
      </c>
      <c r="E45" s="24" t="s">
        <v>4</v>
      </c>
    </row>
    <row r="46" spans="1:5" x14ac:dyDescent="0.15">
      <c r="D46" s="24" t="s">
        <v>82</v>
      </c>
      <c r="E46" s="24" t="s">
        <v>3</v>
      </c>
    </row>
    <row r="47" spans="1:5" x14ac:dyDescent="0.15">
      <c r="D47" s="24" t="s">
        <v>85</v>
      </c>
      <c r="E47" s="24" t="s">
        <v>86</v>
      </c>
    </row>
    <row r="48" spans="1:5" x14ac:dyDescent="0.15">
      <c r="D48" s="24" t="s">
        <v>85</v>
      </c>
      <c r="E48" s="24" t="s">
        <v>87</v>
      </c>
    </row>
    <row r="49" spans="4:5" x14ac:dyDescent="0.15">
      <c r="D49" s="24" t="s">
        <v>85</v>
      </c>
      <c r="E49" s="24" t="s">
        <v>88</v>
      </c>
    </row>
    <row r="50" spans="4:5" x14ac:dyDescent="0.15">
      <c r="D50" s="24" t="s">
        <v>85</v>
      </c>
      <c r="E50" s="24" t="s">
        <v>89</v>
      </c>
    </row>
    <row r="51" spans="4:5" x14ac:dyDescent="0.15">
      <c r="D51" s="24" t="s">
        <v>85</v>
      </c>
      <c r="E51" s="24" t="s">
        <v>79</v>
      </c>
    </row>
    <row r="52" spans="4:5" x14ac:dyDescent="0.15">
      <c r="D52" s="24" t="s">
        <v>96</v>
      </c>
      <c r="E52" s="24" t="s">
        <v>97</v>
      </c>
    </row>
    <row r="53" spans="4:5" x14ac:dyDescent="0.15">
      <c r="D53" s="24" t="s">
        <v>96</v>
      </c>
      <c r="E53" s="24" t="s">
        <v>6</v>
      </c>
    </row>
    <row r="54" spans="4:5" x14ac:dyDescent="0.15">
      <c r="D54" s="24" t="s">
        <v>96</v>
      </c>
      <c r="E54" s="24" t="s">
        <v>14</v>
      </c>
    </row>
    <row r="55" spans="4:5" x14ac:dyDescent="0.15">
      <c r="D55" s="24" t="s">
        <v>96</v>
      </c>
      <c r="E55" s="24" t="s">
        <v>98</v>
      </c>
    </row>
    <row r="56" spans="4:5" x14ac:dyDescent="0.15">
      <c r="D56" s="24" t="s">
        <v>96</v>
      </c>
      <c r="E56" s="24" t="s">
        <v>2</v>
      </c>
    </row>
    <row r="57" spans="4:5" x14ac:dyDescent="0.15">
      <c r="D57" s="24" t="s">
        <v>96</v>
      </c>
      <c r="E57" s="24" t="s">
        <v>1</v>
      </c>
    </row>
    <row r="58" spans="4:5" x14ac:dyDescent="0.15">
      <c r="D58" s="24" t="s">
        <v>96</v>
      </c>
      <c r="E58" s="24" t="s">
        <v>3</v>
      </c>
    </row>
    <row r="59" spans="4:5" x14ac:dyDescent="0.15">
      <c r="D59" s="24" t="s">
        <v>96</v>
      </c>
      <c r="E59" s="24" t="s">
        <v>75</v>
      </c>
    </row>
    <row r="60" spans="4:5" x14ac:dyDescent="0.15">
      <c r="D60" s="24" t="s">
        <v>24</v>
      </c>
      <c r="E60" s="24" t="s">
        <v>4</v>
      </c>
    </row>
    <row r="61" spans="4:5" x14ac:dyDescent="0.15">
      <c r="D61" s="24" t="s">
        <v>24</v>
      </c>
      <c r="E61" s="24" t="s">
        <v>3</v>
      </c>
    </row>
    <row r="62" spans="4:5" x14ac:dyDescent="0.15">
      <c r="D62" s="24" t="s">
        <v>24</v>
      </c>
      <c r="E62" s="24" t="s">
        <v>1</v>
      </c>
    </row>
    <row r="63" spans="4:5" x14ac:dyDescent="0.15">
      <c r="D63" s="24" t="s">
        <v>24</v>
      </c>
      <c r="E63" s="24" t="s">
        <v>60</v>
      </c>
    </row>
    <row r="64" spans="4:5" x14ac:dyDescent="0.15">
      <c r="D64" s="24" t="s">
        <v>24</v>
      </c>
      <c r="E64" s="24" t="s">
        <v>59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D30B-D941-4F1C-A68A-9E9F7E3C1FBD}">
  <dimension ref="A1:AQ27"/>
  <sheetViews>
    <sheetView topLeftCell="R1" workbookViewId="0">
      <selection sqref="A1:AQ26"/>
    </sheetView>
  </sheetViews>
  <sheetFormatPr defaultColWidth="9" defaultRowHeight="12.75" x14ac:dyDescent="0.2"/>
  <cols>
    <col min="1" max="1" width="36" style="14" customWidth="1"/>
    <col min="2" max="40" width="8.75" style="14" customWidth="1"/>
    <col min="41" max="16384" width="9" style="14"/>
  </cols>
  <sheetData>
    <row r="1" spans="1:43" s="77" customFormat="1" x14ac:dyDescent="0.2">
      <c r="A1" s="77" t="s">
        <v>33</v>
      </c>
      <c r="B1" s="77">
        <v>2019</v>
      </c>
      <c r="C1" s="77">
        <v>2020</v>
      </c>
      <c r="D1" s="77">
        <v>2021</v>
      </c>
      <c r="E1" s="77">
        <v>2022</v>
      </c>
      <c r="F1" s="77">
        <v>2023</v>
      </c>
      <c r="G1" s="77">
        <v>2024</v>
      </c>
      <c r="H1" s="77">
        <v>2025</v>
      </c>
      <c r="I1" s="77">
        <v>2026</v>
      </c>
      <c r="J1" s="77">
        <v>2027</v>
      </c>
      <c r="K1" s="77">
        <v>2028</v>
      </c>
      <c r="L1" s="77">
        <v>2029</v>
      </c>
      <c r="M1" s="77">
        <v>2030</v>
      </c>
      <c r="N1" s="77">
        <v>2031</v>
      </c>
      <c r="O1" s="77">
        <v>2032</v>
      </c>
      <c r="P1" s="77">
        <v>2033</v>
      </c>
      <c r="Q1" s="77">
        <v>2034</v>
      </c>
      <c r="R1" s="77">
        <v>2035</v>
      </c>
      <c r="S1" s="77">
        <v>2036</v>
      </c>
      <c r="T1" s="77">
        <v>2037</v>
      </c>
      <c r="U1" s="77">
        <v>2038</v>
      </c>
      <c r="V1" s="77">
        <v>2039</v>
      </c>
      <c r="W1" s="77">
        <v>2040</v>
      </c>
      <c r="X1" s="77">
        <v>2041</v>
      </c>
      <c r="Y1" s="77">
        <v>2042</v>
      </c>
      <c r="Z1" s="77">
        <v>2043</v>
      </c>
      <c r="AA1" s="77">
        <v>2044</v>
      </c>
      <c r="AB1" s="77">
        <v>2045</v>
      </c>
      <c r="AC1" s="77">
        <v>2046</v>
      </c>
      <c r="AD1" s="77">
        <v>2047</v>
      </c>
      <c r="AE1" s="77">
        <v>2048</v>
      </c>
      <c r="AF1" s="77">
        <v>2049</v>
      </c>
      <c r="AG1" s="77">
        <v>2050</v>
      </c>
      <c r="AH1" s="77">
        <v>2051</v>
      </c>
      <c r="AI1" s="77">
        <v>2052</v>
      </c>
      <c r="AJ1" s="77">
        <v>2053</v>
      </c>
      <c r="AK1" s="77">
        <v>2054</v>
      </c>
      <c r="AL1" s="77">
        <v>2055</v>
      </c>
      <c r="AM1" s="77">
        <v>2056</v>
      </c>
      <c r="AN1" s="77">
        <v>2057</v>
      </c>
      <c r="AO1" s="77">
        <v>2058</v>
      </c>
      <c r="AP1" s="77">
        <v>2059</v>
      </c>
      <c r="AQ1" s="77">
        <v>2060</v>
      </c>
    </row>
    <row r="2" spans="1:43" s="77" customFormat="1" x14ac:dyDescent="0.2">
      <c r="A2" s="77" t="s">
        <v>34</v>
      </c>
      <c r="B2" s="78">
        <f>'[1]BIFUbC-coal'!B2+'[1]BIFUbC-LPG-propane-or-butane'!B2+'[1]BIFUbC-petroleum-diesel'!B2+'[1]BIFUbC-crude-oil'!B2+'[1]BIFUbC-heavy-or-residual-oil'!B2+'[1]BIFUbC-natural-gas'!B2+'[1]BIFUbC-electricity'!B2+'[1]BIFUbC-heat'!B2+'[1]BIFUbC-biomass'!B2+'[1]BIFUbC-hydrogen'!D2</f>
        <v>1709205415018200</v>
      </c>
      <c r="C2" s="78">
        <f>'[1]BIFUbC-coal'!C2+'[1]BIFUbC-LPG-propane-or-butane'!C2+'[1]BIFUbC-petroleum-diesel'!C2+'[1]BIFUbC-crude-oil'!C2+'[1]BIFUbC-heavy-or-residual-oil'!C2+'[1]BIFUbC-natural-gas'!C2+'[1]BIFUbC-electricity'!C2+'[1]BIFUbC-heat'!C2+'[1]BIFUbC-biomass'!C2+'[1]BIFUbC-hydrogen'!E2</f>
        <v>1736651987772900</v>
      </c>
      <c r="D2" s="78">
        <f>'[1]BIFUbC-coal'!D2+'[1]BIFUbC-LPG-propane-or-butane'!D2+'[1]BIFUbC-petroleum-diesel'!D2+'[1]BIFUbC-crude-oil'!D2+'[1]BIFUbC-heavy-or-residual-oil'!D2+'[1]BIFUbC-natural-gas'!D2+'[1]BIFUbC-electricity'!D2+'[1]BIFUbC-heat'!D2+'[1]BIFUbC-biomass'!D2+'[1]BIFUbC-hydrogen'!F2</f>
        <v>1769117311738933</v>
      </c>
      <c r="E2" s="78">
        <f>'[1]BIFUbC-coal'!E2+'[1]BIFUbC-LPG-propane-or-butane'!E2+'[1]BIFUbC-petroleum-diesel'!E2+'[1]BIFUbC-crude-oil'!E2+'[1]BIFUbC-heavy-or-residual-oil'!E2+'[1]BIFUbC-natural-gas'!E2+'[1]BIFUbC-electricity'!E2+'[1]BIFUbC-heat'!E2+'[1]BIFUbC-biomass'!E2+'[1]BIFUbC-hydrogen'!G2</f>
        <v>1845825618026951.5</v>
      </c>
      <c r="F2" s="78">
        <f>'[1]BIFUbC-coal'!F2+'[1]BIFUbC-LPG-propane-or-butane'!F2+'[1]BIFUbC-petroleum-diesel'!F2+'[1]BIFUbC-crude-oil'!F2+'[1]BIFUbC-heavy-or-residual-oil'!F2+'[1]BIFUbC-natural-gas'!F2+'[1]BIFUbC-electricity'!F2+'[1]BIFUbC-heat'!F2+'[1]BIFUbC-biomass'!F2+'[1]BIFUbC-hydrogen'!H2</f>
        <v>1977948103334107.8</v>
      </c>
      <c r="G2" s="78">
        <f>'[1]BIFUbC-coal'!G2+'[1]BIFUbC-LPG-propane-or-butane'!G2+'[1]BIFUbC-petroleum-diesel'!G2+'[1]BIFUbC-crude-oil'!G2+'[1]BIFUbC-heavy-or-residual-oil'!G2+'[1]BIFUbC-natural-gas'!G2+'[1]BIFUbC-electricity'!G2+'[1]BIFUbC-heat'!G2+'[1]BIFUbC-biomass'!G2+'[1]BIFUbC-hydrogen'!I2</f>
        <v>2074605453163386</v>
      </c>
      <c r="H2" s="78">
        <f>'[1]BIFUbC-coal'!H2+'[1]BIFUbC-LPG-propane-or-butane'!H2+'[1]BIFUbC-petroleum-diesel'!H2+'[1]BIFUbC-crude-oil'!H2+'[1]BIFUbC-heavy-or-residual-oil'!H2+'[1]BIFUbC-natural-gas'!H2+'[1]BIFUbC-electricity'!H2+'[1]BIFUbC-heat'!H2+'[1]BIFUbC-biomass'!H2+'[1]BIFUbC-hydrogen'!J2</f>
        <v>2128255420226869</v>
      </c>
      <c r="I2" s="78">
        <f>'[1]BIFUbC-coal'!I2+'[1]BIFUbC-LPG-propane-or-butane'!I2+'[1]BIFUbC-petroleum-diesel'!I2+'[1]BIFUbC-crude-oil'!I2+'[1]BIFUbC-heavy-or-residual-oil'!I2+'[1]BIFUbC-natural-gas'!I2+'[1]BIFUbC-electricity'!I2+'[1]BIFUbC-heat'!I2+'[1]BIFUbC-biomass'!I2+'[1]BIFUbC-hydrogen'!K2</f>
        <v>2265365471655154.5</v>
      </c>
      <c r="J2" s="78">
        <f>'[1]BIFUbC-coal'!J2+'[1]BIFUbC-LPG-propane-or-butane'!J2+'[1]BIFUbC-petroleum-diesel'!J2+'[1]BIFUbC-crude-oil'!J2+'[1]BIFUbC-heavy-or-residual-oil'!J2+'[1]BIFUbC-natural-gas'!J2+'[1]BIFUbC-electricity'!J2+'[1]BIFUbC-heat'!J2+'[1]BIFUbC-biomass'!J2+'[1]BIFUbC-hydrogen'!L2</f>
        <v>2358875211866969.5</v>
      </c>
      <c r="K2" s="78">
        <f>'[1]BIFUbC-coal'!K2+'[1]BIFUbC-LPG-propane-or-butane'!K2+'[1]BIFUbC-petroleum-diesel'!K2+'[1]BIFUbC-crude-oil'!K2+'[1]BIFUbC-heavy-or-residual-oil'!K2+'[1]BIFUbC-natural-gas'!K2+'[1]BIFUbC-electricity'!K2+'[1]BIFUbC-heat'!K2+'[1]BIFUbC-biomass'!K2+'[1]BIFUbC-hydrogen'!M2</f>
        <v>2449393301383696</v>
      </c>
      <c r="L2" s="78">
        <f>'[1]BIFUbC-coal'!L2+'[1]BIFUbC-LPG-propane-or-butane'!L2+'[1]BIFUbC-petroleum-diesel'!L2+'[1]BIFUbC-crude-oil'!L2+'[1]BIFUbC-heavy-or-residual-oil'!L2+'[1]BIFUbC-natural-gas'!L2+'[1]BIFUbC-electricity'!L2+'[1]BIFUbC-heat'!L2+'[1]BIFUbC-biomass'!L2+'[1]BIFUbC-hydrogen'!N2</f>
        <v>2536537277277407</v>
      </c>
      <c r="M2" s="78">
        <f>'[1]BIFUbC-coal'!M2+'[1]BIFUbC-LPG-propane-or-butane'!M2+'[1]BIFUbC-petroleum-diesel'!M2+'[1]BIFUbC-crude-oil'!M2+'[1]BIFUbC-heavy-or-residual-oil'!M2+'[1]BIFUbC-natural-gas'!M2+'[1]BIFUbC-electricity'!M2+'[1]BIFUbC-heat'!M2+'[1]BIFUbC-biomass'!M2+'[1]BIFUbC-hydrogen'!O2</f>
        <v>2664104726998671.5</v>
      </c>
      <c r="N2" s="78">
        <f>'[1]BIFUbC-coal'!N2+'[1]BIFUbC-LPG-propane-or-butane'!N2+'[1]BIFUbC-petroleum-diesel'!N2+'[1]BIFUbC-crude-oil'!N2+'[1]BIFUbC-heavy-or-residual-oil'!N2+'[1]BIFUbC-natural-gas'!N2+'[1]BIFUbC-electricity'!N2+'[1]BIFUbC-heat'!N2+'[1]BIFUbC-biomass'!N2+'[1]BIFUbC-hydrogen'!P2</f>
        <v>2699647147633207</v>
      </c>
      <c r="O2" s="78">
        <f>'[1]BIFUbC-coal'!O2+'[1]BIFUbC-LPG-propane-or-butane'!O2+'[1]BIFUbC-petroleum-diesel'!O2+'[1]BIFUbC-crude-oil'!O2+'[1]BIFUbC-heavy-or-residual-oil'!O2+'[1]BIFUbC-natural-gas'!O2+'[1]BIFUbC-electricity'!O2+'[1]BIFUbC-heat'!O2+'[1]BIFUbC-biomass'!O2+'[1]BIFUbC-hydrogen'!Q2</f>
        <v>2775074505598204.5</v>
      </c>
      <c r="P2" s="78">
        <f>'[1]BIFUbC-coal'!P2+'[1]BIFUbC-LPG-propane-or-butane'!P2+'[1]BIFUbC-petroleum-diesel'!P2+'[1]BIFUbC-crude-oil'!P2+'[1]BIFUbC-heavy-or-residual-oil'!P2+'[1]BIFUbC-natural-gas'!P2+'[1]BIFUbC-electricity'!P2+'[1]BIFUbC-heat'!P2+'[1]BIFUbC-biomass'!P2+'[1]BIFUbC-hydrogen'!R2</f>
        <v>2846037753031858</v>
      </c>
      <c r="Q2" s="78">
        <f>'[1]BIFUbC-coal'!Q2+'[1]BIFUbC-LPG-propane-or-butane'!Q2+'[1]BIFUbC-petroleum-diesel'!Q2+'[1]BIFUbC-crude-oil'!Q2+'[1]BIFUbC-heavy-or-residual-oil'!Q2+'[1]BIFUbC-natural-gas'!Q2+'[1]BIFUbC-electricity'!Q2+'[1]BIFUbC-heat'!Q2+'[1]BIFUbC-biomass'!Q2+'[1]BIFUbC-hydrogen'!S2</f>
        <v>2912375215802930.5</v>
      </c>
      <c r="R2" s="78">
        <f>'[1]BIFUbC-coal'!R2+'[1]BIFUbC-LPG-propane-or-butane'!R2+'[1]BIFUbC-petroleum-diesel'!R2+'[1]BIFUbC-crude-oil'!R2+'[1]BIFUbC-heavy-or-residual-oil'!R2+'[1]BIFUbC-natural-gas'!R2+'[1]BIFUbC-electricity'!R2+'[1]BIFUbC-heat'!R2+'[1]BIFUbC-biomass'!R2+'[1]BIFUbC-hydrogen'!T2</f>
        <v>2955683074622539.5</v>
      </c>
      <c r="S2" s="78">
        <f>'[1]BIFUbC-coal'!S2+'[1]BIFUbC-LPG-propane-or-butane'!S2+'[1]BIFUbC-petroleum-diesel'!S2+'[1]BIFUbC-crude-oil'!S2+'[1]BIFUbC-heavy-or-residual-oil'!S2+'[1]BIFUbC-natural-gas'!S2+'[1]BIFUbC-electricity'!S2+'[1]BIFUbC-heat'!S2+'[1]BIFUbC-biomass'!S2+'[1]BIFUbC-hydrogen'!U2</f>
        <v>3031166751453306.5</v>
      </c>
      <c r="T2" s="78">
        <f>'[1]BIFUbC-coal'!T2+'[1]BIFUbC-LPG-propane-or-butane'!T2+'[1]BIFUbC-petroleum-diesel'!T2+'[1]BIFUbC-crude-oil'!T2+'[1]BIFUbC-heavy-or-residual-oil'!T2+'[1]BIFUbC-natural-gas'!T2+'[1]BIFUbC-electricity'!T2+'[1]BIFUbC-heat'!T2+'[1]BIFUbC-biomass'!T2+'[1]BIFUbC-hydrogen'!V2</f>
        <v>3083544825158009</v>
      </c>
      <c r="U2" s="78">
        <f>'[1]BIFUbC-coal'!U2+'[1]BIFUbC-LPG-propane-or-butane'!U2+'[1]BIFUbC-petroleum-diesel'!U2+'[1]BIFUbC-crude-oil'!U2+'[1]BIFUbC-heavy-or-residual-oil'!U2+'[1]BIFUbC-natural-gas'!U2+'[1]BIFUbC-electricity'!U2+'[1]BIFUbC-heat'!U2+'[1]BIFUbC-biomass'!U2+'[1]BIFUbC-hydrogen'!W2</f>
        <v>3131126108695091</v>
      </c>
      <c r="V2" s="78">
        <f>'[1]BIFUbC-coal'!V2+'[1]BIFUbC-LPG-propane-or-butane'!V2+'[1]BIFUbC-petroleum-diesel'!V2+'[1]BIFUbC-crude-oil'!V2+'[1]BIFUbC-heavy-or-residual-oil'!V2+'[1]BIFUbC-natural-gas'!V2+'[1]BIFUbC-electricity'!V2+'[1]BIFUbC-heat'!V2+'[1]BIFUbC-biomass'!V2+'[1]BIFUbC-hydrogen'!X2</f>
        <v>3173971361423720.5</v>
      </c>
      <c r="W2" s="78">
        <f>'[1]BIFUbC-coal'!W2+'[1]BIFUbC-LPG-propane-or-butane'!W2+'[1]BIFUbC-petroleum-diesel'!W2+'[1]BIFUbC-crude-oil'!W2+'[1]BIFUbC-heavy-or-residual-oil'!W2+'[1]BIFUbC-natural-gas'!W2+'[1]BIFUbC-electricity'!W2+'[1]BIFUbC-heat'!W2+'[1]BIFUbC-biomass'!W2+'[1]BIFUbC-hydrogen'!Y2</f>
        <v>3212180149135460.5</v>
      </c>
      <c r="X2" s="78">
        <f>'[1]BIFUbC-coal'!X2+'[1]BIFUbC-LPG-propane-or-butane'!X2+'[1]BIFUbC-petroleum-diesel'!X2+'[1]BIFUbC-crude-oil'!X2+'[1]BIFUbC-heavy-or-residual-oil'!X2+'[1]BIFUbC-natural-gas'!X2+'[1]BIFUbC-electricity'!X2+'[1]BIFUbC-heat'!X2+'[1]BIFUbC-biomass'!X2+'[1]BIFUbC-hydrogen'!Z2</f>
        <v>3245887957733671</v>
      </c>
      <c r="Y2" s="78">
        <f>'[1]BIFUbC-coal'!Y2+'[1]BIFUbC-LPG-propane-or-butane'!Y2+'[1]BIFUbC-petroleum-diesel'!Y2+'[1]BIFUbC-crude-oil'!Y2+'[1]BIFUbC-heavy-or-residual-oil'!Y2+'[1]BIFUbC-natural-gas'!Y2+'[1]BIFUbC-electricity'!Y2+'[1]BIFUbC-heat'!Y2+'[1]BIFUbC-biomass'!Y2+'[1]BIFUbC-hydrogen'!AA2</f>
        <v>3275263090809731.5</v>
      </c>
      <c r="Z2" s="78">
        <f>'[1]BIFUbC-coal'!Z2+'[1]BIFUbC-LPG-propane-or-butane'!Z2+'[1]BIFUbC-petroleum-diesel'!Z2+'[1]BIFUbC-crude-oil'!Z2+'[1]BIFUbC-heavy-or-residual-oil'!Z2+'[1]BIFUbC-natural-gas'!Z2+'[1]BIFUbC-electricity'!Z2+'[1]BIFUbC-heat'!Z2+'[1]BIFUbC-biomass'!Z2+'[1]BIFUbC-hydrogen'!AB2</f>
        <v>3300503428340108.5</v>
      </c>
      <c r="AA2" s="78">
        <f>'[1]BIFUbC-coal'!AA2+'[1]BIFUbC-LPG-propane-or-butane'!AA2+'[1]BIFUbC-petroleum-diesel'!AA2+'[1]BIFUbC-crude-oil'!AA2+'[1]BIFUbC-heavy-or-residual-oil'!AA2+'[1]BIFUbC-natural-gas'!AA2+'[1]BIFUbC-electricity'!AA2+'[1]BIFUbC-heat'!AA2+'[1]BIFUbC-biomass'!AA2+'[1]BIFUbC-hydrogen'!AC2</f>
        <v>3321833119612816</v>
      </c>
      <c r="AB2" s="78">
        <f>'[1]BIFUbC-coal'!AB2+'[1]BIFUbC-LPG-propane-or-butane'!AB2+'[1]BIFUbC-petroleum-diesel'!AB2+'[1]BIFUbC-crude-oil'!AB2+'[1]BIFUbC-heavy-or-residual-oil'!AB2+'[1]BIFUbC-natural-gas'!AB2+'[1]BIFUbC-electricity'!AB2+'[1]BIFUbC-heat'!AB2+'[1]BIFUbC-biomass'!AB2+'[1]BIFUbC-hydrogen'!AD2</f>
        <v>3339499278182643.5</v>
      </c>
      <c r="AC2" s="78">
        <f>'[1]BIFUbC-coal'!AC2+'[1]BIFUbC-LPG-propane-or-butane'!AC2+'[1]BIFUbC-petroleum-diesel'!AC2+'[1]BIFUbC-crude-oil'!AC2+'[1]BIFUbC-heavy-or-residual-oil'!AC2+'[1]BIFUbC-natural-gas'!AC2+'[1]BIFUbC-electricity'!AC2+'[1]BIFUbC-heat'!AC2+'[1]BIFUbC-biomass'!AC2+'[1]BIFUbC-hydrogen'!AE2</f>
        <v>3353768740455246</v>
      </c>
      <c r="AD2" s="78">
        <f>'[1]BIFUbC-coal'!AD2+'[1]BIFUbC-LPG-propane-or-butane'!AD2+'[1]BIFUbC-petroleum-diesel'!AD2+'[1]BIFUbC-crude-oil'!AD2+'[1]BIFUbC-heavy-or-residual-oil'!AD2+'[1]BIFUbC-natural-gas'!AD2+'[1]BIFUbC-electricity'!AD2+'[1]BIFUbC-heat'!AD2+'[1]BIFUbC-biomass'!AD2+'[1]BIFUbC-hydrogen'!AF2</f>
        <v>3364924942704950</v>
      </c>
      <c r="AE2" s="78">
        <f>'[1]BIFUbC-coal'!AE2+'[1]BIFUbC-LPG-propane-or-butane'!AE2+'[1]BIFUbC-petroleum-diesel'!AE2+'[1]BIFUbC-crude-oil'!AE2+'[1]BIFUbC-heavy-or-residual-oil'!AE2+'[1]BIFUbC-natural-gas'!AE2+'[1]BIFUbC-electricity'!AE2+'[1]BIFUbC-heat'!AE2+'[1]BIFUbC-biomass'!AE2+'[1]BIFUbC-hydrogen'!AG2</f>
        <v>3373264964215310</v>
      </c>
      <c r="AF2" s="78">
        <f>'[1]BIFUbC-coal'!AF2+'[1]BIFUbC-LPG-propane-or-butane'!AF2+'[1]BIFUbC-petroleum-diesel'!AF2+'[1]BIFUbC-crude-oil'!AF2+'[1]BIFUbC-heavy-or-residual-oil'!AF2+'[1]BIFUbC-natural-gas'!AF2+'[1]BIFUbC-electricity'!AF2+'[1]BIFUbC-heat'!AF2+'[1]BIFUbC-biomass'!AF2+'[1]BIFUbC-hydrogen'!AH2</f>
        <v>3379096777045496.5</v>
      </c>
      <c r="AG2" s="78">
        <f>'[1]BIFUbC-coal'!AG2+'[1]BIFUbC-LPG-propane-or-butane'!AG2+'[1]BIFUbC-petroleum-diesel'!AG2+'[1]BIFUbC-crude-oil'!AG2+'[1]BIFUbC-heavy-or-residual-oil'!AG2+'[1]BIFUbC-natural-gas'!AG2+'[1]BIFUbC-electricity'!AG2+'[1]BIFUbC-heat'!AG2+'[1]BIFUbC-biomass'!AG2+'[1]BIFUbC-hydrogen'!AI2</f>
        <v>3382736735892288</v>
      </c>
      <c r="AH2" s="78">
        <f>'[1]BIFUbC-coal'!AH2+'[1]BIFUbC-LPG-propane-or-butane'!AH2+'[1]BIFUbC-petroleum-diesel'!AH2+'[1]BIFUbC-crude-oil'!AH2+'[1]BIFUbC-heavy-or-residual-oil'!AH2+'[1]BIFUbC-natural-gas'!AH2+'[1]BIFUbC-electricity'!AH2+'[1]BIFUbC-heat'!AH2+'[1]BIFUbC-biomass'!AH2+'[1]BIFUbC-hydrogen'!AJ2</f>
        <v>3384507334825190.5</v>
      </c>
      <c r="AI2" s="78">
        <f>'[1]BIFUbC-coal'!AI2+'[1]BIFUbC-LPG-propane-or-butane'!AI2+'[1]BIFUbC-petroleum-diesel'!AI2+'[1]BIFUbC-crude-oil'!AI2+'[1]BIFUbC-heavy-or-residual-oil'!AI2+'[1]BIFUbC-natural-gas'!AI2+'[1]BIFUbC-electricity'!AI2+'[1]BIFUbC-heat'!AI2+'[1]BIFUbC-biomass'!AI2+'[1]BIFUbC-hydrogen'!AK2</f>
        <v>3384735251481024</v>
      </c>
      <c r="AJ2" s="78">
        <f>'[1]BIFUbC-coal'!AJ2+'[1]BIFUbC-LPG-propane-or-butane'!AJ2+'[1]BIFUbC-petroleum-diesel'!AJ2+'[1]BIFUbC-crude-oil'!AJ2+'[1]BIFUbC-heavy-or-residual-oil'!AJ2+'[1]BIFUbC-natural-gas'!AJ2+'[1]BIFUbC-electricity'!AJ2+'[1]BIFUbC-heat'!AJ2+'[1]BIFUbC-biomass'!AJ2+'[1]BIFUbC-hydrogen'!AL2</f>
        <v>3383749693738589.5</v>
      </c>
      <c r="AK2" s="78">
        <f>'[1]BIFUbC-coal'!AK2+'[1]BIFUbC-LPG-propane-or-butane'!AK2+'[1]BIFUbC-petroleum-diesel'!AK2+'[1]BIFUbC-crude-oil'!AK2+'[1]BIFUbC-heavy-or-residual-oil'!AK2+'[1]BIFUbC-natural-gas'!AK2+'[1]BIFUbC-electricity'!AK2+'[1]BIFUbC-heat'!AK2+'[1]BIFUbC-biomass'!AK2+'[1]BIFUbC-hydrogen'!AM2</f>
        <v>3381881059051331.5</v>
      </c>
      <c r="AL2" s="78">
        <f>'[1]BIFUbC-coal'!AL2+'[1]BIFUbC-LPG-propane-or-butane'!AL2+'[1]BIFUbC-petroleum-diesel'!AL2+'[1]BIFUbC-crude-oil'!AL2+'[1]BIFUbC-heavy-or-residual-oil'!AL2+'[1]BIFUbC-natural-gas'!AL2+'[1]BIFUbC-electricity'!AL2+'[1]BIFUbC-heat'!AL2+'[1]BIFUbC-biomass'!AL2+'[1]BIFUbC-hydrogen'!AN2</f>
        <v>3379459912564822</v>
      </c>
      <c r="AM2" s="78">
        <f>'[1]BIFUbC-coal'!AM2+'[1]BIFUbC-LPG-propane-or-butane'!AM2+'[1]BIFUbC-petroleum-diesel'!AM2+'[1]BIFUbC-crude-oil'!AM2+'[1]BIFUbC-heavy-or-residual-oil'!AM2+'[1]BIFUbC-natural-gas'!AM2+'[1]BIFUbC-electricity'!AM2+'[1]BIFUbC-heat'!AM2+'[1]BIFUbC-biomass'!AM2+'[1]BIFUbC-hydrogen'!AO2</f>
        <v>3376816286932873</v>
      </c>
      <c r="AN2" s="78">
        <f>'[1]BIFUbC-coal'!AN2+'[1]BIFUbC-LPG-propane-or-butane'!AN2+'[1]BIFUbC-petroleum-diesel'!AN2+'[1]BIFUbC-crude-oil'!AN2+'[1]BIFUbC-heavy-or-residual-oil'!AN2+'[1]BIFUbC-natural-gas'!AN2+'[1]BIFUbC-electricity'!AN2+'[1]BIFUbC-heat'!AN2+'[1]BIFUbC-biomass'!AN2+'[1]BIFUbC-hydrogen'!AP2</f>
        <v>3374279304398166</v>
      </c>
      <c r="AO2" s="78">
        <f>'[1]BIFUbC-coal'!AO2+'[1]BIFUbC-LPG-propane-or-butane'!AO2+'[1]BIFUbC-petroleum-diesel'!AO2+'[1]BIFUbC-crude-oil'!AO2+'[1]BIFUbC-heavy-or-residual-oil'!AO2+'[1]BIFUbC-natural-gas'!AO2+'[1]BIFUbC-electricity'!AO2+'[1]BIFUbC-heat'!AO2+'[1]BIFUbC-biomass'!AO2+'[1]BIFUbC-hydrogen'!AQ2</f>
        <v>3372177120231539.5</v>
      </c>
      <c r="AP2" s="78">
        <f>'[1]BIFUbC-coal'!AP2+'[1]BIFUbC-LPG-propane-or-butane'!AP2+'[1]BIFUbC-petroleum-diesel'!AP2+'[1]BIFUbC-crude-oil'!AP2+'[1]BIFUbC-heavy-or-residual-oil'!AP2+'[1]BIFUbC-natural-gas'!AP2+'[1]BIFUbC-electricity'!AP2+'[1]BIFUbC-heat'!AP2+'[1]BIFUbC-biomass'!AP2+'[1]BIFUbC-hydrogen'!AR2</f>
        <v>3370837186030942.5</v>
      </c>
      <c r="AQ2" s="78">
        <f>'[1]BIFUbC-coal'!AQ2+'[1]BIFUbC-LPG-propane-or-butane'!AQ2+'[1]BIFUbC-petroleum-diesel'!AQ2+'[1]BIFUbC-crude-oil'!AQ2+'[1]BIFUbC-heavy-or-residual-oil'!AQ2+'[1]BIFUbC-natural-gas'!AQ2+'[1]BIFUbC-electricity'!AQ2+'[1]BIFUbC-heat'!AQ2+'[1]BIFUbC-biomass'!AQ2+'[1]BIFUbC-hydrogen'!AS2</f>
        <v>3369800056965749</v>
      </c>
    </row>
    <row r="3" spans="1:43" s="77" customFormat="1" x14ac:dyDescent="0.2">
      <c r="A3" s="77" t="s">
        <v>35</v>
      </c>
      <c r="B3" s="78">
        <f>'[1]BIFUbC-coal'!B3+'[1]BIFUbC-LPG-propane-or-butane'!B3+'[1]BIFUbC-petroleum-diesel'!B3+'[1]BIFUbC-crude-oil'!B3+'[1]BIFUbC-heavy-or-residual-oil'!B3+'[1]BIFUbC-natural-gas'!B3+'[1]BIFUbC-electricity'!B3+'[1]BIFUbC-heat'!B3+'[1]BIFUbC-biomass'!B3+'[1]BIFUbC-hydrogen'!D3</f>
        <v>2330812500391501.5</v>
      </c>
      <c r="C3" s="78">
        <f>'[1]BIFUbC-coal'!C3+'[1]BIFUbC-LPG-propane-or-butane'!C3+'[1]BIFUbC-petroleum-diesel'!C3+'[1]BIFUbC-crude-oil'!C3+'[1]BIFUbC-heavy-or-residual-oil'!C3+'[1]BIFUbC-natural-gas'!C3+'[1]BIFUbC-electricity'!C3+'[1]BIFUbC-heat'!C3+'[1]BIFUbC-biomass'!C3+'[1]BIFUbC-hydrogen'!E3</f>
        <v>2088463251408978.8</v>
      </c>
      <c r="D3" s="78">
        <f>'[1]BIFUbC-coal'!D3+'[1]BIFUbC-LPG-propane-or-butane'!D3+'[1]BIFUbC-petroleum-diesel'!D3+'[1]BIFUbC-crude-oil'!D3+'[1]BIFUbC-heavy-or-residual-oil'!D3+'[1]BIFUbC-natural-gas'!D3+'[1]BIFUbC-electricity'!D3+'[1]BIFUbC-heat'!D3+'[1]BIFUbC-biomass'!D3+'[1]BIFUbC-hydrogen'!F3</f>
        <v>2191757577609654.5</v>
      </c>
      <c r="E3" s="78">
        <f>'[1]BIFUbC-coal'!E3+'[1]BIFUbC-LPG-propane-or-butane'!E3+'[1]BIFUbC-petroleum-diesel'!E3+'[1]BIFUbC-crude-oil'!E3+'[1]BIFUbC-heavy-or-residual-oil'!E3+'[1]BIFUbC-natural-gas'!E3+'[1]BIFUbC-electricity'!E3+'[1]BIFUbC-heat'!E3+'[1]BIFUbC-biomass'!E3+'[1]BIFUbC-hydrogen'!G3</f>
        <v>2364415587175580</v>
      </c>
      <c r="F3" s="78">
        <f>'[1]BIFUbC-coal'!F3+'[1]BIFUbC-LPG-propane-or-butane'!F3+'[1]BIFUbC-petroleum-diesel'!F3+'[1]BIFUbC-crude-oil'!F3+'[1]BIFUbC-heavy-or-residual-oil'!F3+'[1]BIFUbC-natural-gas'!F3+'[1]BIFUbC-electricity'!F3+'[1]BIFUbC-heat'!F3+'[1]BIFUbC-biomass'!F3+'[1]BIFUbC-hydrogen'!H3</f>
        <v>2541351625611259.5</v>
      </c>
      <c r="G3" s="78">
        <f>'[1]BIFUbC-coal'!G3+'[1]BIFUbC-LPG-propane-or-butane'!G3+'[1]BIFUbC-petroleum-diesel'!G3+'[1]BIFUbC-crude-oil'!G3+'[1]BIFUbC-heavy-or-residual-oil'!G3+'[1]BIFUbC-natural-gas'!G3+'[1]BIFUbC-electricity'!G3+'[1]BIFUbC-heat'!G3+'[1]BIFUbC-biomass'!G3+'[1]BIFUbC-hydrogen'!I3</f>
        <v>2671856485066078.5</v>
      </c>
      <c r="H3" s="78">
        <f>'[1]BIFUbC-coal'!H3+'[1]BIFUbC-LPG-propane-or-butane'!H3+'[1]BIFUbC-petroleum-diesel'!H3+'[1]BIFUbC-crude-oil'!H3+'[1]BIFUbC-heavy-or-residual-oil'!H3+'[1]BIFUbC-natural-gas'!H3+'[1]BIFUbC-electricity'!H3+'[1]BIFUbC-heat'!H3+'[1]BIFUbC-biomass'!H3+'[1]BIFUbC-hydrogen'!J3</f>
        <v>2802153170614484.5</v>
      </c>
      <c r="I3" s="78">
        <f>'[1]BIFUbC-coal'!I3+'[1]BIFUbC-LPG-propane-or-butane'!I3+'[1]BIFUbC-petroleum-diesel'!I3+'[1]BIFUbC-crude-oil'!I3+'[1]BIFUbC-heavy-or-residual-oil'!I3+'[1]BIFUbC-natural-gas'!I3+'[1]BIFUbC-electricity'!I3+'[1]BIFUbC-heat'!I3+'[1]BIFUbC-biomass'!I3+'[1]BIFUbC-hydrogen'!K3</f>
        <v>2847560980624742</v>
      </c>
      <c r="J3" s="78">
        <f>'[1]BIFUbC-coal'!J3+'[1]BIFUbC-LPG-propane-or-butane'!J3+'[1]BIFUbC-petroleum-diesel'!J3+'[1]BIFUbC-crude-oil'!J3+'[1]BIFUbC-heavy-or-residual-oil'!J3+'[1]BIFUbC-natural-gas'!J3+'[1]BIFUbC-electricity'!J3+'[1]BIFUbC-heat'!J3+'[1]BIFUbC-biomass'!J3+'[1]BIFUbC-hydrogen'!L3</f>
        <v>2892957814586485.5</v>
      </c>
      <c r="K3" s="78">
        <f>'[1]BIFUbC-coal'!K3+'[1]BIFUbC-LPG-propane-or-butane'!K3+'[1]BIFUbC-petroleum-diesel'!K3+'[1]BIFUbC-crude-oil'!K3+'[1]BIFUbC-heavy-or-residual-oil'!K3+'[1]BIFUbC-natural-gas'!K3+'[1]BIFUbC-electricity'!K3+'[1]BIFUbC-heat'!K3+'[1]BIFUbC-biomass'!K3+'[1]BIFUbC-hydrogen'!M3</f>
        <v>2938343672499716</v>
      </c>
      <c r="L3" s="78">
        <f>'[1]BIFUbC-coal'!L3+'[1]BIFUbC-LPG-propane-or-butane'!L3+'[1]BIFUbC-petroleum-diesel'!L3+'[1]BIFUbC-crude-oil'!L3+'[1]BIFUbC-heavy-or-residual-oil'!L3+'[1]BIFUbC-natural-gas'!L3+'[1]BIFUbC-electricity'!L3+'[1]BIFUbC-heat'!L3+'[1]BIFUbC-biomass'!L3+'[1]BIFUbC-hydrogen'!N3</f>
        <v>2983718554364432.5</v>
      </c>
      <c r="M3" s="78">
        <f>'[1]BIFUbC-coal'!M3+'[1]BIFUbC-LPG-propane-or-butane'!M3+'[1]BIFUbC-petroleum-diesel'!M3+'[1]BIFUbC-crude-oil'!M3+'[1]BIFUbC-heavy-or-residual-oil'!M3+'[1]BIFUbC-natural-gas'!M3+'[1]BIFUbC-electricity'!M3+'[1]BIFUbC-heat'!M3+'[1]BIFUbC-biomass'!M3+'[1]BIFUbC-hydrogen'!O3</f>
        <v>3029082460180637</v>
      </c>
      <c r="N3" s="78">
        <f>'[1]BIFUbC-coal'!N3+'[1]BIFUbC-LPG-propane-or-butane'!N3+'[1]BIFUbC-petroleum-diesel'!N3+'[1]BIFUbC-crude-oil'!N3+'[1]BIFUbC-heavy-or-residual-oil'!N3+'[1]BIFUbC-natural-gas'!N3+'[1]BIFUbC-electricity'!N3+'[1]BIFUbC-heat'!N3+'[1]BIFUbC-biomass'!N3+'[1]BIFUbC-hydrogen'!P3</f>
        <v>3045984815850791.5</v>
      </c>
      <c r="O3" s="78">
        <f>'[1]BIFUbC-coal'!O3+'[1]BIFUbC-LPG-propane-or-butane'!O3+'[1]BIFUbC-petroleum-diesel'!O3+'[1]BIFUbC-crude-oil'!O3+'[1]BIFUbC-heavy-or-residual-oil'!O3+'[1]BIFUbC-natural-gas'!O3+'[1]BIFUbC-electricity'!O3+'[1]BIFUbC-heat'!O3+'[1]BIFUbC-biomass'!O3+'[1]BIFUbC-hydrogen'!Q3</f>
        <v>3062884431624836</v>
      </c>
      <c r="P3" s="78">
        <f>'[1]BIFUbC-coal'!P3+'[1]BIFUbC-LPG-propane-or-butane'!P3+'[1]BIFUbC-petroleum-diesel'!P3+'[1]BIFUbC-crude-oil'!P3+'[1]BIFUbC-heavy-or-residual-oil'!P3+'[1]BIFUbC-natural-gas'!P3+'[1]BIFUbC-electricity'!P3+'[1]BIFUbC-heat'!P3+'[1]BIFUbC-biomass'!P3+'[1]BIFUbC-hydrogen'!R3</f>
        <v>3079781307502771.5</v>
      </c>
      <c r="Q3" s="78">
        <f>'[1]BIFUbC-coal'!Q3+'[1]BIFUbC-LPG-propane-or-butane'!Q3+'[1]BIFUbC-petroleum-diesel'!Q3+'[1]BIFUbC-crude-oil'!Q3+'[1]BIFUbC-heavy-or-residual-oil'!Q3+'[1]BIFUbC-natural-gas'!Q3+'[1]BIFUbC-electricity'!Q3+'[1]BIFUbC-heat'!Q3+'[1]BIFUbC-biomass'!Q3+'[1]BIFUbC-hydrogen'!S3</f>
        <v>3096675443484596</v>
      </c>
      <c r="R3" s="78">
        <f>'[1]BIFUbC-coal'!R3+'[1]BIFUbC-LPG-propane-or-butane'!R3+'[1]BIFUbC-petroleum-diesel'!R3+'[1]BIFUbC-crude-oil'!R3+'[1]BIFUbC-heavy-or-residual-oil'!R3+'[1]BIFUbC-natural-gas'!R3+'[1]BIFUbC-electricity'!R3+'[1]BIFUbC-heat'!R3+'[1]BIFUbC-biomass'!R3+'[1]BIFUbC-hydrogen'!T3</f>
        <v>3113566839570312</v>
      </c>
      <c r="S3" s="78">
        <f>'[1]BIFUbC-coal'!S3+'[1]BIFUbC-LPG-propane-or-butane'!S3+'[1]BIFUbC-petroleum-diesel'!S3+'[1]BIFUbC-crude-oil'!S3+'[1]BIFUbC-heavy-or-residual-oil'!S3+'[1]BIFUbC-natural-gas'!S3+'[1]BIFUbC-electricity'!S3+'[1]BIFUbC-heat'!S3+'[1]BIFUbC-biomass'!S3+'[1]BIFUbC-hydrogen'!U3</f>
        <v>3084919891493337</v>
      </c>
      <c r="T3" s="78">
        <f>'[1]BIFUbC-coal'!T3+'[1]BIFUbC-LPG-propane-or-butane'!T3+'[1]BIFUbC-petroleum-diesel'!T3+'[1]BIFUbC-crude-oil'!T3+'[1]BIFUbC-heavy-or-residual-oil'!T3+'[1]BIFUbC-natural-gas'!T3+'[1]BIFUbC-electricity'!T3+'[1]BIFUbC-heat'!T3+'[1]BIFUbC-biomass'!T3+'[1]BIFUbC-hydrogen'!V3</f>
        <v>3056274464058703</v>
      </c>
      <c r="U3" s="78">
        <f>'[1]BIFUbC-coal'!U3+'[1]BIFUbC-LPG-propane-or-butane'!U3+'[1]BIFUbC-petroleum-diesel'!U3+'[1]BIFUbC-crude-oil'!U3+'[1]BIFUbC-heavy-or-residual-oil'!U3+'[1]BIFUbC-natural-gas'!U3+'[1]BIFUbC-electricity'!U3+'[1]BIFUbC-heat'!U3+'[1]BIFUbC-biomass'!U3+'[1]BIFUbC-hydrogen'!W3</f>
        <v>3027630557266410.5</v>
      </c>
      <c r="V3" s="78">
        <f>'[1]BIFUbC-coal'!V3+'[1]BIFUbC-LPG-propane-or-butane'!V3+'[1]BIFUbC-petroleum-diesel'!V3+'[1]BIFUbC-crude-oil'!V3+'[1]BIFUbC-heavy-or-residual-oil'!V3+'[1]BIFUbC-natural-gas'!V3+'[1]BIFUbC-electricity'!V3+'[1]BIFUbC-heat'!V3+'[1]BIFUbC-biomass'!V3+'[1]BIFUbC-hydrogen'!X3</f>
        <v>2998988171116459</v>
      </c>
      <c r="W3" s="78">
        <f>'[1]BIFUbC-coal'!W3+'[1]BIFUbC-LPG-propane-or-butane'!W3+'[1]BIFUbC-petroleum-diesel'!W3+'[1]BIFUbC-crude-oil'!W3+'[1]BIFUbC-heavy-or-residual-oil'!W3+'[1]BIFUbC-natural-gas'!W3+'[1]BIFUbC-electricity'!W3+'[1]BIFUbC-heat'!W3+'[1]BIFUbC-biomass'!W3+'[1]BIFUbC-hydrogen'!Y3</f>
        <v>2970347305608849.5</v>
      </c>
      <c r="X3" s="78">
        <f>'[1]BIFUbC-coal'!X3+'[1]BIFUbC-LPG-propane-or-butane'!X3+'[1]BIFUbC-petroleum-diesel'!X3+'[1]BIFUbC-crude-oil'!X3+'[1]BIFUbC-heavy-or-residual-oil'!X3+'[1]BIFUbC-natural-gas'!X3+'[1]BIFUbC-electricity'!X3+'[1]BIFUbC-heat'!X3+'[1]BIFUbC-biomass'!X3+'[1]BIFUbC-hydrogen'!Z3</f>
        <v>2924571797865462.5</v>
      </c>
      <c r="Y3" s="78">
        <f>'[1]BIFUbC-coal'!Y3+'[1]BIFUbC-LPG-propane-or-butane'!Y3+'[1]BIFUbC-petroleum-diesel'!Y3+'[1]BIFUbC-crude-oil'!Y3+'[1]BIFUbC-heavy-or-residual-oil'!Y3+'[1]BIFUbC-natural-gas'!Y3+'[1]BIFUbC-electricity'!Y3+'[1]BIFUbC-heat'!Y3+'[1]BIFUbC-biomass'!Y3+'[1]BIFUbC-hydrogen'!AA3</f>
        <v>2878798723149820.5</v>
      </c>
      <c r="Z3" s="78">
        <f>'[1]BIFUbC-coal'!Z3+'[1]BIFUbC-LPG-propane-or-butane'!Z3+'[1]BIFUbC-petroleum-diesel'!Z3+'[1]BIFUbC-crude-oil'!Z3+'[1]BIFUbC-heavy-or-residual-oil'!Z3+'[1]BIFUbC-natural-gas'!Z3+'[1]BIFUbC-electricity'!Z3+'[1]BIFUbC-heat'!Z3+'[1]BIFUbC-biomass'!Z3+'[1]BIFUbC-hydrogen'!AB3</f>
        <v>2833028081461926</v>
      </c>
      <c r="AA3" s="78">
        <f>'[1]BIFUbC-coal'!AA3+'[1]BIFUbC-LPG-propane-or-butane'!AA3+'[1]BIFUbC-petroleum-diesel'!AA3+'[1]BIFUbC-crude-oil'!AA3+'[1]BIFUbC-heavy-or-residual-oil'!AA3+'[1]BIFUbC-natural-gas'!AA3+'[1]BIFUbC-electricity'!AA3+'[1]BIFUbC-heat'!AA3+'[1]BIFUbC-biomass'!AA3+'[1]BIFUbC-hydrogen'!AC3</f>
        <v>2787259872801777.5</v>
      </c>
      <c r="AB3" s="78">
        <f>'[1]BIFUbC-coal'!AB3+'[1]BIFUbC-LPG-propane-or-butane'!AB3+'[1]BIFUbC-petroleum-diesel'!AB3+'[1]BIFUbC-crude-oil'!AB3+'[1]BIFUbC-heavy-or-residual-oil'!AB3+'[1]BIFUbC-natural-gas'!AB3+'[1]BIFUbC-electricity'!AB3+'[1]BIFUbC-heat'!AB3+'[1]BIFUbC-biomass'!AB3+'[1]BIFUbC-hydrogen'!AD3</f>
        <v>2741494097169372.5</v>
      </c>
      <c r="AC3" s="78">
        <f>'[1]BIFUbC-coal'!AC3+'[1]BIFUbC-LPG-propane-or-butane'!AC3+'[1]BIFUbC-petroleum-diesel'!AC3+'[1]BIFUbC-crude-oil'!AC3+'[1]BIFUbC-heavy-or-residual-oil'!AC3+'[1]BIFUbC-natural-gas'!AC3+'[1]BIFUbC-electricity'!AC3+'[1]BIFUbC-heat'!AC3+'[1]BIFUbC-biomass'!AC3+'[1]BIFUbC-hydrogen'!AE3</f>
        <v>2695730754564715</v>
      </c>
      <c r="AD3" s="78">
        <f>'[1]BIFUbC-coal'!AD3+'[1]BIFUbC-LPG-propane-or-butane'!AD3+'[1]BIFUbC-petroleum-diesel'!AD3+'[1]BIFUbC-crude-oil'!AD3+'[1]BIFUbC-heavy-or-residual-oil'!AD3+'[1]BIFUbC-natural-gas'!AD3+'[1]BIFUbC-electricity'!AD3+'[1]BIFUbC-heat'!AD3+'[1]BIFUbC-biomass'!AD3+'[1]BIFUbC-hydrogen'!AF3</f>
        <v>2649969844987803</v>
      </c>
      <c r="AE3" s="78">
        <f>'[1]BIFUbC-coal'!AE3+'[1]BIFUbC-LPG-propane-or-butane'!AE3+'[1]BIFUbC-petroleum-diesel'!AE3+'[1]BIFUbC-crude-oil'!AE3+'[1]BIFUbC-heavy-or-residual-oil'!AE3+'[1]BIFUbC-natural-gas'!AE3+'[1]BIFUbC-electricity'!AE3+'[1]BIFUbC-heat'!AE3+'[1]BIFUbC-biomass'!AE3+'[1]BIFUbC-hydrogen'!AG3</f>
        <v>2604211368438636.5</v>
      </c>
      <c r="AF3" s="78">
        <f>'[1]BIFUbC-coal'!AF3+'[1]BIFUbC-LPG-propane-or-butane'!AF3+'[1]BIFUbC-petroleum-diesel'!AF3+'[1]BIFUbC-crude-oil'!AF3+'[1]BIFUbC-heavy-or-residual-oil'!AF3+'[1]BIFUbC-natural-gas'!AF3+'[1]BIFUbC-electricity'!AF3+'[1]BIFUbC-heat'!AF3+'[1]BIFUbC-biomass'!AF3+'[1]BIFUbC-hydrogen'!AH3</f>
        <v>2558455324917216.5</v>
      </c>
      <c r="AG3" s="78">
        <f>'[1]BIFUbC-coal'!AG3+'[1]BIFUbC-LPG-propane-or-butane'!AG3+'[1]BIFUbC-petroleum-diesel'!AG3+'[1]BIFUbC-crude-oil'!AG3+'[1]BIFUbC-heavy-or-residual-oil'!AG3+'[1]BIFUbC-natural-gas'!AG3+'[1]BIFUbC-electricity'!AG3+'[1]BIFUbC-heat'!AG3+'[1]BIFUbC-biomass'!AG3+'[1]BIFUbC-hydrogen'!AI3</f>
        <v>2512701714423541.5</v>
      </c>
      <c r="AH3" s="78">
        <f>'[1]BIFUbC-coal'!AH3+'[1]BIFUbC-LPG-propane-or-butane'!AH3+'[1]BIFUbC-petroleum-diesel'!AH3+'[1]BIFUbC-crude-oil'!AH3+'[1]BIFUbC-heavy-or-residual-oil'!AH3+'[1]BIFUbC-natural-gas'!AH3+'[1]BIFUbC-electricity'!AH3+'[1]BIFUbC-heat'!AH3+'[1]BIFUbC-biomass'!AH3+'[1]BIFUbC-hydrogen'!AJ3</f>
        <v>2455529469656882.5</v>
      </c>
      <c r="AI3" s="78">
        <f>'[1]BIFUbC-coal'!AI3+'[1]BIFUbC-LPG-propane-or-butane'!AI3+'[1]BIFUbC-petroleum-diesel'!AI3+'[1]BIFUbC-crude-oil'!AI3+'[1]BIFUbC-heavy-or-residual-oil'!AI3+'[1]BIFUbC-natural-gas'!AI3+'[1]BIFUbC-electricity'!AI3+'[1]BIFUbC-heat'!AI3+'[1]BIFUbC-biomass'!AI3+'[1]BIFUbC-hydrogen'!AK3</f>
        <v>2398360266174906.5</v>
      </c>
      <c r="AJ3" s="78">
        <f>'[1]BIFUbC-coal'!AJ3+'[1]BIFUbC-LPG-propane-or-butane'!AJ3+'[1]BIFUbC-petroleum-diesel'!AJ3+'[1]BIFUbC-crude-oil'!AJ3+'[1]BIFUbC-heavy-or-residual-oil'!AJ3+'[1]BIFUbC-natural-gas'!AJ3+'[1]BIFUbC-electricity'!AJ3+'[1]BIFUbC-heat'!AJ3+'[1]BIFUbC-biomass'!AJ3+'[1]BIFUbC-hydrogen'!AL3</f>
        <v>2341194103977612</v>
      </c>
      <c r="AK3" s="78">
        <f>'[1]BIFUbC-coal'!AK3+'[1]BIFUbC-LPG-propane-or-butane'!AK3+'[1]BIFUbC-petroleum-diesel'!AK3+'[1]BIFUbC-crude-oil'!AK3+'[1]BIFUbC-heavy-or-residual-oil'!AK3+'[1]BIFUbC-natural-gas'!AK3+'[1]BIFUbC-electricity'!AK3+'[1]BIFUbC-heat'!AK3+'[1]BIFUbC-biomass'!AK3+'[1]BIFUbC-hydrogen'!AM3</f>
        <v>2284030983065001</v>
      </c>
      <c r="AL3" s="78">
        <f>'[1]BIFUbC-coal'!AL3+'[1]BIFUbC-LPG-propane-or-butane'!AL3+'[1]BIFUbC-petroleum-diesel'!AL3+'[1]BIFUbC-crude-oil'!AL3+'[1]BIFUbC-heavy-or-residual-oil'!AL3+'[1]BIFUbC-natural-gas'!AL3+'[1]BIFUbC-electricity'!AL3+'[1]BIFUbC-heat'!AL3+'[1]BIFUbC-biomass'!AL3+'[1]BIFUbC-hydrogen'!AN3</f>
        <v>2226870903437072.5</v>
      </c>
      <c r="AM3" s="78">
        <f>'[1]BIFUbC-coal'!AM3+'[1]BIFUbC-LPG-propane-or-butane'!AM3+'[1]BIFUbC-petroleum-diesel'!AM3+'[1]BIFUbC-crude-oil'!AM3+'[1]BIFUbC-heavy-or-residual-oil'!AM3+'[1]BIFUbC-natural-gas'!AM3+'[1]BIFUbC-electricity'!AM3+'[1]BIFUbC-heat'!AM3+'[1]BIFUbC-biomass'!AM3+'[1]BIFUbC-hydrogen'!AO3</f>
        <v>2181133411752213.3</v>
      </c>
      <c r="AN3" s="78">
        <f>'[1]BIFUbC-coal'!AN3+'[1]BIFUbC-LPG-propane-or-butane'!AN3+'[1]BIFUbC-petroleum-diesel'!AN3+'[1]BIFUbC-crude-oil'!AN3+'[1]BIFUbC-heavy-or-residual-oil'!AN3+'[1]BIFUbC-natural-gas'!AN3+'[1]BIFUbC-electricity'!AN3+'[1]BIFUbC-heat'!AN3+'[1]BIFUbC-biomass'!AN3+'[1]BIFUbC-hydrogen'!AP3</f>
        <v>2135398353095101</v>
      </c>
      <c r="AO3" s="78">
        <f>'[1]BIFUbC-coal'!AO3+'[1]BIFUbC-LPG-propane-or-butane'!AO3+'[1]BIFUbC-petroleum-diesel'!AO3+'[1]BIFUbC-crude-oil'!AO3+'[1]BIFUbC-heavy-or-residual-oil'!AO3+'[1]BIFUbC-natural-gas'!AO3+'[1]BIFUbC-electricity'!AO3+'[1]BIFUbC-heat'!AO3+'[1]BIFUbC-biomass'!AO3+'[1]BIFUbC-hydrogen'!AQ3</f>
        <v>2089665727465733.8</v>
      </c>
      <c r="AP3" s="78">
        <f>'[1]BIFUbC-coal'!AP3+'[1]BIFUbC-LPG-propane-or-butane'!AP3+'[1]BIFUbC-petroleum-diesel'!AP3+'[1]BIFUbC-crude-oil'!AP3+'[1]BIFUbC-heavy-or-residual-oil'!AP3+'[1]BIFUbC-natural-gas'!AP3+'[1]BIFUbC-electricity'!AP3+'[1]BIFUbC-heat'!AP3+'[1]BIFUbC-biomass'!AP3+'[1]BIFUbC-hydrogen'!AR3</f>
        <v>2043935534864113</v>
      </c>
      <c r="AQ3" s="78">
        <f>'[1]BIFUbC-coal'!AQ3+'[1]BIFUbC-LPG-propane-or-butane'!AQ3+'[1]BIFUbC-petroleum-diesel'!AQ3+'[1]BIFUbC-crude-oil'!AQ3+'[1]BIFUbC-heavy-or-residual-oil'!AQ3+'[1]BIFUbC-natural-gas'!AQ3+'[1]BIFUbC-electricity'!AQ3+'[1]BIFUbC-heat'!AQ3+'[1]BIFUbC-biomass'!AQ3+'[1]BIFUbC-hydrogen'!AS3</f>
        <v>1997941662880539</v>
      </c>
    </row>
    <row r="4" spans="1:43" s="77" customFormat="1" x14ac:dyDescent="0.2">
      <c r="A4" s="77" t="s">
        <v>36</v>
      </c>
      <c r="B4" s="78">
        <f>'[1]BIFUbC-coal'!B4+'[1]BIFUbC-LPG-propane-or-butane'!B4+'[1]BIFUbC-petroleum-diesel'!B4+'[1]BIFUbC-crude-oil'!B4+'[1]BIFUbC-heavy-or-residual-oil'!B4+'[1]BIFUbC-natural-gas'!B4+'[1]BIFUbC-electricity'!B4+'[1]BIFUbC-heat'!B4+'[1]BIFUbC-biomass'!B4+'[1]BIFUbC-hydrogen'!D4</f>
        <v>800257778884091</v>
      </c>
      <c r="C4" s="78">
        <f>'[1]BIFUbC-coal'!C4+'[1]BIFUbC-LPG-propane-or-butane'!C4+'[1]BIFUbC-petroleum-diesel'!C4+'[1]BIFUbC-crude-oil'!C4+'[1]BIFUbC-heavy-or-residual-oil'!C4+'[1]BIFUbC-natural-gas'!C4+'[1]BIFUbC-electricity'!C4+'[1]BIFUbC-heat'!C4+'[1]BIFUbC-biomass'!C4+'[1]BIFUbC-hydrogen'!E4</f>
        <v>768298506206903.75</v>
      </c>
      <c r="D4" s="78">
        <f>'[1]BIFUbC-coal'!D4+'[1]BIFUbC-LPG-propane-or-butane'!D4+'[1]BIFUbC-petroleum-diesel'!D4+'[1]BIFUbC-crude-oil'!D4+'[1]BIFUbC-heavy-or-residual-oil'!D4+'[1]BIFUbC-natural-gas'!D4+'[1]BIFUbC-electricity'!D4+'[1]BIFUbC-heat'!D4+'[1]BIFUbC-biomass'!D4+'[1]BIFUbC-hydrogen'!F4</f>
        <v>810834310861440.25</v>
      </c>
      <c r="E4" s="78">
        <f>'[1]BIFUbC-coal'!E4+'[1]BIFUbC-LPG-propane-or-butane'!E4+'[1]BIFUbC-petroleum-diesel'!E4+'[1]BIFUbC-crude-oil'!E4+'[1]BIFUbC-heavy-or-residual-oil'!E4+'[1]BIFUbC-natural-gas'!E4+'[1]BIFUbC-electricity'!E4+'[1]BIFUbC-heat'!E4+'[1]BIFUbC-biomass'!E4+'[1]BIFUbC-hydrogen'!G4</f>
        <v>882191093860698.63</v>
      </c>
      <c r="F4" s="78">
        <f>'[1]BIFUbC-coal'!F4+'[1]BIFUbC-LPG-propane-or-butane'!F4+'[1]BIFUbC-petroleum-diesel'!F4+'[1]BIFUbC-crude-oil'!F4+'[1]BIFUbC-heavy-or-residual-oil'!F4+'[1]BIFUbC-natural-gas'!F4+'[1]BIFUbC-electricity'!F4+'[1]BIFUbC-heat'!F4+'[1]BIFUbC-biomass'!F4+'[1]BIFUbC-hydrogen'!H4</f>
        <v>968755963982226.25</v>
      </c>
      <c r="G4" s="78">
        <f>'[1]BIFUbC-coal'!G4+'[1]BIFUbC-LPG-propane-or-butane'!G4+'[1]BIFUbC-petroleum-diesel'!G4+'[1]BIFUbC-crude-oil'!G4+'[1]BIFUbC-heavy-or-residual-oil'!G4+'[1]BIFUbC-natural-gas'!G4+'[1]BIFUbC-electricity'!G4+'[1]BIFUbC-heat'!G4+'[1]BIFUbC-biomass'!G4+'[1]BIFUbC-hydrogen'!I4</f>
        <v>1022420287472432.3</v>
      </c>
      <c r="H4" s="78">
        <f>'[1]BIFUbC-coal'!H4+'[1]BIFUbC-LPG-propane-or-butane'!H4+'[1]BIFUbC-petroleum-diesel'!H4+'[1]BIFUbC-crude-oil'!H4+'[1]BIFUbC-heavy-or-residual-oil'!H4+'[1]BIFUbC-natural-gas'!H4+'[1]BIFUbC-electricity'!H4+'[1]BIFUbC-heat'!H4+'[1]BIFUbC-biomass'!H4+'[1]BIFUbC-hydrogen'!J4</f>
        <v>1075866078644821.1</v>
      </c>
      <c r="I4" s="78">
        <f>'[1]BIFUbC-coal'!I4+'[1]BIFUbC-LPG-propane-or-butane'!I4+'[1]BIFUbC-petroleum-diesel'!I4+'[1]BIFUbC-crude-oil'!I4+'[1]BIFUbC-heavy-or-residual-oil'!I4+'[1]BIFUbC-natural-gas'!I4+'[1]BIFUbC-electricity'!I4+'[1]BIFUbC-heat'!I4+'[1]BIFUbC-biomass'!I4+'[1]BIFUbC-hydrogen'!K4</f>
        <v>1102012382266017.6</v>
      </c>
      <c r="J4" s="78">
        <f>'[1]BIFUbC-coal'!J4+'[1]BIFUbC-LPG-propane-or-butane'!J4+'[1]BIFUbC-petroleum-diesel'!J4+'[1]BIFUbC-crude-oil'!J4+'[1]BIFUbC-heavy-or-residual-oil'!J4+'[1]BIFUbC-natural-gas'!J4+'[1]BIFUbC-electricity'!J4+'[1]BIFUbC-heat'!J4+'[1]BIFUbC-biomass'!J4+'[1]BIFUbC-hydrogen'!L4</f>
        <v>1128142799683286</v>
      </c>
      <c r="K4" s="78">
        <f>'[1]BIFUbC-coal'!K4+'[1]BIFUbC-LPG-propane-or-butane'!K4+'[1]BIFUbC-petroleum-diesel'!K4+'[1]BIFUbC-crude-oil'!K4+'[1]BIFUbC-heavy-or-residual-oil'!K4+'[1]BIFUbC-natural-gas'!K4+'[1]BIFUbC-electricity'!K4+'[1]BIFUbC-heat'!K4+'[1]BIFUbC-biomass'!K4+'[1]BIFUbC-hydrogen'!M4</f>
        <v>1154257330896626.3</v>
      </c>
      <c r="L4" s="78">
        <f>'[1]BIFUbC-coal'!L4+'[1]BIFUbC-LPG-propane-or-butane'!L4+'[1]BIFUbC-petroleum-diesel'!L4+'[1]BIFUbC-crude-oil'!L4+'[1]BIFUbC-heavy-or-residual-oil'!L4+'[1]BIFUbC-natural-gas'!L4+'[1]BIFUbC-electricity'!L4+'[1]BIFUbC-heat'!L4+'[1]BIFUbC-biomass'!L4+'[1]BIFUbC-hydrogen'!N4</f>
        <v>1180355975906038.5</v>
      </c>
      <c r="M4" s="78">
        <f>'[1]BIFUbC-coal'!M4+'[1]BIFUbC-LPG-propane-or-butane'!M4+'[1]BIFUbC-petroleum-diesel'!M4+'[1]BIFUbC-crude-oil'!M4+'[1]BIFUbC-heavy-or-residual-oil'!M4+'[1]BIFUbC-natural-gas'!M4+'[1]BIFUbC-electricity'!M4+'[1]BIFUbC-heat'!M4+'[1]BIFUbC-biomass'!M4+'[1]BIFUbC-hydrogen'!O4</f>
        <v>1206438734711522.8</v>
      </c>
      <c r="N4" s="78">
        <f>'[1]BIFUbC-coal'!N4+'[1]BIFUbC-LPG-propane-or-butane'!N4+'[1]BIFUbC-petroleum-diesel'!N4+'[1]BIFUbC-crude-oil'!N4+'[1]BIFUbC-heavy-or-residual-oil'!N4+'[1]BIFUbC-natural-gas'!N4+'[1]BIFUbC-electricity'!N4+'[1]BIFUbC-heat'!N4+'[1]BIFUbC-biomass'!N4+'[1]BIFUbC-hydrogen'!P4</f>
        <v>1223422197888046</v>
      </c>
      <c r="O4" s="78">
        <f>'[1]BIFUbC-coal'!O4+'[1]BIFUbC-LPG-propane-or-butane'!O4+'[1]BIFUbC-petroleum-diesel'!O4+'[1]BIFUbC-crude-oil'!O4+'[1]BIFUbC-heavy-or-residual-oil'!O4+'[1]BIFUbC-natural-gas'!O4+'[1]BIFUbC-electricity'!O4+'[1]BIFUbC-heat'!O4+'[1]BIFUbC-biomass'!O4+'[1]BIFUbC-hydrogen'!Q4</f>
        <v>1240398769785943.8</v>
      </c>
      <c r="P4" s="78">
        <f>'[1]BIFUbC-coal'!P4+'[1]BIFUbC-LPG-propane-or-butane'!P4+'[1]BIFUbC-petroleum-diesel'!P4+'[1]BIFUbC-crude-oil'!P4+'[1]BIFUbC-heavy-or-residual-oil'!P4+'[1]BIFUbC-natural-gas'!P4+'[1]BIFUbC-electricity'!P4+'[1]BIFUbC-heat'!P4+'[1]BIFUbC-biomass'!P4+'[1]BIFUbC-hydrogen'!R4</f>
        <v>1257368450405216.5</v>
      </c>
      <c r="Q4" s="78">
        <f>'[1]BIFUbC-coal'!Q4+'[1]BIFUbC-LPG-propane-or-butane'!Q4+'[1]BIFUbC-petroleum-diesel'!Q4+'[1]BIFUbC-crude-oil'!Q4+'[1]BIFUbC-heavy-or-residual-oil'!Q4+'[1]BIFUbC-natural-gas'!Q4+'[1]BIFUbC-electricity'!Q4+'[1]BIFUbC-heat'!Q4+'[1]BIFUbC-biomass'!Q4+'[1]BIFUbC-hydrogen'!S4</f>
        <v>1274331239745864.5</v>
      </c>
      <c r="R4" s="78">
        <f>'[1]BIFUbC-coal'!R4+'[1]BIFUbC-LPG-propane-or-butane'!R4+'[1]BIFUbC-petroleum-diesel'!R4+'[1]BIFUbC-crude-oil'!R4+'[1]BIFUbC-heavy-or-residual-oil'!R4+'[1]BIFUbC-natural-gas'!R4+'[1]BIFUbC-electricity'!R4+'[1]BIFUbC-heat'!R4+'[1]BIFUbC-biomass'!R4+'[1]BIFUbC-hydrogen'!T4</f>
        <v>1291287137807887</v>
      </c>
      <c r="S4" s="78">
        <f>'[1]BIFUbC-coal'!S4+'[1]BIFUbC-LPG-propane-or-butane'!S4+'[1]BIFUbC-petroleum-diesel'!S4+'[1]BIFUbC-crude-oil'!S4+'[1]BIFUbC-heavy-or-residual-oil'!S4+'[1]BIFUbC-natural-gas'!S4+'[1]BIFUbC-electricity'!S4+'[1]BIFUbC-heat'!S4+'[1]BIFUbC-biomass'!S4+'[1]BIFUbC-hydrogen'!U4</f>
        <v>1308405712085086.3</v>
      </c>
      <c r="T4" s="78">
        <f>'[1]BIFUbC-coal'!T4+'[1]BIFUbC-LPG-propane-or-butane'!T4+'[1]BIFUbC-petroleum-diesel'!T4+'[1]BIFUbC-crude-oil'!T4+'[1]BIFUbC-heavy-or-residual-oil'!T4+'[1]BIFUbC-natural-gas'!T4+'[1]BIFUbC-electricity'!T4+'[1]BIFUbC-heat'!T4+'[1]BIFUbC-biomass'!T4+'[1]BIFUbC-hydrogen'!V4</f>
        <v>1325521992254666.5</v>
      </c>
      <c r="U4" s="78">
        <f>'[1]BIFUbC-coal'!U4+'[1]BIFUbC-LPG-propane-or-butane'!U4+'[1]BIFUbC-petroleum-diesel'!U4+'[1]BIFUbC-crude-oil'!U4+'[1]BIFUbC-heavy-or-residual-oil'!U4+'[1]BIFUbC-natural-gas'!U4+'[1]BIFUbC-electricity'!U4+'[1]BIFUbC-heat'!U4+'[1]BIFUbC-biomass'!U4+'[1]BIFUbC-hydrogen'!W4</f>
        <v>1342635978316628.5</v>
      </c>
      <c r="V4" s="78">
        <f>'[1]BIFUbC-coal'!V4+'[1]BIFUbC-LPG-propane-or-butane'!V4+'[1]BIFUbC-petroleum-diesel'!V4+'[1]BIFUbC-crude-oil'!V4+'[1]BIFUbC-heavy-or-residual-oil'!V4+'[1]BIFUbC-natural-gas'!V4+'[1]BIFUbC-electricity'!V4+'[1]BIFUbC-heat'!V4+'[1]BIFUbC-biomass'!V4+'[1]BIFUbC-hydrogen'!X4</f>
        <v>1359747670270971.3</v>
      </c>
      <c r="W4" s="78">
        <f>'[1]BIFUbC-coal'!W4+'[1]BIFUbC-LPG-propane-or-butane'!W4+'[1]BIFUbC-petroleum-diesel'!W4+'[1]BIFUbC-crude-oil'!W4+'[1]BIFUbC-heavy-or-residual-oil'!W4+'[1]BIFUbC-natural-gas'!W4+'[1]BIFUbC-electricity'!W4+'[1]BIFUbC-heat'!W4+'[1]BIFUbC-biomass'!W4+'[1]BIFUbC-hydrogen'!Y4</f>
        <v>1376857068117695.3</v>
      </c>
      <c r="X4" s="78">
        <f>'[1]BIFUbC-coal'!X4+'[1]BIFUbC-LPG-propane-or-butane'!X4+'[1]BIFUbC-petroleum-diesel'!X4+'[1]BIFUbC-crude-oil'!X4+'[1]BIFUbC-heavy-or-residual-oil'!X4+'[1]BIFUbC-natural-gas'!X4+'[1]BIFUbC-electricity'!X4+'[1]BIFUbC-heat'!X4+'[1]BIFUbC-biomass'!X4+'[1]BIFUbC-hydrogen'!Z4</f>
        <v>1385355250985327.5</v>
      </c>
      <c r="Y4" s="78">
        <f>'[1]BIFUbC-coal'!Y4+'[1]BIFUbC-LPG-propane-or-butane'!Y4+'[1]BIFUbC-petroleum-diesel'!Y4+'[1]BIFUbC-crude-oil'!Y4+'[1]BIFUbC-heavy-or-residual-oil'!Y4+'[1]BIFUbC-natural-gas'!Y4+'[1]BIFUbC-electricity'!Y4+'[1]BIFUbC-heat'!Y4+'[1]BIFUbC-biomass'!Y4+'[1]BIFUbC-hydrogen'!AA4</f>
        <v>1393852288060784</v>
      </c>
      <c r="Z4" s="78">
        <f>'[1]BIFUbC-coal'!Z4+'[1]BIFUbC-LPG-propane-or-butane'!Z4+'[1]BIFUbC-petroleum-diesel'!Z4+'[1]BIFUbC-crude-oil'!Z4+'[1]BIFUbC-heavy-or-residual-oil'!Z4+'[1]BIFUbC-natural-gas'!Z4+'[1]BIFUbC-electricity'!Z4+'[1]BIFUbC-heat'!Z4+'[1]BIFUbC-biomass'!Z4+'[1]BIFUbC-hydrogen'!AB4</f>
        <v>1402348179344063.8</v>
      </c>
      <c r="AA4" s="78">
        <f>'[1]BIFUbC-coal'!AA4+'[1]BIFUbC-LPG-propane-or-butane'!AA4+'[1]BIFUbC-petroleum-diesel'!AA4+'[1]BIFUbC-crude-oil'!AA4+'[1]BIFUbC-heavy-or-residual-oil'!AA4+'[1]BIFUbC-natural-gas'!AA4+'[1]BIFUbC-electricity'!AA4+'[1]BIFUbC-heat'!AA4+'[1]BIFUbC-biomass'!AA4+'[1]BIFUbC-hydrogen'!AC4</f>
        <v>1410842924835167.3</v>
      </c>
      <c r="AB4" s="78">
        <f>'[1]BIFUbC-coal'!AB4+'[1]BIFUbC-LPG-propane-or-butane'!AB4+'[1]BIFUbC-petroleum-diesel'!AB4+'[1]BIFUbC-crude-oil'!AB4+'[1]BIFUbC-heavy-or-residual-oil'!AB4+'[1]BIFUbC-natural-gas'!AB4+'[1]BIFUbC-electricity'!AB4+'[1]BIFUbC-heat'!AB4+'[1]BIFUbC-biomass'!AB4+'[1]BIFUbC-hydrogen'!AD4</f>
        <v>1419336524534094.8</v>
      </c>
      <c r="AC4" s="78">
        <f>'[1]BIFUbC-coal'!AC4+'[1]BIFUbC-LPG-propane-or-butane'!AC4+'[1]BIFUbC-petroleum-diesel'!AC4+'[1]BIFUbC-crude-oil'!AC4+'[1]BIFUbC-heavy-or-residual-oil'!AC4+'[1]BIFUbC-natural-gas'!AC4+'[1]BIFUbC-electricity'!AC4+'[1]BIFUbC-heat'!AC4+'[1]BIFUbC-biomass'!AC4+'[1]BIFUbC-hydrogen'!AE4</f>
        <v>1427828978440845.8</v>
      </c>
      <c r="AD4" s="78">
        <f>'[1]BIFUbC-coal'!AD4+'[1]BIFUbC-LPG-propane-or-butane'!AD4+'[1]BIFUbC-petroleum-diesel'!AD4+'[1]BIFUbC-crude-oil'!AD4+'[1]BIFUbC-heavy-or-residual-oil'!AD4+'[1]BIFUbC-natural-gas'!AD4+'[1]BIFUbC-electricity'!AD4+'[1]BIFUbC-heat'!AD4+'[1]BIFUbC-biomass'!AD4+'[1]BIFUbC-hydrogen'!AF4</f>
        <v>1436320286555420.5</v>
      </c>
      <c r="AE4" s="78">
        <f>'[1]BIFUbC-coal'!AE4+'[1]BIFUbC-LPG-propane-or-butane'!AE4+'[1]BIFUbC-petroleum-diesel'!AE4+'[1]BIFUbC-crude-oil'!AE4+'[1]BIFUbC-heavy-or-residual-oil'!AE4+'[1]BIFUbC-natural-gas'!AE4+'[1]BIFUbC-electricity'!AE4+'[1]BIFUbC-heat'!AE4+'[1]BIFUbC-biomass'!AE4+'[1]BIFUbC-hydrogen'!AG4</f>
        <v>1444810448877818.8</v>
      </c>
      <c r="AF4" s="78">
        <f>'[1]BIFUbC-coal'!AF4+'[1]BIFUbC-LPG-propane-or-butane'!AF4+'[1]BIFUbC-petroleum-diesel'!AF4+'[1]BIFUbC-crude-oil'!AF4+'[1]BIFUbC-heavy-or-residual-oil'!AF4+'[1]BIFUbC-natural-gas'!AF4+'[1]BIFUbC-electricity'!AF4+'[1]BIFUbC-heat'!AF4+'[1]BIFUbC-biomass'!AF4+'[1]BIFUbC-hydrogen'!AH4</f>
        <v>1453299465408040.3</v>
      </c>
      <c r="AG4" s="78">
        <f>'[1]BIFUbC-coal'!AG4+'[1]BIFUbC-LPG-propane-or-butane'!AG4+'[1]BIFUbC-petroleum-diesel'!AG4+'[1]BIFUbC-crude-oil'!AG4+'[1]BIFUbC-heavy-or-residual-oil'!AG4+'[1]BIFUbC-natural-gas'!AG4+'[1]BIFUbC-electricity'!AG4+'[1]BIFUbC-heat'!AG4+'[1]BIFUbC-biomass'!AG4+'[1]BIFUbC-hydrogen'!AI4</f>
        <v>1461787336146086.5</v>
      </c>
      <c r="AH4" s="78">
        <f>'[1]BIFUbC-coal'!AH4+'[1]BIFUbC-LPG-propane-or-butane'!AH4+'[1]BIFUbC-petroleum-diesel'!AH4+'[1]BIFUbC-crude-oil'!AH4+'[1]BIFUbC-heavy-or-residual-oil'!AH4+'[1]BIFUbC-natural-gas'!AH4+'[1]BIFUbC-electricity'!AH4+'[1]BIFUbC-heat'!AH4+'[1]BIFUbC-biomass'!AH4+'[1]BIFUbC-hydrogen'!AJ4</f>
        <v>1470269764658028.8</v>
      </c>
      <c r="AI4" s="78">
        <f>'[1]BIFUbC-coal'!AI4+'[1]BIFUbC-LPG-propane-or-butane'!AI4+'[1]BIFUbC-petroleum-diesel'!AI4+'[1]BIFUbC-crude-oil'!AI4+'[1]BIFUbC-heavy-or-residual-oil'!AI4+'[1]BIFUbC-natural-gas'!AI4+'[1]BIFUbC-electricity'!AI4+'[1]BIFUbC-heat'!AI4+'[1]BIFUbC-biomass'!AI4+'[1]BIFUbC-hydrogen'!AK4</f>
        <v>1478751047951265</v>
      </c>
      <c r="AJ4" s="78">
        <f>'[1]BIFUbC-coal'!AJ4+'[1]BIFUbC-LPG-propane-or-butane'!AJ4+'[1]BIFUbC-petroleum-diesel'!AJ4+'[1]BIFUbC-crude-oil'!AJ4+'[1]BIFUbC-heavy-or-residual-oil'!AJ4+'[1]BIFUbC-natural-gas'!AJ4+'[1]BIFUbC-electricity'!AJ4+'[1]BIFUbC-heat'!AJ4+'[1]BIFUbC-biomass'!AJ4+'[1]BIFUbC-hydrogen'!AL4</f>
        <v>1487231186025794.5</v>
      </c>
      <c r="AK4" s="78">
        <f>'[1]BIFUbC-coal'!AK4+'[1]BIFUbC-LPG-propane-or-butane'!AK4+'[1]BIFUbC-petroleum-diesel'!AK4+'[1]BIFUbC-crude-oil'!AK4+'[1]BIFUbC-heavy-or-residual-oil'!AK4+'[1]BIFUbC-natural-gas'!AK4+'[1]BIFUbC-electricity'!AK4+'[1]BIFUbC-heat'!AK4+'[1]BIFUbC-biomass'!AK4+'[1]BIFUbC-hydrogen'!AM4</f>
        <v>1495710178881617</v>
      </c>
      <c r="AL4" s="78">
        <f>'[1]BIFUbC-coal'!AL4+'[1]BIFUbC-LPG-propane-or-butane'!AL4+'[1]BIFUbC-petroleum-diesel'!AL4+'[1]BIFUbC-crude-oil'!AL4+'[1]BIFUbC-heavy-or-residual-oil'!AL4+'[1]BIFUbC-natural-gas'!AL4+'[1]BIFUbC-electricity'!AL4+'[1]BIFUbC-heat'!AL4+'[1]BIFUbC-biomass'!AL4+'[1]BIFUbC-hydrogen'!AN4</f>
        <v>1504188026518733.5</v>
      </c>
      <c r="AM4" s="78">
        <f>'[1]BIFUbC-coal'!AM4+'[1]BIFUbC-LPG-propane-or-butane'!AM4+'[1]BIFUbC-petroleum-diesel'!AM4+'[1]BIFUbC-crude-oil'!AM4+'[1]BIFUbC-heavy-or-residual-oil'!AM4+'[1]BIFUbC-natural-gas'!AM4+'[1]BIFUbC-electricity'!AM4+'[1]BIFUbC-heat'!AM4+'[1]BIFUbC-biomass'!AM4+'[1]BIFUbC-hydrogen'!AO4</f>
        <v>1504082459432547.5</v>
      </c>
      <c r="AN4" s="78">
        <f>'[1]BIFUbC-coal'!AN4+'[1]BIFUbC-LPG-propane-or-butane'!AN4+'[1]BIFUbC-petroleum-diesel'!AN4+'[1]BIFUbC-crude-oil'!AN4+'[1]BIFUbC-heavy-or-residual-oil'!AN4+'[1]BIFUbC-natural-gas'!AN4+'[1]BIFUbC-electricity'!AN4+'[1]BIFUbC-heat'!AN4+'[1]BIFUbC-biomass'!AN4+'[1]BIFUbC-hydrogen'!AP4</f>
        <v>1503976893034525.5</v>
      </c>
      <c r="AO4" s="78">
        <f>'[1]BIFUbC-coal'!AO4+'[1]BIFUbC-LPG-propane-or-butane'!AO4+'[1]BIFUbC-petroleum-diesel'!AO4+'[1]BIFUbC-crude-oil'!AO4+'[1]BIFUbC-heavy-or-residual-oil'!AO4+'[1]BIFUbC-natural-gas'!AO4+'[1]BIFUbC-electricity'!AO4+'[1]BIFUbC-heat'!AO4+'[1]BIFUbC-biomass'!AO4+'[1]BIFUbC-hydrogen'!AQ4</f>
        <v>1503871327324666.8</v>
      </c>
      <c r="AP4" s="78">
        <f>'[1]BIFUbC-coal'!AP4+'[1]BIFUbC-LPG-propane-or-butane'!AP4+'[1]BIFUbC-petroleum-diesel'!AP4+'[1]BIFUbC-crude-oil'!AP4+'[1]BIFUbC-heavy-or-residual-oil'!AP4+'[1]BIFUbC-natural-gas'!AP4+'[1]BIFUbC-electricity'!AP4+'[1]BIFUbC-heat'!AP4+'[1]BIFUbC-biomass'!AP4+'[1]BIFUbC-hydrogen'!AR4</f>
        <v>1503765762302971.8</v>
      </c>
      <c r="AQ4" s="78">
        <f>'[1]BIFUbC-coal'!AQ4+'[1]BIFUbC-LPG-propane-or-butane'!AQ4+'[1]BIFUbC-petroleum-diesel'!AQ4+'[1]BIFUbC-crude-oil'!AQ4+'[1]BIFUbC-heavy-or-residual-oil'!AQ4+'[1]BIFUbC-natural-gas'!AQ4+'[1]BIFUbC-electricity'!AQ4+'[1]BIFUbC-heat'!AQ4+'[1]BIFUbC-biomass'!AQ4+'[1]BIFUbC-hydrogen'!AS4</f>
        <v>1503158141142074</v>
      </c>
    </row>
    <row r="5" spans="1:43" s="77" customFormat="1" x14ac:dyDescent="0.2">
      <c r="A5" s="77" t="s">
        <v>422</v>
      </c>
      <c r="B5" s="78">
        <f>'[1]BIFUbC-coal'!B5+'[1]BIFUbC-LPG-propane-or-butane'!B5+'[1]BIFUbC-petroleum-diesel'!B5+'[1]BIFUbC-crude-oil'!B5+'[1]BIFUbC-heavy-or-residual-oil'!B5+'[1]BIFUbC-natural-gas'!B5+'[1]BIFUbC-electricity'!B5+'[1]BIFUbC-heat'!B5+'[1]BIFUbC-biomass'!B5+'[1]BIFUbC-hydrogen'!D5</f>
        <v>639514138143227.75</v>
      </c>
      <c r="C5" s="78">
        <f>'[1]BIFUbC-coal'!C5+'[1]BIFUbC-LPG-propane-or-butane'!C5+'[1]BIFUbC-petroleum-diesel'!C5+'[1]BIFUbC-crude-oil'!C5+'[1]BIFUbC-heavy-or-residual-oil'!C5+'[1]BIFUbC-natural-gas'!C5+'[1]BIFUbC-electricity'!C5+'[1]BIFUbC-heat'!C5+'[1]BIFUbC-biomass'!C5+'[1]BIFUbC-hydrogen'!E5</f>
        <v>590351799018880.25</v>
      </c>
      <c r="D5" s="78">
        <f>'[1]BIFUbC-coal'!D5+'[1]BIFUbC-LPG-propane-or-butane'!D5+'[1]BIFUbC-petroleum-diesel'!D5+'[1]BIFUbC-crude-oil'!D5+'[1]BIFUbC-heavy-or-residual-oil'!D5+'[1]BIFUbC-natural-gas'!D5+'[1]BIFUbC-electricity'!D5+'[1]BIFUbC-heat'!D5+'[1]BIFUbC-biomass'!D5+'[1]BIFUbC-hydrogen'!F5</f>
        <v>615945915742471.75</v>
      </c>
      <c r="E5" s="78">
        <f>'[1]BIFUbC-coal'!E5+'[1]BIFUbC-LPG-propane-or-butane'!E5+'[1]BIFUbC-petroleum-diesel'!E5+'[1]BIFUbC-crude-oil'!E5+'[1]BIFUbC-heavy-or-residual-oil'!E5+'[1]BIFUbC-natural-gas'!E5+'[1]BIFUbC-electricity'!E5+'[1]BIFUbC-heat'!E5+'[1]BIFUbC-biomass'!E5+'[1]BIFUbC-hydrogen'!G5</f>
        <v>658962917833617</v>
      </c>
      <c r="F5" s="78">
        <f>'[1]BIFUbC-coal'!F5+'[1]BIFUbC-LPG-propane-or-butane'!F5+'[1]BIFUbC-petroleum-diesel'!F5+'[1]BIFUbC-crude-oil'!F5+'[1]BIFUbC-heavy-or-residual-oil'!F5+'[1]BIFUbC-natural-gas'!F5+'[1]BIFUbC-electricity'!F5+'[1]BIFUbC-heat'!F5+'[1]BIFUbC-biomass'!F5+'[1]BIFUbC-hydrogen'!H5</f>
        <v>714349443308870.5</v>
      </c>
      <c r="G5" s="78">
        <f>'[1]BIFUbC-coal'!G5+'[1]BIFUbC-LPG-propane-or-butane'!G5+'[1]BIFUbC-petroleum-diesel'!G5+'[1]BIFUbC-crude-oil'!G5+'[1]BIFUbC-heavy-or-residual-oil'!G5+'[1]BIFUbC-natural-gas'!G5+'[1]BIFUbC-electricity'!G5+'[1]BIFUbC-heat'!G5+'[1]BIFUbC-biomass'!G5+'[1]BIFUbC-hydrogen'!I5</f>
        <v>746459741006922.38</v>
      </c>
      <c r="H5" s="78">
        <f>'[1]BIFUbC-coal'!H5+'[1]BIFUbC-LPG-propane-or-butane'!H5+'[1]BIFUbC-petroleum-diesel'!H5+'[1]BIFUbC-crude-oil'!H5+'[1]BIFUbC-heavy-or-residual-oil'!H5+'[1]BIFUbC-natural-gas'!H5+'[1]BIFUbC-electricity'!H5+'[1]BIFUbC-heat'!H5+'[1]BIFUbC-biomass'!H5+'[1]BIFUbC-hydrogen'!J5</f>
        <v>778438740116408.88</v>
      </c>
      <c r="I5" s="78">
        <f>'[1]BIFUbC-coal'!I5+'[1]BIFUbC-LPG-propane-or-butane'!I5+'[1]BIFUbC-petroleum-diesel'!I5+'[1]BIFUbC-crude-oil'!I5+'[1]BIFUbC-heavy-or-residual-oil'!I5+'[1]BIFUbC-natural-gas'!I5+'[1]BIFUbC-electricity'!I5+'[1]BIFUbC-heat'!I5+'[1]BIFUbC-biomass'!I5+'[1]BIFUbC-hydrogen'!K5</f>
        <v>798936761209217.13</v>
      </c>
      <c r="J5" s="78">
        <f>'[1]BIFUbC-coal'!J5+'[1]BIFUbC-LPG-propane-or-butane'!J5+'[1]BIFUbC-petroleum-diesel'!J5+'[1]BIFUbC-crude-oil'!J5+'[1]BIFUbC-heavy-or-residual-oil'!J5+'[1]BIFUbC-natural-gas'!J5+'[1]BIFUbC-electricity'!J5+'[1]BIFUbC-heat'!J5+'[1]BIFUbC-biomass'!J5+'[1]BIFUbC-hydrogen'!L5</f>
        <v>819422339637597.25</v>
      </c>
      <c r="K5" s="78">
        <f>'[1]BIFUbC-coal'!K5+'[1]BIFUbC-LPG-propane-or-butane'!K5+'[1]BIFUbC-petroleum-diesel'!K5+'[1]BIFUbC-crude-oil'!K5+'[1]BIFUbC-heavy-or-residual-oil'!K5+'[1]BIFUbC-natural-gas'!K5+'[1]BIFUbC-electricity'!K5+'[1]BIFUbC-heat'!K5+'[1]BIFUbC-biomass'!K5+'[1]BIFUbC-hydrogen'!M5</f>
        <v>839895475401549.25</v>
      </c>
      <c r="L5" s="78">
        <f>'[1]BIFUbC-coal'!L5+'[1]BIFUbC-LPG-propane-or-butane'!L5+'[1]BIFUbC-petroleum-diesel'!L5+'[1]BIFUbC-crude-oil'!L5+'[1]BIFUbC-heavy-or-residual-oil'!L5+'[1]BIFUbC-natural-gas'!L5+'[1]BIFUbC-electricity'!L5+'[1]BIFUbC-heat'!L5+'[1]BIFUbC-biomass'!L5+'[1]BIFUbC-hydrogen'!N5</f>
        <v>860356168501072.5</v>
      </c>
      <c r="M5" s="78">
        <f>'[1]BIFUbC-coal'!M5+'[1]BIFUbC-LPG-propane-or-butane'!M5+'[1]BIFUbC-petroleum-diesel'!M5+'[1]BIFUbC-crude-oil'!M5+'[1]BIFUbC-heavy-or-residual-oil'!M5+'[1]BIFUbC-natural-gas'!M5+'[1]BIFUbC-electricity'!M5+'[1]BIFUbC-heat'!M5+'[1]BIFUbC-biomass'!M5+'[1]BIFUbC-hydrogen'!O5</f>
        <v>880804418936168.25</v>
      </c>
      <c r="N5" s="78">
        <f>'[1]BIFUbC-coal'!N5+'[1]BIFUbC-LPG-propane-or-butane'!N5+'[1]BIFUbC-petroleum-diesel'!N5+'[1]BIFUbC-crude-oil'!N5+'[1]BIFUbC-heavy-or-residual-oil'!N5+'[1]BIFUbC-natural-gas'!N5+'[1]BIFUbC-electricity'!N5+'[1]BIFUbC-heat'!N5+'[1]BIFUbC-biomass'!N5+'[1]BIFUbC-hydrogen'!P5</f>
        <v>883790581116836</v>
      </c>
      <c r="O5" s="78">
        <f>'[1]BIFUbC-coal'!O5+'[1]BIFUbC-LPG-propane-or-butane'!O5+'[1]BIFUbC-petroleum-diesel'!O5+'[1]BIFUbC-crude-oil'!O5+'[1]BIFUbC-heavy-or-residual-oil'!O5+'[1]BIFUbC-natural-gas'!O5+'[1]BIFUbC-electricity'!O5+'[1]BIFUbC-heat'!O5+'[1]BIFUbC-biomass'!O5+'[1]BIFUbC-hydrogen'!Q5</f>
        <v>886775478115241.38</v>
      </c>
      <c r="P5" s="78">
        <f>'[1]BIFUbC-coal'!P5+'[1]BIFUbC-LPG-propane-or-butane'!P5+'[1]BIFUbC-petroleum-diesel'!P5+'[1]BIFUbC-crude-oil'!P5+'[1]BIFUbC-heavy-or-residual-oil'!P5+'[1]BIFUbC-natural-gas'!P5+'[1]BIFUbC-electricity'!P5+'[1]BIFUbC-heat'!P5+'[1]BIFUbC-biomass'!P5+'[1]BIFUbC-hydrogen'!R5</f>
        <v>889759109931384.75</v>
      </c>
      <c r="Q5" s="78">
        <f>'[1]BIFUbC-coal'!Q5+'[1]BIFUbC-LPG-propane-or-butane'!Q5+'[1]BIFUbC-petroleum-diesel'!Q5+'[1]BIFUbC-crude-oil'!Q5+'[1]BIFUbC-heavy-or-residual-oil'!Q5+'[1]BIFUbC-natural-gas'!Q5+'[1]BIFUbC-electricity'!Q5+'[1]BIFUbC-heat'!Q5+'[1]BIFUbC-biomass'!Q5+'[1]BIFUbC-hydrogen'!S5</f>
        <v>892741476565265.63</v>
      </c>
      <c r="R5" s="78">
        <f>'[1]BIFUbC-coal'!R5+'[1]BIFUbC-LPG-propane-or-butane'!R5+'[1]BIFUbC-petroleum-diesel'!R5+'[1]BIFUbC-crude-oil'!R5+'[1]BIFUbC-heavy-or-residual-oil'!R5+'[1]BIFUbC-natural-gas'!R5+'[1]BIFUbC-electricity'!R5+'[1]BIFUbC-heat'!R5+'[1]BIFUbC-biomass'!R5+'[1]BIFUbC-hydrogen'!T5</f>
        <v>895722578016884.25</v>
      </c>
      <c r="S5" s="78">
        <f>'[1]BIFUbC-coal'!S5+'[1]BIFUbC-LPG-propane-or-butane'!S5+'[1]BIFUbC-petroleum-diesel'!S5+'[1]BIFUbC-crude-oil'!S5+'[1]BIFUbC-heavy-or-residual-oil'!S5+'[1]BIFUbC-natural-gas'!S5+'[1]BIFUbC-electricity'!S5+'[1]BIFUbC-heat'!S5+'[1]BIFUbC-biomass'!S5+'[1]BIFUbC-hydrogen'!U5</f>
        <v>888634939240341.13</v>
      </c>
      <c r="T5" s="78">
        <f>'[1]BIFUbC-coal'!T5+'[1]BIFUbC-LPG-propane-or-butane'!T5+'[1]BIFUbC-petroleum-diesel'!T5+'[1]BIFUbC-crude-oil'!T5+'[1]BIFUbC-heavy-or-residual-oil'!T5+'[1]BIFUbC-natural-gas'!T5+'[1]BIFUbC-electricity'!T5+'[1]BIFUbC-heat'!T5+'[1]BIFUbC-biomass'!T5+'[1]BIFUbC-hydrogen'!V5</f>
        <v>881548237582797.75</v>
      </c>
      <c r="U5" s="78">
        <f>'[1]BIFUbC-coal'!U5+'[1]BIFUbC-LPG-propane-or-butane'!U5+'[1]BIFUbC-petroleum-diesel'!U5+'[1]BIFUbC-crude-oil'!U5+'[1]BIFUbC-heavy-or-residual-oil'!U5+'[1]BIFUbC-natural-gas'!U5+'[1]BIFUbC-electricity'!U5+'[1]BIFUbC-heat'!U5+'[1]BIFUbC-biomass'!U5+'[1]BIFUbC-hydrogen'!W5</f>
        <v>874462473044254.13</v>
      </c>
      <c r="V5" s="78">
        <f>'[1]BIFUbC-coal'!V5+'[1]BIFUbC-LPG-propane-or-butane'!V5+'[1]BIFUbC-petroleum-diesel'!V5+'[1]BIFUbC-crude-oil'!V5+'[1]BIFUbC-heavy-or-residual-oil'!V5+'[1]BIFUbC-natural-gas'!V5+'[1]BIFUbC-electricity'!V5+'[1]BIFUbC-heat'!V5+'[1]BIFUbC-biomass'!V5+'[1]BIFUbC-hydrogen'!X5</f>
        <v>867377645624710</v>
      </c>
      <c r="W5" s="78">
        <f>'[1]BIFUbC-coal'!W5+'[1]BIFUbC-LPG-propane-or-butane'!W5+'[1]BIFUbC-petroleum-diesel'!W5+'[1]BIFUbC-crude-oil'!W5+'[1]BIFUbC-heavy-or-residual-oil'!W5+'[1]BIFUbC-natural-gas'!W5+'[1]BIFUbC-electricity'!W5+'[1]BIFUbC-heat'!W5+'[1]BIFUbC-biomass'!W5+'[1]BIFUbC-hydrogen'!Y5</f>
        <v>860293755324165.38</v>
      </c>
      <c r="X5" s="78">
        <f>'[1]BIFUbC-coal'!X5+'[1]BIFUbC-LPG-propane-or-butane'!X5+'[1]BIFUbC-petroleum-diesel'!X5+'[1]BIFUbC-crude-oil'!X5+'[1]BIFUbC-heavy-or-residual-oil'!X5+'[1]BIFUbC-natural-gas'!X5+'[1]BIFUbC-electricity'!X5+'[1]BIFUbC-heat'!X5+'[1]BIFUbC-biomass'!X5+'[1]BIFUbC-hydrogen'!Z5</f>
        <v>845367963550837.38</v>
      </c>
      <c r="Y5" s="78">
        <f>'[1]BIFUbC-coal'!Y5+'[1]BIFUbC-LPG-propane-or-butane'!Y5+'[1]BIFUbC-petroleum-diesel'!Y5+'[1]BIFUbC-crude-oil'!Y5+'[1]BIFUbC-heavy-or-residual-oil'!Y5+'[1]BIFUbC-natural-gas'!Y5+'[1]BIFUbC-electricity'!Y5+'[1]BIFUbC-heat'!Y5+'[1]BIFUbC-biomass'!Y5+'[1]BIFUbC-hydrogen'!AA5</f>
        <v>830444155026773.13</v>
      </c>
      <c r="Z5" s="78">
        <f>'[1]BIFUbC-coal'!Z5+'[1]BIFUbC-LPG-propane-or-butane'!Z5+'[1]BIFUbC-petroleum-diesel'!Z5+'[1]BIFUbC-crude-oil'!Z5+'[1]BIFUbC-heavy-or-residual-oil'!Z5+'[1]BIFUbC-natural-gas'!Z5+'[1]BIFUbC-electricity'!Z5+'[1]BIFUbC-heat'!Z5+'[1]BIFUbC-biomass'!Z5+'[1]BIFUbC-hydrogen'!AB5</f>
        <v>815522329751973</v>
      </c>
      <c r="AA5" s="78">
        <f>'[1]BIFUbC-coal'!AA5+'[1]BIFUbC-LPG-propane-or-butane'!AA5+'[1]BIFUbC-petroleum-diesel'!AA5+'[1]BIFUbC-crude-oil'!AA5+'[1]BIFUbC-heavy-or-residual-oil'!AA5+'[1]BIFUbC-natural-gas'!AA5+'[1]BIFUbC-electricity'!AA5+'[1]BIFUbC-heat'!AA5+'[1]BIFUbC-biomass'!AA5+'[1]BIFUbC-hydrogen'!AC5</f>
        <v>800602487726436.88</v>
      </c>
      <c r="AB5" s="78">
        <f>'[1]BIFUbC-coal'!AB5+'[1]BIFUbC-LPG-propane-or-butane'!AB5+'[1]BIFUbC-petroleum-diesel'!AB5+'[1]BIFUbC-crude-oil'!AB5+'[1]BIFUbC-heavy-or-residual-oil'!AB5+'[1]BIFUbC-natural-gas'!AB5+'[1]BIFUbC-electricity'!AB5+'[1]BIFUbC-heat'!AB5+'[1]BIFUbC-biomass'!AB5+'[1]BIFUbC-hydrogen'!AD5</f>
        <v>785684628950164.75</v>
      </c>
      <c r="AC5" s="78">
        <f>'[1]BIFUbC-coal'!AC5+'[1]BIFUbC-LPG-propane-or-butane'!AC5+'[1]BIFUbC-petroleum-diesel'!AC5+'[1]BIFUbC-crude-oil'!AC5+'[1]BIFUbC-heavy-or-residual-oil'!AC5+'[1]BIFUbC-natural-gas'!AC5+'[1]BIFUbC-electricity'!AC5+'[1]BIFUbC-heat'!AC5+'[1]BIFUbC-biomass'!AC5+'[1]BIFUbC-hydrogen'!AE5</f>
        <v>769106412209028.75</v>
      </c>
      <c r="AD5" s="78">
        <f>'[1]BIFUbC-coal'!AD5+'[1]BIFUbC-LPG-propane-or-butane'!AD5+'[1]BIFUbC-petroleum-diesel'!AD5+'[1]BIFUbC-crude-oil'!AD5+'[1]BIFUbC-heavy-or-residual-oil'!AD5+'[1]BIFUbC-natural-gas'!AD5+'[1]BIFUbC-electricity'!AD5+'[1]BIFUbC-heat'!AD5+'[1]BIFUbC-biomass'!AD5+'[1]BIFUbC-hydrogen'!AF5</f>
        <v>752530400525311.38</v>
      </c>
      <c r="AE5" s="78">
        <f>'[1]BIFUbC-coal'!AE5+'[1]BIFUbC-LPG-propane-or-butane'!AE5+'[1]BIFUbC-petroleum-diesel'!AE5+'[1]BIFUbC-crude-oil'!AE5+'[1]BIFUbC-heavy-or-residual-oil'!AE5+'[1]BIFUbC-natural-gas'!AE5+'[1]BIFUbC-electricity'!AE5+'[1]BIFUbC-heat'!AE5+'[1]BIFUbC-biomass'!AE5+'[1]BIFUbC-hydrogen'!AG5</f>
        <v>735956593899012.5</v>
      </c>
      <c r="AF5" s="78">
        <f>'[1]BIFUbC-coal'!AF5+'[1]BIFUbC-LPG-propane-or-butane'!AF5+'[1]BIFUbC-petroleum-diesel'!AF5+'[1]BIFUbC-crude-oil'!AF5+'[1]BIFUbC-heavy-or-residual-oil'!AF5+'[1]BIFUbC-natural-gas'!AF5+'[1]BIFUbC-electricity'!AF5+'[1]BIFUbC-heat'!AF5+'[1]BIFUbC-biomass'!AF5+'[1]BIFUbC-hydrogen'!AH5</f>
        <v>719384992330132.13</v>
      </c>
      <c r="AG5" s="78">
        <f>'[1]BIFUbC-coal'!AG5+'[1]BIFUbC-LPG-propane-or-butane'!AG5+'[1]BIFUbC-petroleum-diesel'!AG5+'[1]BIFUbC-crude-oil'!AG5+'[1]BIFUbC-heavy-or-residual-oil'!AG5+'[1]BIFUbC-natural-gas'!AG5+'[1]BIFUbC-electricity'!AG5+'[1]BIFUbC-heat'!AG5+'[1]BIFUbC-biomass'!AG5+'[1]BIFUbC-hydrogen'!AI5</f>
        <v>702815595818670.25</v>
      </c>
      <c r="AH5" s="78">
        <f>'[1]BIFUbC-coal'!AH5+'[1]BIFUbC-LPG-propane-or-butane'!AH5+'[1]BIFUbC-petroleum-diesel'!AH5+'[1]BIFUbC-crude-oil'!AH5+'[1]BIFUbC-heavy-or-residual-oil'!AH5+'[1]BIFUbC-natural-gas'!AH5+'[1]BIFUbC-electricity'!AH5+'[1]BIFUbC-heat'!AH5+'[1]BIFUbC-biomass'!AH5+'[1]BIFUbC-hydrogen'!AJ5</f>
        <v>686871143818049</v>
      </c>
      <c r="AI5" s="78">
        <f>'[1]BIFUbC-coal'!AI5+'[1]BIFUbC-LPG-propane-or-butane'!AI5+'[1]BIFUbC-petroleum-diesel'!AI5+'[1]BIFUbC-crude-oil'!AI5+'[1]BIFUbC-heavy-or-residual-oil'!AI5+'[1]BIFUbC-natural-gas'!AI5+'[1]BIFUbC-electricity'!AI5+'[1]BIFUbC-heat'!AI5+'[1]BIFUbC-biomass'!AI5+'[1]BIFUbC-hydrogen'!AK5</f>
        <v>670928813754257.13</v>
      </c>
      <c r="AJ5" s="78">
        <f>'[1]BIFUbC-coal'!AJ5+'[1]BIFUbC-LPG-propane-or-butane'!AJ5+'[1]BIFUbC-petroleum-diesel'!AJ5+'[1]BIFUbC-crude-oil'!AJ5+'[1]BIFUbC-heavy-or-residual-oil'!AJ5+'[1]BIFUbC-natural-gas'!AJ5+'[1]BIFUbC-electricity'!AJ5+'[1]BIFUbC-heat'!AJ5+'[1]BIFUbC-biomass'!AJ5+'[1]BIFUbC-hydrogen'!AL5</f>
        <v>654988605627294.75</v>
      </c>
      <c r="AK5" s="78">
        <f>'[1]BIFUbC-coal'!AK5+'[1]BIFUbC-LPG-propane-or-butane'!AK5+'[1]BIFUbC-petroleum-diesel'!AK5+'[1]BIFUbC-crude-oil'!AK5+'[1]BIFUbC-heavy-or-residual-oil'!AK5+'[1]BIFUbC-natural-gas'!AK5+'[1]BIFUbC-electricity'!AK5+'[1]BIFUbC-heat'!AK5+'[1]BIFUbC-biomass'!AK5+'[1]BIFUbC-hydrogen'!AM5</f>
        <v>639050519437161.5</v>
      </c>
      <c r="AL5" s="78">
        <f>'[1]BIFUbC-coal'!AL5+'[1]BIFUbC-LPG-propane-or-butane'!AL5+'[1]BIFUbC-petroleum-diesel'!AL5+'[1]BIFUbC-crude-oil'!AL5+'[1]BIFUbC-heavy-or-residual-oil'!AL5+'[1]BIFUbC-natural-gas'!AL5+'[1]BIFUbC-electricity'!AL5+'[1]BIFUbC-heat'!AL5+'[1]BIFUbC-biomass'!AL5+'[1]BIFUbC-hydrogen'!AN5</f>
        <v>623114555183858.13</v>
      </c>
      <c r="AM5" s="78">
        <f>'[1]BIFUbC-coal'!AM5+'[1]BIFUbC-LPG-propane-or-butane'!AM5+'[1]BIFUbC-petroleum-diesel'!AM5+'[1]BIFUbC-crude-oil'!AM5+'[1]BIFUbC-heavy-or-residual-oil'!AM5+'[1]BIFUbC-natural-gas'!AM5+'[1]BIFUbC-electricity'!AM5+'[1]BIFUbC-heat'!AM5+'[1]BIFUbC-biomass'!AM5+'[1]BIFUbC-hydrogen'!AO5</f>
        <v>607991945914625</v>
      </c>
      <c r="AN5" s="78">
        <f>'[1]BIFUbC-coal'!AN5+'[1]BIFUbC-LPG-propane-or-butane'!AN5+'[1]BIFUbC-petroleum-diesel'!AN5+'[1]BIFUbC-crude-oil'!AN5+'[1]BIFUbC-heavy-or-residual-oil'!AN5+'[1]BIFUbC-natural-gas'!AN5+'[1]BIFUbC-electricity'!AN5+'[1]BIFUbC-heat'!AN5+'[1]BIFUbC-biomass'!AN5+'[1]BIFUbC-hydrogen'!AP5</f>
        <v>592871350266172.5</v>
      </c>
      <c r="AO5" s="78">
        <f>'[1]BIFUbC-coal'!AO5+'[1]BIFUbC-LPG-propane-or-butane'!AO5+'[1]BIFUbC-petroleum-diesel'!AO5+'[1]BIFUbC-crude-oil'!AO5+'[1]BIFUbC-heavy-or-residual-oil'!AO5+'[1]BIFUbC-natural-gas'!AO5+'[1]BIFUbC-electricity'!AO5+'[1]BIFUbC-heat'!AO5+'[1]BIFUbC-biomass'!AO5+'[1]BIFUbC-hydrogen'!AQ5</f>
        <v>577752768238500.88</v>
      </c>
      <c r="AP5" s="78">
        <f>'[1]BIFUbC-coal'!AP5+'[1]BIFUbC-LPG-propane-or-butane'!AP5+'[1]BIFUbC-petroleum-diesel'!AP5+'[1]BIFUbC-crude-oil'!AP5+'[1]BIFUbC-heavy-or-residual-oil'!AP5+'[1]BIFUbC-natural-gas'!AP5+'[1]BIFUbC-electricity'!AP5+'[1]BIFUbC-heat'!AP5+'[1]BIFUbC-biomass'!AP5+'[1]BIFUbC-hydrogen'!AR5</f>
        <v>562636199831609.75</v>
      </c>
      <c r="AQ5" s="78">
        <f>'[1]BIFUbC-coal'!AQ5+'[1]BIFUbC-LPG-propane-or-butane'!AQ5+'[1]BIFUbC-petroleum-diesel'!AQ5+'[1]BIFUbC-crude-oil'!AQ5+'[1]BIFUbC-heavy-or-residual-oil'!AQ5+'[1]BIFUbC-natural-gas'!AQ5+'[1]BIFUbC-electricity'!AQ5+'[1]BIFUbC-heat'!AQ5+'[1]BIFUbC-biomass'!AQ5+'[1]BIFUbC-hydrogen'!AS5</f>
        <v>547338833143982.25</v>
      </c>
    </row>
    <row r="6" spans="1:43" s="77" customFormat="1" x14ac:dyDescent="0.2">
      <c r="A6" s="77" t="s">
        <v>393</v>
      </c>
      <c r="B6" s="78">
        <f>'[1]BIFUbC-coal'!B6+'[1]BIFUbC-LPG-propane-or-butane'!B6+'[1]BIFUbC-petroleum-diesel'!B6+'[1]BIFUbC-crude-oil'!B6+'[1]BIFUbC-heavy-or-residual-oil'!B6+'[1]BIFUbC-natural-gas'!B6+'[1]BIFUbC-electricity'!B6+'[1]BIFUbC-heat'!B6+'[1]BIFUbC-biomass'!B6+'[1]BIFUbC-hydrogen'!D6</f>
        <v>1422127867116979</v>
      </c>
      <c r="C6" s="78">
        <f>'[1]BIFUbC-coal'!C6+'[1]BIFUbC-LPG-propane-or-butane'!C6+'[1]BIFUbC-petroleum-diesel'!C6+'[1]BIFUbC-crude-oil'!C6+'[1]BIFUbC-heavy-or-residual-oil'!C6+'[1]BIFUbC-natural-gas'!C6+'[1]BIFUbC-electricity'!C6+'[1]BIFUbC-heat'!C6+'[1]BIFUbC-biomass'!C6+'[1]BIFUbC-hydrogen'!E6</f>
        <v>1333201638838097.5</v>
      </c>
      <c r="D6" s="78">
        <f>'[1]BIFUbC-coal'!D6+'[1]BIFUbC-LPG-propane-or-butane'!D6+'[1]BIFUbC-petroleum-diesel'!D6+'[1]BIFUbC-crude-oil'!D6+'[1]BIFUbC-heavy-or-residual-oil'!D6+'[1]BIFUbC-natural-gas'!D6+'[1]BIFUbC-electricity'!D6+'[1]BIFUbC-heat'!D6+'[1]BIFUbC-biomass'!D6+'[1]BIFUbC-hydrogen'!F6</f>
        <v>1501855307571600.5</v>
      </c>
      <c r="E6" s="78">
        <f>'[1]BIFUbC-coal'!E6+'[1]BIFUbC-LPG-propane-or-butane'!E6+'[1]BIFUbC-petroleum-diesel'!E6+'[1]BIFUbC-crude-oil'!E6+'[1]BIFUbC-heavy-or-residual-oil'!E6+'[1]BIFUbC-natural-gas'!E6+'[1]BIFUbC-electricity'!E6+'[1]BIFUbC-heat'!E6+'[1]BIFUbC-biomass'!E6+'[1]BIFUbC-hydrogen'!G6</f>
        <v>1560927796116216.3</v>
      </c>
      <c r="F6" s="78">
        <f>'[1]BIFUbC-coal'!F6+'[1]BIFUbC-LPG-propane-or-butane'!F6+'[1]BIFUbC-petroleum-diesel'!F6+'[1]BIFUbC-crude-oil'!F6+'[1]BIFUbC-heavy-or-residual-oil'!F6+'[1]BIFUbC-natural-gas'!F6+'[1]BIFUbC-electricity'!F6+'[1]BIFUbC-heat'!F6+'[1]BIFUbC-biomass'!F6+'[1]BIFUbC-hydrogen'!H6</f>
        <v>1616895583981384</v>
      </c>
      <c r="G6" s="78">
        <f>'[1]BIFUbC-coal'!G6+'[1]BIFUbC-LPG-propane-or-butane'!G6+'[1]BIFUbC-petroleum-diesel'!G6+'[1]BIFUbC-crude-oil'!G6+'[1]BIFUbC-heavy-or-residual-oil'!G6+'[1]BIFUbC-natural-gas'!G6+'[1]BIFUbC-electricity'!G6+'[1]BIFUbC-heat'!G6+'[1]BIFUbC-biomass'!G6+'[1]BIFUbC-hydrogen'!I6</f>
        <v>1657412629731098.8</v>
      </c>
      <c r="H6" s="78">
        <f>'[1]BIFUbC-coal'!H6+'[1]BIFUbC-LPG-propane-or-butane'!H6+'[1]BIFUbC-petroleum-diesel'!H6+'[1]BIFUbC-crude-oil'!H6+'[1]BIFUbC-heavy-or-residual-oil'!H6+'[1]BIFUbC-natural-gas'!H6+'[1]BIFUbC-electricity'!H6+'[1]BIFUbC-heat'!H6+'[1]BIFUbC-biomass'!H6+'[1]BIFUbC-hydrogen'!J6</f>
        <v>1712395566408859.8</v>
      </c>
      <c r="I6" s="78">
        <f>'[1]BIFUbC-coal'!I6+'[1]BIFUbC-LPG-propane-or-butane'!I6+'[1]BIFUbC-petroleum-diesel'!I6+'[1]BIFUbC-crude-oil'!I6+'[1]BIFUbC-heavy-or-residual-oil'!I6+'[1]BIFUbC-natural-gas'!I6+'[1]BIFUbC-electricity'!I6+'[1]BIFUbC-heat'!I6+'[1]BIFUbC-biomass'!I6+'[1]BIFUbC-hydrogen'!K6</f>
        <v>1773755177827151</v>
      </c>
      <c r="J6" s="78">
        <f>'[1]BIFUbC-coal'!J6+'[1]BIFUbC-LPG-propane-or-butane'!J6+'[1]BIFUbC-petroleum-diesel'!J6+'[1]BIFUbC-crude-oil'!J6+'[1]BIFUbC-heavy-or-residual-oil'!J6+'[1]BIFUbC-natural-gas'!J6+'[1]BIFUbC-electricity'!J6+'[1]BIFUbC-heat'!J6+'[1]BIFUbC-biomass'!J6+'[1]BIFUbC-hydrogen'!L6</f>
        <v>1835337439425467</v>
      </c>
      <c r="K6" s="78">
        <f>'[1]BIFUbC-coal'!K6+'[1]BIFUbC-LPG-propane-or-butane'!K6+'[1]BIFUbC-petroleum-diesel'!K6+'[1]BIFUbC-crude-oil'!K6+'[1]BIFUbC-heavy-or-residual-oil'!K6+'[1]BIFUbC-natural-gas'!K6+'[1]BIFUbC-electricity'!K6+'[1]BIFUbC-heat'!K6+'[1]BIFUbC-biomass'!K6+'[1]BIFUbC-hydrogen'!M6</f>
        <v>1895775540500916.3</v>
      </c>
      <c r="L6" s="78">
        <f>'[1]BIFUbC-coal'!L6+'[1]BIFUbC-LPG-propane-or-butane'!L6+'[1]BIFUbC-petroleum-diesel'!L6+'[1]BIFUbC-crude-oil'!L6+'[1]BIFUbC-heavy-or-residual-oil'!L6+'[1]BIFUbC-natural-gas'!L6+'[1]BIFUbC-electricity'!L6+'[1]BIFUbC-heat'!L6+'[1]BIFUbC-biomass'!L6+'[1]BIFUbC-hydrogen'!N6</f>
        <v>1953584540209959.5</v>
      </c>
      <c r="M6" s="78">
        <f>'[1]BIFUbC-coal'!M6+'[1]BIFUbC-LPG-propane-or-butane'!M6+'[1]BIFUbC-petroleum-diesel'!M6+'[1]BIFUbC-crude-oil'!M6+'[1]BIFUbC-heavy-or-residual-oil'!M6+'[1]BIFUbC-natural-gas'!M6+'[1]BIFUbC-electricity'!M6+'[1]BIFUbC-heat'!M6+'[1]BIFUbC-biomass'!M6+'[1]BIFUbC-hydrogen'!O6</f>
        <v>2007171811141106.3</v>
      </c>
      <c r="N6" s="78">
        <f>'[1]BIFUbC-coal'!N6+'[1]BIFUbC-LPG-propane-or-butane'!N6+'[1]BIFUbC-petroleum-diesel'!N6+'[1]BIFUbC-crude-oil'!N6+'[1]BIFUbC-heavy-or-residual-oil'!N6+'[1]BIFUbC-natural-gas'!N6+'[1]BIFUbC-electricity'!N6+'[1]BIFUbC-heat'!N6+'[1]BIFUbC-biomass'!N6+'[1]BIFUbC-hydrogen'!P6</f>
        <v>2055361161330953.8</v>
      </c>
      <c r="O6" s="78">
        <f>'[1]BIFUbC-coal'!O6+'[1]BIFUbC-LPG-propane-or-butane'!O6+'[1]BIFUbC-petroleum-diesel'!O6+'[1]BIFUbC-crude-oil'!O6+'[1]BIFUbC-heavy-or-residual-oil'!O6+'[1]BIFUbC-natural-gas'!O6+'[1]BIFUbC-electricity'!O6+'[1]BIFUbC-heat'!O6+'[1]BIFUbC-biomass'!O6+'[1]BIFUbC-hydrogen'!Q6</f>
        <v>2097745843338949</v>
      </c>
      <c r="P6" s="78">
        <f>'[1]BIFUbC-coal'!P6+'[1]BIFUbC-LPG-propane-or-butane'!P6+'[1]BIFUbC-petroleum-diesel'!P6+'[1]BIFUbC-crude-oil'!P6+'[1]BIFUbC-heavy-or-residual-oil'!P6+'[1]BIFUbC-natural-gas'!P6+'[1]BIFUbC-electricity'!P6+'[1]BIFUbC-heat'!P6+'[1]BIFUbC-biomass'!P6+'[1]BIFUbC-hydrogen'!R6</f>
        <v>2134492228290508.8</v>
      </c>
      <c r="Q6" s="78">
        <f>'[1]BIFUbC-coal'!Q6+'[1]BIFUbC-LPG-propane-or-butane'!Q6+'[1]BIFUbC-petroleum-diesel'!Q6+'[1]BIFUbC-crude-oil'!Q6+'[1]BIFUbC-heavy-or-residual-oil'!Q6+'[1]BIFUbC-natural-gas'!Q6+'[1]BIFUbC-electricity'!Q6+'[1]BIFUbC-heat'!Q6+'[1]BIFUbC-biomass'!Q6+'[1]BIFUbC-hydrogen'!S6</f>
        <v>2165854155722209.8</v>
      </c>
      <c r="R6" s="78">
        <f>'[1]BIFUbC-coal'!R6+'[1]BIFUbC-LPG-propane-or-butane'!R6+'[1]BIFUbC-petroleum-diesel'!R6+'[1]BIFUbC-crude-oil'!R6+'[1]BIFUbC-heavy-or-residual-oil'!R6+'[1]BIFUbC-natural-gas'!R6+'[1]BIFUbC-electricity'!R6+'[1]BIFUbC-heat'!R6+'[1]BIFUbC-biomass'!R6+'[1]BIFUbC-hydrogen'!T6</f>
        <v>2192162683437815.8</v>
      </c>
      <c r="S6" s="78">
        <f>'[1]BIFUbC-coal'!S6+'[1]BIFUbC-LPG-propane-or-butane'!S6+'[1]BIFUbC-petroleum-diesel'!S6+'[1]BIFUbC-crude-oil'!S6+'[1]BIFUbC-heavy-or-residual-oil'!S6+'[1]BIFUbC-natural-gas'!S6+'[1]BIFUbC-electricity'!S6+'[1]BIFUbC-heat'!S6+'[1]BIFUbC-biomass'!S6+'[1]BIFUbC-hydrogen'!U6</f>
        <v>2214067223856367.3</v>
      </c>
      <c r="T6" s="78">
        <f>'[1]BIFUbC-coal'!T6+'[1]BIFUbC-LPG-propane-or-butane'!T6+'[1]BIFUbC-petroleum-diesel'!T6+'[1]BIFUbC-crude-oil'!T6+'[1]BIFUbC-heavy-or-residual-oil'!T6+'[1]BIFUbC-natural-gas'!T6+'[1]BIFUbC-electricity'!T6+'[1]BIFUbC-heat'!T6+'[1]BIFUbC-biomass'!T6+'[1]BIFUbC-hydrogen'!V6</f>
        <v>2231518750976905.8</v>
      </c>
      <c r="U6" s="78">
        <f>'[1]BIFUbC-coal'!U6+'[1]BIFUbC-LPG-propane-or-butane'!U6+'[1]BIFUbC-petroleum-diesel'!U6+'[1]BIFUbC-crude-oil'!U6+'[1]BIFUbC-heavy-or-residual-oil'!U6+'[1]BIFUbC-natural-gas'!U6+'[1]BIFUbC-electricity'!U6+'[1]BIFUbC-heat'!U6+'[1]BIFUbC-biomass'!U6+'[1]BIFUbC-hydrogen'!W6</f>
        <v>2244750971510238</v>
      </c>
      <c r="V6" s="78">
        <f>'[1]BIFUbC-coal'!V6+'[1]BIFUbC-LPG-propane-or-butane'!V6+'[1]BIFUbC-petroleum-diesel'!V6+'[1]BIFUbC-crude-oil'!V6+'[1]BIFUbC-heavy-or-residual-oil'!V6+'[1]BIFUbC-natural-gas'!V6+'[1]BIFUbC-electricity'!V6+'[1]BIFUbC-heat'!V6+'[1]BIFUbC-biomass'!V6+'[1]BIFUbC-hydrogen'!X6</f>
        <v>2254027977949890</v>
      </c>
      <c r="W6" s="78">
        <f>'[1]BIFUbC-coal'!W6+'[1]BIFUbC-LPG-propane-or-butane'!W6+'[1]BIFUbC-petroleum-diesel'!W6+'[1]BIFUbC-crude-oil'!W6+'[1]BIFUbC-heavy-or-residual-oil'!W6+'[1]BIFUbC-natural-gas'!W6+'[1]BIFUbC-electricity'!W6+'[1]BIFUbC-heat'!W6+'[1]BIFUbC-biomass'!W6+'[1]BIFUbC-hydrogen'!Y6</f>
        <v>2259638534212470.5</v>
      </c>
      <c r="X6" s="78">
        <f>'[1]BIFUbC-coal'!X6+'[1]BIFUbC-LPG-propane-or-butane'!X6+'[1]BIFUbC-petroleum-diesel'!X6+'[1]BIFUbC-crude-oil'!X6+'[1]BIFUbC-heavy-or-residual-oil'!X6+'[1]BIFUbC-natural-gas'!X6+'[1]BIFUbC-electricity'!X6+'[1]BIFUbC-heat'!X6+'[1]BIFUbC-biomass'!X6+'[1]BIFUbC-hydrogen'!Z6</f>
        <v>2261890615814014.5</v>
      </c>
      <c r="Y6" s="78">
        <f>'[1]BIFUbC-coal'!Y6+'[1]BIFUbC-LPG-propane-or-butane'!Y6+'[1]BIFUbC-petroleum-diesel'!Y6+'[1]BIFUbC-crude-oil'!Y6+'[1]BIFUbC-heavy-or-residual-oil'!Y6+'[1]BIFUbC-natural-gas'!Y6+'[1]BIFUbC-electricity'!Y6+'[1]BIFUbC-heat'!Y6+'[1]BIFUbC-biomass'!Y6+'[1]BIFUbC-hydrogen'!AA6</f>
        <v>2261106308316081</v>
      </c>
      <c r="Z6" s="78">
        <f>'[1]BIFUbC-coal'!Z6+'[1]BIFUbC-LPG-propane-or-butane'!Z6+'[1]BIFUbC-petroleum-diesel'!Z6+'[1]BIFUbC-crude-oil'!Z6+'[1]BIFUbC-heavy-or-residual-oil'!Z6+'[1]BIFUbC-natural-gas'!Z6+'[1]BIFUbC-electricity'!Z6+'[1]BIFUbC-heat'!Z6+'[1]BIFUbC-biomass'!Z6+'[1]BIFUbC-hydrogen'!AB6</f>
        <v>2257617144794644.5</v>
      </c>
      <c r="AA6" s="78">
        <f>'[1]BIFUbC-coal'!AA6+'[1]BIFUbC-LPG-propane-or-butane'!AA6+'[1]BIFUbC-petroleum-diesel'!AA6+'[1]BIFUbC-crude-oil'!AA6+'[1]BIFUbC-heavy-or-residual-oil'!AA6+'[1]BIFUbC-natural-gas'!AA6+'[1]BIFUbC-electricity'!AA6+'[1]BIFUbC-heat'!AA6+'[1]BIFUbC-biomass'!AA6+'[1]BIFUbC-hydrogen'!AC6</f>
        <v>2251759941270177</v>
      </c>
      <c r="AB6" s="78">
        <f>'[1]BIFUbC-coal'!AB6+'[1]BIFUbC-LPG-propane-or-butane'!AB6+'[1]BIFUbC-petroleum-diesel'!AB6+'[1]BIFUbC-crude-oil'!AB6+'[1]BIFUbC-heavy-or-residual-oil'!AB6+'[1]BIFUbC-natural-gas'!AB6+'[1]BIFUbC-electricity'!AB6+'[1]BIFUbC-heat'!AB6+'[1]BIFUbC-biomass'!AB6+'[1]BIFUbC-hydrogen'!AD6</f>
        <v>2243873169071043</v>
      </c>
      <c r="AC6" s="78">
        <f>'[1]BIFUbC-coal'!AC6+'[1]BIFUbC-LPG-propane-or-butane'!AC6+'[1]BIFUbC-petroleum-diesel'!AC6+'[1]BIFUbC-crude-oil'!AC6+'[1]BIFUbC-heavy-or-residual-oil'!AC6+'[1]BIFUbC-natural-gas'!AC6+'[1]BIFUbC-electricity'!AC6+'[1]BIFUbC-heat'!AC6+'[1]BIFUbC-biomass'!AC6+'[1]BIFUbC-hydrogen'!AE6</f>
        <v>2234293885472759.5</v>
      </c>
      <c r="AD6" s="78">
        <f>'[1]BIFUbC-coal'!AD6+'[1]BIFUbC-LPG-propane-or-butane'!AD6+'[1]BIFUbC-petroleum-diesel'!AD6+'[1]BIFUbC-crude-oil'!AD6+'[1]BIFUbC-heavy-or-residual-oil'!AD6+'[1]BIFUbC-natural-gas'!AD6+'[1]BIFUbC-electricity'!AD6+'[1]BIFUbC-heat'!AD6+'[1]BIFUbC-biomass'!AD6+'[1]BIFUbC-hydrogen'!AF6</f>
        <v>2223355228973686.8</v>
      </c>
      <c r="AE6" s="78">
        <f>'[1]BIFUbC-coal'!AE6+'[1]BIFUbC-LPG-propane-or-butane'!AE6+'[1]BIFUbC-petroleum-diesel'!AE6+'[1]BIFUbC-crude-oil'!AE6+'[1]BIFUbC-heavy-or-residual-oil'!AE6+'[1]BIFUbC-natural-gas'!AE6+'[1]BIFUbC-electricity'!AE6+'[1]BIFUbC-heat'!AE6+'[1]BIFUbC-biomass'!AE6+'[1]BIFUbC-hydrogen'!AG6</f>
        <v>2211384473388846</v>
      </c>
      <c r="AF6" s="78">
        <f>'[1]BIFUbC-coal'!AF6+'[1]BIFUbC-LPG-propane-or-butane'!AF6+'[1]BIFUbC-petroleum-diesel'!AF6+'[1]BIFUbC-crude-oil'!AF6+'[1]BIFUbC-heavy-or-residual-oil'!AF6+'[1]BIFUbC-natural-gas'!AF6+'[1]BIFUbC-electricity'!AF6+'[1]BIFUbC-heat'!AF6+'[1]BIFUbC-biomass'!AF6+'[1]BIFUbC-hydrogen'!AH6</f>
        <v>2198701625595991</v>
      </c>
      <c r="AG6" s="78">
        <f>'[1]BIFUbC-coal'!AG6+'[1]BIFUbC-LPG-propane-or-butane'!AG6+'[1]BIFUbC-petroleum-diesel'!AG6+'[1]BIFUbC-crude-oil'!AG6+'[1]BIFUbC-heavy-or-residual-oil'!AG6+'[1]BIFUbC-natural-gas'!AG6+'[1]BIFUbC-electricity'!AG6+'[1]BIFUbC-heat'!AG6+'[1]BIFUbC-biomass'!AG6+'[1]BIFUbC-hydrogen'!AI6</f>
        <v>2185618545179868</v>
      </c>
      <c r="AH6" s="78">
        <f>'[1]BIFUbC-coal'!AH6+'[1]BIFUbC-LPG-propane-or-butane'!AH6+'[1]BIFUbC-petroleum-diesel'!AH6+'[1]BIFUbC-crude-oil'!AH6+'[1]BIFUbC-heavy-or-residual-oil'!AH6+'[1]BIFUbC-natural-gas'!AH6+'[1]BIFUbC-electricity'!AH6+'[1]BIFUbC-heat'!AH6+'[1]BIFUbC-biomass'!AH6+'[1]BIFUbC-hydrogen'!AJ6</f>
        <v>2172438560249901.5</v>
      </c>
      <c r="AI6" s="78">
        <f>'[1]BIFUbC-coal'!AI6+'[1]BIFUbC-LPG-propane-or-butane'!AI6+'[1]BIFUbC-petroleum-diesel'!AI6+'[1]BIFUbC-crude-oil'!AI6+'[1]BIFUbC-heavy-or-residual-oil'!AI6+'[1]BIFUbC-natural-gas'!AI6+'[1]BIFUbC-electricity'!AI6+'[1]BIFUbC-heat'!AI6+'[1]BIFUbC-biomass'!AI6+'[1]BIFUbC-hydrogen'!AK6</f>
        <v>2159456552167902</v>
      </c>
      <c r="AJ6" s="78">
        <f>'[1]BIFUbC-coal'!AJ6+'[1]BIFUbC-LPG-propane-or-butane'!AJ6+'[1]BIFUbC-petroleum-diesel'!AJ6+'[1]BIFUbC-crude-oil'!AJ6+'[1]BIFUbC-heavy-or-residual-oil'!AJ6+'[1]BIFUbC-natural-gas'!AJ6+'[1]BIFUbC-electricity'!AJ6+'[1]BIFUbC-heat'!AJ6+'[1]BIFUbC-biomass'!AJ6+'[1]BIFUbC-hydrogen'!AL6</f>
        <v>2146959482612121.5</v>
      </c>
      <c r="AK6" s="78">
        <f>'[1]BIFUbC-coal'!AK6+'[1]BIFUbC-LPG-propane-or-butane'!AK6+'[1]BIFUbC-petroleum-diesel'!AK6+'[1]BIFUbC-crude-oil'!AK6+'[1]BIFUbC-heavy-or-residual-oil'!AK6+'[1]BIFUbC-natural-gas'!AK6+'[1]BIFUbC-electricity'!AK6+'[1]BIFUbC-heat'!AK6+'[1]BIFUbC-biomass'!AK6+'[1]BIFUbC-hydrogen'!AM6</f>
        <v>2135227339122676</v>
      </c>
      <c r="AL6" s="78">
        <f>'[1]BIFUbC-coal'!AL6+'[1]BIFUbC-LPG-propane-or-butane'!AL6+'[1]BIFUbC-petroleum-diesel'!AL6+'[1]BIFUbC-crude-oil'!AL6+'[1]BIFUbC-heavy-or-residual-oil'!AL6+'[1]BIFUbC-natural-gas'!AL6+'[1]BIFUbC-electricity'!AL6+'[1]BIFUbC-heat'!AL6+'[1]BIFUbC-biomass'!AL6+'[1]BIFUbC-hydrogen'!AN6</f>
        <v>2124534479845173.5</v>
      </c>
      <c r="AM6" s="78">
        <f>'[1]BIFUbC-coal'!AM6+'[1]BIFUbC-LPG-propane-or-butane'!AM6+'[1]BIFUbC-petroleum-diesel'!AM6+'[1]BIFUbC-crude-oil'!AM6+'[1]BIFUbC-heavy-or-residual-oil'!AM6+'[1]BIFUbC-natural-gas'!AM6+'[1]BIFUbC-electricity'!AM6+'[1]BIFUbC-heat'!AM6+'[1]BIFUbC-biomass'!AM6+'[1]BIFUbC-hydrogen'!AO6</f>
        <v>2115151364480143</v>
      </c>
      <c r="AN6" s="78">
        <f>'[1]BIFUbC-coal'!AN6+'[1]BIFUbC-LPG-propane-or-butane'!AN6+'[1]BIFUbC-petroleum-diesel'!AN6+'[1]BIFUbC-crude-oil'!AN6+'[1]BIFUbC-heavy-or-residual-oil'!AN6+'[1]BIFUbC-natural-gas'!AN6+'[1]BIFUbC-electricity'!AN6+'[1]BIFUbC-heat'!AN6+'[1]BIFUbC-biomass'!AN6+'[1]BIFUbC-hydrogen'!AP6</f>
        <v>2107346666377162.5</v>
      </c>
      <c r="AO6" s="78">
        <f>'[1]BIFUbC-coal'!AO6+'[1]BIFUbC-LPG-propane-or-butane'!AO6+'[1]BIFUbC-petroleum-diesel'!AO6+'[1]BIFUbC-crude-oil'!AO6+'[1]BIFUbC-heavy-or-residual-oil'!AO6+'[1]BIFUbC-natural-gas'!AO6+'[1]BIFUbC-electricity'!AO6+'[1]BIFUbC-heat'!AO6+'[1]BIFUbC-biomass'!AO6+'[1]BIFUbC-hydrogen'!AQ6</f>
        <v>2101389770278082.5</v>
      </c>
      <c r="AP6" s="78">
        <f>'[1]BIFUbC-coal'!AP6+'[1]BIFUbC-LPG-propane-or-butane'!AP6+'[1]BIFUbC-petroleum-diesel'!AP6+'[1]BIFUbC-crude-oil'!AP6+'[1]BIFUbC-heavy-or-residual-oil'!AP6+'[1]BIFUbC-natural-gas'!AP6+'[1]BIFUbC-electricity'!AP6+'[1]BIFUbC-heat'!AP6+'[1]BIFUbC-biomass'!AP6+'[1]BIFUbC-hydrogen'!AR6</f>
        <v>2097553671491863.8</v>
      </c>
      <c r="AQ6" s="78">
        <f>'[1]BIFUbC-coal'!AQ6+'[1]BIFUbC-LPG-propane-or-butane'!AQ6+'[1]BIFUbC-petroleum-diesel'!AQ6+'[1]BIFUbC-crude-oil'!AQ6+'[1]BIFUbC-heavy-or-residual-oil'!AQ6+'[1]BIFUbC-natural-gas'!AQ6+'[1]BIFUbC-electricity'!AQ6+'[1]BIFUbC-heat'!AQ6+'[1]BIFUbC-biomass'!AQ6+'[1]BIFUbC-hydrogen'!AS6</f>
        <v>2095422259691788</v>
      </c>
    </row>
    <row r="7" spans="1:43" s="77" customFormat="1" x14ac:dyDescent="0.2">
      <c r="A7" s="77" t="s">
        <v>37</v>
      </c>
      <c r="B7" s="78">
        <f>'[1]BIFUbC-coal'!B7+'[1]BIFUbC-LPG-propane-or-butane'!B7+'[1]BIFUbC-petroleum-diesel'!B7+'[1]BIFUbC-crude-oil'!B7+'[1]BIFUbC-heavy-or-residual-oil'!B7+'[1]BIFUbC-natural-gas'!B7+'[1]BIFUbC-electricity'!B7+'[1]BIFUbC-heat'!B7+'[1]BIFUbC-biomass'!B7+'[1]BIFUbC-hydrogen'!D7</f>
        <v>1407938774190934.3</v>
      </c>
      <c r="C7" s="78">
        <f>'[1]BIFUbC-coal'!C7+'[1]BIFUbC-LPG-propane-or-butane'!C7+'[1]BIFUbC-petroleum-diesel'!C7+'[1]BIFUbC-crude-oil'!C7+'[1]BIFUbC-heavy-or-residual-oil'!C7+'[1]BIFUbC-natural-gas'!C7+'[1]BIFUbC-electricity'!C7+'[1]BIFUbC-heat'!C7+'[1]BIFUbC-biomass'!C7+'[1]BIFUbC-hydrogen'!E7</f>
        <v>1338950123736663.3</v>
      </c>
      <c r="D7" s="78">
        <f>'[1]BIFUbC-coal'!D7+'[1]BIFUbC-LPG-propane-or-butane'!D7+'[1]BIFUbC-petroleum-diesel'!D7+'[1]BIFUbC-crude-oil'!D7+'[1]BIFUbC-heavy-or-residual-oil'!D7+'[1]BIFUbC-natural-gas'!D7+'[1]BIFUbC-electricity'!D7+'[1]BIFUbC-heat'!D7+'[1]BIFUbC-biomass'!D7+'[1]BIFUbC-hydrogen'!F7</f>
        <v>1431570889312748</v>
      </c>
      <c r="E7" s="78">
        <f>'[1]BIFUbC-coal'!E7+'[1]BIFUbC-LPG-propane-or-butane'!E7+'[1]BIFUbC-petroleum-diesel'!E7+'[1]BIFUbC-crude-oil'!E7+'[1]BIFUbC-heavy-or-residual-oil'!E7+'[1]BIFUbC-natural-gas'!E7+'[1]BIFUbC-electricity'!E7+'[1]BIFUbC-heat'!E7+'[1]BIFUbC-biomass'!E7+'[1]BIFUbC-hydrogen'!G7</f>
        <v>1418490441733257</v>
      </c>
      <c r="F7" s="78">
        <f>'[1]BIFUbC-coal'!F7+'[1]BIFUbC-LPG-propane-or-butane'!F7+'[1]BIFUbC-petroleum-diesel'!F7+'[1]BIFUbC-crude-oil'!F7+'[1]BIFUbC-heavy-or-residual-oil'!F7+'[1]BIFUbC-natural-gas'!F7+'[1]BIFUbC-electricity'!F7+'[1]BIFUbC-heat'!F7+'[1]BIFUbC-biomass'!F7+'[1]BIFUbC-hydrogen'!H7</f>
        <v>1459934352853676.3</v>
      </c>
      <c r="G7" s="78">
        <f>'[1]BIFUbC-coal'!G7+'[1]BIFUbC-LPG-propane-or-butane'!G7+'[1]BIFUbC-petroleum-diesel'!G7+'[1]BIFUbC-crude-oil'!G7+'[1]BIFUbC-heavy-or-residual-oil'!G7+'[1]BIFUbC-natural-gas'!G7+'[1]BIFUbC-electricity'!G7+'[1]BIFUbC-heat'!G7+'[1]BIFUbC-biomass'!G7+'[1]BIFUbC-hydrogen'!I7</f>
        <v>1472220658192492.3</v>
      </c>
      <c r="H7" s="78">
        <f>'[1]BIFUbC-coal'!H7+'[1]BIFUbC-LPG-propane-or-butane'!H7+'[1]BIFUbC-petroleum-diesel'!H7+'[1]BIFUbC-crude-oil'!H7+'[1]BIFUbC-heavy-or-residual-oil'!H7+'[1]BIFUbC-natural-gas'!H7+'[1]BIFUbC-electricity'!H7+'[1]BIFUbC-heat'!H7+'[1]BIFUbC-biomass'!H7+'[1]BIFUbC-hydrogen'!J7</f>
        <v>1489615696940512</v>
      </c>
      <c r="I7" s="78">
        <f>'[1]BIFUbC-coal'!I7+'[1]BIFUbC-LPG-propane-or-butane'!I7+'[1]BIFUbC-petroleum-diesel'!I7+'[1]BIFUbC-crude-oil'!I7+'[1]BIFUbC-heavy-or-residual-oil'!I7+'[1]BIFUbC-natural-gas'!I7+'[1]BIFUbC-electricity'!I7+'[1]BIFUbC-heat'!I7+'[1]BIFUbC-biomass'!I7+'[1]BIFUbC-hydrogen'!K7</f>
        <v>1510850152036002.5</v>
      </c>
      <c r="J7" s="78">
        <f>'[1]BIFUbC-coal'!J7+'[1]BIFUbC-LPG-propane-or-butane'!J7+'[1]BIFUbC-petroleum-diesel'!J7+'[1]BIFUbC-crude-oil'!J7+'[1]BIFUbC-heavy-or-residual-oil'!J7+'[1]BIFUbC-natural-gas'!J7+'[1]BIFUbC-electricity'!J7+'[1]BIFUbC-heat'!J7+'[1]BIFUbC-biomass'!J7+'[1]BIFUbC-hydrogen'!L7</f>
        <v>1531066910973951.3</v>
      </c>
      <c r="K7" s="78">
        <f>'[1]BIFUbC-coal'!K7+'[1]BIFUbC-LPG-propane-or-butane'!K7+'[1]BIFUbC-petroleum-diesel'!K7+'[1]BIFUbC-crude-oil'!K7+'[1]BIFUbC-heavy-or-residual-oil'!K7+'[1]BIFUbC-natural-gas'!K7+'[1]BIFUbC-electricity'!K7+'[1]BIFUbC-heat'!K7+'[1]BIFUbC-biomass'!K7+'[1]BIFUbC-hydrogen'!M7</f>
        <v>1548223528254951.5</v>
      </c>
      <c r="L7" s="78">
        <f>'[1]BIFUbC-coal'!L7+'[1]BIFUbC-LPG-propane-or-butane'!L7+'[1]BIFUbC-petroleum-diesel'!L7+'[1]BIFUbC-crude-oil'!L7+'[1]BIFUbC-heavy-or-residual-oil'!L7+'[1]BIFUbC-natural-gas'!L7+'[1]BIFUbC-electricity'!L7+'[1]BIFUbC-heat'!L7+'[1]BIFUbC-biomass'!L7+'[1]BIFUbC-hydrogen'!N7</f>
        <v>1560209749643212.5</v>
      </c>
      <c r="M7" s="78">
        <f>'[1]BIFUbC-coal'!M7+'[1]BIFUbC-LPG-propane-or-butane'!M7+'[1]BIFUbC-petroleum-diesel'!M7+'[1]BIFUbC-crude-oil'!M7+'[1]BIFUbC-heavy-or-residual-oil'!M7+'[1]BIFUbC-natural-gas'!M7+'[1]BIFUbC-electricity'!M7+'[1]BIFUbC-heat'!M7+'[1]BIFUbC-biomass'!M7+'[1]BIFUbC-hydrogen'!O7</f>
        <v>1564898779842374</v>
      </c>
      <c r="N7" s="78">
        <f>'[1]BIFUbC-coal'!N7+'[1]BIFUbC-LPG-propane-or-butane'!N7+'[1]BIFUbC-petroleum-diesel'!N7+'[1]BIFUbC-crude-oil'!N7+'[1]BIFUbC-heavy-or-residual-oil'!N7+'[1]BIFUbC-natural-gas'!N7+'[1]BIFUbC-electricity'!N7+'[1]BIFUbC-heat'!N7+'[1]BIFUbC-biomass'!N7+'[1]BIFUbC-hydrogen'!P7</f>
        <v>1561042490061334</v>
      </c>
      <c r="O7" s="78">
        <f>'[1]BIFUbC-coal'!O7+'[1]BIFUbC-LPG-propane-or-butane'!O7+'[1]BIFUbC-petroleum-diesel'!O7+'[1]BIFUbC-crude-oil'!O7+'[1]BIFUbC-heavy-or-residual-oil'!O7+'[1]BIFUbC-natural-gas'!O7+'[1]BIFUbC-electricity'!O7+'[1]BIFUbC-heat'!O7+'[1]BIFUbC-biomass'!O7+'[1]BIFUbC-hydrogen'!Q7</f>
        <v>1549834374694498.5</v>
      </c>
      <c r="P7" s="78">
        <f>'[1]BIFUbC-coal'!P7+'[1]BIFUbC-LPG-propane-or-butane'!P7+'[1]BIFUbC-petroleum-diesel'!P7+'[1]BIFUbC-crude-oil'!P7+'[1]BIFUbC-heavy-or-residual-oil'!P7+'[1]BIFUbC-natural-gas'!P7+'[1]BIFUbC-electricity'!P7+'[1]BIFUbC-heat'!P7+'[1]BIFUbC-biomass'!P7+'[1]BIFUbC-hydrogen'!R7</f>
        <v>1533348339099635.8</v>
      </c>
      <c r="Q7" s="78">
        <f>'[1]BIFUbC-coal'!Q7+'[1]BIFUbC-LPG-propane-or-butane'!Q7+'[1]BIFUbC-petroleum-diesel'!Q7+'[1]BIFUbC-crude-oil'!Q7+'[1]BIFUbC-heavy-or-residual-oil'!Q7+'[1]BIFUbC-natural-gas'!Q7+'[1]BIFUbC-electricity'!Q7+'[1]BIFUbC-heat'!Q7+'[1]BIFUbC-biomass'!Q7+'[1]BIFUbC-hydrogen'!S7</f>
        <v>1513641866106804.5</v>
      </c>
      <c r="R7" s="78">
        <f>'[1]BIFUbC-coal'!R7+'[1]BIFUbC-LPG-propane-or-butane'!R7+'[1]BIFUbC-petroleum-diesel'!R7+'[1]BIFUbC-crude-oil'!R7+'[1]BIFUbC-heavy-or-residual-oil'!R7+'[1]BIFUbC-natural-gas'!R7+'[1]BIFUbC-electricity'!R7+'[1]BIFUbC-heat'!R7+'[1]BIFUbC-biomass'!R7+'[1]BIFUbC-hydrogen'!T7</f>
        <v>1492701897249239.3</v>
      </c>
      <c r="S7" s="78">
        <f>'[1]BIFUbC-coal'!S7+'[1]BIFUbC-LPG-propane-or-butane'!S7+'[1]BIFUbC-petroleum-diesel'!S7+'[1]BIFUbC-crude-oil'!S7+'[1]BIFUbC-heavy-or-residual-oil'!S7+'[1]BIFUbC-natural-gas'!S7+'[1]BIFUbC-electricity'!S7+'[1]BIFUbC-heat'!S7+'[1]BIFUbC-biomass'!S7+'[1]BIFUbC-hydrogen'!U7</f>
        <v>1472314709938716.3</v>
      </c>
      <c r="T7" s="78">
        <f>'[1]BIFUbC-coal'!T7+'[1]BIFUbC-LPG-propane-or-butane'!T7+'[1]BIFUbC-petroleum-diesel'!T7+'[1]BIFUbC-crude-oil'!T7+'[1]BIFUbC-heavy-or-residual-oil'!T7+'[1]BIFUbC-natural-gas'!T7+'[1]BIFUbC-electricity'!T7+'[1]BIFUbC-heat'!T7+'[1]BIFUbC-biomass'!T7+'[1]BIFUbC-hydrogen'!V7</f>
        <v>1452600434493076.3</v>
      </c>
      <c r="U7" s="78">
        <f>'[1]BIFUbC-coal'!U7+'[1]BIFUbC-LPG-propane-or-butane'!U7+'[1]BIFUbC-petroleum-diesel'!U7+'[1]BIFUbC-crude-oil'!U7+'[1]BIFUbC-heavy-or-residual-oil'!U7+'[1]BIFUbC-natural-gas'!U7+'[1]BIFUbC-electricity'!U7+'[1]BIFUbC-heat'!U7+'[1]BIFUbC-biomass'!U7+'[1]BIFUbC-hydrogen'!W7</f>
        <v>1433574371912717.5</v>
      </c>
      <c r="V7" s="78">
        <f>'[1]BIFUbC-coal'!V7+'[1]BIFUbC-LPG-propane-or-butane'!V7+'[1]BIFUbC-petroleum-diesel'!V7+'[1]BIFUbC-crude-oil'!V7+'[1]BIFUbC-heavy-or-residual-oil'!V7+'[1]BIFUbC-natural-gas'!V7+'[1]BIFUbC-electricity'!V7+'[1]BIFUbC-heat'!V7+'[1]BIFUbC-biomass'!V7+'[1]BIFUbC-hydrogen'!X7</f>
        <v>1415252835412995.3</v>
      </c>
      <c r="W7" s="78">
        <f>'[1]BIFUbC-coal'!W7+'[1]BIFUbC-LPG-propane-or-butane'!W7+'[1]BIFUbC-petroleum-diesel'!W7+'[1]BIFUbC-crude-oil'!W7+'[1]BIFUbC-heavy-or-residual-oil'!W7+'[1]BIFUbC-natural-gas'!W7+'[1]BIFUbC-electricity'!W7+'[1]BIFUbC-heat'!W7+'[1]BIFUbC-biomass'!W7+'[1]BIFUbC-hydrogen'!Y7</f>
        <v>1397652541663090.8</v>
      </c>
      <c r="X7" s="78">
        <f>'[1]BIFUbC-coal'!X7+'[1]BIFUbC-LPG-propane-or-butane'!X7+'[1]BIFUbC-petroleum-diesel'!X7+'[1]BIFUbC-crude-oil'!X7+'[1]BIFUbC-heavy-or-residual-oil'!X7+'[1]BIFUbC-natural-gas'!X7+'[1]BIFUbC-electricity'!X7+'[1]BIFUbC-heat'!X7+'[1]BIFUbC-biomass'!X7+'[1]BIFUbC-hydrogen'!Z7</f>
        <v>1380790109524687.5</v>
      </c>
      <c r="Y7" s="78">
        <f>'[1]BIFUbC-coal'!Y7+'[1]BIFUbC-LPG-propane-or-butane'!Y7+'[1]BIFUbC-petroleum-diesel'!Y7+'[1]BIFUbC-crude-oil'!Y7+'[1]BIFUbC-heavy-or-residual-oil'!Y7+'[1]BIFUbC-natural-gas'!Y7+'[1]BIFUbC-electricity'!Y7+'[1]BIFUbC-heat'!Y7+'[1]BIFUbC-biomass'!Y7+'[1]BIFUbC-hydrogen'!AA7</f>
        <v>1364681666217022</v>
      </c>
      <c r="Z7" s="78">
        <f>'[1]BIFUbC-coal'!Z7+'[1]BIFUbC-LPG-propane-or-butane'!Z7+'[1]BIFUbC-petroleum-diesel'!Z7+'[1]BIFUbC-crude-oil'!Z7+'[1]BIFUbC-heavy-or-residual-oil'!Z7+'[1]BIFUbC-natural-gas'!Z7+'[1]BIFUbC-electricity'!Z7+'[1]BIFUbC-heat'!Z7+'[1]BIFUbC-biomass'!Z7+'[1]BIFUbC-hydrogen'!AB7</f>
        <v>1349342557258591.8</v>
      </c>
      <c r="AA7" s="78">
        <f>'[1]BIFUbC-coal'!AA7+'[1]BIFUbC-LPG-propane-or-butane'!AA7+'[1]BIFUbC-petroleum-diesel'!AA7+'[1]BIFUbC-crude-oil'!AA7+'[1]BIFUbC-heavy-or-residual-oil'!AA7+'[1]BIFUbC-natural-gas'!AA7+'[1]BIFUbC-electricity'!AA7+'[1]BIFUbC-heat'!AA7+'[1]BIFUbC-biomass'!AA7+'[1]BIFUbC-hydrogen'!AC7</f>
        <v>1334787153799228.3</v>
      </c>
      <c r="AB7" s="78">
        <f>'[1]BIFUbC-coal'!AB7+'[1]BIFUbC-LPG-propane-or-butane'!AB7+'[1]BIFUbC-petroleum-diesel'!AB7+'[1]BIFUbC-crude-oil'!AB7+'[1]BIFUbC-heavy-or-residual-oil'!AB7+'[1]BIFUbC-natural-gas'!AB7+'[1]BIFUbC-electricity'!AB7+'[1]BIFUbC-heat'!AB7+'[1]BIFUbC-biomass'!AB7+'[1]BIFUbC-hydrogen'!AD7</f>
        <v>1321028749034969.5</v>
      </c>
      <c r="AC7" s="78">
        <f>'[1]BIFUbC-coal'!AC7+'[1]BIFUbC-LPG-propane-or-butane'!AC7+'[1]BIFUbC-petroleum-diesel'!AC7+'[1]BIFUbC-crude-oil'!AC7+'[1]BIFUbC-heavy-or-residual-oil'!AC7+'[1]BIFUbC-natural-gas'!AC7+'[1]BIFUbC-electricity'!AC7+'[1]BIFUbC-heat'!AC7+'[1]BIFUbC-biomass'!AC7+'[1]BIFUbC-hydrogen'!AE7</f>
        <v>1308079534231541</v>
      </c>
      <c r="AD7" s="78">
        <f>'[1]BIFUbC-coal'!AD7+'[1]BIFUbC-LPG-propane-or-butane'!AD7+'[1]BIFUbC-petroleum-diesel'!AD7+'[1]BIFUbC-crude-oil'!AD7+'[1]BIFUbC-heavy-or-residual-oil'!AD7+'[1]BIFUbC-natural-gas'!AD7+'[1]BIFUbC-electricity'!AD7+'[1]BIFUbC-heat'!AD7+'[1]BIFUbC-biomass'!AD7+'[1]BIFUbC-hydrogen'!AF7</f>
        <v>1295950644384014.8</v>
      </c>
      <c r="AE7" s="78">
        <f>'[1]BIFUbC-coal'!AE7+'[1]BIFUbC-LPG-propane-or-butane'!AE7+'[1]BIFUbC-petroleum-diesel'!AE7+'[1]BIFUbC-crude-oil'!AE7+'[1]BIFUbC-heavy-or-residual-oil'!AE7+'[1]BIFUbC-natural-gas'!AE7+'[1]BIFUbC-electricity'!AE7+'[1]BIFUbC-heat'!AE7+'[1]BIFUbC-biomass'!AE7+'[1]BIFUbC-hydrogen'!AG7</f>
        <v>1284652263611910</v>
      </c>
      <c r="AF7" s="78">
        <f>'[1]BIFUbC-coal'!AF7+'[1]BIFUbC-LPG-propane-or-butane'!AF7+'[1]BIFUbC-petroleum-diesel'!AF7+'[1]BIFUbC-crude-oil'!AF7+'[1]BIFUbC-heavy-or-residual-oil'!AF7+'[1]BIFUbC-natural-gas'!AF7+'[1]BIFUbC-electricity'!AF7+'[1]BIFUbC-heat'!AF7+'[1]BIFUbC-biomass'!AF7+'[1]BIFUbC-hydrogen'!AH7</f>
        <v>1274193780926503.8</v>
      </c>
      <c r="AG7" s="78">
        <f>'[1]BIFUbC-coal'!AG7+'[1]BIFUbC-LPG-propane-or-butane'!AG7+'[1]BIFUbC-petroleum-diesel'!AG7+'[1]BIFUbC-crude-oil'!AG7+'[1]BIFUbC-heavy-or-residual-oil'!AG7+'[1]BIFUbC-natural-gas'!AG7+'[1]BIFUbC-electricity'!AG7+'[1]BIFUbC-heat'!AG7+'[1]BIFUbC-biomass'!AG7+'[1]BIFUbC-hydrogen'!AI7</f>
        <v>1264583987911851</v>
      </c>
      <c r="AH7" s="78">
        <f>'[1]BIFUbC-coal'!AH7+'[1]BIFUbC-LPG-propane-or-butane'!AH7+'[1]BIFUbC-petroleum-diesel'!AH7+'[1]BIFUbC-crude-oil'!AH7+'[1]BIFUbC-heavy-or-residual-oil'!AH7+'[1]BIFUbC-natural-gas'!AH7+'[1]BIFUbC-electricity'!AH7+'[1]BIFUbC-heat'!AH7+'[1]BIFUbC-biomass'!AH7+'[1]BIFUbC-hydrogen'!AJ7</f>
        <v>1255831311043386.8</v>
      </c>
      <c r="AI7" s="78">
        <f>'[1]BIFUbC-coal'!AI7+'[1]BIFUbC-LPG-propane-or-butane'!AI7+'[1]BIFUbC-petroleum-diesel'!AI7+'[1]BIFUbC-crude-oil'!AI7+'[1]BIFUbC-heavy-or-residual-oil'!AI7+'[1]BIFUbC-natural-gas'!AI7+'[1]BIFUbC-electricity'!AI7+'[1]BIFUbC-heat'!AI7+'[1]BIFUbC-biomass'!AI7+'[1]BIFUbC-hydrogen'!AK7</f>
        <v>1247944072751910</v>
      </c>
      <c r="AJ7" s="78">
        <f>'[1]BIFUbC-coal'!AJ7+'[1]BIFUbC-LPG-propane-or-butane'!AJ7+'[1]BIFUbC-petroleum-diesel'!AJ7+'[1]BIFUbC-crude-oil'!AJ7+'[1]BIFUbC-heavy-or-residual-oil'!AJ7+'[1]BIFUbC-natural-gas'!AJ7+'[1]BIFUbC-electricity'!AJ7+'[1]BIFUbC-heat'!AJ7+'[1]BIFUbC-biomass'!AJ7+'[1]BIFUbC-hydrogen'!AL7</f>
        <v>1240930776868458</v>
      </c>
      <c r="AK7" s="78">
        <f>'[1]BIFUbC-coal'!AK7+'[1]BIFUbC-LPG-propane-or-butane'!AK7+'[1]BIFUbC-petroleum-diesel'!AK7+'[1]BIFUbC-crude-oil'!AK7+'[1]BIFUbC-heavy-or-residual-oil'!AK7+'[1]BIFUbC-natural-gas'!AK7+'[1]BIFUbC-electricity'!AK7+'[1]BIFUbC-heat'!AK7+'[1]BIFUbC-biomass'!AK7+'[1]BIFUbC-hydrogen'!AM7</f>
        <v>1234800415715771</v>
      </c>
      <c r="AL7" s="78">
        <f>'[1]BIFUbC-coal'!AL7+'[1]BIFUbC-LPG-propane-or-butane'!AL7+'[1]BIFUbC-petroleum-diesel'!AL7+'[1]BIFUbC-crude-oil'!AL7+'[1]BIFUbC-heavy-or-residual-oil'!AL7+'[1]BIFUbC-natural-gas'!AL7+'[1]BIFUbC-electricity'!AL7+'[1]BIFUbC-heat'!AL7+'[1]BIFUbC-biomass'!AL7+'[1]BIFUbC-hydrogen'!AN7</f>
        <v>1229562797824774.3</v>
      </c>
      <c r="AM7" s="78">
        <f>'[1]BIFUbC-coal'!AM7+'[1]BIFUbC-LPG-propane-or-butane'!AM7+'[1]BIFUbC-petroleum-diesel'!AM7+'[1]BIFUbC-crude-oil'!AM7+'[1]BIFUbC-heavy-or-residual-oil'!AM7+'[1]BIFUbC-natural-gas'!AM7+'[1]BIFUbC-electricity'!AM7+'[1]BIFUbC-heat'!AM7+'[1]BIFUbC-biomass'!AM7+'[1]BIFUbC-hydrogen'!AO7</f>
        <v>1225228897048350</v>
      </c>
      <c r="AN7" s="78">
        <f>'[1]BIFUbC-coal'!AN7+'[1]BIFUbC-LPG-propane-or-butane'!AN7+'[1]BIFUbC-petroleum-diesel'!AN7+'[1]BIFUbC-crude-oil'!AN7+'[1]BIFUbC-heavy-or-residual-oil'!AN7+'[1]BIFUbC-natural-gas'!AN7+'[1]BIFUbC-electricity'!AN7+'[1]BIFUbC-heat'!AN7+'[1]BIFUbC-biomass'!AN7+'[1]BIFUbC-hydrogen'!AP7</f>
        <v>1221811225740105</v>
      </c>
      <c r="AO7" s="78">
        <f>'[1]BIFUbC-coal'!AO7+'[1]BIFUbC-LPG-propane-or-butane'!AO7+'[1]BIFUbC-petroleum-diesel'!AO7+'[1]BIFUbC-crude-oil'!AO7+'[1]BIFUbC-heavy-or-residual-oil'!AO7+'[1]BIFUbC-natural-gas'!AO7+'[1]BIFUbC-electricity'!AO7+'[1]BIFUbC-heat'!AO7+'[1]BIFUbC-biomass'!AO7+'[1]BIFUbC-hydrogen'!AQ7</f>
        <v>1219324236704610.5</v>
      </c>
      <c r="AP7" s="78">
        <f>'[1]BIFUbC-coal'!AP7+'[1]BIFUbC-LPG-propane-or-butane'!AP7+'[1]BIFUbC-petroleum-diesel'!AP7+'[1]BIFUbC-crude-oil'!AP7+'[1]BIFUbC-heavy-or-residual-oil'!AP7+'[1]BIFUbC-natural-gas'!AP7+'[1]BIFUbC-electricity'!AP7+'[1]BIFUbC-heat'!AP7+'[1]BIFUbC-biomass'!AP7+'[1]BIFUbC-hydrogen'!AR7</f>
        <v>1217784760874308</v>
      </c>
      <c r="AQ7" s="78">
        <f>'[1]BIFUbC-coal'!AQ7+'[1]BIFUbC-LPG-propane-or-butane'!AQ7+'[1]BIFUbC-petroleum-diesel'!AQ7+'[1]BIFUbC-crude-oil'!AQ7+'[1]BIFUbC-heavy-or-residual-oil'!AQ7+'[1]BIFUbC-natural-gas'!AQ7+'[1]BIFUbC-electricity'!AQ7+'[1]BIFUbC-heat'!AQ7+'[1]BIFUbC-biomass'!AQ7+'[1]BIFUbC-hydrogen'!AS7</f>
        <v>1216806075365615</v>
      </c>
    </row>
    <row r="8" spans="1:43" s="77" customFormat="1" x14ac:dyDescent="0.2">
      <c r="A8" s="77" t="s">
        <v>38</v>
      </c>
      <c r="B8" s="78">
        <f>'[1]BIFUbC-coal'!B8+'[1]BIFUbC-LPG-propane-or-butane'!B8+'[1]BIFUbC-petroleum-diesel'!B8+'[1]BIFUbC-crude-oil'!B8+'[1]BIFUbC-heavy-or-residual-oil'!B8+'[1]BIFUbC-natural-gas'!B8+'[1]BIFUbC-electricity'!B8+'[1]BIFUbC-heat'!B8+'[1]BIFUbC-biomass'!B8+'[1]BIFUbC-hydrogen'!D8</f>
        <v>243378819590011.59</v>
      </c>
      <c r="C8" s="78">
        <f>'[1]BIFUbC-coal'!C8+'[1]BIFUbC-LPG-propane-or-butane'!C8+'[1]BIFUbC-petroleum-diesel'!C8+'[1]BIFUbC-crude-oil'!C8+'[1]BIFUbC-heavy-or-residual-oil'!C8+'[1]BIFUbC-natural-gas'!C8+'[1]BIFUbC-electricity'!C8+'[1]BIFUbC-heat'!C8+'[1]BIFUbC-biomass'!C8+'[1]BIFUbC-hydrogen'!E8</f>
        <v>237646551682524.75</v>
      </c>
      <c r="D8" s="78">
        <f>'[1]BIFUbC-coal'!D8+'[1]BIFUbC-LPG-propane-or-butane'!D8+'[1]BIFUbC-petroleum-diesel'!D8+'[1]BIFUbC-crude-oil'!D8+'[1]BIFUbC-heavy-or-residual-oil'!D8+'[1]BIFUbC-natural-gas'!D8+'[1]BIFUbC-electricity'!D8+'[1]BIFUbC-heat'!D8+'[1]BIFUbC-biomass'!D8+'[1]BIFUbC-hydrogen'!F8</f>
        <v>274282643612189.56</v>
      </c>
      <c r="E8" s="78">
        <f>'[1]BIFUbC-coal'!E8+'[1]BIFUbC-LPG-propane-or-butane'!E8+'[1]BIFUbC-petroleum-diesel'!E8+'[1]BIFUbC-crude-oil'!E8+'[1]BIFUbC-heavy-or-residual-oil'!E8+'[1]BIFUbC-natural-gas'!E8+'[1]BIFUbC-electricity'!E8+'[1]BIFUbC-heat'!E8+'[1]BIFUbC-biomass'!E8+'[1]BIFUbC-hydrogen'!G8</f>
        <v>272268090149088.88</v>
      </c>
      <c r="F8" s="78">
        <f>'[1]BIFUbC-coal'!F8+'[1]BIFUbC-LPG-propane-or-butane'!F8+'[1]BIFUbC-petroleum-diesel'!F8+'[1]BIFUbC-crude-oil'!F8+'[1]BIFUbC-heavy-or-residual-oil'!F8+'[1]BIFUbC-natural-gas'!F8+'[1]BIFUbC-electricity'!F8+'[1]BIFUbC-heat'!F8+'[1]BIFUbC-biomass'!F8+'[1]BIFUbC-hydrogen'!H8</f>
        <v>280425073684189.5</v>
      </c>
      <c r="G8" s="78">
        <f>'[1]BIFUbC-coal'!G8+'[1]BIFUbC-LPG-propane-or-butane'!G8+'[1]BIFUbC-petroleum-diesel'!G8+'[1]BIFUbC-crude-oil'!G8+'[1]BIFUbC-heavy-or-residual-oil'!G8+'[1]BIFUbC-natural-gas'!G8+'[1]BIFUbC-electricity'!G8+'[1]BIFUbC-heat'!G8+'[1]BIFUbC-biomass'!G8+'[1]BIFUbC-hydrogen'!I8</f>
        <v>283501805410053.81</v>
      </c>
      <c r="H8" s="78">
        <f>'[1]BIFUbC-coal'!H8+'[1]BIFUbC-LPG-propane-or-butane'!H8+'[1]BIFUbC-petroleum-diesel'!H8+'[1]BIFUbC-crude-oil'!H8+'[1]BIFUbC-heavy-or-residual-oil'!H8+'[1]BIFUbC-natural-gas'!H8+'[1]BIFUbC-electricity'!H8+'[1]BIFUbC-heat'!H8+'[1]BIFUbC-biomass'!H8+'[1]BIFUbC-hydrogen'!J8</f>
        <v>288152732002939</v>
      </c>
      <c r="I8" s="78">
        <f>'[1]BIFUbC-coal'!I8+'[1]BIFUbC-LPG-propane-or-butane'!I8+'[1]BIFUbC-petroleum-diesel'!I8+'[1]BIFUbC-crude-oil'!I8+'[1]BIFUbC-heavy-or-residual-oil'!I8+'[1]BIFUbC-natural-gas'!I8+'[1]BIFUbC-electricity'!I8+'[1]BIFUbC-heat'!I8+'[1]BIFUbC-biomass'!I8+'[1]BIFUbC-hydrogen'!K8</f>
        <v>294237287458959.5</v>
      </c>
      <c r="J8" s="78">
        <f>'[1]BIFUbC-coal'!J8+'[1]BIFUbC-LPG-propane-or-butane'!J8+'[1]BIFUbC-petroleum-diesel'!J8+'[1]BIFUbC-crude-oil'!J8+'[1]BIFUbC-heavy-or-residual-oil'!J8+'[1]BIFUbC-natural-gas'!J8+'[1]BIFUbC-electricity'!J8+'[1]BIFUbC-heat'!J8+'[1]BIFUbC-biomass'!J8+'[1]BIFUbC-hydrogen'!L8</f>
        <v>300865195722715.38</v>
      </c>
      <c r="K8" s="78">
        <f>'[1]BIFUbC-coal'!K8+'[1]BIFUbC-LPG-propane-or-butane'!K8+'[1]BIFUbC-petroleum-diesel'!K8+'[1]BIFUbC-crude-oil'!K8+'[1]BIFUbC-heavy-or-residual-oil'!K8+'[1]BIFUbC-natural-gas'!K8+'[1]BIFUbC-electricity'!K8+'[1]BIFUbC-heat'!K8+'[1]BIFUbC-biomass'!K8+'[1]BIFUbC-hydrogen'!M8</f>
        <v>307659515395611.19</v>
      </c>
      <c r="L8" s="78">
        <f>'[1]BIFUbC-coal'!L8+'[1]BIFUbC-LPG-propane-or-butane'!L8+'[1]BIFUbC-petroleum-diesel'!L8+'[1]BIFUbC-crude-oil'!L8+'[1]BIFUbC-heavy-or-residual-oil'!L8+'[1]BIFUbC-natural-gas'!L8+'[1]BIFUbC-electricity'!L8+'[1]BIFUbC-heat'!L8+'[1]BIFUbC-biomass'!L8+'[1]BIFUbC-hydrogen'!N8</f>
        <v>314208422239705.5</v>
      </c>
      <c r="M8" s="78">
        <f>'[1]BIFUbC-coal'!M8+'[1]BIFUbC-LPG-propane-or-butane'!M8+'[1]BIFUbC-petroleum-diesel'!M8+'[1]BIFUbC-crude-oil'!M8+'[1]BIFUbC-heavy-or-residual-oil'!M8+'[1]BIFUbC-natural-gas'!M8+'[1]BIFUbC-electricity'!M8+'[1]BIFUbC-heat'!M8+'[1]BIFUbC-biomass'!M8+'[1]BIFUbC-hydrogen'!O8</f>
        <v>320065819664914.44</v>
      </c>
      <c r="N8" s="78">
        <f>'[1]BIFUbC-coal'!N8+'[1]BIFUbC-LPG-propane-or-butane'!N8+'[1]BIFUbC-petroleum-diesel'!N8+'[1]BIFUbC-crude-oil'!N8+'[1]BIFUbC-heavy-or-residual-oil'!N8+'[1]BIFUbC-natural-gas'!N8+'[1]BIFUbC-electricity'!N8+'[1]BIFUbC-heat'!N8+'[1]BIFUbC-biomass'!N8+'[1]BIFUbC-hydrogen'!P8</f>
        <v>324876715426343.31</v>
      </c>
      <c r="O8" s="78">
        <f>'[1]BIFUbC-coal'!O8+'[1]BIFUbC-LPG-propane-or-butane'!O8+'[1]BIFUbC-petroleum-diesel'!O8+'[1]BIFUbC-crude-oil'!O8+'[1]BIFUbC-heavy-or-residual-oil'!O8+'[1]BIFUbC-natural-gas'!O8+'[1]BIFUbC-electricity'!O8+'[1]BIFUbC-heat'!O8+'[1]BIFUbC-biomass'!O8+'[1]BIFUbC-hydrogen'!Q8</f>
        <v>328559342301536.81</v>
      </c>
      <c r="P8" s="78">
        <f>'[1]BIFUbC-coal'!P8+'[1]BIFUbC-LPG-propane-or-butane'!P8+'[1]BIFUbC-petroleum-diesel'!P8+'[1]BIFUbC-crude-oil'!P8+'[1]BIFUbC-heavy-or-residual-oil'!P8+'[1]BIFUbC-natural-gas'!P8+'[1]BIFUbC-electricity'!P8+'[1]BIFUbC-heat'!P8+'[1]BIFUbC-biomass'!P8+'[1]BIFUbC-hydrogen'!R8</f>
        <v>331163122502591</v>
      </c>
      <c r="Q8" s="78">
        <f>'[1]BIFUbC-coal'!Q8+'[1]BIFUbC-LPG-propane-or-butane'!Q8+'[1]BIFUbC-petroleum-diesel'!Q8+'[1]BIFUbC-crude-oil'!Q8+'[1]BIFUbC-heavy-or-residual-oil'!Q8+'[1]BIFUbC-natural-gas'!Q8+'[1]BIFUbC-electricity'!Q8+'[1]BIFUbC-heat'!Q8+'[1]BIFUbC-biomass'!Q8+'[1]BIFUbC-hydrogen'!S8</f>
        <v>332751481238329.31</v>
      </c>
      <c r="R8" s="78">
        <f>'[1]BIFUbC-coal'!R8+'[1]BIFUbC-LPG-propane-or-butane'!R8+'[1]BIFUbC-petroleum-diesel'!R8+'[1]BIFUbC-crude-oil'!R8+'[1]BIFUbC-heavy-or-residual-oil'!R8+'[1]BIFUbC-natural-gas'!R8+'[1]BIFUbC-electricity'!R8+'[1]BIFUbC-heat'!R8+'[1]BIFUbC-biomass'!R8+'[1]BIFUbC-hydrogen'!T8</f>
        <v>333399444975814.38</v>
      </c>
      <c r="S8" s="78">
        <f>'[1]BIFUbC-coal'!S8+'[1]BIFUbC-LPG-propane-or-butane'!S8+'[1]BIFUbC-petroleum-diesel'!S8+'[1]BIFUbC-crude-oil'!S8+'[1]BIFUbC-heavy-or-residual-oil'!S8+'[1]BIFUbC-natural-gas'!S8+'[1]BIFUbC-electricity'!S8+'[1]BIFUbC-heat'!S8+'[1]BIFUbC-biomass'!S8+'[1]BIFUbC-hydrogen'!U8</f>
        <v>333231928397378.38</v>
      </c>
      <c r="T8" s="78">
        <f>'[1]BIFUbC-coal'!T8+'[1]BIFUbC-LPG-propane-or-butane'!T8+'[1]BIFUbC-petroleum-diesel'!T8+'[1]BIFUbC-crude-oil'!T8+'[1]BIFUbC-heavy-or-residual-oil'!T8+'[1]BIFUbC-natural-gas'!T8+'[1]BIFUbC-electricity'!T8+'[1]BIFUbC-heat'!T8+'[1]BIFUbC-biomass'!T8+'[1]BIFUbC-hydrogen'!V8</f>
        <v>332277043453178.31</v>
      </c>
      <c r="U8" s="78">
        <f>'[1]BIFUbC-coal'!U8+'[1]BIFUbC-LPG-propane-or-butane'!U8+'[1]BIFUbC-petroleum-diesel'!U8+'[1]BIFUbC-crude-oil'!U8+'[1]BIFUbC-heavy-or-residual-oil'!U8+'[1]BIFUbC-natural-gas'!U8+'[1]BIFUbC-electricity'!U8+'[1]BIFUbC-heat'!U8+'[1]BIFUbC-biomass'!U8+'[1]BIFUbC-hydrogen'!W8</f>
        <v>330608666714482.94</v>
      </c>
      <c r="V8" s="78">
        <f>'[1]BIFUbC-coal'!V8+'[1]BIFUbC-LPG-propane-or-butane'!V8+'[1]BIFUbC-petroleum-diesel'!V8+'[1]BIFUbC-crude-oil'!V8+'[1]BIFUbC-heavy-or-residual-oil'!V8+'[1]BIFUbC-natural-gas'!V8+'[1]BIFUbC-electricity'!V8+'[1]BIFUbC-heat'!V8+'[1]BIFUbC-biomass'!V8+'[1]BIFUbC-hydrogen'!X8</f>
        <v>328304218498143.56</v>
      </c>
      <c r="W8" s="78">
        <f>'[1]BIFUbC-coal'!W8+'[1]BIFUbC-LPG-propane-or-butane'!W8+'[1]BIFUbC-petroleum-diesel'!W8+'[1]BIFUbC-crude-oil'!W8+'[1]BIFUbC-heavy-or-residual-oil'!W8+'[1]BIFUbC-natural-gas'!W8+'[1]BIFUbC-electricity'!W8+'[1]BIFUbC-heat'!W8+'[1]BIFUbC-biomass'!W8+'[1]BIFUbC-hydrogen'!Y8</f>
        <v>325443191444699.75</v>
      </c>
      <c r="X8" s="78">
        <f>'[1]BIFUbC-coal'!X8+'[1]BIFUbC-LPG-propane-or-butane'!X8+'[1]BIFUbC-petroleum-diesel'!X8+'[1]BIFUbC-crude-oil'!X8+'[1]BIFUbC-heavy-or-residual-oil'!X8+'[1]BIFUbC-natural-gas'!X8+'[1]BIFUbC-electricity'!X8+'[1]BIFUbC-heat'!X8+'[1]BIFUbC-biomass'!X8+'[1]BIFUbC-hydrogen'!Z8</f>
        <v>322105825505561.94</v>
      </c>
      <c r="Y8" s="78">
        <f>'[1]BIFUbC-coal'!Y8+'[1]BIFUbC-LPG-propane-or-butane'!Y8+'[1]BIFUbC-petroleum-diesel'!Y8+'[1]BIFUbC-crude-oil'!Y8+'[1]BIFUbC-heavy-or-residual-oil'!Y8+'[1]BIFUbC-natural-gas'!Y8+'[1]BIFUbC-electricity'!Y8+'[1]BIFUbC-heat'!Y8+'[1]BIFUbC-biomass'!Y8+'[1]BIFUbC-hydrogen'!AA8</f>
        <v>318371947401221.63</v>
      </c>
      <c r="Z8" s="78">
        <f>'[1]BIFUbC-coal'!Z8+'[1]BIFUbC-LPG-propane-or-butane'!Z8+'[1]BIFUbC-petroleum-diesel'!Z8+'[1]BIFUbC-crude-oil'!Z8+'[1]BIFUbC-heavy-or-residual-oil'!Z8+'[1]BIFUbC-natural-gas'!Z8+'[1]BIFUbC-electricity'!Z8+'[1]BIFUbC-heat'!Z8+'[1]BIFUbC-biomass'!Z8+'[1]BIFUbC-hydrogen'!AB8</f>
        <v>314319985207561.81</v>
      </c>
      <c r="AA8" s="78">
        <f>'[1]BIFUbC-coal'!AA8+'[1]BIFUbC-LPG-propane-or-butane'!AA8+'[1]BIFUbC-petroleum-diesel'!AA8+'[1]BIFUbC-crude-oil'!AA8+'[1]BIFUbC-heavy-or-residual-oil'!AA8+'[1]BIFUbC-natural-gas'!AA8+'[1]BIFUbC-electricity'!AA8+'[1]BIFUbC-heat'!AA8+'[1]BIFUbC-biomass'!AA8+'[1]BIFUbC-hydrogen'!AC8</f>
        <v>310026162196814.25</v>
      </c>
      <c r="AB8" s="78">
        <f>'[1]BIFUbC-coal'!AB8+'[1]BIFUbC-LPG-propane-or-butane'!AB8+'[1]BIFUbC-petroleum-diesel'!AB8+'[1]BIFUbC-crude-oil'!AB8+'[1]BIFUbC-heavy-or-residual-oil'!AB8+'[1]BIFUbC-natural-gas'!AB8+'[1]BIFUbC-electricity'!AB8+'[1]BIFUbC-heat'!AB8+'[1]BIFUbC-biomass'!AB8+'[1]BIFUbC-hydrogen'!AD8</f>
        <v>305563868541070.25</v>
      </c>
      <c r="AC8" s="78">
        <f>'[1]BIFUbC-coal'!AC8+'[1]BIFUbC-LPG-propane-or-butane'!AC8+'[1]BIFUbC-petroleum-diesel'!AC8+'[1]BIFUbC-crude-oil'!AC8+'[1]BIFUbC-heavy-or-residual-oil'!AC8+'[1]BIFUbC-natural-gas'!AC8+'[1]BIFUbC-electricity'!AC8+'[1]BIFUbC-heat'!AC8+'[1]BIFUbC-biomass'!AC8+'[1]BIFUbC-hydrogen'!AE8</f>
        <v>301003205046489.19</v>
      </c>
      <c r="AD8" s="78">
        <f>'[1]BIFUbC-coal'!AD8+'[1]BIFUbC-LPG-propane-or-butane'!AD8+'[1]BIFUbC-petroleum-diesel'!AD8+'[1]BIFUbC-crude-oil'!AD8+'[1]BIFUbC-heavy-or-residual-oil'!AD8+'[1]BIFUbC-natural-gas'!AD8+'[1]BIFUbC-electricity'!AD8+'[1]BIFUbC-heat'!AD8+'[1]BIFUbC-biomass'!AD8+'[1]BIFUbC-hydrogen'!AF8</f>
        <v>296410689733324.38</v>
      </c>
      <c r="AE8" s="78">
        <f>'[1]BIFUbC-coal'!AE8+'[1]BIFUbC-LPG-propane-or-butane'!AE8+'[1]BIFUbC-petroleum-diesel'!AE8+'[1]BIFUbC-crude-oil'!AE8+'[1]BIFUbC-heavy-or-residual-oil'!AE8+'[1]BIFUbC-natural-gas'!AE8+'[1]BIFUbC-electricity'!AE8+'[1]BIFUbC-heat'!AE8+'[1]BIFUbC-biomass'!AE8+'[1]BIFUbC-hydrogen'!AG8</f>
        <v>291849115771814.63</v>
      </c>
      <c r="AF8" s="78">
        <f>'[1]BIFUbC-coal'!AF8+'[1]BIFUbC-LPG-propane-or-butane'!AF8+'[1]BIFUbC-petroleum-diesel'!AF8+'[1]BIFUbC-crude-oil'!AF8+'[1]BIFUbC-heavy-or-residual-oil'!AF8+'[1]BIFUbC-natural-gas'!AF8+'[1]BIFUbC-electricity'!AF8+'[1]BIFUbC-heat'!AF8+'[1]BIFUbC-biomass'!AF8+'[1]BIFUbC-hydrogen'!AH8</f>
        <v>287377547953862.63</v>
      </c>
      <c r="AG8" s="78">
        <f>'[1]BIFUbC-coal'!AG8+'[1]BIFUbC-LPG-propane-or-butane'!AG8+'[1]BIFUbC-petroleum-diesel'!AG8+'[1]BIFUbC-crude-oil'!AG8+'[1]BIFUbC-heavy-or-residual-oil'!AG8+'[1]BIFUbC-natural-gas'!AG8+'[1]BIFUbC-electricity'!AG8+'[1]BIFUbC-heat'!AG8+'[1]BIFUbC-biomass'!AG8+'[1]BIFUbC-hydrogen'!AI8</f>
        <v>283051444430885.56</v>
      </c>
      <c r="AH8" s="78">
        <f>'[1]BIFUbC-coal'!AH8+'[1]BIFUbC-LPG-propane-or-butane'!AH8+'[1]BIFUbC-petroleum-diesel'!AH8+'[1]BIFUbC-crude-oil'!AH8+'[1]BIFUbC-heavy-or-residual-oil'!AH8+'[1]BIFUbC-natural-gas'!AH8+'[1]BIFUbC-electricity'!AH8+'[1]BIFUbC-heat'!AH8+'[1]BIFUbC-biomass'!AH8+'[1]BIFUbC-hydrogen'!AJ8</f>
        <v>278922890773818.13</v>
      </c>
      <c r="AI8" s="78">
        <f>'[1]BIFUbC-coal'!AI8+'[1]BIFUbC-LPG-propane-or-butane'!AI8+'[1]BIFUbC-petroleum-diesel'!AI8+'[1]BIFUbC-crude-oil'!AI8+'[1]BIFUbC-heavy-or-residual-oil'!AI8+'[1]BIFUbC-natural-gas'!AI8+'[1]BIFUbC-electricity'!AI8+'[1]BIFUbC-heat'!AI8+'[1]BIFUbC-biomass'!AI8+'[1]BIFUbC-hydrogen'!AK8</f>
        <v>275040934405918.22</v>
      </c>
      <c r="AJ8" s="78">
        <f>'[1]BIFUbC-coal'!AJ8+'[1]BIFUbC-LPG-propane-or-butane'!AJ8+'[1]BIFUbC-petroleum-diesel'!AJ8+'[1]BIFUbC-crude-oil'!AJ8+'[1]BIFUbC-heavy-or-residual-oil'!AJ8+'[1]BIFUbC-natural-gas'!AJ8+'[1]BIFUbC-electricity'!AJ8+'[1]BIFUbC-heat'!AJ8+'[1]BIFUbC-biomass'!AJ8+'[1]BIFUbC-hydrogen'!AL8</f>
        <v>271452009023744.41</v>
      </c>
      <c r="AK8" s="78">
        <f>'[1]BIFUbC-coal'!AK8+'[1]BIFUbC-LPG-propane-or-butane'!AK8+'[1]BIFUbC-petroleum-diesel'!AK8+'[1]BIFUbC-crude-oil'!AK8+'[1]BIFUbC-heavy-or-residual-oil'!AK8+'[1]BIFUbC-natural-gas'!AK8+'[1]BIFUbC-electricity'!AK8+'[1]BIFUbC-heat'!AK8+'[1]BIFUbC-biomass'!AK8+'[1]BIFUbC-hydrogen'!AM8</f>
        <v>268200440671408.19</v>
      </c>
      <c r="AL8" s="78">
        <f>'[1]BIFUbC-coal'!AL8+'[1]BIFUbC-LPG-propane-or-butane'!AL8+'[1]BIFUbC-petroleum-diesel'!AL8+'[1]BIFUbC-crude-oil'!AL8+'[1]BIFUbC-heavy-or-residual-oil'!AL8+'[1]BIFUbC-natural-gas'!AL8+'[1]BIFUbC-electricity'!AL8+'[1]BIFUbC-heat'!AL8+'[1]BIFUbC-biomass'!AL8+'[1]BIFUbC-hydrogen'!AN8</f>
        <v>265329029602242</v>
      </c>
      <c r="AM8" s="78">
        <f>'[1]BIFUbC-coal'!AM8+'[1]BIFUbC-LPG-propane-or-butane'!AM8+'[1]BIFUbC-petroleum-diesel'!AM8+'[1]BIFUbC-crude-oil'!AM8+'[1]BIFUbC-heavy-or-residual-oil'!AM8+'[1]BIFUbC-natural-gas'!AM8+'[1]BIFUbC-electricity'!AM8+'[1]BIFUbC-heat'!AM8+'[1]BIFUbC-biomass'!AM8+'[1]BIFUbC-hydrogen'!AO8</f>
        <v>262879704908467.72</v>
      </c>
      <c r="AN8" s="78">
        <f>'[1]BIFUbC-coal'!AN8+'[1]BIFUbC-LPG-propane-or-butane'!AN8+'[1]BIFUbC-petroleum-diesel'!AN8+'[1]BIFUbC-crude-oil'!AN8+'[1]BIFUbC-heavy-or-residual-oil'!AN8+'[1]BIFUbC-natural-gas'!AN8+'[1]BIFUbC-electricity'!AN8+'[1]BIFUbC-heat'!AN8+'[1]BIFUbC-biomass'!AN8+'[1]BIFUbC-hydrogen'!AP8</f>
        <v>260894252108970.44</v>
      </c>
      <c r="AO8" s="78">
        <f>'[1]BIFUbC-coal'!AO8+'[1]BIFUbC-LPG-propane-or-butane'!AO8+'[1]BIFUbC-petroleum-diesel'!AO8+'[1]BIFUbC-crude-oil'!AO8+'[1]BIFUbC-heavy-or-residual-oil'!AO8+'[1]BIFUbC-natural-gas'!AO8+'[1]BIFUbC-electricity'!AO8+'[1]BIFUbC-heat'!AO8+'[1]BIFUbC-biomass'!AO8+'[1]BIFUbC-hydrogen'!AQ8</f>
        <v>259415117474855.59</v>
      </c>
      <c r="AP8" s="78">
        <f>'[1]BIFUbC-coal'!AP8+'[1]BIFUbC-LPG-propane-or-butane'!AP8+'[1]BIFUbC-petroleum-diesel'!AP8+'[1]BIFUbC-crude-oil'!AP8+'[1]BIFUbC-heavy-or-residual-oil'!AP8+'[1]BIFUbC-natural-gas'!AP8+'[1]BIFUbC-electricity'!AP8+'[1]BIFUbC-heat'!AP8+'[1]BIFUbC-biomass'!AP8+'[1]BIFUbC-hydrogen'!AR8</f>
        <v>258486296894365.09</v>
      </c>
      <c r="AQ8" s="78">
        <f>'[1]BIFUbC-coal'!AQ8+'[1]BIFUbC-LPG-propane-or-butane'!AQ8+'[1]BIFUbC-petroleum-diesel'!AQ8+'[1]BIFUbC-crude-oil'!AQ8+'[1]BIFUbC-heavy-or-residual-oil'!AQ8+'[1]BIFUbC-natural-gas'!AQ8+'[1]BIFUbC-electricity'!AQ8+'[1]BIFUbC-heat'!AQ8+'[1]BIFUbC-biomass'!AQ8+'[1]BIFUbC-hydrogen'!AS8</f>
        <v>258068358381764.56</v>
      </c>
    </row>
    <row r="9" spans="1:43" s="77" customFormat="1" x14ac:dyDescent="0.2">
      <c r="A9" s="77" t="s">
        <v>39</v>
      </c>
      <c r="B9" s="78">
        <f>'[1]BIFUbC-coal'!B9+'[1]BIFUbC-LPG-propane-or-butane'!B9+'[1]BIFUbC-petroleum-diesel'!B9+'[1]BIFUbC-crude-oil'!B9+'[1]BIFUbC-heavy-or-residual-oil'!B9+'[1]BIFUbC-natural-gas'!B9+'[1]BIFUbC-electricity'!B9+'[1]BIFUbC-heat'!B9+'[1]BIFUbC-biomass'!B9+'[1]BIFUbC-hydrogen'!D9</f>
        <v>891601055687162.25</v>
      </c>
      <c r="C9" s="78">
        <f>'[1]BIFUbC-coal'!C9+'[1]BIFUbC-LPG-propane-or-butane'!C9+'[1]BIFUbC-petroleum-diesel'!C9+'[1]BIFUbC-crude-oil'!C9+'[1]BIFUbC-heavy-or-residual-oil'!C9+'[1]BIFUbC-natural-gas'!C9+'[1]BIFUbC-electricity'!C9+'[1]BIFUbC-heat'!C9+'[1]BIFUbC-biomass'!C9+'[1]BIFUbC-hydrogen'!E9</f>
        <v>883986747789292</v>
      </c>
      <c r="D9" s="78">
        <f>'[1]BIFUbC-coal'!D9+'[1]BIFUbC-LPG-propane-or-butane'!D9+'[1]BIFUbC-petroleum-diesel'!D9+'[1]BIFUbC-crude-oil'!D9+'[1]BIFUbC-heavy-or-residual-oil'!D9+'[1]BIFUbC-natural-gas'!D9+'[1]BIFUbC-electricity'!D9+'[1]BIFUbC-heat'!D9+'[1]BIFUbC-biomass'!D9+'[1]BIFUbC-hydrogen'!F9</f>
        <v>953468206476890.38</v>
      </c>
      <c r="E9" s="78">
        <f>'[1]BIFUbC-coal'!E9+'[1]BIFUbC-LPG-propane-or-butane'!E9+'[1]BIFUbC-petroleum-diesel'!E9+'[1]BIFUbC-crude-oil'!E9+'[1]BIFUbC-heavy-or-residual-oil'!E9+'[1]BIFUbC-natural-gas'!E9+'[1]BIFUbC-electricity'!E9+'[1]BIFUbC-heat'!E9+'[1]BIFUbC-biomass'!E9+'[1]BIFUbC-hydrogen'!G9</f>
        <v>1011259468154170.3</v>
      </c>
      <c r="F9" s="78">
        <f>'[1]BIFUbC-coal'!F9+'[1]BIFUbC-LPG-propane-or-butane'!F9+'[1]BIFUbC-petroleum-diesel'!F9+'[1]BIFUbC-crude-oil'!F9+'[1]BIFUbC-heavy-or-residual-oil'!F9+'[1]BIFUbC-natural-gas'!F9+'[1]BIFUbC-electricity'!F9+'[1]BIFUbC-heat'!F9+'[1]BIFUbC-biomass'!F9+'[1]BIFUbC-hydrogen'!H9</f>
        <v>1090929295169001.8</v>
      </c>
      <c r="G9" s="78">
        <f>'[1]BIFUbC-coal'!G9+'[1]BIFUbC-LPG-propane-or-butane'!G9+'[1]BIFUbC-petroleum-diesel'!G9+'[1]BIFUbC-crude-oil'!G9+'[1]BIFUbC-heavy-or-residual-oil'!G9+'[1]BIFUbC-natural-gas'!G9+'[1]BIFUbC-electricity'!G9+'[1]BIFUbC-heat'!G9+'[1]BIFUbC-biomass'!G9+'[1]BIFUbC-hydrogen'!I9</f>
        <v>1139408474573466.5</v>
      </c>
      <c r="H9" s="78">
        <f>'[1]BIFUbC-coal'!H9+'[1]BIFUbC-LPG-propane-or-butane'!H9+'[1]BIFUbC-petroleum-diesel'!H9+'[1]BIFUbC-crude-oil'!H9+'[1]BIFUbC-heavy-or-residual-oil'!H9+'[1]BIFUbC-natural-gas'!H9+'[1]BIFUbC-electricity'!H9+'[1]BIFUbC-heat'!H9+'[1]BIFUbC-biomass'!H9+'[1]BIFUbC-hydrogen'!J9</f>
        <v>1189640088407740.3</v>
      </c>
      <c r="I9" s="78">
        <f>'[1]BIFUbC-coal'!I9+'[1]BIFUbC-LPG-propane-or-butane'!I9+'[1]BIFUbC-petroleum-diesel'!I9+'[1]BIFUbC-crude-oil'!I9+'[1]BIFUbC-heavy-or-residual-oil'!I9+'[1]BIFUbC-natural-gas'!I9+'[1]BIFUbC-electricity'!I9+'[1]BIFUbC-heat'!I9+'[1]BIFUbC-biomass'!I9+'[1]BIFUbC-hydrogen'!K9</f>
        <v>1221002064026585</v>
      </c>
      <c r="J9" s="78">
        <f>'[1]BIFUbC-coal'!J9+'[1]BIFUbC-LPG-propane-or-butane'!J9+'[1]BIFUbC-petroleum-diesel'!J9+'[1]BIFUbC-crude-oil'!J9+'[1]BIFUbC-heavy-or-residual-oil'!J9+'[1]BIFUbC-natural-gas'!J9+'[1]BIFUbC-electricity'!J9+'[1]BIFUbC-heat'!J9+'[1]BIFUbC-biomass'!J9+'[1]BIFUbC-hydrogen'!L9</f>
        <v>1252472107916769.5</v>
      </c>
      <c r="K9" s="78">
        <f>'[1]BIFUbC-coal'!K9+'[1]BIFUbC-LPG-propane-or-butane'!K9+'[1]BIFUbC-petroleum-diesel'!K9+'[1]BIFUbC-crude-oil'!K9+'[1]BIFUbC-heavy-or-residual-oil'!K9+'[1]BIFUbC-natural-gas'!K9+'[1]BIFUbC-electricity'!K9+'[1]BIFUbC-heat'!K9+'[1]BIFUbC-biomass'!K9+'[1]BIFUbC-hydrogen'!M9</f>
        <v>1283830522261478</v>
      </c>
      <c r="L9" s="78">
        <f>'[1]BIFUbC-coal'!L9+'[1]BIFUbC-LPG-propane-or-butane'!L9+'[1]BIFUbC-petroleum-diesel'!L9+'[1]BIFUbC-crude-oil'!L9+'[1]BIFUbC-heavy-or-residual-oil'!L9+'[1]BIFUbC-natural-gas'!L9+'[1]BIFUbC-electricity'!L9+'[1]BIFUbC-heat'!L9+'[1]BIFUbC-biomass'!L9+'[1]BIFUbC-hydrogen'!N9</f>
        <v>1314831819960234.5</v>
      </c>
      <c r="M9" s="78">
        <f>'[1]BIFUbC-coal'!M9+'[1]BIFUbC-LPG-propane-or-butane'!M9+'[1]BIFUbC-petroleum-diesel'!M9+'[1]BIFUbC-crude-oil'!M9+'[1]BIFUbC-heavy-or-residual-oil'!M9+'[1]BIFUbC-natural-gas'!M9+'[1]BIFUbC-electricity'!M9+'[1]BIFUbC-heat'!M9+'[1]BIFUbC-biomass'!M9+'[1]BIFUbC-hydrogen'!O9</f>
        <v>1345206686709810.5</v>
      </c>
      <c r="N9" s="78">
        <f>'[1]BIFUbC-coal'!N9+'[1]BIFUbC-LPG-propane-or-butane'!N9+'[1]BIFUbC-petroleum-diesel'!N9+'[1]BIFUbC-crude-oil'!N9+'[1]BIFUbC-heavy-or-residual-oil'!N9+'[1]BIFUbC-natural-gas'!N9+'[1]BIFUbC-electricity'!N9+'[1]BIFUbC-heat'!N9+'[1]BIFUbC-biomass'!N9+'[1]BIFUbC-hydrogen'!P9</f>
        <v>1363125493133739.3</v>
      </c>
      <c r="O9" s="78">
        <f>'[1]BIFUbC-coal'!O9+'[1]BIFUbC-LPG-propane-or-butane'!O9+'[1]BIFUbC-petroleum-diesel'!O9+'[1]BIFUbC-crude-oil'!O9+'[1]BIFUbC-heavy-or-residual-oil'!O9+'[1]BIFUbC-natural-gas'!O9+'[1]BIFUbC-electricity'!O9+'[1]BIFUbC-heat'!O9+'[1]BIFUbC-biomass'!O9+'[1]BIFUbC-hydrogen'!Q9</f>
        <v>1380156235094496.3</v>
      </c>
      <c r="P9" s="78">
        <f>'[1]BIFUbC-coal'!P9+'[1]BIFUbC-LPG-propane-or-butane'!P9+'[1]BIFUbC-petroleum-diesel'!P9+'[1]BIFUbC-crude-oil'!P9+'[1]BIFUbC-heavy-or-residual-oil'!P9+'[1]BIFUbC-natural-gas'!P9+'[1]BIFUbC-electricity'!P9+'[1]BIFUbC-heat'!P9+'[1]BIFUbC-biomass'!P9+'[1]BIFUbC-hydrogen'!R9</f>
        <v>1396327164624080.8</v>
      </c>
      <c r="Q9" s="78">
        <f>'[1]BIFUbC-coal'!Q9+'[1]BIFUbC-LPG-propane-or-butane'!Q9+'[1]BIFUbC-petroleum-diesel'!Q9+'[1]BIFUbC-crude-oil'!Q9+'[1]BIFUbC-heavy-or-residual-oil'!Q9+'[1]BIFUbC-natural-gas'!Q9+'[1]BIFUbC-electricity'!Q9+'[1]BIFUbC-heat'!Q9+'[1]BIFUbC-biomass'!Q9+'[1]BIFUbC-hydrogen'!S9</f>
        <v>1411679247840519</v>
      </c>
      <c r="R9" s="78">
        <f>'[1]BIFUbC-coal'!R9+'[1]BIFUbC-LPG-propane-or-butane'!R9+'[1]BIFUbC-petroleum-diesel'!R9+'[1]BIFUbC-crude-oil'!R9+'[1]BIFUbC-heavy-or-residual-oil'!R9+'[1]BIFUbC-natural-gas'!R9+'[1]BIFUbC-electricity'!R9+'[1]BIFUbC-heat'!R9+'[1]BIFUbC-biomass'!R9+'[1]BIFUbC-hydrogen'!T9</f>
        <v>1426264516511837</v>
      </c>
      <c r="S9" s="78">
        <f>'[1]BIFUbC-coal'!S9+'[1]BIFUbC-LPG-propane-or-butane'!S9+'[1]BIFUbC-petroleum-diesel'!S9+'[1]BIFUbC-crude-oil'!S9+'[1]BIFUbC-heavy-or-residual-oil'!S9+'[1]BIFUbC-natural-gas'!S9+'[1]BIFUbC-electricity'!S9+'[1]BIFUbC-heat'!S9+'[1]BIFUbC-biomass'!S9+'[1]BIFUbC-hydrogen'!U9</f>
        <v>1434470481554493.3</v>
      </c>
      <c r="T9" s="78">
        <f>'[1]BIFUbC-coal'!T9+'[1]BIFUbC-LPG-propane-or-butane'!T9+'[1]BIFUbC-petroleum-diesel'!T9+'[1]BIFUbC-crude-oil'!T9+'[1]BIFUbC-heavy-or-residual-oil'!T9+'[1]BIFUbC-natural-gas'!T9+'[1]BIFUbC-electricity'!T9+'[1]BIFUbC-heat'!T9+'[1]BIFUbC-biomass'!T9+'[1]BIFUbC-hydrogen'!V9</f>
        <v>1442008644227461.8</v>
      </c>
      <c r="U9" s="78">
        <f>'[1]BIFUbC-coal'!U9+'[1]BIFUbC-LPG-propane-or-butane'!U9+'[1]BIFUbC-petroleum-diesel'!U9+'[1]BIFUbC-crude-oil'!U9+'[1]BIFUbC-heavy-or-residual-oil'!U9+'[1]BIFUbC-natural-gas'!U9+'[1]BIFUbC-electricity'!U9+'[1]BIFUbC-heat'!U9+'[1]BIFUbC-biomass'!U9+'[1]BIFUbC-hydrogen'!W9</f>
        <v>1448917618299555.5</v>
      </c>
      <c r="V9" s="78">
        <f>'[1]BIFUbC-coal'!V9+'[1]BIFUbC-LPG-propane-or-butane'!V9+'[1]BIFUbC-petroleum-diesel'!V9+'[1]BIFUbC-crude-oil'!V9+'[1]BIFUbC-heavy-or-residual-oil'!V9+'[1]BIFUbC-natural-gas'!V9+'[1]BIFUbC-electricity'!V9+'[1]BIFUbC-heat'!V9+'[1]BIFUbC-biomass'!V9+'[1]BIFUbC-hydrogen'!X9</f>
        <v>1455240664165355.5</v>
      </c>
      <c r="W9" s="78">
        <f>'[1]BIFUbC-coal'!W9+'[1]BIFUbC-LPG-propane-or-butane'!W9+'[1]BIFUbC-petroleum-diesel'!W9+'[1]BIFUbC-crude-oil'!W9+'[1]BIFUbC-heavy-or-residual-oil'!W9+'[1]BIFUbC-natural-gas'!W9+'[1]BIFUbC-electricity'!W9+'[1]BIFUbC-heat'!W9+'[1]BIFUbC-biomass'!W9+'[1]BIFUbC-hydrogen'!Y9</f>
        <v>1461024800884159.5</v>
      </c>
      <c r="X9" s="78">
        <f>'[1]BIFUbC-coal'!X9+'[1]BIFUbC-LPG-propane-or-butane'!X9+'[1]BIFUbC-petroleum-diesel'!X9+'[1]BIFUbC-crude-oil'!X9+'[1]BIFUbC-heavy-or-residual-oil'!X9+'[1]BIFUbC-natural-gas'!X9+'[1]BIFUbC-electricity'!X9+'[1]BIFUbC-heat'!X9+'[1]BIFUbC-biomass'!X9+'[1]BIFUbC-hydrogen'!Z9</f>
        <v>1454603341360084.8</v>
      </c>
      <c r="Y9" s="78">
        <f>'[1]BIFUbC-coal'!Y9+'[1]BIFUbC-LPG-propane-or-butane'!Y9+'[1]BIFUbC-petroleum-diesel'!Y9+'[1]BIFUbC-crude-oil'!Y9+'[1]BIFUbC-heavy-or-residual-oil'!Y9+'[1]BIFUbC-natural-gas'!Y9+'[1]BIFUbC-electricity'!Y9+'[1]BIFUbC-heat'!Y9+'[1]BIFUbC-biomass'!Y9+'[1]BIFUbC-hydrogen'!AA9</f>
        <v>1447746482006902.5</v>
      </c>
      <c r="Z9" s="78">
        <f>'[1]BIFUbC-coal'!Z9+'[1]BIFUbC-LPG-propane-or-butane'!Z9+'[1]BIFUbC-petroleum-diesel'!Z9+'[1]BIFUbC-crude-oil'!Z9+'[1]BIFUbC-heavy-or-residual-oil'!Z9+'[1]BIFUbC-natural-gas'!Z9+'[1]BIFUbC-electricity'!Z9+'[1]BIFUbC-heat'!Z9+'[1]BIFUbC-biomass'!Z9+'[1]BIFUbC-hydrogen'!AB9</f>
        <v>1440507606226098.5</v>
      </c>
      <c r="AA9" s="78">
        <f>'[1]BIFUbC-coal'!AA9+'[1]BIFUbC-LPG-propane-or-butane'!AA9+'[1]BIFUbC-petroleum-diesel'!AA9+'[1]BIFUbC-crude-oil'!AA9+'[1]BIFUbC-heavy-or-residual-oil'!AA9+'[1]BIFUbC-natural-gas'!AA9+'[1]BIFUbC-electricity'!AA9+'[1]BIFUbC-heat'!AA9+'[1]BIFUbC-biomass'!AA9+'[1]BIFUbC-hydrogen'!AC9</f>
        <v>1432940792210263.3</v>
      </c>
      <c r="AB9" s="78">
        <f>'[1]BIFUbC-coal'!AB9+'[1]BIFUbC-LPG-propane-or-butane'!AB9+'[1]BIFUbC-petroleum-diesel'!AB9+'[1]BIFUbC-crude-oil'!AB9+'[1]BIFUbC-heavy-or-residual-oil'!AB9+'[1]BIFUbC-natural-gas'!AB9+'[1]BIFUbC-electricity'!AB9+'[1]BIFUbC-heat'!AB9+'[1]BIFUbC-biomass'!AB9+'[1]BIFUbC-hydrogen'!AD9</f>
        <v>1425100229625950.3</v>
      </c>
      <c r="AC9" s="78">
        <f>'[1]BIFUbC-coal'!AC9+'[1]BIFUbC-LPG-propane-or-butane'!AC9+'[1]BIFUbC-petroleum-diesel'!AC9+'[1]BIFUbC-crude-oil'!AC9+'[1]BIFUbC-heavy-or-residual-oil'!AC9+'[1]BIFUbC-natural-gas'!AC9+'[1]BIFUbC-electricity'!AC9+'[1]BIFUbC-heat'!AC9+'[1]BIFUbC-biomass'!AC9+'[1]BIFUbC-hydrogen'!AE9</f>
        <v>1408840830719109</v>
      </c>
      <c r="AD9" s="78">
        <f>'[1]BIFUbC-coal'!AD9+'[1]BIFUbC-LPG-propane-or-butane'!AD9+'[1]BIFUbC-petroleum-diesel'!AD9+'[1]BIFUbC-crude-oil'!AD9+'[1]BIFUbC-heavy-or-residual-oil'!AD9+'[1]BIFUbC-natural-gas'!AD9+'[1]BIFUbC-electricity'!AD9+'[1]BIFUbC-heat'!AD9+'[1]BIFUbC-biomass'!AD9+'[1]BIFUbC-hydrogen'!AF9</f>
        <v>1392415593240670.5</v>
      </c>
      <c r="AE9" s="78">
        <f>'[1]BIFUbC-coal'!AE9+'[1]BIFUbC-LPG-propane-or-butane'!AE9+'[1]BIFUbC-petroleum-diesel'!AE9+'[1]BIFUbC-crude-oil'!AE9+'[1]BIFUbC-heavy-or-residual-oil'!AE9+'[1]BIFUbC-natural-gas'!AE9+'[1]BIFUbC-electricity'!AE9+'[1]BIFUbC-heat'!AE9+'[1]BIFUbC-biomass'!AE9+'[1]BIFUbC-hydrogen'!AG9</f>
        <v>1375876416977372.3</v>
      </c>
      <c r="AF9" s="78">
        <f>'[1]BIFUbC-coal'!AF9+'[1]BIFUbC-LPG-propane-or-butane'!AF9+'[1]BIFUbC-petroleum-diesel'!AF9+'[1]BIFUbC-crude-oil'!AF9+'[1]BIFUbC-heavy-or-residual-oil'!AF9+'[1]BIFUbC-natural-gas'!AF9+'[1]BIFUbC-electricity'!AF9+'[1]BIFUbC-heat'!AF9+'[1]BIFUbC-biomass'!AF9+'[1]BIFUbC-hydrogen'!AH9</f>
        <v>1359273858708582.5</v>
      </c>
      <c r="AG9" s="78">
        <f>'[1]BIFUbC-coal'!AG9+'[1]BIFUbC-LPG-propane-or-butane'!AG9+'[1]BIFUbC-petroleum-diesel'!AG9+'[1]BIFUbC-crude-oil'!AG9+'[1]BIFUbC-heavy-or-residual-oil'!AG9+'[1]BIFUbC-natural-gas'!AG9+'[1]BIFUbC-electricity'!AG9+'[1]BIFUbC-heat'!AG9+'[1]BIFUbC-biomass'!AG9+'[1]BIFUbC-hydrogen'!AI9</f>
        <v>1342656985662307.3</v>
      </c>
      <c r="AH9" s="78">
        <f>'[1]BIFUbC-coal'!AH9+'[1]BIFUbC-LPG-propane-or-butane'!AH9+'[1]BIFUbC-petroleum-diesel'!AH9+'[1]BIFUbC-crude-oil'!AH9+'[1]BIFUbC-heavy-or-residual-oil'!AH9+'[1]BIFUbC-natural-gas'!AH9+'[1]BIFUbC-electricity'!AH9+'[1]BIFUbC-heat'!AH9+'[1]BIFUbC-biomass'!AH9+'[1]BIFUbC-hydrogen'!AJ9</f>
        <v>1324902430459266.5</v>
      </c>
      <c r="AI9" s="78">
        <f>'[1]BIFUbC-coal'!AI9+'[1]BIFUbC-LPG-propane-or-butane'!AI9+'[1]BIFUbC-petroleum-diesel'!AI9+'[1]BIFUbC-crude-oil'!AI9+'[1]BIFUbC-heavy-or-residual-oil'!AI9+'[1]BIFUbC-natural-gas'!AI9+'[1]BIFUbC-electricity'!AI9+'[1]BIFUbC-heat'!AI9+'[1]BIFUbC-biomass'!AI9+'[1]BIFUbC-hydrogen'!AK9</f>
        <v>1307227197771064</v>
      </c>
      <c r="AJ9" s="78">
        <f>'[1]BIFUbC-coal'!AJ9+'[1]BIFUbC-LPG-propane-or-butane'!AJ9+'[1]BIFUbC-petroleum-diesel'!AJ9+'[1]BIFUbC-crude-oil'!AJ9+'[1]BIFUbC-heavy-or-residual-oil'!AJ9+'[1]BIFUbC-natural-gas'!AJ9+'[1]BIFUbC-electricity'!AJ9+'[1]BIFUbC-heat'!AJ9+'[1]BIFUbC-biomass'!AJ9+'[1]BIFUbC-hydrogen'!AL9</f>
        <v>1289675797223515.8</v>
      </c>
      <c r="AK9" s="78">
        <f>'[1]BIFUbC-coal'!AK9+'[1]BIFUbC-LPG-propane-or-butane'!AK9+'[1]BIFUbC-petroleum-diesel'!AK9+'[1]BIFUbC-crude-oil'!AK9+'[1]BIFUbC-heavy-or-residual-oil'!AK9+'[1]BIFUbC-natural-gas'!AK9+'[1]BIFUbC-electricity'!AK9+'[1]BIFUbC-heat'!AK9+'[1]BIFUbC-biomass'!AK9+'[1]BIFUbC-hydrogen'!AM9</f>
        <v>1272291432327323.8</v>
      </c>
      <c r="AL9" s="78">
        <f>'[1]BIFUbC-coal'!AL9+'[1]BIFUbC-LPG-propane-or-butane'!AL9+'[1]BIFUbC-petroleum-diesel'!AL9+'[1]BIFUbC-crude-oil'!AL9+'[1]BIFUbC-heavy-or-residual-oil'!AL9+'[1]BIFUbC-natural-gas'!AL9+'[1]BIFUbC-electricity'!AL9+'[1]BIFUbC-heat'!AL9+'[1]BIFUbC-biomass'!AL9+'[1]BIFUbC-hydrogen'!AN9</f>
        <v>1255116218739066.5</v>
      </c>
      <c r="AM9" s="78">
        <f>'[1]BIFUbC-coal'!AM9+'[1]BIFUbC-LPG-propane-or-butane'!AM9+'[1]BIFUbC-petroleum-diesel'!AM9+'[1]BIFUbC-crude-oil'!AM9+'[1]BIFUbC-heavy-or-residual-oil'!AM9+'[1]BIFUbC-natural-gas'!AM9+'[1]BIFUbC-electricity'!AM9+'[1]BIFUbC-heat'!AM9+'[1]BIFUbC-biomass'!AM9+'[1]BIFUbC-hydrogen'!AO9</f>
        <v>1235850487231619</v>
      </c>
      <c r="AN9" s="78">
        <f>'[1]BIFUbC-coal'!AN9+'[1]BIFUbC-LPG-propane-or-butane'!AN9+'[1]BIFUbC-petroleum-diesel'!AN9+'[1]BIFUbC-crude-oil'!AN9+'[1]BIFUbC-heavy-or-residual-oil'!AN9+'[1]BIFUbC-natural-gas'!AN9+'[1]BIFUbC-electricity'!AN9+'[1]BIFUbC-heat'!AN9+'[1]BIFUbC-biomass'!AN9+'[1]BIFUbC-hydrogen'!AP9</f>
        <v>1216876371290650</v>
      </c>
      <c r="AO9" s="78">
        <f>'[1]BIFUbC-coal'!AO9+'[1]BIFUbC-LPG-propane-or-butane'!AO9+'[1]BIFUbC-petroleum-diesel'!AO9+'[1]BIFUbC-crude-oil'!AO9+'[1]BIFUbC-heavy-or-residual-oil'!AO9+'[1]BIFUbC-natural-gas'!AO9+'[1]BIFUbC-electricity'!AO9+'[1]BIFUbC-heat'!AO9+'[1]BIFUbC-biomass'!AO9+'[1]BIFUbC-hydrogen'!AQ9</f>
        <v>1198234650725754</v>
      </c>
      <c r="AP9" s="78">
        <f>'[1]BIFUbC-coal'!AP9+'[1]BIFUbC-LPG-propane-or-butane'!AP9+'[1]BIFUbC-petroleum-diesel'!AP9+'[1]BIFUbC-crude-oil'!AP9+'[1]BIFUbC-heavy-or-residual-oil'!AP9+'[1]BIFUbC-natural-gas'!AP9+'[1]BIFUbC-electricity'!AP9+'[1]BIFUbC-heat'!AP9+'[1]BIFUbC-biomass'!AP9+'[1]BIFUbC-hydrogen'!AR9</f>
        <v>1179966505947629.5</v>
      </c>
      <c r="AQ9" s="78">
        <f>'[1]BIFUbC-coal'!AQ9+'[1]BIFUbC-LPG-propane-or-butane'!AQ9+'[1]BIFUbC-petroleum-diesel'!AQ9+'[1]BIFUbC-crude-oil'!AQ9+'[1]BIFUbC-heavy-or-residual-oil'!AQ9+'[1]BIFUbC-natural-gas'!AQ9+'[1]BIFUbC-electricity'!AQ9+'[1]BIFUbC-heat'!AQ9+'[1]BIFUbC-biomass'!AQ9+'[1]BIFUbC-hydrogen'!AS9</f>
        <v>1161726120345776</v>
      </c>
    </row>
    <row r="10" spans="1:43" s="77" customFormat="1" x14ac:dyDescent="0.2">
      <c r="A10" s="77" t="s">
        <v>40</v>
      </c>
      <c r="B10" s="78">
        <f>'[1]BIFUbC-coal'!B10+'[1]BIFUbC-LPG-propane-or-butane'!B10+'[1]BIFUbC-petroleum-diesel'!B10+'[1]BIFUbC-crude-oil'!B10+'[1]BIFUbC-heavy-or-residual-oil'!B10+'[1]BIFUbC-natural-gas'!B10+'[1]BIFUbC-electricity'!B10+'[1]BIFUbC-heat'!B10+'[1]BIFUbC-biomass'!B10+'[1]BIFUbC-hydrogen'!D10</f>
        <v>4.1539860564351224E+16</v>
      </c>
      <c r="C10" s="78">
        <f>'[1]BIFUbC-coal'!C10+'[1]BIFUbC-LPG-propane-or-butane'!C10+'[1]BIFUbC-petroleum-diesel'!C10+'[1]BIFUbC-crude-oil'!C10+'[1]BIFUbC-heavy-or-residual-oil'!C10+'[1]BIFUbC-natural-gas'!C10+'[1]BIFUbC-electricity'!C10+'[1]BIFUbC-heat'!C10+'[1]BIFUbC-biomass'!C10+'[1]BIFUbC-hydrogen'!E10</f>
        <v>4.3980180641948744E+16</v>
      </c>
      <c r="D10" s="78">
        <f>'[1]BIFUbC-coal'!D10+'[1]BIFUbC-LPG-propane-or-butane'!D10+'[1]BIFUbC-petroleum-diesel'!D10+'[1]BIFUbC-crude-oil'!D10+'[1]BIFUbC-heavy-or-residual-oil'!D10+'[1]BIFUbC-natural-gas'!D10+'[1]BIFUbC-electricity'!D10+'[1]BIFUbC-heat'!D10+'[1]BIFUbC-biomass'!D10+'[1]BIFUbC-hydrogen'!F10</f>
        <v>4.6070174762596056E+16</v>
      </c>
      <c r="E10" s="78">
        <f>'[1]BIFUbC-coal'!E10+'[1]BIFUbC-LPG-propane-or-butane'!E10+'[1]BIFUbC-petroleum-diesel'!E10+'[1]BIFUbC-crude-oil'!E10+'[1]BIFUbC-heavy-or-residual-oil'!E10+'[1]BIFUbC-natural-gas'!E10+'[1]BIFUbC-electricity'!E10+'[1]BIFUbC-heat'!E10+'[1]BIFUbC-biomass'!E10+'[1]BIFUbC-hydrogen'!G10</f>
        <v>4.9137752453040312E+16</v>
      </c>
      <c r="F10" s="78">
        <f>'[1]BIFUbC-coal'!F10+'[1]BIFUbC-LPG-propane-or-butane'!F10+'[1]BIFUbC-petroleum-diesel'!F10+'[1]BIFUbC-crude-oil'!F10+'[1]BIFUbC-heavy-or-residual-oil'!F10+'[1]BIFUbC-natural-gas'!F10+'[1]BIFUbC-electricity'!F10+'[1]BIFUbC-heat'!F10+'[1]BIFUbC-biomass'!F10+'[1]BIFUbC-hydrogen'!H10</f>
        <v>5.2337276079616264E+16</v>
      </c>
      <c r="G10" s="78">
        <f>'[1]BIFUbC-coal'!G10+'[1]BIFUbC-LPG-propane-or-butane'!G10+'[1]BIFUbC-petroleum-diesel'!G10+'[1]BIFUbC-crude-oil'!G10+'[1]BIFUbC-heavy-or-residual-oil'!G10+'[1]BIFUbC-natural-gas'!G10+'[1]BIFUbC-electricity'!G10+'[1]BIFUbC-heat'!G10+'[1]BIFUbC-biomass'!G10+'[1]BIFUbC-hydrogen'!I10</f>
        <v>5.5192406560441072E+16</v>
      </c>
      <c r="H10" s="78">
        <f>'[1]BIFUbC-coal'!H10+'[1]BIFUbC-LPG-propane-or-butane'!H10+'[1]BIFUbC-petroleum-diesel'!H10+'[1]BIFUbC-crude-oil'!H10+'[1]BIFUbC-heavy-or-residual-oil'!H10+'[1]BIFUbC-natural-gas'!H10+'[1]BIFUbC-electricity'!H10+'[1]BIFUbC-heat'!H10+'[1]BIFUbC-biomass'!H10+'[1]BIFUbC-hydrogen'!J10</f>
        <v>5.8046384037385312E+16</v>
      </c>
      <c r="I10" s="78">
        <f>'[1]BIFUbC-coal'!I10+'[1]BIFUbC-LPG-propane-or-butane'!I10+'[1]BIFUbC-petroleum-diesel'!I10+'[1]BIFUbC-crude-oil'!I10+'[1]BIFUbC-heavy-or-residual-oil'!I10+'[1]BIFUbC-natural-gas'!I10+'[1]BIFUbC-electricity'!I10+'[1]BIFUbC-heat'!I10+'[1]BIFUbC-biomass'!I10+'[1]BIFUbC-hydrogen'!K10</f>
        <v>5.9334474467137576E+16</v>
      </c>
      <c r="J10" s="78">
        <f>'[1]BIFUbC-coal'!J10+'[1]BIFUbC-LPG-propane-or-butane'!J10+'[1]BIFUbC-petroleum-diesel'!J10+'[1]BIFUbC-crude-oil'!J10+'[1]BIFUbC-heavy-or-residual-oil'!J10+'[1]BIFUbC-natural-gas'!J10+'[1]BIFUbC-electricity'!J10+'[1]BIFUbC-heat'!J10+'[1]BIFUbC-biomass'!J10+'[1]BIFUbC-hydrogen'!L10</f>
        <v>6.0622485744650128E+16</v>
      </c>
      <c r="K10" s="78">
        <f>'[1]BIFUbC-coal'!K10+'[1]BIFUbC-LPG-propane-or-butane'!K10+'[1]BIFUbC-petroleum-diesel'!K10+'[1]BIFUbC-crude-oil'!K10+'[1]BIFUbC-heavy-or-residual-oil'!K10+'[1]BIFUbC-natural-gas'!K10+'[1]BIFUbC-electricity'!K10+'[1]BIFUbC-heat'!K10+'[1]BIFUbC-biomass'!K10+'[1]BIFUbC-hydrogen'!M10</f>
        <v>6.1910417869923E+16</v>
      </c>
      <c r="L10" s="78">
        <f>'[1]BIFUbC-coal'!L10+'[1]BIFUbC-LPG-propane-or-butane'!L10+'[1]BIFUbC-petroleum-diesel'!L10+'[1]BIFUbC-crude-oil'!L10+'[1]BIFUbC-heavy-or-residual-oil'!L10+'[1]BIFUbC-natural-gas'!L10+'[1]BIFUbC-electricity'!L10+'[1]BIFUbC-heat'!L10+'[1]BIFUbC-biomass'!L10+'[1]BIFUbC-hydrogen'!N10</f>
        <v>6.3198270842956144E+16</v>
      </c>
      <c r="M10" s="78">
        <f>'[1]BIFUbC-coal'!M10+'[1]BIFUbC-LPG-propane-or-butane'!M10+'[1]BIFUbC-petroleum-diesel'!M10+'[1]BIFUbC-crude-oil'!M10+'[1]BIFUbC-heavy-or-residual-oil'!M10+'[1]BIFUbC-natural-gas'!M10+'[1]BIFUbC-electricity'!M10+'[1]BIFUbC-heat'!M10+'[1]BIFUbC-biomass'!M10+'[1]BIFUbC-hydrogen'!O10</f>
        <v>6.4486044663749592E+16</v>
      </c>
      <c r="N10" s="78">
        <f>'[1]BIFUbC-coal'!N10+'[1]BIFUbC-LPG-propane-or-butane'!N10+'[1]BIFUbC-petroleum-diesel'!N10+'[1]BIFUbC-crude-oil'!N10+'[1]BIFUbC-heavy-or-residual-oil'!N10+'[1]BIFUbC-natural-gas'!N10+'[1]BIFUbC-electricity'!N10+'[1]BIFUbC-heat'!N10+'[1]BIFUbC-biomass'!N10+'[1]BIFUbC-hydrogen'!P10</f>
        <v>6.4576851119144456E+16</v>
      </c>
      <c r="O10" s="78">
        <f>'[1]BIFUbC-coal'!O10+'[1]BIFUbC-LPG-propane-or-butane'!O10+'[1]BIFUbC-petroleum-diesel'!O10+'[1]BIFUbC-crude-oil'!O10+'[1]BIFUbC-heavy-or-residual-oil'!O10+'[1]BIFUbC-natural-gas'!O10+'[1]BIFUbC-electricity'!O10+'[1]BIFUbC-heat'!O10+'[1]BIFUbC-biomass'!O10+'[1]BIFUbC-hydrogen'!Q10</f>
        <v>6.466765381090772E+16</v>
      </c>
      <c r="P10" s="78">
        <f>'[1]BIFUbC-coal'!P10+'[1]BIFUbC-LPG-propane-or-butane'!P10+'[1]BIFUbC-petroleum-diesel'!P10+'[1]BIFUbC-crude-oil'!P10+'[1]BIFUbC-heavy-or-residual-oil'!P10+'[1]BIFUbC-natural-gas'!P10+'[1]BIFUbC-electricity'!P10+'[1]BIFUbC-heat'!P10+'[1]BIFUbC-biomass'!P10+'[1]BIFUbC-hydrogen'!R10</f>
        <v>6.4758452739039312E+16</v>
      </c>
      <c r="Q10" s="78">
        <f>'[1]BIFUbC-coal'!Q10+'[1]BIFUbC-LPG-propane-or-butane'!Q10+'[1]BIFUbC-petroleum-diesel'!Q10+'[1]BIFUbC-crude-oil'!Q10+'[1]BIFUbC-heavy-or-residual-oil'!Q10+'[1]BIFUbC-natural-gas'!Q10+'[1]BIFUbC-electricity'!Q10+'[1]BIFUbC-heat'!Q10+'[1]BIFUbC-biomass'!Q10+'[1]BIFUbC-hydrogen'!S10</f>
        <v>6.484924790353932E+16</v>
      </c>
      <c r="R10" s="78">
        <f>'[1]BIFUbC-coal'!R10+'[1]BIFUbC-LPG-propane-or-butane'!R10+'[1]BIFUbC-petroleum-diesel'!R10+'[1]BIFUbC-crude-oil'!R10+'[1]BIFUbC-heavy-or-residual-oil'!R10+'[1]BIFUbC-natural-gas'!R10+'[1]BIFUbC-electricity'!R10+'[1]BIFUbC-heat'!R10+'[1]BIFUbC-biomass'!R10+'[1]BIFUbC-hydrogen'!T10</f>
        <v>6.4940039304407664E+16</v>
      </c>
      <c r="S10" s="78">
        <f>'[1]BIFUbC-coal'!S10+'[1]BIFUbC-LPG-propane-or-butane'!S10+'[1]BIFUbC-petroleum-diesel'!S10+'[1]BIFUbC-crude-oil'!S10+'[1]BIFUbC-heavy-or-residual-oil'!S10+'[1]BIFUbC-natural-gas'!S10+'[1]BIFUbC-electricity'!S10+'[1]BIFUbC-heat'!S10+'[1]BIFUbC-biomass'!S10+'[1]BIFUbC-hydrogen'!U10</f>
        <v>6.4202700453192408E+16</v>
      </c>
      <c r="T10" s="78">
        <f>'[1]BIFUbC-coal'!T10+'[1]BIFUbC-LPG-propane-or-butane'!T10+'[1]BIFUbC-petroleum-diesel'!T10+'[1]BIFUbC-crude-oil'!T10+'[1]BIFUbC-heavy-or-residual-oil'!T10+'[1]BIFUbC-natural-gas'!T10+'[1]BIFUbC-electricity'!T10+'[1]BIFUbC-heat'!T10+'[1]BIFUbC-biomass'!T10+'[1]BIFUbC-hydrogen'!V10</f>
        <v>6.346537162792176E+16</v>
      </c>
      <c r="U10" s="78">
        <f>'[1]BIFUbC-coal'!U10+'[1]BIFUbC-LPG-propane-or-butane'!U10+'[1]BIFUbC-petroleum-diesel'!U10+'[1]BIFUbC-crude-oil'!U10+'[1]BIFUbC-heavy-or-residual-oil'!U10+'[1]BIFUbC-natural-gas'!U10+'[1]BIFUbC-electricity'!U10+'[1]BIFUbC-heat'!U10+'[1]BIFUbC-biomass'!U10+'[1]BIFUbC-hydrogen'!W10</f>
        <v>6.2728052828595704E+16</v>
      </c>
      <c r="V10" s="78">
        <f>'[1]BIFUbC-coal'!V10+'[1]BIFUbC-LPG-propane-or-butane'!V10+'[1]BIFUbC-petroleum-diesel'!V10+'[1]BIFUbC-crude-oil'!V10+'[1]BIFUbC-heavy-or-residual-oil'!V10+'[1]BIFUbC-natural-gas'!V10+'[1]BIFUbC-electricity'!V10+'[1]BIFUbC-heat'!V10+'[1]BIFUbC-biomass'!V10+'[1]BIFUbC-hydrogen'!X10</f>
        <v>6.1990744055214288E+16</v>
      </c>
      <c r="W10" s="78">
        <f>'[1]BIFUbC-coal'!W10+'[1]BIFUbC-LPG-propane-or-butane'!W10+'[1]BIFUbC-petroleum-diesel'!W10+'[1]BIFUbC-crude-oil'!W10+'[1]BIFUbC-heavy-or-residual-oil'!W10+'[1]BIFUbC-natural-gas'!W10+'[1]BIFUbC-electricity'!W10+'[1]BIFUbC-heat'!W10+'[1]BIFUbC-biomass'!W10+'[1]BIFUbC-hydrogen'!Y10</f>
        <v>6.1253445307777488E+16</v>
      </c>
      <c r="X10" s="78">
        <f>'[1]BIFUbC-coal'!X10+'[1]BIFUbC-LPG-propane-or-butane'!X10+'[1]BIFUbC-petroleum-diesel'!X10+'[1]BIFUbC-crude-oil'!X10+'[1]BIFUbC-heavy-or-residual-oil'!X10+'[1]BIFUbC-natural-gas'!X10+'[1]BIFUbC-electricity'!X10+'[1]BIFUbC-heat'!X10+'[1]BIFUbC-biomass'!X10+'[1]BIFUbC-hydrogen'!Z10</f>
        <v>5.9871387907548568E+16</v>
      </c>
      <c r="Y10" s="78">
        <f>'[1]BIFUbC-coal'!Y10+'[1]BIFUbC-LPG-propane-or-butane'!Y10+'[1]BIFUbC-petroleum-diesel'!Y10+'[1]BIFUbC-crude-oil'!Y10+'[1]BIFUbC-heavy-or-residual-oil'!Y10+'[1]BIFUbC-natural-gas'!Y10+'[1]BIFUbC-electricity'!Y10+'[1]BIFUbC-heat'!Y10+'[1]BIFUbC-biomass'!Y10+'[1]BIFUbC-hydrogen'!AA10</f>
        <v>5.8489349306042904E+16</v>
      </c>
      <c r="Z10" s="78">
        <f>'[1]BIFUbC-coal'!Z10+'[1]BIFUbC-LPG-propane-or-butane'!Z10+'[1]BIFUbC-petroleum-diesel'!Z10+'[1]BIFUbC-crude-oil'!Z10+'[1]BIFUbC-heavy-or-residual-oil'!Z10+'[1]BIFUbC-natural-gas'!Z10+'[1]BIFUbC-electricity'!Z10+'[1]BIFUbC-heat'!Z10+'[1]BIFUbC-biomass'!Z10+'[1]BIFUbC-hydrogen'!AB10</f>
        <v>5.7107329503260456E+16</v>
      </c>
      <c r="AA10" s="78">
        <f>'[1]BIFUbC-coal'!AA10+'[1]BIFUbC-LPG-propane-or-butane'!AA10+'[1]BIFUbC-petroleum-diesel'!AA10+'[1]BIFUbC-crude-oil'!AA10+'[1]BIFUbC-heavy-or-residual-oil'!AA10+'[1]BIFUbC-natural-gas'!AA10+'[1]BIFUbC-electricity'!AA10+'[1]BIFUbC-heat'!AA10+'[1]BIFUbC-biomass'!AA10+'[1]BIFUbC-hydrogen'!AC10</f>
        <v>5.5725328499201288E+16</v>
      </c>
      <c r="AB10" s="78">
        <f>'[1]BIFUbC-coal'!AB10+'[1]BIFUbC-LPG-propane-or-butane'!AB10+'[1]BIFUbC-petroleum-diesel'!AB10+'[1]BIFUbC-crude-oil'!AB10+'[1]BIFUbC-heavy-or-residual-oil'!AB10+'[1]BIFUbC-natural-gas'!AB10+'[1]BIFUbC-electricity'!AB10+'[1]BIFUbC-heat'!AB10+'[1]BIFUbC-biomass'!AB10+'[1]BIFUbC-hydrogen'!AD10</f>
        <v>5.4343346293865336E+16</v>
      </c>
      <c r="AC10" s="78">
        <f>'[1]BIFUbC-coal'!AC10+'[1]BIFUbC-LPG-propane-or-butane'!AC10+'[1]BIFUbC-petroleum-diesel'!AC10+'[1]BIFUbC-crude-oil'!AC10+'[1]BIFUbC-heavy-or-residual-oil'!AC10+'[1]BIFUbC-natural-gas'!AC10+'[1]BIFUbC-electricity'!AC10+'[1]BIFUbC-heat'!AC10+'[1]BIFUbC-biomass'!AC10+'[1]BIFUbC-hydrogen'!AE10</f>
        <v>5.296138288725264E+16</v>
      </c>
      <c r="AD10" s="78">
        <f>'[1]BIFUbC-coal'!AD10+'[1]BIFUbC-LPG-propane-or-butane'!AD10+'[1]BIFUbC-petroleum-diesel'!AD10+'[1]BIFUbC-crude-oil'!AD10+'[1]BIFUbC-heavy-or-residual-oil'!AD10+'[1]BIFUbC-natural-gas'!AD10+'[1]BIFUbC-electricity'!AD10+'[1]BIFUbC-heat'!AD10+'[1]BIFUbC-biomass'!AD10+'[1]BIFUbC-hydrogen'!AF10</f>
        <v>5.15794382793632E+16</v>
      </c>
      <c r="AE10" s="78">
        <f>'[1]BIFUbC-coal'!AE10+'[1]BIFUbC-LPG-propane-or-butane'!AE10+'[1]BIFUbC-petroleum-diesel'!AE10+'[1]BIFUbC-crude-oil'!AE10+'[1]BIFUbC-heavy-or-residual-oil'!AE10+'[1]BIFUbC-natural-gas'!AE10+'[1]BIFUbC-electricity'!AE10+'[1]BIFUbC-heat'!AE10+'[1]BIFUbC-biomass'!AE10+'[1]BIFUbC-hydrogen'!AG10</f>
        <v>5.0197512470197E+16</v>
      </c>
      <c r="AF10" s="78">
        <f>'[1]BIFUbC-coal'!AF10+'[1]BIFUbC-LPG-propane-or-butane'!AF10+'[1]BIFUbC-petroleum-diesel'!AF10+'[1]BIFUbC-crude-oil'!AF10+'[1]BIFUbC-heavy-or-residual-oil'!AF10+'[1]BIFUbC-natural-gas'!AF10+'[1]BIFUbC-electricity'!AF10+'[1]BIFUbC-heat'!AF10+'[1]BIFUbC-biomass'!AF10+'[1]BIFUbC-hydrogen'!AH10</f>
        <v>4.881560545975404E+16</v>
      </c>
      <c r="AG10" s="78">
        <f>'[1]BIFUbC-coal'!AG10+'[1]BIFUbC-LPG-propane-or-butane'!AG10+'[1]BIFUbC-petroleum-diesel'!AG10+'[1]BIFUbC-crude-oil'!AG10+'[1]BIFUbC-heavy-or-residual-oil'!AG10+'[1]BIFUbC-natural-gas'!AG10+'[1]BIFUbC-electricity'!AG10+'[1]BIFUbC-heat'!AG10+'[1]BIFUbC-biomass'!AG10+'[1]BIFUbC-hydrogen'!AI10</f>
        <v>4.7433717248034328E+16</v>
      </c>
      <c r="AH10" s="78">
        <f>'[1]BIFUbC-coal'!AH10+'[1]BIFUbC-LPG-propane-or-butane'!AH10+'[1]BIFUbC-petroleum-diesel'!AH10+'[1]BIFUbC-crude-oil'!AH10+'[1]BIFUbC-heavy-or-residual-oil'!AH10+'[1]BIFUbC-natural-gas'!AH10+'[1]BIFUbC-electricity'!AH10+'[1]BIFUbC-heat'!AH10+'[1]BIFUbC-biomass'!AH10+'[1]BIFUbC-hydrogen'!AJ10</f>
        <v>4.623605145200372E+16</v>
      </c>
      <c r="AI10" s="78">
        <f>'[1]BIFUbC-coal'!AI10+'[1]BIFUbC-LPG-propane-or-butane'!AI10+'[1]BIFUbC-petroleum-diesel'!AI10+'[1]BIFUbC-crude-oil'!AI10+'[1]BIFUbC-heavy-or-residual-oil'!AI10+'[1]BIFUbC-natural-gas'!AI10+'[1]BIFUbC-electricity'!AI10+'[1]BIFUbC-heat'!AI10+'[1]BIFUbC-biomass'!AI10+'[1]BIFUbC-hydrogen'!AK10</f>
        <v>4.5038401948235408E+16</v>
      </c>
      <c r="AJ10" s="78">
        <f>'[1]BIFUbC-coal'!AJ10+'[1]BIFUbC-LPG-propane-or-butane'!AJ10+'[1]BIFUbC-petroleum-diesel'!AJ10+'[1]BIFUbC-crude-oil'!AJ10+'[1]BIFUbC-heavy-or-residual-oil'!AJ10+'[1]BIFUbC-natural-gas'!AJ10+'[1]BIFUbC-electricity'!AJ10+'[1]BIFUbC-heat'!AJ10+'[1]BIFUbC-biomass'!AJ10+'[1]BIFUbC-hydrogen'!AL10</f>
        <v>4.3840768736729448E+16</v>
      </c>
      <c r="AK10" s="78">
        <f>'[1]BIFUbC-coal'!AK10+'[1]BIFUbC-LPG-propane-or-butane'!AK10+'[1]BIFUbC-petroleum-diesel'!AK10+'[1]BIFUbC-crude-oil'!AK10+'[1]BIFUbC-heavy-or-residual-oil'!AK10+'[1]BIFUbC-natural-gas'!AK10+'[1]BIFUbC-electricity'!AK10+'[1]BIFUbC-heat'!AK10+'[1]BIFUbC-biomass'!AK10+'[1]BIFUbC-hydrogen'!AM10</f>
        <v>4.26431518174858E+16</v>
      </c>
      <c r="AL10" s="78">
        <f>'[1]BIFUbC-coal'!AL10+'[1]BIFUbC-LPG-propane-or-butane'!AL10+'[1]BIFUbC-petroleum-diesel'!AL10+'[1]BIFUbC-crude-oil'!AL10+'[1]BIFUbC-heavy-or-residual-oil'!AL10+'[1]BIFUbC-natural-gas'!AL10+'[1]BIFUbC-electricity'!AL10+'[1]BIFUbC-heat'!AL10+'[1]BIFUbC-biomass'!AL10+'[1]BIFUbC-hydrogen'!AN10</f>
        <v>4.144555119050448E+16</v>
      </c>
      <c r="AM10" s="78">
        <f>'[1]BIFUbC-coal'!AM10+'[1]BIFUbC-LPG-propane-or-butane'!AM10+'[1]BIFUbC-petroleum-diesel'!AM10+'[1]BIFUbC-crude-oil'!AM10+'[1]BIFUbC-heavy-or-residual-oil'!AM10+'[1]BIFUbC-natural-gas'!AM10+'[1]BIFUbC-electricity'!AM10+'[1]BIFUbC-heat'!AM10+'[1]BIFUbC-biomass'!AM10+'[1]BIFUbC-hydrogen'!AO10</f>
        <v>4.0187822548939056E+16</v>
      </c>
      <c r="AN10" s="78">
        <f>'[1]BIFUbC-coal'!AN10+'[1]BIFUbC-LPG-propane-or-butane'!AN10+'[1]BIFUbC-petroleum-diesel'!AN10+'[1]BIFUbC-crude-oil'!AN10+'[1]BIFUbC-heavy-or-residual-oil'!AN10+'[1]BIFUbC-natural-gas'!AN10+'[1]BIFUbC-electricity'!AN10+'[1]BIFUbC-heat'!AN10+'[1]BIFUbC-biomass'!AN10+'[1]BIFUbC-hydrogen'!AP10</f>
        <v>3.8930111018048128E+16</v>
      </c>
      <c r="AO10" s="78">
        <f>'[1]BIFUbC-coal'!AO10+'[1]BIFUbC-LPG-propane-or-butane'!AO10+'[1]BIFUbC-petroleum-diesel'!AO10+'[1]BIFUbC-crude-oil'!AO10+'[1]BIFUbC-heavy-or-residual-oil'!AO10+'[1]BIFUbC-natural-gas'!AO10+'[1]BIFUbC-electricity'!AO10+'[1]BIFUbC-heat'!AO10+'[1]BIFUbC-biomass'!AO10+'[1]BIFUbC-hydrogen'!AQ10</f>
        <v>3.7672416597831704E+16</v>
      </c>
      <c r="AP10" s="78">
        <f>'[1]BIFUbC-coal'!AP10+'[1]BIFUbC-LPG-propane-or-butane'!AP10+'[1]BIFUbC-petroleum-diesel'!AP10+'[1]BIFUbC-crude-oil'!AP10+'[1]BIFUbC-heavy-or-residual-oil'!AP10+'[1]BIFUbC-natural-gas'!AP10+'[1]BIFUbC-electricity'!AP10+'[1]BIFUbC-heat'!AP10+'[1]BIFUbC-biomass'!AP10+'[1]BIFUbC-hydrogen'!AR10</f>
        <v>3.6414739288289784E+16</v>
      </c>
      <c r="AQ10" s="78">
        <f>'[1]BIFUbC-coal'!AQ10+'[1]BIFUbC-LPG-propane-or-butane'!AQ10+'[1]BIFUbC-petroleum-diesel'!AQ10+'[1]BIFUbC-crude-oil'!AQ10+'[1]BIFUbC-heavy-or-residual-oil'!AQ10+'[1]BIFUbC-natural-gas'!AQ10+'[1]BIFUbC-electricity'!AQ10+'[1]BIFUbC-heat'!AQ10+'[1]BIFUbC-biomass'!AQ10+'[1]BIFUbC-hydrogen'!AS10</f>
        <v>3.5155883059148828E+16</v>
      </c>
    </row>
    <row r="11" spans="1:43" s="77" customFormat="1" x14ac:dyDescent="0.2">
      <c r="A11" s="77" t="s">
        <v>41</v>
      </c>
      <c r="B11" s="78">
        <f>'[1]BIFUbC-coal'!B11+'[1]BIFUbC-LPG-propane-or-butane'!B11+'[1]BIFUbC-petroleum-diesel'!B11+'[1]BIFUbC-crude-oil'!B11+'[1]BIFUbC-heavy-or-residual-oil'!B11+'[1]BIFUbC-natural-gas'!B11+'[1]BIFUbC-electricity'!B11+'[1]BIFUbC-heat'!B11+'[1]BIFUbC-biomass'!B11+'[1]BIFUbC-hydrogen'!D11</f>
        <v>1.1736426313897648E+16</v>
      </c>
      <c r="C11" s="78">
        <f>'[1]BIFUbC-coal'!C11+'[1]BIFUbC-LPG-propane-or-butane'!C11+'[1]BIFUbC-petroleum-diesel'!C11+'[1]BIFUbC-crude-oil'!C11+'[1]BIFUbC-heavy-or-residual-oil'!C11+'[1]BIFUbC-natural-gas'!C11+'[1]BIFUbC-electricity'!C11+'[1]BIFUbC-heat'!C11+'[1]BIFUbC-biomass'!C11+'[1]BIFUbC-hydrogen'!E11</f>
        <v>1.2538279702746712E+16</v>
      </c>
      <c r="D11" s="78">
        <f>'[1]BIFUbC-coal'!D11+'[1]BIFUbC-LPG-propane-or-butane'!D11+'[1]BIFUbC-petroleum-diesel'!D11+'[1]BIFUbC-crude-oil'!D11+'[1]BIFUbC-heavy-or-residual-oil'!D11+'[1]BIFUbC-natural-gas'!D11+'[1]BIFUbC-electricity'!D11+'[1]BIFUbC-heat'!D11+'[1]BIFUbC-biomass'!D11+'[1]BIFUbC-hydrogen'!F11</f>
        <v>1.3367226720438778E+16</v>
      </c>
      <c r="E11" s="78">
        <f>'[1]BIFUbC-coal'!E11+'[1]BIFUbC-LPG-propane-or-butane'!E11+'[1]BIFUbC-petroleum-diesel'!E11+'[1]BIFUbC-crude-oil'!E11+'[1]BIFUbC-heavy-or-residual-oil'!E11+'[1]BIFUbC-natural-gas'!E11+'[1]BIFUbC-electricity'!E11+'[1]BIFUbC-heat'!E11+'[1]BIFUbC-biomass'!E11+'[1]BIFUbC-hydrogen'!G11</f>
        <v>1.4685287299504486E+16</v>
      </c>
      <c r="F11" s="78">
        <f>'[1]BIFUbC-coal'!F11+'[1]BIFUbC-LPG-propane-or-butane'!F11+'[1]BIFUbC-petroleum-diesel'!F11+'[1]BIFUbC-crude-oil'!F11+'[1]BIFUbC-heavy-or-residual-oil'!F11+'[1]BIFUbC-natural-gas'!F11+'[1]BIFUbC-electricity'!F11+'[1]BIFUbC-heat'!F11+'[1]BIFUbC-biomass'!F11+'[1]BIFUbC-hydrogen'!H11</f>
        <v>1.6101703650320808E+16</v>
      </c>
      <c r="G11" s="78">
        <f>'[1]BIFUbC-coal'!G11+'[1]BIFUbC-LPG-propane-or-butane'!G11+'[1]BIFUbC-petroleum-diesel'!G11+'[1]BIFUbC-crude-oil'!G11+'[1]BIFUbC-heavy-or-residual-oil'!G11+'[1]BIFUbC-natural-gas'!G11+'[1]BIFUbC-electricity'!G11+'[1]BIFUbC-heat'!G11+'[1]BIFUbC-biomass'!G11+'[1]BIFUbC-hydrogen'!I11</f>
        <v>1.7118185242342366E+16</v>
      </c>
      <c r="H11" s="78">
        <f>'[1]BIFUbC-coal'!H11+'[1]BIFUbC-LPG-propane-or-butane'!H11+'[1]BIFUbC-petroleum-diesel'!H11+'[1]BIFUbC-crude-oil'!H11+'[1]BIFUbC-heavy-or-residual-oil'!H11+'[1]BIFUbC-natural-gas'!H11+'[1]BIFUbC-electricity'!H11+'[1]BIFUbC-heat'!H11+'[1]BIFUbC-biomass'!H11+'[1]BIFUbC-hydrogen'!J11</f>
        <v>1.8139560381927432E+16</v>
      </c>
      <c r="I11" s="78">
        <f>'[1]BIFUbC-coal'!I11+'[1]BIFUbC-LPG-propane-or-butane'!I11+'[1]BIFUbC-petroleum-diesel'!I11+'[1]BIFUbC-crude-oil'!I11+'[1]BIFUbC-heavy-or-residual-oil'!I11+'[1]BIFUbC-natural-gas'!I11+'[1]BIFUbC-electricity'!I11+'[1]BIFUbC-heat'!I11+'[1]BIFUbC-biomass'!I11+'[1]BIFUbC-hydrogen'!K11</f>
        <v>1.8810301843216708E+16</v>
      </c>
      <c r="J11" s="78">
        <f>'[1]BIFUbC-coal'!J11+'[1]BIFUbC-LPG-propane-or-butane'!J11+'[1]BIFUbC-petroleum-diesel'!J11+'[1]BIFUbC-crude-oil'!J11+'[1]BIFUbC-heavy-or-residual-oil'!J11+'[1]BIFUbC-natural-gas'!J11+'[1]BIFUbC-electricity'!J11+'[1]BIFUbC-heat'!J11+'[1]BIFUbC-biomass'!J11+'[1]BIFUbC-hydrogen'!L11</f>
        <v>1.9475784874856788E+16</v>
      </c>
      <c r="K11" s="78">
        <f>'[1]BIFUbC-coal'!K11+'[1]BIFUbC-LPG-propane-or-butane'!K11+'[1]BIFUbC-petroleum-diesel'!K11+'[1]BIFUbC-crude-oil'!K11+'[1]BIFUbC-heavy-or-residual-oil'!K11+'[1]BIFUbC-natural-gas'!K11+'[1]BIFUbC-electricity'!K11+'[1]BIFUbC-heat'!K11+'[1]BIFUbC-biomass'!K11+'[1]BIFUbC-hydrogen'!M11</f>
        <v>2.0135950143038592E+16</v>
      </c>
      <c r="L11" s="78">
        <f>'[1]BIFUbC-coal'!L11+'[1]BIFUbC-LPG-propane-or-butane'!L11+'[1]BIFUbC-petroleum-diesel'!L11+'[1]BIFUbC-crude-oil'!L11+'[1]BIFUbC-heavy-or-residual-oil'!L11+'[1]BIFUbC-natural-gas'!L11+'[1]BIFUbC-electricity'!L11+'[1]BIFUbC-heat'!L11+'[1]BIFUbC-biomass'!L11+'[1]BIFUbC-hydrogen'!N11</f>
        <v>2.0790994046182896E+16</v>
      </c>
      <c r="M11" s="78">
        <f>'[1]BIFUbC-coal'!M11+'[1]BIFUbC-LPG-propane-or-butane'!M11+'[1]BIFUbC-petroleum-diesel'!M11+'[1]BIFUbC-crude-oil'!M11+'[1]BIFUbC-heavy-or-residual-oil'!M11+'[1]BIFUbC-natural-gas'!M11+'[1]BIFUbC-electricity'!M11+'[1]BIFUbC-heat'!M11+'[1]BIFUbC-biomass'!M11+'[1]BIFUbC-hydrogen'!O11</f>
        <v>2.1441332536282332E+16</v>
      </c>
      <c r="N11" s="78">
        <f>'[1]BIFUbC-coal'!N11+'[1]BIFUbC-LPG-propane-or-butane'!N11+'[1]BIFUbC-petroleum-diesel'!N11+'[1]BIFUbC-crude-oil'!N11+'[1]BIFUbC-heavy-or-residual-oil'!N11+'[1]BIFUbC-natural-gas'!N11+'[1]BIFUbC-electricity'!N11+'[1]BIFUbC-heat'!N11+'[1]BIFUbC-biomass'!N11+'[1]BIFUbC-hydrogen'!P11</f>
        <v>2.1816844173241576E+16</v>
      </c>
      <c r="O11" s="78">
        <f>'[1]BIFUbC-coal'!O11+'[1]BIFUbC-LPG-propane-or-butane'!O11+'[1]BIFUbC-petroleum-diesel'!O11+'[1]BIFUbC-crude-oil'!O11+'[1]BIFUbC-heavy-or-residual-oil'!O11+'[1]BIFUbC-natural-gas'!O11+'[1]BIFUbC-electricity'!O11+'[1]BIFUbC-heat'!O11+'[1]BIFUbC-biomass'!O11+'[1]BIFUbC-hydrogen'!Q11</f>
        <v>2.2189018900232744E+16</v>
      </c>
      <c r="P11" s="78">
        <f>'[1]BIFUbC-coal'!P11+'[1]BIFUbC-LPG-propane-or-butane'!P11+'[1]BIFUbC-petroleum-diesel'!P11+'[1]BIFUbC-crude-oil'!P11+'[1]BIFUbC-heavy-or-residual-oil'!P11+'[1]BIFUbC-natural-gas'!P11+'[1]BIFUbC-electricity'!P11+'[1]BIFUbC-heat'!P11+'[1]BIFUbC-biomass'!P11+'[1]BIFUbC-hydrogen'!R11</f>
        <v>2.255856898621094E+16</v>
      </c>
      <c r="Q11" s="78">
        <f>'[1]BIFUbC-coal'!Q11+'[1]BIFUbC-LPG-propane-or-butane'!Q11+'[1]BIFUbC-petroleum-diesel'!Q11+'[1]BIFUbC-crude-oil'!Q11+'[1]BIFUbC-heavy-or-residual-oil'!Q11+'[1]BIFUbC-natural-gas'!Q11+'[1]BIFUbC-electricity'!Q11+'[1]BIFUbC-heat'!Q11+'[1]BIFUbC-biomass'!Q11+'[1]BIFUbC-hydrogen'!S11</f>
        <v>2.2926264676074728E+16</v>
      </c>
      <c r="R11" s="78">
        <f>'[1]BIFUbC-coal'!R11+'[1]BIFUbC-LPG-propane-or-butane'!R11+'[1]BIFUbC-petroleum-diesel'!R11+'[1]BIFUbC-crude-oil'!R11+'[1]BIFUbC-heavy-or-residual-oil'!R11+'[1]BIFUbC-natural-gas'!R11+'[1]BIFUbC-electricity'!R11+'[1]BIFUbC-heat'!R11+'[1]BIFUbC-biomass'!R11+'[1]BIFUbC-hydrogen'!T11</f>
        <v>2.3292910303366968E+16</v>
      </c>
      <c r="S11" s="78">
        <f>'[1]BIFUbC-coal'!S11+'[1]BIFUbC-LPG-propane-or-butane'!S11+'[1]BIFUbC-petroleum-diesel'!S11+'[1]BIFUbC-crude-oil'!S11+'[1]BIFUbC-heavy-or-residual-oil'!S11+'[1]BIFUbC-natural-gas'!S11+'[1]BIFUbC-electricity'!S11+'[1]BIFUbC-heat'!S11+'[1]BIFUbC-biomass'!S11+'[1]BIFUbC-hydrogen'!U11</f>
        <v>2.3485393353852388E+16</v>
      </c>
      <c r="T11" s="78">
        <f>'[1]BIFUbC-coal'!T11+'[1]BIFUbC-LPG-propane-or-butane'!T11+'[1]BIFUbC-petroleum-diesel'!T11+'[1]BIFUbC-crude-oil'!T11+'[1]BIFUbC-heavy-or-residual-oil'!T11+'[1]BIFUbC-natural-gas'!T11+'[1]BIFUbC-electricity'!T11+'[1]BIFUbC-heat'!T11+'[1]BIFUbC-biomass'!T11+'[1]BIFUbC-hydrogen'!V11</f>
        <v>2.3677728307780952E+16</v>
      </c>
      <c r="U11" s="78">
        <f>'[1]BIFUbC-coal'!U11+'[1]BIFUbC-LPG-propane-or-butane'!U11+'[1]BIFUbC-petroleum-diesel'!U11+'[1]BIFUbC-crude-oil'!U11+'[1]BIFUbC-heavy-or-residual-oil'!U11+'[1]BIFUbC-natural-gas'!U11+'[1]BIFUbC-electricity'!U11+'[1]BIFUbC-heat'!U11+'[1]BIFUbC-biomass'!U11+'[1]BIFUbC-hydrogen'!W11</f>
        <v>2.386991739565232E+16</v>
      </c>
      <c r="V11" s="78">
        <f>'[1]BIFUbC-coal'!V11+'[1]BIFUbC-LPG-propane-or-butane'!V11+'[1]BIFUbC-petroleum-diesel'!V11+'[1]BIFUbC-crude-oil'!V11+'[1]BIFUbC-heavy-or-residual-oil'!V11+'[1]BIFUbC-natural-gas'!V11+'[1]BIFUbC-electricity'!V11+'[1]BIFUbC-heat'!V11+'[1]BIFUbC-biomass'!V11+'[1]BIFUbC-hydrogen'!X11</f>
        <v>2.406196295915334E+16</v>
      </c>
      <c r="W11" s="78">
        <f>'[1]BIFUbC-coal'!W11+'[1]BIFUbC-LPG-propane-or-butane'!W11+'[1]BIFUbC-petroleum-diesel'!W11+'[1]BIFUbC-crude-oil'!W11+'[1]BIFUbC-heavy-or-residual-oil'!W11+'[1]BIFUbC-natural-gas'!W11+'[1]BIFUbC-electricity'!W11+'[1]BIFUbC-heat'!W11+'[1]BIFUbC-biomass'!W11+'[1]BIFUbC-hydrogen'!Y11</f>
        <v>2.4253867446022244E+16</v>
      </c>
      <c r="X11" s="78">
        <f>'[1]BIFUbC-coal'!X11+'[1]BIFUbC-LPG-propane-or-butane'!X11+'[1]BIFUbC-petroleum-diesel'!X11+'[1]BIFUbC-crude-oil'!X11+'[1]BIFUbC-heavy-or-residual-oil'!X11+'[1]BIFUbC-natural-gas'!X11+'[1]BIFUbC-electricity'!X11+'[1]BIFUbC-heat'!X11+'[1]BIFUbC-biomass'!X11+'[1]BIFUbC-hydrogen'!Z11</f>
        <v>2.4341039188813608E+16</v>
      </c>
      <c r="Y11" s="78">
        <f>'[1]BIFUbC-coal'!Y11+'[1]BIFUbC-LPG-propane-or-butane'!Y11+'[1]BIFUbC-petroleum-diesel'!Y11+'[1]BIFUbC-crude-oil'!Y11+'[1]BIFUbC-heavy-or-residual-oil'!Y11+'[1]BIFUbC-natural-gas'!Y11+'[1]BIFUbC-electricity'!Y11+'[1]BIFUbC-heat'!Y11+'[1]BIFUbC-biomass'!Y11+'[1]BIFUbC-hydrogen'!AA11</f>
        <v>2.4428083905388612E+16</v>
      </c>
      <c r="Z11" s="78">
        <f>'[1]BIFUbC-coal'!Z11+'[1]BIFUbC-LPG-propane-or-butane'!Z11+'[1]BIFUbC-petroleum-diesel'!Z11+'[1]BIFUbC-crude-oil'!Z11+'[1]BIFUbC-heavy-or-residual-oil'!Z11+'[1]BIFUbC-natural-gas'!Z11+'[1]BIFUbC-electricity'!Z11+'[1]BIFUbC-heat'!Z11+'[1]BIFUbC-biomass'!Z11+'[1]BIFUbC-hydrogen'!AB11</f>
        <v>2.4515004330927652E+16</v>
      </c>
      <c r="AA11" s="78">
        <f>'[1]BIFUbC-coal'!AA11+'[1]BIFUbC-LPG-propane-or-butane'!AA11+'[1]BIFUbC-petroleum-diesel'!AA11+'[1]BIFUbC-crude-oil'!AA11+'[1]BIFUbC-heavy-or-residual-oil'!AA11+'[1]BIFUbC-natural-gas'!AA11+'[1]BIFUbC-electricity'!AA11+'[1]BIFUbC-heat'!AA11+'[1]BIFUbC-biomass'!AA11+'[1]BIFUbC-hydrogen'!AC11</f>
        <v>2.4601803286285032E+16</v>
      </c>
      <c r="AB11" s="78">
        <f>'[1]BIFUbC-coal'!AB11+'[1]BIFUbC-LPG-propane-or-butane'!AB11+'[1]BIFUbC-petroleum-diesel'!AB11+'[1]BIFUbC-crude-oil'!AB11+'[1]BIFUbC-heavy-or-residual-oil'!AB11+'[1]BIFUbC-natural-gas'!AB11+'[1]BIFUbC-electricity'!AB11+'[1]BIFUbC-heat'!AB11+'[1]BIFUbC-biomass'!AB11+'[1]BIFUbC-hydrogen'!AD11</f>
        <v>2.468848367299756E+16</v>
      </c>
      <c r="AC11" s="78">
        <f>'[1]BIFUbC-coal'!AC11+'[1]BIFUbC-LPG-propane-or-butane'!AC11+'[1]BIFUbC-petroleum-diesel'!AC11+'[1]BIFUbC-crude-oil'!AC11+'[1]BIFUbC-heavy-or-residual-oil'!AC11+'[1]BIFUbC-natural-gas'!AC11+'[1]BIFUbC-electricity'!AC11+'[1]BIFUbC-heat'!AC11+'[1]BIFUbC-biomass'!AC11+'[1]BIFUbC-hydrogen'!AE11</f>
        <v>2.4685276756988808E+16</v>
      </c>
      <c r="AD11" s="78">
        <f>'[1]BIFUbC-coal'!AD11+'[1]BIFUbC-LPG-propane-or-butane'!AD11+'[1]BIFUbC-petroleum-diesel'!AD11+'[1]BIFUbC-crude-oil'!AD11+'[1]BIFUbC-heavy-or-residual-oil'!AD11+'[1]BIFUbC-natural-gas'!AD11+'[1]BIFUbC-electricity'!AD11+'[1]BIFUbC-heat'!AD11+'[1]BIFUbC-biomass'!AD11+'[1]BIFUbC-hydrogen'!AF11</f>
        <v>2.4681964901519228E+16</v>
      </c>
      <c r="AE11" s="78">
        <f>'[1]BIFUbC-coal'!AE11+'[1]BIFUbC-LPG-propane-or-butane'!AE11+'[1]BIFUbC-petroleum-diesel'!AE11+'[1]BIFUbC-crude-oil'!AE11+'[1]BIFUbC-heavy-or-residual-oil'!AE11+'[1]BIFUbC-natural-gas'!AE11+'[1]BIFUbC-electricity'!AE11+'[1]BIFUbC-heat'!AE11+'[1]BIFUbC-biomass'!AE11+'[1]BIFUbC-hydrogen'!AG11</f>
        <v>2.4678551220913876E+16</v>
      </c>
      <c r="AF11" s="78">
        <f>'[1]BIFUbC-coal'!AF11+'[1]BIFUbC-LPG-propane-or-butane'!AF11+'[1]BIFUbC-petroleum-diesel'!AF11+'[1]BIFUbC-crude-oil'!AF11+'[1]BIFUbC-heavy-or-residual-oil'!AF11+'[1]BIFUbC-natural-gas'!AF11+'[1]BIFUbC-electricity'!AF11+'[1]BIFUbC-heat'!AF11+'[1]BIFUbC-biomass'!AF11+'[1]BIFUbC-hydrogen'!AH11</f>
        <v>2.467503889095412E+16</v>
      </c>
      <c r="AG11" s="78">
        <f>'[1]BIFUbC-coal'!AG11+'[1]BIFUbC-LPG-propane-or-butane'!AG11+'[1]BIFUbC-petroleum-diesel'!AG11+'[1]BIFUbC-crude-oil'!AG11+'[1]BIFUbC-heavy-or-residual-oil'!AG11+'[1]BIFUbC-natural-gas'!AG11+'[1]BIFUbC-electricity'!AG11+'[1]BIFUbC-heat'!AG11+'[1]BIFUbC-biomass'!AG11+'[1]BIFUbC-hydrogen'!AI11</f>
        <v>2.4671431144303996E+16</v>
      </c>
      <c r="AH11" s="78">
        <f>'[1]BIFUbC-coal'!AH11+'[1]BIFUbC-LPG-propane-or-butane'!AH11+'[1]BIFUbC-petroleum-diesel'!AH11+'[1]BIFUbC-crude-oil'!AH11+'[1]BIFUbC-heavy-or-residual-oil'!AH11+'[1]BIFUbC-natural-gas'!AH11+'[1]BIFUbC-electricity'!AH11+'[1]BIFUbC-heat'!AH11+'[1]BIFUbC-biomass'!AH11+'[1]BIFUbC-hydrogen'!AJ11</f>
        <v>2.4586188255657936E+16</v>
      </c>
      <c r="AI11" s="78">
        <f>'[1]BIFUbC-coal'!AI11+'[1]BIFUbC-LPG-propane-or-butane'!AI11+'[1]BIFUbC-petroleum-diesel'!AI11+'[1]BIFUbC-crude-oil'!AI11+'[1]BIFUbC-heavy-or-residual-oil'!AI11+'[1]BIFUbC-natural-gas'!AI11+'[1]BIFUbC-electricity'!AI11+'[1]BIFUbC-heat'!AI11+'[1]BIFUbC-biomass'!AI11+'[1]BIFUbC-hydrogen'!AK11</f>
        <v>2.4500863476750452E+16</v>
      </c>
      <c r="AJ11" s="78">
        <f>'[1]BIFUbC-coal'!AJ11+'[1]BIFUbC-LPG-propane-or-butane'!AJ11+'[1]BIFUbC-petroleum-diesel'!AJ11+'[1]BIFUbC-crude-oil'!AJ11+'[1]BIFUbC-heavy-or-residual-oil'!AJ11+'[1]BIFUbC-natural-gas'!AJ11+'[1]BIFUbC-electricity'!AJ11+'[1]BIFUbC-heat'!AJ11+'[1]BIFUbC-biomass'!AJ11+'[1]BIFUbC-hydrogen'!AL11</f>
        <v>2.4415460184592724E+16</v>
      </c>
      <c r="AK11" s="78">
        <f>'[1]BIFUbC-coal'!AK11+'[1]BIFUbC-LPG-propane-or-butane'!AK11+'[1]BIFUbC-petroleum-diesel'!AK11+'[1]BIFUbC-crude-oil'!AK11+'[1]BIFUbC-heavy-or-residual-oil'!AK11+'[1]BIFUbC-natural-gas'!AK11+'[1]BIFUbC-electricity'!AK11+'[1]BIFUbC-heat'!AK11+'[1]BIFUbC-biomass'!AK11+'[1]BIFUbC-hydrogen'!AM11</f>
        <v>2.432998179596108E+16</v>
      </c>
      <c r="AL11" s="78">
        <f>'[1]BIFUbC-coal'!AL11+'[1]BIFUbC-LPG-propane-or-butane'!AL11+'[1]BIFUbC-petroleum-diesel'!AL11+'[1]BIFUbC-crude-oil'!AL11+'[1]BIFUbC-heavy-or-residual-oil'!AL11+'[1]BIFUbC-natural-gas'!AL11+'[1]BIFUbC-electricity'!AL11+'[1]BIFUbC-heat'!AL11+'[1]BIFUbC-biomass'!AL11+'[1]BIFUbC-hydrogen'!AN11</f>
        <v>2.4244431763445956E+16</v>
      </c>
      <c r="AM11" s="78">
        <f>'[1]BIFUbC-coal'!AM11+'[1]BIFUbC-LPG-propane-or-butane'!AM11+'[1]BIFUbC-petroleum-diesel'!AM11+'[1]BIFUbC-crude-oil'!AM11+'[1]BIFUbC-heavy-or-residual-oil'!AM11+'[1]BIFUbC-natural-gas'!AM11+'[1]BIFUbC-electricity'!AM11+'[1]BIFUbC-heat'!AM11+'[1]BIFUbC-biomass'!AM11+'[1]BIFUbC-hydrogen'!AO11</f>
        <v>2.4143831585232552E+16</v>
      </c>
      <c r="AN11" s="78">
        <f>'[1]BIFUbC-coal'!AN11+'[1]BIFUbC-LPG-propane-or-butane'!AN11+'[1]BIFUbC-petroleum-diesel'!AN11+'[1]BIFUbC-crude-oil'!AN11+'[1]BIFUbC-heavy-or-residual-oil'!AN11+'[1]BIFUbC-natural-gas'!AN11+'[1]BIFUbC-electricity'!AN11+'[1]BIFUbC-heat'!AN11+'[1]BIFUbC-biomass'!AN11+'[1]BIFUbC-hydrogen'!AP11</f>
        <v>2.4043168030193512E+16</v>
      </c>
      <c r="AO11" s="78">
        <f>'[1]BIFUbC-coal'!AO11+'[1]BIFUbC-LPG-propane-or-butane'!AO11+'[1]BIFUbC-petroleum-diesel'!AO11+'[1]BIFUbC-crude-oil'!AO11+'[1]BIFUbC-heavy-or-residual-oil'!AO11+'[1]BIFUbC-natural-gas'!AO11+'[1]BIFUbC-electricity'!AO11+'[1]BIFUbC-heat'!AO11+'[1]BIFUbC-biomass'!AO11+'[1]BIFUbC-hydrogen'!AQ11</f>
        <v>2.3942444636111704E+16</v>
      </c>
      <c r="AP11" s="78">
        <f>'[1]BIFUbC-coal'!AP11+'[1]BIFUbC-LPG-propane-or-butane'!AP11+'[1]BIFUbC-petroleum-diesel'!AP11+'[1]BIFUbC-crude-oil'!AP11+'[1]BIFUbC-heavy-or-residual-oil'!AP11+'[1]BIFUbC-natural-gas'!AP11+'[1]BIFUbC-electricity'!AP11+'[1]BIFUbC-heat'!AP11+'[1]BIFUbC-biomass'!AP11+'[1]BIFUbC-hydrogen'!AR11</f>
        <v>2.3841664962259248E+16</v>
      </c>
      <c r="AQ11" s="78">
        <f>'[1]BIFUbC-coal'!AQ11+'[1]BIFUbC-LPG-propane-or-butane'!AQ11+'[1]BIFUbC-petroleum-diesel'!AQ11+'[1]BIFUbC-crude-oil'!AQ11+'[1]BIFUbC-heavy-or-residual-oil'!AQ11+'[1]BIFUbC-natural-gas'!AQ11+'[1]BIFUbC-electricity'!AQ11+'[1]BIFUbC-heat'!AQ11+'[1]BIFUbC-biomass'!AQ11+'[1]BIFUbC-hydrogen'!AS11</f>
        <v>2.3735711534059384E+16</v>
      </c>
    </row>
    <row r="12" spans="1:43" s="77" customFormat="1" x14ac:dyDescent="0.2">
      <c r="A12" s="77" t="s">
        <v>42</v>
      </c>
      <c r="B12" s="78">
        <f>'[1]BIFUbC-coal'!B12+'[1]BIFUbC-LPG-propane-or-butane'!B12+'[1]BIFUbC-petroleum-diesel'!B12+'[1]BIFUbC-crude-oil'!B12+'[1]BIFUbC-heavy-or-residual-oil'!B12+'[1]BIFUbC-natural-gas'!B12+'[1]BIFUbC-electricity'!B12+'[1]BIFUbC-heat'!B12+'[1]BIFUbC-biomass'!B12+'[1]BIFUbC-hydrogen'!D12</f>
        <v>645211326511539</v>
      </c>
      <c r="C12" s="78">
        <f>'[1]BIFUbC-coal'!C12+'[1]BIFUbC-LPG-propane-or-butane'!C12+'[1]BIFUbC-petroleum-diesel'!C12+'[1]BIFUbC-crude-oil'!C12+'[1]BIFUbC-heavy-or-residual-oil'!C12+'[1]BIFUbC-natural-gas'!C12+'[1]BIFUbC-electricity'!C12+'[1]BIFUbC-heat'!C12+'[1]BIFUbC-biomass'!C12+'[1]BIFUbC-hydrogen'!E12</f>
        <v>659795827134432</v>
      </c>
      <c r="D12" s="78">
        <f>'[1]BIFUbC-coal'!D12+'[1]BIFUbC-LPG-propane-or-butane'!D12+'[1]BIFUbC-petroleum-diesel'!D12+'[1]BIFUbC-crude-oil'!D12+'[1]BIFUbC-heavy-or-residual-oil'!D12+'[1]BIFUbC-natural-gas'!D12+'[1]BIFUbC-electricity'!D12+'[1]BIFUbC-heat'!D12+'[1]BIFUbC-biomass'!D12+'[1]BIFUbC-hydrogen'!F12</f>
        <v>729886745200648.38</v>
      </c>
      <c r="E12" s="78">
        <f>'[1]BIFUbC-coal'!E12+'[1]BIFUbC-LPG-propane-or-butane'!E12+'[1]BIFUbC-petroleum-diesel'!E12+'[1]BIFUbC-crude-oil'!E12+'[1]BIFUbC-heavy-or-residual-oil'!E12+'[1]BIFUbC-natural-gas'!E12+'[1]BIFUbC-electricity'!E12+'[1]BIFUbC-heat'!E12+'[1]BIFUbC-biomass'!E12+'[1]BIFUbC-hydrogen'!G12</f>
        <v>727950817409482.38</v>
      </c>
      <c r="F12" s="78">
        <f>'[1]BIFUbC-coal'!F12+'[1]BIFUbC-LPG-propane-or-butane'!F12+'[1]BIFUbC-petroleum-diesel'!F12+'[1]BIFUbC-crude-oil'!F12+'[1]BIFUbC-heavy-or-residual-oil'!F12+'[1]BIFUbC-natural-gas'!F12+'[1]BIFUbC-electricity'!F12+'[1]BIFUbC-heat'!F12+'[1]BIFUbC-biomass'!F12+'[1]BIFUbC-hydrogen'!H12</f>
        <v>756983095291253</v>
      </c>
      <c r="G12" s="78">
        <f>'[1]BIFUbC-coal'!G12+'[1]BIFUbC-LPG-propane-or-butane'!G12+'[1]BIFUbC-petroleum-diesel'!G12+'[1]BIFUbC-crude-oil'!G12+'[1]BIFUbC-heavy-or-residual-oil'!G12+'[1]BIFUbC-natural-gas'!G12+'[1]BIFUbC-electricity'!G12+'[1]BIFUbC-heat'!G12+'[1]BIFUbC-biomass'!G12+'[1]BIFUbC-hydrogen'!I12</f>
        <v>781967769370204.13</v>
      </c>
      <c r="H12" s="78">
        <f>'[1]BIFUbC-coal'!H12+'[1]BIFUbC-LPG-propane-or-butane'!H12+'[1]BIFUbC-petroleum-diesel'!H12+'[1]BIFUbC-crude-oil'!H12+'[1]BIFUbC-heavy-or-residual-oil'!H12+'[1]BIFUbC-natural-gas'!H12+'[1]BIFUbC-electricity'!H12+'[1]BIFUbC-heat'!H12+'[1]BIFUbC-biomass'!H12+'[1]BIFUbC-hydrogen'!J12</f>
        <v>813295754457619.13</v>
      </c>
      <c r="I12" s="78">
        <f>'[1]BIFUbC-coal'!I12+'[1]BIFUbC-LPG-propane-or-butane'!I12+'[1]BIFUbC-petroleum-diesel'!I12+'[1]BIFUbC-crude-oil'!I12+'[1]BIFUbC-heavy-or-residual-oil'!I12+'[1]BIFUbC-natural-gas'!I12+'[1]BIFUbC-electricity'!I12+'[1]BIFUbC-heat'!I12+'[1]BIFUbC-biomass'!I12+'[1]BIFUbC-hydrogen'!K12</f>
        <v>843760424708551.38</v>
      </c>
      <c r="J12" s="78">
        <f>'[1]BIFUbC-coal'!J12+'[1]BIFUbC-LPG-propane-or-butane'!J12+'[1]BIFUbC-petroleum-diesel'!J12+'[1]BIFUbC-crude-oil'!J12+'[1]BIFUbC-heavy-or-residual-oil'!J12+'[1]BIFUbC-natural-gas'!J12+'[1]BIFUbC-electricity'!J12+'[1]BIFUbC-heat'!J12+'[1]BIFUbC-biomass'!J12+'[1]BIFUbC-hydrogen'!L12</f>
        <v>869814664442046.63</v>
      </c>
      <c r="K12" s="78">
        <f>'[1]BIFUbC-coal'!K12+'[1]BIFUbC-LPG-propane-or-butane'!K12+'[1]BIFUbC-petroleum-diesel'!K12+'[1]BIFUbC-crude-oil'!K12+'[1]BIFUbC-heavy-or-residual-oil'!K12+'[1]BIFUbC-natural-gas'!K12+'[1]BIFUbC-electricity'!K12+'[1]BIFUbC-heat'!K12+'[1]BIFUbC-biomass'!K12+'[1]BIFUbC-hydrogen'!M12</f>
        <v>891041974005051.63</v>
      </c>
      <c r="L12" s="78">
        <f>'[1]BIFUbC-coal'!L12+'[1]BIFUbC-LPG-propane-or-butane'!L12+'[1]BIFUbC-petroleum-diesel'!L12+'[1]BIFUbC-crude-oil'!L12+'[1]BIFUbC-heavy-or-residual-oil'!L12+'[1]BIFUbC-natural-gas'!L12+'[1]BIFUbC-electricity'!L12+'[1]BIFUbC-heat'!L12+'[1]BIFUbC-biomass'!L12+'[1]BIFUbC-hydrogen'!N12</f>
        <v>907110930722856.75</v>
      </c>
      <c r="M12" s="78">
        <f>'[1]BIFUbC-coal'!M12+'[1]BIFUbC-LPG-propane-or-butane'!M12+'[1]BIFUbC-petroleum-diesel'!M12+'[1]BIFUbC-crude-oil'!M12+'[1]BIFUbC-heavy-or-residual-oil'!M12+'[1]BIFUbC-natural-gas'!M12+'[1]BIFUbC-electricity'!M12+'[1]BIFUbC-heat'!M12+'[1]BIFUbC-biomass'!M12+'[1]BIFUbC-hydrogen'!O12</f>
        <v>917783772120401.5</v>
      </c>
      <c r="N12" s="78">
        <f>'[1]BIFUbC-coal'!N12+'[1]BIFUbC-LPG-propane-or-butane'!N12+'[1]BIFUbC-petroleum-diesel'!N12+'[1]BIFUbC-crude-oil'!N12+'[1]BIFUbC-heavy-or-residual-oil'!N12+'[1]BIFUbC-natural-gas'!N12+'[1]BIFUbC-electricity'!N12+'[1]BIFUbC-heat'!N12+'[1]BIFUbC-biomass'!N12+'[1]BIFUbC-hydrogen'!P12</f>
        <v>923197049503066.63</v>
      </c>
      <c r="O12" s="78">
        <f>'[1]BIFUbC-coal'!O12+'[1]BIFUbC-LPG-propane-or-butane'!O12+'[1]BIFUbC-petroleum-diesel'!O12+'[1]BIFUbC-crude-oil'!O12+'[1]BIFUbC-heavy-or-residual-oil'!O12+'[1]BIFUbC-natural-gas'!O12+'[1]BIFUbC-electricity'!O12+'[1]BIFUbC-heat'!O12+'[1]BIFUbC-biomass'!O12+'[1]BIFUbC-hydrogen'!Q12</f>
        <v>924133579567597</v>
      </c>
      <c r="P12" s="78">
        <f>'[1]BIFUbC-coal'!P12+'[1]BIFUbC-LPG-propane-or-butane'!P12+'[1]BIFUbC-petroleum-diesel'!P12+'[1]BIFUbC-crude-oil'!P12+'[1]BIFUbC-heavy-or-residual-oil'!P12+'[1]BIFUbC-natural-gas'!P12+'[1]BIFUbC-electricity'!P12+'[1]BIFUbC-heat'!P12+'[1]BIFUbC-biomass'!P12+'[1]BIFUbC-hydrogen'!R12</f>
        <v>921728507139211.13</v>
      </c>
      <c r="Q12" s="78">
        <f>'[1]BIFUbC-coal'!Q12+'[1]BIFUbC-LPG-propane-or-butane'!Q12+'[1]BIFUbC-petroleum-diesel'!Q12+'[1]BIFUbC-crude-oil'!Q12+'[1]BIFUbC-heavy-or-residual-oil'!Q12+'[1]BIFUbC-natural-gas'!Q12+'[1]BIFUbC-electricity'!Q12+'[1]BIFUbC-heat'!Q12+'[1]BIFUbC-biomass'!Q12+'[1]BIFUbC-hydrogen'!S12</f>
        <v>917150966260008.88</v>
      </c>
      <c r="R12" s="78">
        <f>'[1]BIFUbC-coal'!R12+'[1]BIFUbC-LPG-propane-or-butane'!R12+'[1]BIFUbC-petroleum-diesel'!R12+'[1]BIFUbC-crude-oil'!R12+'[1]BIFUbC-heavy-or-residual-oil'!R12+'[1]BIFUbC-natural-gas'!R12+'[1]BIFUbC-electricity'!R12+'[1]BIFUbC-heat'!R12+'[1]BIFUbC-biomass'!R12+'[1]BIFUbC-hydrogen'!T12</f>
        <v>911569512049365.88</v>
      </c>
      <c r="S12" s="78">
        <f>'[1]BIFUbC-coal'!S12+'[1]BIFUbC-LPG-propane-or-butane'!S12+'[1]BIFUbC-petroleum-diesel'!S12+'[1]BIFUbC-crude-oil'!S12+'[1]BIFUbC-heavy-or-residual-oil'!S12+'[1]BIFUbC-natural-gas'!S12+'[1]BIFUbC-electricity'!S12+'[1]BIFUbC-heat'!S12+'[1]BIFUbC-biomass'!S12+'[1]BIFUbC-hydrogen'!U12</f>
        <v>906066169497983.63</v>
      </c>
      <c r="T12" s="78">
        <f>'[1]BIFUbC-coal'!T12+'[1]BIFUbC-LPG-propane-or-butane'!T12+'[1]BIFUbC-petroleum-diesel'!T12+'[1]BIFUbC-crude-oil'!T12+'[1]BIFUbC-heavy-or-residual-oil'!T12+'[1]BIFUbC-natural-gas'!T12+'[1]BIFUbC-electricity'!T12+'[1]BIFUbC-heat'!T12+'[1]BIFUbC-biomass'!T12+'[1]BIFUbC-hydrogen'!V12</f>
        <v>900714203154074.88</v>
      </c>
      <c r="U12" s="78">
        <f>'[1]BIFUbC-coal'!U12+'[1]BIFUbC-LPG-propane-or-butane'!U12+'[1]BIFUbC-petroleum-diesel'!U12+'[1]BIFUbC-crude-oil'!U12+'[1]BIFUbC-heavy-or-residual-oil'!U12+'[1]BIFUbC-natural-gas'!U12+'[1]BIFUbC-electricity'!U12+'[1]BIFUbC-heat'!U12+'[1]BIFUbC-biomass'!U12+'[1]BIFUbC-hydrogen'!W12</f>
        <v>895519951715333.88</v>
      </c>
      <c r="V12" s="78">
        <f>'[1]BIFUbC-coal'!V12+'[1]BIFUbC-LPG-propane-or-butane'!V12+'[1]BIFUbC-petroleum-diesel'!V12+'[1]BIFUbC-crude-oil'!V12+'[1]BIFUbC-heavy-or-residual-oil'!V12+'[1]BIFUbC-natural-gas'!V12+'[1]BIFUbC-electricity'!V12+'[1]BIFUbC-heat'!V12+'[1]BIFUbC-biomass'!V12+'[1]BIFUbC-hydrogen'!X12</f>
        <v>890489631317130</v>
      </c>
      <c r="W12" s="78">
        <f>'[1]BIFUbC-coal'!W12+'[1]BIFUbC-LPG-propane-or-butane'!W12+'[1]BIFUbC-petroleum-diesel'!W12+'[1]BIFUbC-crude-oil'!W12+'[1]BIFUbC-heavy-or-residual-oil'!W12+'[1]BIFUbC-natural-gas'!W12+'[1]BIFUbC-electricity'!W12+'[1]BIFUbC-heat'!W12+'[1]BIFUbC-biomass'!W12+'[1]BIFUbC-hydrogen'!Y12</f>
        <v>885629349125286.5</v>
      </c>
      <c r="X12" s="78">
        <f>'[1]BIFUbC-coal'!X12+'[1]BIFUbC-LPG-propane-or-butane'!X12+'[1]BIFUbC-petroleum-diesel'!X12+'[1]BIFUbC-crude-oil'!X12+'[1]BIFUbC-heavy-or-residual-oil'!X12+'[1]BIFUbC-natural-gas'!X12+'[1]BIFUbC-electricity'!X12+'[1]BIFUbC-heat'!X12+'[1]BIFUbC-biomass'!X12+'[1]BIFUbC-hydrogen'!Z12</f>
        <v>880945117362449.13</v>
      </c>
      <c r="Y12" s="78">
        <f>'[1]BIFUbC-coal'!Y12+'[1]BIFUbC-LPG-propane-or-butane'!Y12+'[1]BIFUbC-petroleum-diesel'!Y12+'[1]BIFUbC-crude-oil'!Y12+'[1]BIFUbC-heavy-or-residual-oil'!Y12+'[1]BIFUbC-natural-gas'!Y12+'[1]BIFUbC-electricity'!Y12+'[1]BIFUbC-heat'!Y12+'[1]BIFUbC-biomass'!Y12+'[1]BIFUbC-hydrogen'!AA12</f>
        <v>876442867763954.13</v>
      </c>
      <c r="Z12" s="78">
        <f>'[1]BIFUbC-coal'!Z12+'[1]BIFUbC-LPG-propane-or-butane'!Z12+'[1]BIFUbC-petroleum-diesel'!Z12+'[1]BIFUbC-crude-oil'!Z12+'[1]BIFUbC-heavy-or-residual-oil'!Z12+'[1]BIFUbC-natural-gas'!Z12+'[1]BIFUbC-electricity'!Z12+'[1]BIFUbC-heat'!Z12+'[1]BIFUbC-biomass'!Z12+'[1]BIFUbC-hydrogen'!AB12</f>
        <v>872128466462479.75</v>
      </c>
      <c r="AA12" s="78">
        <f>'[1]BIFUbC-coal'!AA12+'[1]BIFUbC-LPG-propane-or-butane'!AA12+'[1]BIFUbC-petroleum-diesel'!AA12+'[1]BIFUbC-crude-oil'!AA12+'[1]BIFUbC-heavy-or-residual-oil'!AA12+'[1]BIFUbC-natural-gas'!AA12+'[1]BIFUbC-electricity'!AA12+'[1]BIFUbC-heat'!AA12+'[1]BIFUbC-biomass'!AA12+'[1]BIFUbC-hydrogen'!AC12</f>
        <v>868007729304258.5</v>
      </c>
      <c r="AB12" s="78">
        <f>'[1]BIFUbC-coal'!AB12+'[1]BIFUbC-LPG-propane-or-butane'!AB12+'[1]BIFUbC-petroleum-diesel'!AB12+'[1]BIFUbC-crude-oil'!AB12+'[1]BIFUbC-heavy-or-residual-oil'!AB12+'[1]BIFUbC-natural-gas'!AB12+'[1]BIFUbC-electricity'!AB12+'[1]BIFUbC-heat'!AB12+'[1]BIFUbC-biomass'!AB12+'[1]BIFUbC-hydrogen'!AD12</f>
        <v>864086437603184.38</v>
      </c>
      <c r="AC12" s="78">
        <f>'[1]BIFUbC-coal'!AC12+'[1]BIFUbC-LPG-propane-or-butane'!AC12+'[1]BIFUbC-petroleum-diesel'!AC12+'[1]BIFUbC-crude-oil'!AC12+'[1]BIFUbC-heavy-or-residual-oil'!AC12+'[1]BIFUbC-natural-gas'!AC12+'[1]BIFUbC-electricity'!AC12+'[1]BIFUbC-heat'!AC12+'[1]BIFUbC-biomass'!AC12+'[1]BIFUbC-hydrogen'!AE12</f>
        <v>860370354342829.38</v>
      </c>
      <c r="AD12" s="78">
        <f>'[1]BIFUbC-coal'!AD12+'[1]BIFUbC-LPG-propane-or-butane'!AD12+'[1]BIFUbC-petroleum-diesel'!AD12+'[1]BIFUbC-crude-oil'!AD12+'[1]BIFUbC-heavy-or-residual-oil'!AD12+'[1]BIFUbC-natural-gas'!AD12+'[1]BIFUbC-electricity'!AD12+'[1]BIFUbC-heat'!AD12+'[1]BIFUbC-biomass'!AD12+'[1]BIFUbC-hydrogen'!AF12</f>
        <v>856865240840204.13</v>
      </c>
      <c r="AE12" s="78">
        <f>'[1]BIFUbC-coal'!AE12+'[1]BIFUbC-LPG-propane-or-butane'!AE12+'[1]BIFUbC-petroleum-diesel'!AE12+'[1]BIFUbC-crude-oil'!AE12+'[1]BIFUbC-heavy-or-residual-oil'!AE12+'[1]BIFUbC-natural-gas'!AE12+'[1]BIFUbC-electricity'!AE12+'[1]BIFUbC-heat'!AE12+'[1]BIFUbC-biomass'!AE12+'[1]BIFUbC-hydrogen'!AG12</f>
        <v>853576873889026.88</v>
      </c>
      <c r="AF12" s="78">
        <f>'[1]BIFUbC-coal'!AF12+'[1]BIFUbC-LPG-propane-or-butane'!AF12+'[1]BIFUbC-petroleum-diesel'!AF12+'[1]BIFUbC-crude-oil'!AF12+'[1]BIFUbC-heavy-or-residual-oil'!AF12+'[1]BIFUbC-natural-gas'!AF12+'[1]BIFUbC-electricity'!AF12+'[1]BIFUbC-heat'!AF12+'[1]BIFUbC-biomass'!AF12+'[1]BIFUbC-hydrogen'!AH12</f>
        <v>850511063404306.5</v>
      </c>
      <c r="AG12" s="78">
        <f>'[1]BIFUbC-coal'!AG12+'[1]BIFUbC-LPG-propane-or-butane'!AG12+'[1]BIFUbC-petroleum-diesel'!AG12+'[1]BIFUbC-crude-oil'!AG12+'[1]BIFUbC-heavy-or-residual-oil'!AG12+'[1]BIFUbC-natural-gas'!AG12+'[1]BIFUbC-electricity'!AG12+'[1]BIFUbC-heat'!AG12+'[1]BIFUbC-biomass'!AG12+'[1]BIFUbC-hydrogen'!AI12</f>
        <v>847673670594290.5</v>
      </c>
      <c r="AH12" s="78">
        <f>'[1]BIFUbC-coal'!AH12+'[1]BIFUbC-LPG-propane-or-butane'!AH12+'[1]BIFUbC-petroleum-diesel'!AH12+'[1]BIFUbC-crude-oil'!AH12+'[1]BIFUbC-heavy-or-residual-oil'!AH12+'[1]BIFUbC-natural-gas'!AH12+'[1]BIFUbC-electricity'!AH12+'[1]BIFUbC-heat'!AH12+'[1]BIFUbC-biomass'!AH12+'[1]BIFUbC-hydrogen'!AJ12</f>
        <v>845070626690214.88</v>
      </c>
      <c r="AI12" s="78">
        <f>'[1]BIFUbC-coal'!AI12+'[1]BIFUbC-LPG-propane-or-butane'!AI12+'[1]BIFUbC-petroleum-diesel'!AI12+'[1]BIFUbC-crude-oil'!AI12+'[1]BIFUbC-heavy-or-residual-oil'!AI12+'[1]BIFUbC-natural-gas'!AI12+'[1]BIFUbC-electricity'!AI12+'[1]BIFUbC-heat'!AI12+'[1]BIFUbC-biomass'!AI12+'[1]BIFUbC-hydrogen'!AK12</f>
        <v>842707952268885</v>
      </c>
      <c r="AJ12" s="78">
        <f>'[1]BIFUbC-coal'!AJ12+'[1]BIFUbC-LPG-propane-or-butane'!AJ12+'[1]BIFUbC-petroleum-diesel'!AJ12+'[1]BIFUbC-crude-oil'!AJ12+'[1]BIFUbC-heavy-or-residual-oil'!AJ12+'[1]BIFUbC-natural-gas'!AJ12+'[1]BIFUbC-electricity'!AJ12+'[1]BIFUbC-heat'!AJ12+'[1]BIFUbC-biomass'!AJ12+'[1]BIFUbC-hydrogen'!AL12</f>
        <v>840591777207877.25</v>
      </c>
      <c r="AK12" s="78">
        <f>'[1]BIFUbC-coal'!AK12+'[1]BIFUbC-LPG-propane-or-butane'!AK12+'[1]BIFUbC-petroleum-diesel'!AK12+'[1]BIFUbC-crude-oil'!AK12+'[1]BIFUbC-heavy-or-residual-oil'!AK12+'[1]BIFUbC-natural-gas'!AK12+'[1]BIFUbC-electricity'!AK12+'[1]BIFUbC-heat'!AK12+'[1]BIFUbC-biomass'!AK12+'[1]BIFUbC-hydrogen'!AM12</f>
        <v>838728361318192.13</v>
      </c>
      <c r="AL12" s="78">
        <f>'[1]BIFUbC-coal'!AL12+'[1]BIFUbC-LPG-propane-or-butane'!AL12+'[1]BIFUbC-petroleum-diesel'!AL12+'[1]BIFUbC-crude-oil'!AL12+'[1]BIFUbC-heavy-or-residual-oil'!AL12+'[1]BIFUbC-natural-gas'!AL12+'[1]BIFUbC-electricity'!AL12+'[1]BIFUbC-heat'!AL12+'[1]BIFUbC-biomass'!AL12+'[1]BIFUbC-hydrogen'!AN12</f>
        <v>837124115704479.38</v>
      </c>
      <c r="AM12" s="78">
        <f>'[1]BIFUbC-coal'!AM12+'[1]BIFUbC-LPG-propane-or-butane'!AM12+'[1]BIFUbC-petroleum-diesel'!AM12+'[1]BIFUbC-crude-oil'!AM12+'[1]BIFUbC-heavy-or-residual-oil'!AM12+'[1]BIFUbC-natural-gas'!AM12+'[1]BIFUbC-electricity'!AM12+'[1]BIFUbC-heat'!AM12+'[1]BIFUbC-biomass'!AM12+'[1]BIFUbC-hydrogen'!AO12</f>
        <v>835785624908506.75</v>
      </c>
      <c r="AN12" s="78">
        <f>'[1]BIFUbC-coal'!AN12+'[1]BIFUbC-LPG-propane-or-butane'!AN12+'[1]BIFUbC-petroleum-diesel'!AN12+'[1]BIFUbC-crude-oil'!AN12+'[1]BIFUbC-heavy-or-residual-oil'!AN12+'[1]BIFUbC-natural-gas'!AN12+'[1]BIFUbC-electricity'!AN12+'[1]BIFUbC-heat'!AN12+'[1]BIFUbC-biomass'!AN12+'[1]BIFUbC-hydrogen'!AP12</f>
        <v>834719669897446.63</v>
      </c>
      <c r="AO12" s="78">
        <f>'[1]BIFUbC-coal'!AO12+'[1]BIFUbC-LPG-propane-or-butane'!AO12+'[1]BIFUbC-petroleum-diesel'!AO12+'[1]BIFUbC-crude-oil'!AO12+'[1]BIFUbC-heavy-or-residual-oil'!AO12+'[1]BIFUbC-natural-gas'!AO12+'[1]BIFUbC-electricity'!AO12+'[1]BIFUbC-heat'!AO12+'[1]BIFUbC-biomass'!AO12+'[1]BIFUbC-hydrogen'!AQ12</f>
        <v>833933251964773.13</v>
      </c>
      <c r="AP12" s="78">
        <f>'[1]BIFUbC-coal'!AP12+'[1]BIFUbC-LPG-propane-or-butane'!AP12+'[1]BIFUbC-petroleum-diesel'!AP12+'[1]BIFUbC-crude-oil'!AP12+'[1]BIFUbC-heavy-or-residual-oil'!AP12+'[1]BIFUbC-natural-gas'!AP12+'[1]BIFUbC-electricity'!AP12+'[1]BIFUbC-heat'!AP12+'[1]BIFUbC-biomass'!AP12+'[1]BIFUbC-hydrogen'!AR12</f>
        <v>833433617618212.38</v>
      </c>
      <c r="AQ12" s="78">
        <f>'[1]BIFUbC-coal'!AQ12+'[1]BIFUbC-LPG-propane-or-butane'!AQ12+'[1]BIFUbC-petroleum-diesel'!AQ12+'[1]BIFUbC-crude-oil'!AQ12+'[1]BIFUbC-heavy-or-residual-oil'!AQ12+'[1]BIFUbC-natural-gas'!AQ12+'[1]BIFUbC-electricity'!AQ12+'[1]BIFUbC-heat'!AQ12+'[1]BIFUbC-biomass'!AQ12+'[1]BIFUbC-hydrogen'!AS12</f>
        <v>832950267625993.25</v>
      </c>
    </row>
    <row r="13" spans="1:43" s="77" customFormat="1" x14ac:dyDescent="0.2">
      <c r="A13" s="77" t="s">
        <v>43</v>
      </c>
      <c r="B13" s="78">
        <f>'[1]BIFUbC-coal'!B13+'[1]BIFUbC-LPG-propane-or-butane'!B13+'[1]BIFUbC-petroleum-diesel'!B13+'[1]BIFUbC-crude-oil'!B13+'[1]BIFUbC-heavy-or-residual-oil'!B13+'[1]BIFUbC-natural-gas'!B13+'[1]BIFUbC-electricity'!B13+'[1]BIFUbC-heat'!B13+'[1]BIFUbC-biomass'!B13+'[1]BIFUbC-hydrogen'!D13</f>
        <v>236974400169641.38</v>
      </c>
      <c r="C13" s="78">
        <f>'[1]BIFUbC-coal'!C13+'[1]BIFUbC-LPG-propane-or-butane'!C13+'[1]BIFUbC-petroleum-diesel'!C13+'[1]BIFUbC-crude-oil'!C13+'[1]BIFUbC-heavy-or-residual-oil'!C13+'[1]BIFUbC-natural-gas'!C13+'[1]BIFUbC-electricity'!C13+'[1]BIFUbC-heat'!C13+'[1]BIFUbC-biomass'!C13+'[1]BIFUbC-hydrogen'!E13</f>
        <v>221106833331857.81</v>
      </c>
      <c r="D13" s="78">
        <f>'[1]BIFUbC-coal'!D13+'[1]BIFUbC-LPG-propane-or-butane'!D13+'[1]BIFUbC-petroleum-diesel'!D13+'[1]BIFUbC-crude-oil'!D13+'[1]BIFUbC-heavy-or-residual-oil'!D13+'[1]BIFUbC-natural-gas'!D13+'[1]BIFUbC-electricity'!D13+'[1]BIFUbC-heat'!D13+'[1]BIFUbC-biomass'!D13+'[1]BIFUbC-hydrogen'!F13</f>
        <v>259092324780144.06</v>
      </c>
      <c r="E13" s="78">
        <f>'[1]BIFUbC-coal'!E13+'[1]BIFUbC-LPG-propane-or-butane'!E13+'[1]BIFUbC-petroleum-diesel'!E13+'[1]BIFUbC-crude-oil'!E13+'[1]BIFUbC-heavy-or-residual-oil'!E13+'[1]BIFUbC-natural-gas'!E13+'[1]BIFUbC-electricity'!E13+'[1]BIFUbC-heat'!E13+'[1]BIFUbC-biomass'!E13+'[1]BIFUbC-hydrogen'!G13</f>
        <v>272615104481473.03</v>
      </c>
      <c r="F13" s="78">
        <f>'[1]BIFUbC-coal'!F13+'[1]BIFUbC-LPG-propane-or-butane'!F13+'[1]BIFUbC-petroleum-diesel'!F13+'[1]BIFUbC-crude-oil'!F13+'[1]BIFUbC-heavy-or-residual-oil'!F13+'[1]BIFUbC-natural-gas'!F13+'[1]BIFUbC-electricity'!F13+'[1]BIFUbC-heat'!F13+'[1]BIFUbC-biomass'!F13+'[1]BIFUbC-hydrogen'!H13</f>
        <v>285848678468991.94</v>
      </c>
      <c r="G13" s="78">
        <f>'[1]BIFUbC-coal'!G13+'[1]BIFUbC-LPG-propane-or-butane'!G13+'[1]BIFUbC-petroleum-diesel'!G13+'[1]BIFUbC-crude-oil'!G13+'[1]BIFUbC-heavy-or-residual-oil'!G13+'[1]BIFUbC-natural-gas'!G13+'[1]BIFUbC-electricity'!G13+'[1]BIFUbC-heat'!G13+'[1]BIFUbC-biomass'!G13+'[1]BIFUbC-hydrogen'!I13</f>
        <v>301254273442928.13</v>
      </c>
      <c r="H13" s="78">
        <f>'[1]BIFUbC-coal'!H13+'[1]BIFUbC-LPG-propane-or-butane'!H13+'[1]BIFUbC-petroleum-diesel'!H13+'[1]BIFUbC-crude-oil'!H13+'[1]BIFUbC-heavy-or-residual-oil'!H13+'[1]BIFUbC-natural-gas'!H13+'[1]BIFUbC-electricity'!H13+'[1]BIFUbC-heat'!H13+'[1]BIFUbC-biomass'!H13+'[1]BIFUbC-hydrogen'!J13</f>
        <v>320802209600627.56</v>
      </c>
      <c r="I13" s="78">
        <f>'[1]BIFUbC-coal'!I13+'[1]BIFUbC-LPG-propane-or-butane'!I13+'[1]BIFUbC-petroleum-diesel'!I13+'[1]BIFUbC-crude-oil'!I13+'[1]BIFUbC-heavy-or-residual-oil'!I13+'[1]BIFUbC-natural-gas'!I13+'[1]BIFUbC-electricity'!I13+'[1]BIFUbC-heat'!I13+'[1]BIFUbC-biomass'!I13+'[1]BIFUbC-hydrogen'!K13</f>
        <v>339800571787824.63</v>
      </c>
      <c r="J13" s="78">
        <f>'[1]BIFUbC-coal'!J13+'[1]BIFUbC-LPG-propane-or-butane'!J13+'[1]BIFUbC-petroleum-diesel'!J13+'[1]BIFUbC-crude-oil'!J13+'[1]BIFUbC-heavy-or-residual-oil'!J13+'[1]BIFUbC-natural-gas'!J13+'[1]BIFUbC-electricity'!J13+'[1]BIFUbC-heat'!J13+'[1]BIFUbC-biomass'!J13+'[1]BIFUbC-hydrogen'!L13</f>
        <v>356647150852462.25</v>
      </c>
      <c r="K13" s="78">
        <f>'[1]BIFUbC-coal'!K13+'[1]BIFUbC-LPG-propane-or-butane'!K13+'[1]BIFUbC-petroleum-diesel'!K13+'[1]BIFUbC-crude-oil'!K13+'[1]BIFUbC-heavy-or-residual-oil'!K13+'[1]BIFUbC-natural-gas'!K13+'[1]BIFUbC-electricity'!K13+'[1]BIFUbC-heat'!K13+'[1]BIFUbC-biomass'!K13+'[1]BIFUbC-hydrogen'!M13</f>
        <v>371552624196572.81</v>
      </c>
      <c r="L13" s="78">
        <f>'[1]BIFUbC-coal'!L13+'[1]BIFUbC-LPG-propane-or-butane'!L13+'[1]BIFUbC-petroleum-diesel'!L13+'[1]BIFUbC-crude-oil'!L13+'[1]BIFUbC-heavy-or-residual-oil'!L13+'[1]BIFUbC-natural-gas'!L13+'[1]BIFUbC-electricity'!L13+'[1]BIFUbC-heat'!L13+'[1]BIFUbC-biomass'!L13+'[1]BIFUbC-hydrogen'!N13</f>
        <v>384864495808881.06</v>
      </c>
      <c r="M13" s="78">
        <f>'[1]BIFUbC-coal'!M13+'[1]BIFUbC-LPG-propane-or-butane'!M13+'[1]BIFUbC-petroleum-diesel'!M13+'[1]BIFUbC-crude-oil'!M13+'[1]BIFUbC-heavy-or-residual-oil'!M13+'[1]BIFUbC-natural-gas'!M13+'[1]BIFUbC-electricity'!M13+'[1]BIFUbC-heat'!M13+'[1]BIFUbC-biomass'!M13+'[1]BIFUbC-hydrogen'!O13</f>
        <v>397045545135283.56</v>
      </c>
      <c r="N13" s="78">
        <f>'[1]BIFUbC-coal'!N13+'[1]BIFUbC-LPG-propane-or-butane'!N13+'[1]BIFUbC-petroleum-diesel'!N13+'[1]BIFUbC-crude-oil'!N13+'[1]BIFUbC-heavy-or-residual-oil'!N13+'[1]BIFUbC-natural-gas'!N13+'[1]BIFUbC-electricity'!N13+'[1]BIFUbC-heat'!N13+'[1]BIFUbC-biomass'!N13+'[1]BIFUbC-hydrogen'!P13</f>
        <v>408610075725215.38</v>
      </c>
      <c r="O13" s="78">
        <f>'[1]BIFUbC-coal'!O13+'[1]BIFUbC-LPG-propane-or-butane'!O13+'[1]BIFUbC-petroleum-diesel'!O13+'[1]BIFUbC-crude-oil'!O13+'[1]BIFUbC-heavy-or-residual-oil'!O13+'[1]BIFUbC-natural-gas'!O13+'[1]BIFUbC-electricity'!O13+'[1]BIFUbC-heat'!O13+'[1]BIFUbC-biomass'!O13+'[1]BIFUbC-hydrogen'!Q13</f>
        <v>419714990152378.94</v>
      </c>
      <c r="P13" s="78">
        <f>'[1]BIFUbC-coal'!P13+'[1]BIFUbC-LPG-propane-or-butane'!P13+'[1]BIFUbC-petroleum-diesel'!P13+'[1]BIFUbC-crude-oil'!P13+'[1]BIFUbC-heavy-or-residual-oil'!P13+'[1]BIFUbC-natural-gas'!P13+'[1]BIFUbC-electricity'!P13+'[1]BIFUbC-heat'!P13+'[1]BIFUbC-biomass'!P13+'[1]BIFUbC-hydrogen'!R13</f>
        <v>430496091951709</v>
      </c>
      <c r="Q13" s="78">
        <f>'[1]BIFUbC-coal'!Q13+'[1]BIFUbC-LPG-propane-or-butane'!Q13+'[1]BIFUbC-petroleum-diesel'!Q13+'[1]BIFUbC-crude-oil'!Q13+'[1]BIFUbC-heavy-or-residual-oil'!Q13+'[1]BIFUbC-natural-gas'!Q13+'[1]BIFUbC-electricity'!Q13+'[1]BIFUbC-heat'!Q13+'[1]BIFUbC-biomass'!Q13+'[1]BIFUbC-hydrogen'!S13</f>
        <v>441109010741945.25</v>
      </c>
      <c r="R13" s="78">
        <f>'[1]BIFUbC-coal'!R13+'[1]BIFUbC-LPG-propane-or-butane'!R13+'[1]BIFUbC-petroleum-diesel'!R13+'[1]BIFUbC-crude-oil'!R13+'[1]BIFUbC-heavy-or-residual-oil'!R13+'[1]BIFUbC-natural-gas'!R13+'[1]BIFUbC-electricity'!R13+'[1]BIFUbC-heat'!R13+'[1]BIFUbC-biomass'!R13+'[1]BIFUbC-hydrogen'!T13</f>
        <v>451728288194680.69</v>
      </c>
      <c r="S13" s="78">
        <f>'[1]BIFUbC-coal'!S13+'[1]BIFUbC-LPG-propane-or-butane'!S13+'[1]BIFUbC-petroleum-diesel'!S13+'[1]BIFUbC-crude-oil'!S13+'[1]BIFUbC-heavy-or-residual-oil'!S13+'[1]BIFUbC-natural-gas'!S13+'[1]BIFUbC-electricity'!S13+'[1]BIFUbC-heat'!S13+'[1]BIFUbC-biomass'!S13+'[1]BIFUbC-hydrogen'!U13</f>
        <v>462569105867354.44</v>
      </c>
      <c r="T13" s="78">
        <f>'[1]BIFUbC-coal'!T13+'[1]BIFUbC-LPG-propane-or-butane'!T13+'[1]BIFUbC-petroleum-diesel'!T13+'[1]BIFUbC-crude-oil'!T13+'[1]BIFUbC-heavy-or-residual-oil'!T13+'[1]BIFUbC-natural-gas'!T13+'[1]BIFUbC-electricity'!T13+'[1]BIFUbC-heat'!T13+'[1]BIFUbC-biomass'!T13+'[1]BIFUbC-hydrogen'!V13</f>
        <v>473581077282115.94</v>
      </c>
      <c r="U13" s="78">
        <f>'[1]BIFUbC-coal'!U13+'[1]BIFUbC-LPG-propane-or-butane'!U13+'[1]BIFUbC-petroleum-diesel'!U13+'[1]BIFUbC-crude-oil'!U13+'[1]BIFUbC-heavy-or-residual-oil'!U13+'[1]BIFUbC-natural-gas'!U13+'[1]BIFUbC-electricity'!U13+'[1]BIFUbC-heat'!U13+'[1]BIFUbC-biomass'!U13+'[1]BIFUbC-hydrogen'!W13</f>
        <v>484731792435191.25</v>
      </c>
      <c r="V13" s="78">
        <f>'[1]BIFUbC-coal'!V13+'[1]BIFUbC-LPG-propane-or-butane'!V13+'[1]BIFUbC-petroleum-diesel'!V13+'[1]BIFUbC-crude-oil'!V13+'[1]BIFUbC-heavy-or-residual-oil'!V13+'[1]BIFUbC-natural-gas'!V13+'[1]BIFUbC-electricity'!V13+'[1]BIFUbC-heat'!V13+'[1]BIFUbC-biomass'!V13+'[1]BIFUbC-hydrogen'!X13</f>
        <v>495985728563148.94</v>
      </c>
      <c r="W13" s="78">
        <f>'[1]BIFUbC-coal'!W13+'[1]BIFUbC-LPG-propane-or-butane'!W13+'[1]BIFUbC-petroleum-diesel'!W13+'[1]BIFUbC-crude-oil'!W13+'[1]BIFUbC-heavy-or-residual-oil'!W13+'[1]BIFUbC-natural-gas'!W13+'[1]BIFUbC-electricity'!W13+'[1]BIFUbC-heat'!W13+'[1]BIFUbC-biomass'!W13+'[1]BIFUbC-hydrogen'!Y13</f>
        <v>507304169656759.13</v>
      </c>
      <c r="X13" s="78">
        <f>'[1]BIFUbC-coal'!X13+'[1]BIFUbC-LPG-propane-or-butane'!X13+'[1]BIFUbC-petroleum-diesel'!X13+'[1]BIFUbC-crude-oil'!X13+'[1]BIFUbC-heavy-or-residual-oil'!X13+'[1]BIFUbC-natural-gas'!X13+'[1]BIFUbC-electricity'!X13+'[1]BIFUbC-heat'!X13+'[1]BIFUbC-biomass'!X13+'[1]BIFUbC-hydrogen'!Z13</f>
        <v>518645154296525.06</v>
      </c>
      <c r="Y13" s="78">
        <f>'[1]BIFUbC-coal'!Y13+'[1]BIFUbC-LPG-propane-or-butane'!Y13+'[1]BIFUbC-petroleum-diesel'!Y13+'[1]BIFUbC-crude-oil'!Y13+'[1]BIFUbC-heavy-or-residual-oil'!Y13+'[1]BIFUbC-natural-gas'!Y13+'[1]BIFUbC-electricity'!Y13+'[1]BIFUbC-heat'!Y13+'[1]BIFUbC-biomass'!Y13+'[1]BIFUbC-hydrogen'!AA13</f>
        <v>529963455824975.75</v>
      </c>
      <c r="Z13" s="78">
        <f>'[1]BIFUbC-coal'!Z13+'[1]BIFUbC-LPG-propane-or-butane'!Z13+'[1]BIFUbC-petroleum-diesel'!Z13+'[1]BIFUbC-crude-oil'!Z13+'[1]BIFUbC-heavy-or-residual-oil'!Z13+'[1]BIFUbC-natural-gas'!Z13+'[1]BIFUbC-electricity'!Z13+'[1]BIFUbC-heat'!Z13+'[1]BIFUbC-biomass'!Z13+'[1]BIFUbC-hydrogen'!AB13</f>
        <v>541210598924188.44</v>
      </c>
      <c r="AA13" s="78">
        <f>'[1]BIFUbC-coal'!AA13+'[1]BIFUbC-LPG-propane-or-butane'!AA13+'[1]BIFUbC-petroleum-diesel'!AA13+'[1]BIFUbC-crude-oil'!AA13+'[1]BIFUbC-heavy-or-residual-oil'!AA13+'[1]BIFUbC-natural-gas'!AA13+'[1]BIFUbC-electricity'!AA13+'[1]BIFUbC-heat'!AA13+'[1]BIFUbC-biomass'!AA13+'[1]BIFUbC-hydrogen'!AC13</f>
        <v>552334916642960.44</v>
      </c>
      <c r="AB13" s="78">
        <f>'[1]BIFUbC-coal'!AB13+'[1]BIFUbC-LPG-propane-or-butane'!AB13+'[1]BIFUbC-petroleum-diesel'!AB13+'[1]BIFUbC-crude-oil'!AB13+'[1]BIFUbC-heavy-or-residual-oil'!AB13+'[1]BIFUbC-natural-gas'!AB13+'[1]BIFUbC-electricity'!AB13+'[1]BIFUbC-heat'!AB13+'[1]BIFUbC-biomass'!AB13+'[1]BIFUbC-hydrogen'!AD13</f>
        <v>563281651805109.5</v>
      </c>
      <c r="AC13" s="78">
        <f>'[1]BIFUbC-coal'!AC13+'[1]BIFUbC-LPG-propane-or-butane'!AC13+'[1]BIFUbC-petroleum-diesel'!AC13+'[1]BIFUbC-crude-oil'!AC13+'[1]BIFUbC-heavy-or-residual-oil'!AC13+'[1]BIFUbC-natural-gas'!AC13+'[1]BIFUbC-electricity'!AC13+'[1]BIFUbC-heat'!AC13+'[1]BIFUbC-biomass'!AC13+'[1]BIFUbC-hydrogen'!AE13</f>
        <v>573993106517487</v>
      </c>
      <c r="AD13" s="78">
        <f>'[1]BIFUbC-coal'!AD13+'[1]BIFUbC-LPG-propane-or-butane'!AD13+'[1]BIFUbC-petroleum-diesel'!AD13+'[1]BIFUbC-crude-oil'!AD13+'[1]BIFUbC-heavy-or-residual-oil'!AD13+'[1]BIFUbC-natural-gas'!AD13+'[1]BIFUbC-electricity'!AD13+'[1]BIFUbC-heat'!AD13+'[1]BIFUbC-biomass'!AD13+'[1]BIFUbC-hydrogen'!AF13</f>
        <v>584408843173385.38</v>
      </c>
      <c r="AE13" s="78">
        <f>'[1]BIFUbC-coal'!AE13+'[1]BIFUbC-LPG-propane-or-butane'!AE13+'[1]BIFUbC-petroleum-diesel'!AE13+'[1]BIFUbC-crude-oil'!AE13+'[1]BIFUbC-heavy-or-residual-oil'!AE13+'[1]BIFUbC-natural-gas'!AE13+'[1]BIFUbC-electricity'!AE13+'[1]BIFUbC-heat'!AE13+'[1]BIFUbC-biomass'!AE13+'[1]BIFUbC-hydrogen'!AG13</f>
        <v>594465939904882.38</v>
      </c>
      <c r="AF13" s="78">
        <f>'[1]BIFUbC-coal'!AF13+'[1]BIFUbC-LPG-propane-or-butane'!AF13+'[1]BIFUbC-petroleum-diesel'!AF13+'[1]BIFUbC-crude-oil'!AF13+'[1]BIFUbC-heavy-or-residual-oil'!AF13+'[1]BIFUbC-natural-gas'!AF13+'[1]BIFUbC-electricity'!AF13+'[1]BIFUbC-heat'!AF13+'[1]BIFUbC-biomass'!AF13+'[1]BIFUbC-hydrogen'!AH13</f>
        <v>604099302869456.25</v>
      </c>
      <c r="AG13" s="78">
        <f>'[1]BIFUbC-coal'!AG13+'[1]BIFUbC-LPG-propane-or-butane'!AG13+'[1]BIFUbC-petroleum-diesel'!AG13+'[1]BIFUbC-crude-oil'!AG13+'[1]BIFUbC-heavy-or-residual-oil'!AG13+'[1]BIFUbC-natural-gas'!AG13+'[1]BIFUbC-electricity'!AG13+'[1]BIFUbC-heat'!AG13+'[1]BIFUbC-biomass'!AG13+'[1]BIFUbC-hydrogen'!AI13</f>
        <v>613242037056971.88</v>
      </c>
      <c r="AH13" s="78">
        <f>'[1]BIFUbC-coal'!AH13+'[1]BIFUbC-LPG-propane-or-butane'!AH13+'[1]BIFUbC-petroleum-diesel'!AH13+'[1]BIFUbC-crude-oil'!AH13+'[1]BIFUbC-heavy-or-residual-oil'!AH13+'[1]BIFUbC-natural-gas'!AH13+'[1]BIFUbC-electricity'!AH13+'[1]BIFUbC-heat'!AH13+'[1]BIFUbC-biomass'!AH13+'[1]BIFUbC-hydrogen'!AJ13</f>
        <v>621825876471049</v>
      </c>
      <c r="AI13" s="78">
        <f>'[1]BIFUbC-coal'!AI13+'[1]BIFUbC-LPG-propane-or-butane'!AI13+'[1]BIFUbC-petroleum-diesel'!AI13+'[1]BIFUbC-crude-oil'!AI13+'[1]BIFUbC-heavy-or-residual-oil'!AI13+'[1]BIFUbC-natural-gas'!AI13+'[1]BIFUbC-electricity'!AI13+'[1]BIFUbC-heat'!AI13+'[1]BIFUbC-biomass'!AI13+'[1]BIFUbC-hydrogen'!AK13</f>
        <v>629781673575480.13</v>
      </c>
      <c r="AJ13" s="78">
        <f>'[1]BIFUbC-coal'!AJ13+'[1]BIFUbC-LPG-propane-or-butane'!AJ13+'[1]BIFUbC-petroleum-diesel'!AJ13+'[1]BIFUbC-crude-oil'!AJ13+'[1]BIFUbC-heavy-or-residual-oil'!AJ13+'[1]BIFUbC-natural-gas'!AJ13+'[1]BIFUbC-electricity'!AJ13+'[1]BIFUbC-heat'!AJ13+'[1]BIFUbC-biomass'!AJ13+'[1]BIFUbC-hydrogen'!AL13</f>
        <v>637039946807414.75</v>
      </c>
      <c r="AK13" s="78">
        <f>'[1]BIFUbC-coal'!AK13+'[1]BIFUbC-LPG-propane-or-butane'!AK13+'[1]BIFUbC-petroleum-diesel'!AK13+'[1]BIFUbC-crude-oil'!AK13+'[1]BIFUbC-heavy-or-residual-oil'!AK13+'[1]BIFUbC-natural-gas'!AK13+'[1]BIFUbC-electricity'!AK13+'[1]BIFUbC-heat'!AK13+'[1]BIFUbC-biomass'!AK13+'[1]BIFUbC-hydrogen'!AM13</f>
        <v>643531483754386.75</v>
      </c>
      <c r="AL13" s="78">
        <f>'[1]BIFUbC-coal'!AL13+'[1]BIFUbC-LPG-propane-or-butane'!AL13+'[1]BIFUbC-petroleum-diesel'!AL13+'[1]BIFUbC-crude-oil'!AL13+'[1]BIFUbC-heavy-or-residual-oil'!AL13+'[1]BIFUbC-natural-gas'!AL13+'[1]BIFUbC-electricity'!AL13+'[1]BIFUbC-heat'!AL13+'[1]BIFUbC-biomass'!AL13+'[1]BIFUbC-hydrogen'!AN13</f>
        <v>649187996287047.13</v>
      </c>
      <c r="AM13" s="78">
        <f>'[1]BIFUbC-coal'!AM13+'[1]BIFUbC-LPG-propane-or-butane'!AM13+'[1]BIFUbC-petroleum-diesel'!AM13+'[1]BIFUbC-crude-oil'!AM13+'[1]BIFUbC-heavy-or-residual-oil'!AM13+'[1]BIFUbC-natural-gas'!AM13+'[1]BIFUbC-electricity'!AM13+'[1]BIFUbC-heat'!AM13+'[1]BIFUbC-biomass'!AM13+'[1]BIFUbC-hydrogen'!AO13</f>
        <v>653942822553596.63</v>
      </c>
      <c r="AN13" s="78">
        <f>'[1]BIFUbC-coal'!AN13+'[1]BIFUbC-LPG-propane-or-butane'!AN13+'[1]BIFUbC-petroleum-diesel'!AN13+'[1]BIFUbC-crude-oil'!AN13+'[1]BIFUbC-heavy-or-residual-oil'!AN13+'[1]BIFUbC-natural-gas'!AN13+'[1]BIFUbC-electricity'!AN13+'[1]BIFUbC-heat'!AN13+'[1]BIFUbC-biomass'!AN13+'[1]BIFUbC-hydrogen'!AP13</f>
        <v>657731669300792.5</v>
      </c>
      <c r="AO13" s="78">
        <f>'[1]BIFUbC-coal'!AO13+'[1]BIFUbC-LPG-propane-or-butane'!AO13+'[1]BIFUbC-petroleum-diesel'!AO13+'[1]BIFUbC-crude-oil'!AO13+'[1]BIFUbC-heavy-or-residual-oil'!AO13+'[1]BIFUbC-natural-gas'!AO13+'[1]BIFUbC-electricity'!AO13+'[1]BIFUbC-heat'!AO13+'[1]BIFUbC-biomass'!AO13+'[1]BIFUbC-hydrogen'!AQ13</f>
        <v>660493386520727</v>
      </c>
      <c r="AP13" s="78">
        <f>'[1]BIFUbC-coal'!AP13+'[1]BIFUbC-LPG-propane-or-butane'!AP13+'[1]BIFUbC-petroleum-diesel'!AP13+'[1]BIFUbC-crude-oil'!AP13+'[1]BIFUbC-heavy-or-residual-oil'!AP13+'[1]BIFUbC-natural-gas'!AP13+'[1]BIFUbC-electricity'!AP13+'[1]BIFUbC-heat'!AP13+'[1]BIFUbC-biomass'!AP13+'[1]BIFUbC-hydrogen'!AR13</f>
        <v>662170764967712.5</v>
      </c>
      <c r="AQ13" s="78">
        <f>'[1]BIFUbC-coal'!AQ13+'[1]BIFUbC-LPG-propane-or-butane'!AQ13+'[1]BIFUbC-petroleum-diesel'!AQ13+'[1]BIFUbC-crude-oil'!AQ13+'[1]BIFUbC-heavy-or-residual-oil'!AQ13+'[1]BIFUbC-natural-gas'!AQ13+'[1]BIFUbC-electricity'!AQ13+'[1]BIFUbC-heat'!AQ13+'[1]BIFUbC-biomass'!AQ13+'[1]BIFUbC-hydrogen'!AS13</f>
        <v>662491572176930.88</v>
      </c>
    </row>
    <row r="14" spans="1:43" s="77" customFormat="1" x14ac:dyDescent="0.2">
      <c r="A14" s="77" t="s">
        <v>44</v>
      </c>
      <c r="B14" s="78">
        <f>'[1]BIFUbC-coal'!B14+'[1]BIFUbC-LPG-propane-or-butane'!B14+'[1]BIFUbC-petroleum-diesel'!B14+'[1]BIFUbC-crude-oil'!B14+'[1]BIFUbC-heavy-or-residual-oil'!B14+'[1]BIFUbC-natural-gas'!B14+'[1]BIFUbC-electricity'!B14+'[1]BIFUbC-heat'!B14+'[1]BIFUbC-biomass'!B14+'[1]BIFUbC-hydrogen'!D14</f>
        <v>7650498778963101</v>
      </c>
      <c r="C14" s="78">
        <f>'[1]BIFUbC-coal'!C14+'[1]BIFUbC-LPG-propane-or-butane'!C14+'[1]BIFUbC-petroleum-diesel'!C14+'[1]BIFUbC-crude-oil'!C14+'[1]BIFUbC-heavy-or-residual-oil'!C14+'[1]BIFUbC-natural-gas'!C14+'[1]BIFUbC-electricity'!C14+'[1]BIFUbC-heat'!C14+'[1]BIFUbC-biomass'!C14+'[1]BIFUbC-hydrogen'!E14</f>
        <v>8178975429413974</v>
      </c>
      <c r="D14" s="78">
        <f>'[1]BIFUbC-coal'!D14+'[1]BIFUbC-LPG-propane-or-butane'!D14+'[1]BIFUbC-petroleum-diesel'!D14+'[1]BIFUbC-crude-oil'!D14+'[1]BIFUbC-heavy-or-residual-oil'!D14+'[1]BIFUbC-natural-gas'!D14+'[1]BIFUbC-electricity'!D14+'[1]BIFUbC-heat'!D14+'[1]BIFUbC-biomass'!D14+'[1]BIFUbC-hydrogen'!F14</f>
        <v>8263434558171194</v>
      </c>
      <c r="E14" s="78">
        <f>'[1]BIFUbC-coal'!E14+'[1]BIFUbC-LPG-propane-or-butane'!E14+'[1]BIFUbC-petroleum-diesel'!E14+'[1]BIFUbC-crude-oil'!E14+'[1]BIFUbC-heavy-or-residual-oil'!E14+'[1]BIFUbC-natural-gas'!E14+'[1]BIFUbC-electricity'!E14+'[1]BIFUbC-heat'!E14+'[1]BIFUbC-biomass'!E14+'[1]BIFUbC-hydrogen'!G14</f>
        <v>8391065410054882</v>
      </c>
      <c r="F14" s="78">
        <f>'[1]BIFUbC-coal'!F14+'[1]BIFUbC-LPG-propane-or-butane'!F14+'[1]BIFUbC-petroleum-diesel'!F14+'[1]BIFUbC-crude-oil'!F14+'[1]BIFUbC-heavy-or-residual-oil'!F14+'[1]BIFUbC-natural-gas'!F14+'[1]BIFUbC-electricity'!F14+'[1]BIFUbC-heat'!F14+'[1]BIFUbC-biomass'!F14+'[1]BIFUbC-hydrogen'!H14</f>
        <v>8705404244715761</v>
      </c>
      <c r="G14" s="78">
        <f>'[1]BIFUbC-coal'!G14+'[1]BIFUbC-LPG-propane-or-butane'!G14+'[1]BIFUbC-petroleum-diesel'!G14+'[1]BIFUbC-crude-oil'!G14+'[1]BIFUbC-heavy-or-residual-oil'!G14+'[1]BIFUbC-natural-gas'!G14+'[1]BIFUbC-electricity'!G14+'[1]BIFUbC-heat'!G14+'[1]BIFUbC-biomass'!G14+'[1]BIFUbC-hydrogen'!I14</f>
        <v>8812881134461611</v>
      </c>
      <c r="H14" s="78">
        <f>'[1]BIFUbC-coal'!H14+'[1]BIFUbC-LPG-propane-or-butane'!H14+'[1]BIFUbC-petroleum-diesel'!H14+'[1]BIFUbC-crude-oil'!H14+'[1]BIFUbC-heavy-or-residual-oil'!H14+'[1]BIFUbC-natural-gas'!H14+'[1]BIFUbC-electricity'!H14+'[1]BIFUbC-heat'!H14+'[1]BIFUbC-biomass'!H14+'[1]BIFUbC-hydrogen'!J14</f>
        <v>8919960367728396</v>
      </c>
      <c r="I14" s="78">
        <f>'[1]BIFUbC-coal'!I14+'[1]BIFUbC-LPG-propane-or-butane'!I14+'[1]BIFUbC-petroleum-diesel'!I14+'[1]BIFUbC-crude-oil'!I14+'[1]BIFUbC-heavy-or-residual-oil'!I14+'[1]BIFUbC-natural-gas'!I14+'[1]BIFUbC-electricity'!I14+'[1]BIFUbC-heat'!I14+'[1]BIFUbC-biomass'!I14+'[1]BIFUbC-hydrogen'!K14</f>
        <v>9030694296118060</v>
      </c>
      <c r="J14" s="78">
        <f>'[1]BIFUbC-coal'!J14+'[1]BIFUbC-LPG-propane-or-butane'!J14+'[1]BIFUbC-petroleum-diesel'!J14+'[1]BIFUbC-crude-oil'!J14+'[1]BIFUbC-heavy-or-residual-oil'!J14+'[1]BIFUbC-natural-gas'!J14+'[1]BIFUbC-electricity'!J14+'[1]BIFUbC-heat'!J14+'[1]BIFUbC-biomass'!J14+'[1]BIFUbC-hydrogen'!L14</f>
        <v>9141369043464390</v>
      </c>
      <c r="K14" s="78">
        <f>'[1]BIFUbC-coal'!K14+'[1]BIFUbC-LPG-propane-or-butane'!K14+'[1]BIFUbC-petroleum-diesel'!K14+'[1]BIFUbC-crude-oil'!K14+'[1]BIFUbC-heavy-or-residual-oil'!K14+'[1]BIFUbC-natural-gas'!K14+'[1]BIFUbC-electricity'!K14+'[1]BIFUbC-heat'!K14+'[1]BIFUbC-biomass'!K14+'[1]BIFUbC-hydrogen'!M14</f>
        <v>9251984609767380</v>
      </c>
      <c r="L14" s="78">
        <f>'[1]BIFUbC-coal'!L14+'[1]BIFUbC-LPG-propane-or-butane'!L14+'[1]BIFUbC-petroleum-diesel'!L14+'[1]BIFUbC-crude-oil'!L14+'[1]BIFUbC-heavy-or-residual-oil'!L14+'[1]BIFUbC-natural-gas'!L14+'[1]BIFUbC-electricity'!L14+'[1]BIFUbC-heat'!L14+'[1]BIFUbC-biomass'!L14+'[1]BIFUbC-hydrogen'!N14</f>
        <v>9362540995027030</v>
      </c>
      <c r="M14" s="78">
        <f>'[1]BIFUbC-coal'!M14+'[1]BIFUbC-LPG-propane-or-butane'!M14+'[1]BIFUbC-petroleum-diesel'!M14+'[1]BIFUbC-crude-oil'!M14+'[1]BIFUbC-heavy-or-residual-oil'!M14+'[1]BIFUbC-natural-gas'!M14+'[1]BIFUbC-electricity'!M14+'[1]BIFUbC-heat'!M14+'[1]BIFUbC-biomass'!M14+'[1]BIFUbC-hydrogen'!O14</f>
        <v>9473038199243344</v>
      </c>
      <c r="N14" s="78">
        <f>'[1]BIFUbC-coal'!N14+'[1]BIFUbC-LPG-propane-or-butane'!N14+'[1]BIFUbC-petroleum-diesel'!N14+'[1]BIFUbC-crude-oil'!N14+'[1]BIFUbC-heavy-or-residual-oil'!N14+'[1]BIFUbC-natural-gas'!N14+'[1]BIFUbC-electricity'!N14+'[1]BIFUbC-heat'!N14+'[1]BIFUbC-biomass'!N14+'[1]BIFUbC-hydrogen'!P14</f>
        <v>9364200111177818</v>
      </c>
      <c r="O14" s="78">
        <f>'[1]BIFUbC-coal'!O14+'[1]BIFUbC-LPG-propane-or-butane'!O14+'[1]BIFUbC-petroleum-diesel'!O14+'[1]BIFUbC-crude-oil'!O14+'[1]BIFUbC-heavy-or-residual-oil'!O14+'[1]BIFUbC-natural-gas'!O14+'[1]BIFUbC-electricity'!O14+'[1]BIFUbC-heat'!O14+'[1]BIFUbC-biomass'!O14+'[1]BIFUbC-hydrogen'!Q14</f>
        <v>9255399414340114</v>
      </c>
      <c r="P14" s="78">
        <f>'[1]BIFUbC-coal'!P14+'[1]BIFUbC-LPG-propane-or-butane'!P14+'[1]BIFUbC-petroleum-diesel'!P14+'[1]BIFUbC-crude-oil'!P14+'[1]BIFUbC-heavy-or-residual-oil'!P14+'[1]BIFUbC-natural-gas'!P14+'[1]BIFUbC-electricity'!P14+'[1]BIFUbC-heat'!P14+'[1]BIFUbC-biomass'!P14+'[1]BIFUbC-hydrogen'!R14</f>
        <v>9146636108730232</v>
      </c>
      <c r="Q14" s="78">
        <f>'[1]BIFUbC-coal'!Q14+'[1]BIFUbC-LPG-propane-or-butane'!Q14+'[1]BIFUbC-petroleum-diesel'!Q14+'[1]BIFUbC-crude-oil'!Q14+'[1]BIFUbC-heavy-or-residual-oil'!Q14+'[1]BIFUbC-natural-gas'!Q14+'[1]BIFUbC-electricity'!Q14+'[1]BIFUbC-heat'!Q14+'[1]BIFUbC-biomass'!Q14+'[1]BIFUbC-hydrogen'!S14</f>
        <v>9037910194348174</v>
      </c>
      <c r="R14" s="78">
        <f>'[1]BIFUbC-coal'!R14+'[1]BIFUbC-LPG-propane-or-butane'!R14+'[1]BIFUbC-petroleum-diesel'!R14+'[1]BIFUbC-crude-oil'!R14+'[1]BIFUbC-heavy-or-residual-oil'!R14+'[1]BIFUbC-natural-gas'!R14+'[1]BIFUbC-electricity'!R14+'[1]BIFUbC-heat'!R14+'[1]BIFUbC-biomass'!R14+'[1]BIFUbC-hydrogen'!T14</f>
        <v>8929221671193938</v>
      </c>
      <c r="S14" s="78">
        <f>'[1]BIFUbC-coal'!S14+'[1]BIFUbC-LPG-propane-or-butane'!S14+'[1]BIFUbC-petroleum-diesel'!S14+'[1]BIFUbC-crude-oil'!S14+'[1]BIFUbC-heavy-or-residual-oil'!S14+'[1]BIFUbC-natural-gas'!S14+'[1]BIFUbC-electricity'!S14+'[1]BIFUbC-heat'!S14+'[1]BIFUbC-biomass'!S14+'[1]BIFUbC-hydrogen'!U14</f>
        <v>8775822193520403</v>
      </c>
      <c r="T14" s="78">
        <f>'[1]BIFUbC-coal'!T14+'[1]BIFUbC-LPG-propane-or-butane'!T14+'[1]BIFUbC-petroleum-diesel'!T14+'[1]BIFUbC-crude-oil'!T14+'[1]BIFUbC-heavy-or-residual-oil'!T14+'[1]BIFUbC-natural-gas'!T14+'[1]BIFUbC-electricity'!T14+'[1]BIFUbC-heat'!T14+'[1]BIFUbC-biomass'!T14+'[1]BIFUbC-hydrogen'!V14</f>
        <v>8622440488653409</v>
      </c>
      <c r="U14" s="78">
        <f>'[1]BIFUbC-coal'!U14+'[1]BIFUbC-LPG-propane-or-butane'!U14+'[1]BIFUbC-petroleum-diesel'!U14+'[1]BIFUbC-crude-oil'!U14+'[1]BIFUbC-heavy-or-residual-oil'!U14+'[1]BIFUbC-natural-gas'!U14+'[1]BIFUbC-electricity'!U14+'[1]BIFUbC-heat'!U14+'[1]BIFUbC-biomass'!U14+'[1]BIFUbC-hydrogen'!W14</f>
        <v>8469076556592951</v>
      </c>
      <c r="V14" s="78">
        <f>'[1]BIFUbC-coal'!V14+'[1]BIFUbC-LPG-propane-or-butane'!V14+'[1]BIFUbC-petroleum-diesel'!V14+'[1]BIFUbC-crude-oil'!V14+'[1]BIFUbC-heavy-or-residual-oil'!V14+'[1]BIFUbC-natural-gas'!V14+'[1]BIFUbC-electricity'!V14+'[1]BIFUbC-heat'!V14+'[1]BIFUbC-biomass'!V14+'[1]BIFUbC-hydrogen'!X14</f>
        <v>8315730397339038</v>
      </c>
      <c r="W14" s="78">
        <f>'[1]BIFUbC-coal'!W14+'[1]BIFUbC-LPG-propane-or-butane'!W14+'[1]BIFUbC-petroleum-diesel'!W14+'[1]BIFUbC-crude-oil'!W14+'[1]BIFUbC-heavy-or-residual-oil'!W14+'[1]BIFUbC-natural-gas'!W14+'[1]BIFUbC-electricity'!W14+'[1]BIFUbC-heat'!W14+'[1]BIFUbC-biomass'!W14+'[1]BIFUbC-hydrogen'!Y14</f>
        <v>8162402010891661</v>
      </c>
      <c r="X14" s="78">
        <f>'[1]BIFUbC-coal'!X14+'[1]BIFUbC-LPG-propane-or-butane'!X14+'[1]BIFUbC-petroleum-diesel'!X14+'[1]BIFUbC-crude-oil'!X14+'[1]BIFUbC-heavy-or-residual-oil'!X14+'[1]BIFUbC-natural-gas'!X14+'[1]BIFUbC-electricity'!X14+'[1]BIFUbC-heat'!X14+'[1]BIFUbC-biomass'!X14+'[1]BIFUbC-hydrogen'!Z14</f>
        <v>7952325304793729</v>
      </c>
      <c r="Y14" s="78">
        <f>'[1]BIFUbC-coal'!Y14+'[1]BIFUbC-LPG-propane-or-butane'!Y14+'[1]BIFUbC-petroleum-diesel'!Y14+'[1]BIFUbC-crude-oil'!Y14+'[1]BIFUbC-heavy-or-residual-oil'!Y14+'[1]BIFUbC-natural-gas'!Y14+'[1]BIFUbC-electricity'!Y14+'[1]BIFUbC-heat'!Y14+'[1]BIFUbC-biomass'!Y14+'[1]BIFUbC-hydrogen'!AA14</f>
        <v>7742272972646299</v>
      </c>
      <c r="Z14" s="78">
        <f>'[1]BIFUbC-coal'!Z14+'[1]BIFUbC-LPG-propane-or-butane'!Z14+'[1]BIFUbC-petroleum-diesel'!Z14+'[1]BIFUbC-crude-oil'!Z14+'[1]BIFUbC-heavy-or-residual-oil'!Z14+'[1]BIFUbC-natural-gas'!Z14+'[1]BIFUbC-electricity'!Z14+'[1]BIFUbC-heat'!Z14+'[1]BIFUbC-biomass'!Z14+'[1]BIFUbC-hydrogen'!AB14</f>
        <v>7532245014449368</v>
      </c>
      <c r="AA14" s="78">
        <f>'[1]BIFUbC-coal'!AA14+'[1]BIFUbC-LPG-propane-or-butane'!AA14+'[1]BIFUbC-petroleum-diesel'!AA14+'[1]BIFUbC-crude-oil'!AA14+'[1]BIFUbC-heavy-or-residual-oil'!AA14+'[1]BIFUbC-natural-gas'!AA14+'[1]BIFUbC-electricity'!AA14+'[1]BIFUbC-heat'!AA14+'[1]BIFUbC-biomass'!AA14+'[1]BIFUbC-hydrogen'!AC14</f>
        <v>7322241430202932</v>
      </c>
      <c r="AB14" s="78">
        <f>'[1]BIFUbC-coal'!AB14+'[1]BIFUbC-LPG-propane-or-butane'!AB14+'[1]BIFUbC-petroleum-diesel'!AB14+'[1]BIFUbC-crude-oil'!AB14+'[1]BIFUbC-heavy-or-residual-oil'!AB14+'[1]BIFUbC-natural-gas'!AB14+'[1]BIFUbC-electricity'!AB14+'[1]BIFUbC-heat'!AB14+'[1]BIFUbC-biomass'!AB14+'[1]BIFUbC-hydrogen'!AD14</f>
        <v>7112262219906998</v>
      </c>
      <c r="AC14" s="78">
        <f>'[1]BIFUbC-coal'!AC14+'[1]BIFUbC-LPG-propane-or-butane'!AC14+'[1]BIFUbC-petroleum-diesel'!AC14+'[1]BIFUbC-crude-oil'!AC14+'[1]BIFUbC-heavy-or-residual-oil'!AC14+'[1]BIFUbC-natural-gas'!AC14+'[1]BIFUbC-electricity'!AC14+'[1]BIFUbC-heat'!AC14+'[1]BIFUbC-biomass'!AC14+'[1]BIFUbC-hydrogen'!AE14</f>
        <v>6950051300981467</v>
      </c>
      <c r="AD14" s="78">
        <f>'[1]BIFUbC-coal'!AD14+'[1]BIFUbC-LPG-propane-or-butane'!AD14+'[1]BIFUbC-petroleum-diesel'!AD14+'[1]BIFUbC-crude-oil'!AD14+'[1]BIFUbC-heavy-or-residual-oil'!AD14+'[1]BIFUbC-natural-gas'!AD14+'[1]BIFUbC-electricity'!AD14+'[1]BIFUbC-heat'!AD14+'[1]BIFUbC-biomass'!AD14+'[1]BIFUbC-hydrogen'!AF14</f>
        <v>6787859202407295</v>
      </c>
      <c r="AE14" s="78">
        <f>'[1]BIFUbC-coal'!AE14+'[1]BIFUbC-LPG-propane-or-butane'!AE14+'[1]BIFUbC-petroleum-diesel'!AE14+'[1]BIFUbC-crude-oil'!AE14+'[1]BIFUbC-heavy-or-residual-oil'!AE14+'[1]BIFUbC-natural-gas'!AE14+'[1]BIFUbC-electricity'!AE14+'[1]BIFUbC-heat'!AE14+'[1]BIFUbC-biomass'!AE14+'[1]BIFUbC-hydrogen'!AG14</f>
        <v>6625685924184479</v>
      </c>
      <c r="AF14" s="78">
        <f>'[1]BIFUbC-coal'!AF14+'[1]BIFUbC-LPG-propane-or-butane'!AF14+'[1]BIFUbC-petroleum-diesel'!AF14+'[1]BIFUbC-crude-oil'!AF14+'[1]BIFUbC-heavy-or-residual-oil'!AF14+'[1]BIFUbC-natural-gas'!AF14+'[1]BIFUbC-electricity'!AF14+'[1]BIFUbC-heat'!AF14+'[1]BIFUbC-biomass'!AF14+'[1]BIFUbC-hydrogen'!AH14</f>
        <v>6463531466313022</v>
      </c>
      <c r="AG14" s="78">
        <f>'[1]BIFUbC-coal'!AG14+'[1]BIFUbC-LPG-propane-or-butane'!AG14+'[1]BIFUbC-petroleum-diesel'!AG14+'[1]BIFUbC-crude-oil'!AG14+'[1]BIFUbC-heavy-or-residual-oil'!AG14+'[1]BIFUbC-natural-gas'!AG14+'[1]BIFUbC-electricity'!AG14+'[1]BIFUbC-heat'!AG14+'[1]BIFUbC-biomass'!AG14+'[1]BIFUbC-hydrogen'!AI14</f>
        <v>6301395828792921</v>
      </c>
      <c r="AH14" s="78">
        <f>'[1]BIFUbC-coal'!AH14+'[1]BIFUbC-LPG-propane-or-butane'!AH14+'[1]BIFUbC-petroleum-diesel'!AH14+'[1]BIFUbC-crude-oil'!AH14+'[1]BIFUbC-heavy-or-residual-oil'!AH14+'[1]BIFUbC-natural-gas'!AH14+'[1]BIFUbC-electricity'!AH14+'[1]BIFUbC-heat'!AH14+'[1]BIFUbC-biomass'!AH14+'[1]BIFUbC-hydrogen'!AJ14</f>
        <v>6203740873361328</v>
      </c>
      <c r="AI14" s="78">
        <f>'[1]BIFUbC-coal'!AI14+'[1]BIFUbC-LPG-propane-or-butane'!AI14+'[1]BIFUbC-petroleum-diesel'!AI14+'[1]BIFUbC-crude-oil'!AI14+'[1]BIFUbC-heavy-or-residual-oil'!AI14+'[1]BIFUbC-natural-gas'!AI14+'[1]BIFUbC-electricity'!AI14+'[1]BIFUbC-heat'!AI14+'[1]BIFUbC-biomass'!AI14+'[1]BIFUbC-hydrogen'!AK14</f>
        <v>6106097237860199</v>
      </c>
      <c r="AJ14" s="78">
        <f>'[1]BIFUbC-coal'!AJ14+'[1]BIFUbC-LPG-propane-or-butane'!AJ14+'[1]BIFUbC-petroleum-diesel'!AJ14+'[1]BIFUbC-crude-oil'!AJ14+'[1]BIFUbC-heavy-or-residual-oil'!AJ14+'[1]BIFUbC-natural-gas'!AJ14+'[1]BIFUbC-electricity'!AJ14+'[1]BIFUbC-heat'!AJ14+'[1]BIFUbC-biomass'!AJ14+'[1]BIFUbC-hydrogen'!AL14</f>
        <v>6008464922289530</v>
      </c>
      <c r="AK14" s="78">
        <f>'[1]BIFUbC-coal'!AK14+'[1]BIFUbC-LPG-propane-or-butane'!AK14+'[1]BIFUbC-petroleum-diesel'!AK14+'[1]BIFUbC-crude-oil'!AK14+'[1]BIFUbC-heavy-or-residual-oil'!AK14+'[1]BIFUbC-natural-gas'!AK14+'[1]BIFUbC-electricity'!AK14+'[1]BIFUbC-heat'!AK14+'[1]BIFUbC-biomass'!AK14+'[1]BIFUbC-hydrogen'!AM14</f>
        <v>5910843926649324</v>
      </c>
      <c r="AL14" s="78">
        <f>'[1]BIFUbC-coal'!AL14+'[1]BIFUbC-LPG-propane-or-butane'!AL14+'[1]BIFUbC-petroleum-diesel'!AL14+'[1]BIFUbC-crude-oil'!AL14+'[1]BIFUbC-heavy-or-residual-oil'!AL14+'[1]BIFUbC-natural-gas'!AL14+'[1]BIFUbC-electricity'!AL14+'[1]BIFUbC-heat'!AL14+'[1]BIFUbC-biomass'!AL14+'[1]BIFUbC-hydrogen'!AN14</f>
        <v>5813234250939579</v>
      </c>
      <c r="AM14" s="78">
        <f>'[1]BIFUbC-coal'!AM14+'[1]BIFUbC-LPG-propane-or-butane'!AM14+'[1]BIFUbC-petroleum-diesel'!AM14+'[1]BIFUbC-crude-oil'!AM14+'[1]BIFUbC-heavy-or-residual-oil'!AM14+'[1]BIFUbC-natural-gas'!AM14+'[1]BIFUbC-electricity'!AM14+'[1]BIFUbC-heat'!AM14+'[1]BIFUbC-biomass'!AM14+'[1]BIFUbC-hydrogen'!AO14</f>
        <v>5764336571812483</v>
      </c>
      <c r="AN14" s="78">
        <f>'[1]BIFUbC-coal'!AN14+'[1]BIFUbC-LPG-propane-or-butane'!AN14+'[1]BIFUbC-petroleum-diesel'!AN14+'[1]BIFUbC-crude-oil'!AN14+'[1]BIFUbC-heavy-or-residual-oil'!AN14+'[1]BIFUbC-natural-gas'!AN14+'[1]BIFUbC-electricity'!AN14+'[1]BIFUbC-heat'!AN14+'[1]BIFUbC-biomass'!AN14+'[1]BIFUbC-hydrogen'!AP14</f>
        <v>5715444544429306</v>
      </c>
      <c r="AO14" s="78">
        <f>'[1]BIFUbC-coal'!AO14+'[1]BIFUbC-LPG-propane-or-butane'!AO14+'[1]BIFUbC-petroleum-diesel'!AO14+'[1]BIFUbC-crude-oil'!AO14+'[1]BIFUbC-heavy-or-residual-oil'!AO14+'[1]BIFUbC-natural-gas'!AO14+'[1]BIFUbC-electricity'!AO14+'[1]BIFUbC-heat'!AO14+'[1]BIFUbC-biomass'!AO14+'[1]BIFUbC-hydrogen'!AQ14</f>
        <v>5666558168790045</v>
      </c>
      <c r="AP14" s="78">
        <f>'[1]BIFUbC-coal'!AP14+'[1]BIFUbC-LPG-propane-or-butane'!AP14+'[1]BIFUbC-petroleum-diesel'!AP14+'[1]BIFUbC-crude-oil'!AP14+'[1]BIFUbC-heavy-or-residual-oil'!AP14+'[1]BIFUbC-natural-gas'!AP14+'[1]BIFUbC-electricity'!AP14+'[1]BIFUbC-heat'!AP14+'[1]BIFUbC-biomass'!AP14+'[1]BIFUbC-hydrogen'!AR14</f>
        <v>5617677444894706</v>
      </c>
      <c r="AQ14" s="78">
        <f>'[1]BIFUbC-coal'!AQ14+'[1]BIFUbC-LPG-propane-or-butane'!AQ14+'[1]BIFUbC-petroleum-diesel'!AQ14+'[1]BIFUbC-crude-oil'!AQ14+'[1]BIFUbC-heavy-or-residual-oil'!AQ14+'[1]BIFUbC-natural-gas'!AQ14+'[1]BIFUbC-electricity'!AQ14+'[1]BIFUbC-heat'!AQ14+'[1]BIFUbC-biomass'!AQ14+'[1]BIFUbC-hydrogen'!AS14</f>
        <v>5567181637563389</v>
      </c>
    </row>
    <row r="15" spans="1:43" s="77" customFormat="1" x14ac:dyDescent="0.2">
      <c r="A15" s="77" t="s">
        <v>45</v>
      </c>
      <c r="B15" s="78">
        <f>'[1]BIFUbC-coal'!B15+'[1]BIFUbC-LPG-propane-or-butane'!B15+'[1]BIFUbC-petroleum-diesel'!B15+'[1]BIFUbC-crude-oil'!B15+'[1]BIFUbC-heavy-or-residual-oil'!B15+'[1]BIFUbC-natural-gas'!B15+'[1]BIFUbC-electricity'!B15+'[1]BIFUbC-heat'!B15+'[1]BIFUbC-biomass'!B15+'[1]BIFUbC-hydrogen'!D15</f>
        <v>1.9426389873799284E+16</v>
      </c>
      <c r="C15" s="78">
        <f>'[1]BIFUbC-coal'!C15+'[1]BIFUbC-LPG-propane-or-butane'!C15+'[1]BIFUbC-petroleum-diesel'!C15+'[1]BIFUbC-crude-oil'!C15+'[1]BIFUbC-heavy-or-residual-oil'!C15+'[1]BIFUbC-natural-gas'!C15+'[1]BIFUbC-electricity'!C15+'[1]BIFUbC-heat'!C15+'[1]BIFUbC-biomass'!C15+'[1]BIFUbC-hydrogen'!E15</f>
        <v>2.0096009373213932E+16</v>
      </c>
      <c r="D15" s="78">
        <f>'[1]BIFUbC-coal'!D15+'[1]BIFUbC-LPG-propane-or-butane'!D15+'[1]BIFUbC-petroleum-diesel'!D15+'[1]BIFUbC-crude-oil'!D15+'[1]BIFUbC-heavy-or-residual-oil'!D15+'[1]BIFUbC-natural-gas'!D15+'[1]BIFUbC-electricity'!D15+'[1]BIFUbC-heat'!D15+'[1]BIFUbC-biomass'!D15+'[1]BIFUbC-hydrogen'!F15</f>
        <v>2.0853165996103844E+16</v>
      </c>
      <c r="E15" s="78">
        <f>'[1]BIFUbC-coal'!E15+'[1]BIFUbC-LPG-propane-or-butane'!E15+'[1]BIFUbC-petroleum-diesel'!E15+'[1]BIFUbC-crude-oil'!E15+'[1]BIFUbC-heavy-or-residual-oil'!E15+'[1]BIFUbC-natural-gas'!E15+'[1]BIFUbC-electricity'!E15+'[1]BIFUbC-heat'!E15+'[1]BIFUbC-biomass'!E15+'[1]BIFUbC-hydrogen'!G15</f>
        <v>2.1973164106605016E+16</v>
      </c>
      <c r="F15" s="78">
        <f>'[1]BIFUbC-coal'!F15+'[1]BIFUbC-LPG-propane-or-butane'!F15+'[1]BIFUbC-petroleum-diesel'!F15+'[1]BIFUbC-crude-oil'!F15+'[1]BIFUbC-heavy-or-residual-oil'!F15+'[1]BIFUbC-natural-gas'!F15+'[1]BIFUbC-electricity'!F15+'[1]BIFUbC-heat'!F15+'[1]BIFUbC-biomass'!F15+'[1]BIFUbC-hydrogen'!H15</f>
        <v>2.3627483456967576E+16</v>
      </c>
      <c r="G15" s="78">
        <f>'[1]BIFUbC-coal'!G15+'[1]BIFUbC-LPG-propane-or-butane'!G15+'[1]BIFUbC-petroleum-diesel'!G15+'[1]BIFUbC-crude-oil'!G15+'[1]BIFUbC-heavy-or-residual-oil'!G15+'[1]BIFUbC-natural-gas'!G15+'[1]BIFUbC-electricity'!G15+'[1]BIFUbC-heat'!G15+'[1]BIFUbC-biomass'!G15+'[1]BIFUbC-hydrogen'!I15</f>
        <v>2.4653268188458592E+16</v>
      </c>
      <c r="H15" s="78">
        <f>'[1]BIFUbC-coal'!H15+'[1]BIFUbC-LPG-propane-or-butane'!H15+'[1]BIFUbC-petroleum-diesel'!H15+'[1]BIFUbC-crude-oil'!H15+'[1]BIFUbC-heavy-or-residual-oil'!H15+'[1]BIFUbC-natural-gas'!H15+'[1]BIFUbC-electricity'!H15+'[1]BIFUbC-heat'!H15+'[1]BIFUbC-biomass'!H15+'[1]BIFUbC-hydrogen'!J15</f>
        <v>2.567520326404878E+16</v>
      </c>
      <c r="I15" s="78">
        <f>'[1]BIFUbC-coal'!I15+'[1]BIFUbC-LPG-propane-or-butane'!I15+'[1]BIFUbC-petroleum-diesel'!I15+'[1]BIFUbC-crude-oil'!I15+'[1]BIFUbC-heavy-or-residual-oil'!I15+'[1]BIFUbC-natural-gas'!I15+'[1]BIFUbC-electricity'!I15+'[1]BIFUbC-heat'!I15+'[1]BIFUbC-biomass'!I15+'[1]BIFUbC-hydrogen'!K15</f>
        <v>2.6238517554682588E+16</v>
      </c>
      <c r="J15" s="78">
        <f>'[1]BIFUbC-coal'!J15+'[1]BIFUbC-LPG-propane-or-butane'!J15+'[1]BIFUbC-petroleum-diesel'!J15+'[1]BIFUbC-crude-oil'!J15+'[1]BIFUbC-heavy-or-residual-oil'!J15+'[1]BIFUbC-natural-gas'!J15+'[1]BIFUbC-electricity'!J15+'[1]BIFUbC-heat'!J15+'[1]BIFUbC-biomass'!J15+'[1]BIFUbC-hydrogen'!L15</f>
        <v>2.6801516811320728E+16</v>
      </c>
      <c r="K15" s="78">
        <f>'[1]BIFUbC-coal'!K15+'[1]BIFUbC-LPG-propane-or-butane'!K15+'[1]BIFUbC-petroleum-diesel'!K15+'[1]BIFUbC-crude-oil'!K15+'[1]BIFUbC-heavy-or-residual-oil'!K15+'[1]BIFUbC-natural-gas'!K15+'[1]BIFUbC-electricity'!K15+'[1]BIFUbC-heat'!K15+'[1]BIFUbC-biomass'!K15+'[1]BIFUbC-hydrogen'!M15</f>
        <v>2.7364201033963176E+16</v>
      </c>
      <c r="L15" s="78">
        <f>'[1]BIFUbC-coal'!L15+'[1]BIFUbC-LPG-propane-or-butane'!L15+'[1]BIFUbC-petroleum-diesel'!L15+'[1]BIFUbC-crude-oil'!L15+'[1]BIFUbC-heavy-or-residual-oil'!L15+'[1]BIFUbC-natural-gas'!L15+'[1]BIFUbC-electricity'!L15+'[1]BIFUbC-heat'!L15+'[1]BIFUbC-biomass'!L15+'[1]BIFUbC-hydrogen'!N15</f>
        <v>2.7926570222609964E+16</v>
      </c>
      <c r="M15" s="78">
        <f>'[1]BIFUbC-coal'!M15+'[1]BIFUbC-LPG-propane-or-butane'!M15+'[1]BIFUbC-petroleum-diesel'!M15+'[1]BIFUbC-crude-oil'!M15+'[1]BIFUbC-heavy-or-residual-oil'!M15+'[1]BIFUbC-natural-gas'!M15+'[1]BIFUbC-electricity'!M15+'[1]BIFUbC-heat'!M15+'[1]BIFUbC-biomass'!M15+'[1]BIFUbC-hydrogen'!O15</f>
        <v>2.848862437726106E+16</v>
      </c>
      <c r="N15" s="78">
        <f>'[1]BIFUbC-coal'!N15+'[1]BIFUbC-LPG-propane-or-butane'!N15+'[1]BIFUbC-petroleum-diesel'!N15+'[1]BIFUbC-crude-oil'!N15+'[1]BIFUbC-heavy-or-residual-oil'!N15+'[1]BIFUbC-natural-gas'!N15+'[1]BIFUbC-electricity'!N15+'[1]BIFUbC-heat'!N15+'[1]BIFUbC-biomass'!N15+'[1]BIFUbC-hydrogen'!P15</f>
        <v>2.8524072231782756E+16</v>
      </c>
      <c r="O15" s="78">
        <f>'[1]BIFUbC-coal'!O15+'[1]BIFUbC-LPG-propane-or-butane'!O15+'[1]BIFUbC-petroleum-diesel'!O15+'[1]BIFUbC-crude-oil'!O15+'[1]BIFUbC-heavy-or-residual-oil'!O15+'[1]BIFUbC-natural-gas'!O15+'[1]BIFUbC-electricity'!O15+'[1]BIFUbC-heat'!O15+'[1]BIFUbC-biomass'!O15+'[1]BIFUbC-hydrogen'!Q15</f>
        <v>2.8559505107188044E+16</v>
      </c>
      <c r="P15" s="78">
        <f>'[1]BIFUbC-coal'!P15+'[1]BIFUbC-LPG-propane-or-butane'!P15+'[1]BIFUbC-petroleum-diesel'!P15+'[1]BIFUbC-crude-oil'!P15+'[1]BIFUbC-heavy-or-residual-oil'!P15+'[1]BIFUbC-natural-gas'!P15+'[1]BIFUbC-electricity'!P15+'[1]BIFUbC-heat'!P15+'[1]BIFUbC-biomass'!P15+'[1]BIFUbC-hydrogen'!R15</f>
        <v>2.8594923003476924E+16</v>
      </c>
      <c r="Q15" s="78">
        <f>'[1]BIFUbC-coal'!Q15+'[1]BIFUbC-LPG-propane-or-butane'!Q15+'[1]BIFUbC-petroleum-diesel'!Q15+'[1]BIFUbC-crude-oil'!Q15+'[1]BIFUbC-heavy-or-residual-oil'!Q15+'[1]BIFUbC-natural-gas'!Q15+'[1]BIFUbC-electricity'!Q15+'[1]BIFUbC-heat'!Q15+'[1]BIFUbC-biomass'!Q15+'[1]BIFUbC-hydrogen'!S15</f>
        <v>2.863032592064938E+16</v>
      </c>
      <c r="R15" s="78">
        <f>'[1]BIFUbC-coal'!R15+'[1]BIFUbC-LPG-propane-or-butane'!R15+'[1]BIFUbC-petroleum-diesel'!R15+'[1]BIFUbC-crude-oil'!R15+'[1]BIFUbC-heavy-or-residual-oil'!R15+'[1]BIFUbC-natural-gas'!R15+'[1]BIFUbC-electricity'!R15+'[1]BIFUbC-heat'!R15+'[1]BIFUbC-biomass'!R15+'[1]BIFUbC-hydrogen'!T15</f>
        <v>2.8665713858705436E+16</v>
      </c>
      <c r="S15" s="78">
        <f>'[1]BIFUbC-coal'!S15+'[1]BIFUbC-LPG-propane-or-butane'!S15+'[1]BIFUbC-petroleum-diesel'!S15+'[1]BIFUbC-crude-oil'!S15+'[1]BIFUbC-heavy-or-residual-oil'!S15+'[1]BIFUbC-natural-gas'!S15+'[1]BIFUbC-electricity'!S15+'[1]BIFUbC-heat'!S15+'[1]BIFUbC-biomass'!S15+'[1]BIFUbC-hydrogen'!U15</f>
        <v>2.833869082848708E+16</v>
      </c>
      <c r="T15" s="78">
        <f>'[1]BIFUbC-coal'!T15+'[1]BIFUbC-LPG-propane-or-butane'!T15+'[1]BIFUbC-petroleum-diesel'!T15+'[1]BIFUbC-crude-oil'!T15+'[1]BIFUbC-heavy-or-residual-oil'!T15+'[1]BIFUbC-natural-gas'!T15+'[1]BIFUbC-electricity'!T15+'[1]BIFUbC-heat'!T15+'[1]BIFUbC-biomass'!T15+'[1]BIFUbC-hydrogen'!V15</f>
        <v>2.8011707702634856E+16</v>
      </c>
      <c r="U15" s="78">
        <f>'[1]BIFUbC-coal'!U15+'[1]BIFUbC-LPG-propane-or-butane'!U15+'[1]BIFUbC-petroleum-diesel'!U15+'[1]BIFUbC-crude-oil'!U15+'[1]BIFUbC-heavy-or-residual-oil'!U15+'[1]BIFUbC-natural-gas'!U15+'[1]BIFUbC-electricity'!U15+'[1]BIFUbC-heat'!U15+'[1]BIFUbC-biomass'!U15+'[1]BIFUbC-hydrogen'!W15</f>
        <v>2.7684764481148756E+16</v>
      </c>
      <c r="V15" s="78">
        <f>'[1]BIFUbC-coal'!V15+'[1]BIFUbC-LPG-propane-or-butane'!V15+'[1]BIFUbC-petroleum-diesel'!V15+'[1]BIFUbC-crude-oil'!V15+'[1]BIFUbC-heavy-or-residual-oil'!V15+'[1]BIFUbC-natural-gas'!V15+'[1]BIFUbC-electricity'!V15+'[1]BIFUbC-heat'!V15+'[1]BIFUbC-biomass'!V15+'[1]BIFUbC-hydrogen'!X15</f>
        <v>2.7357861164028784E+16</v>
      </c>
      <c r="W15" s="78">
        <f>'[1]BIFUbC-coal'!W15+'[1]BIFUbC-LPG-propane-or-butane'!W15+'[1]BIFUbC-petroleum-diesel'!W15+'[1]BIFUbC-crude-oil'!W15+'[1]BIFUbC-heavy-or-residual-oil'!W15+'[1]BIFUbC-natural-gas'!W15+'[1]BIFUbC-electricity'!W15+'[1]BIFUbC-heat'!W15+'[1]BIFUbC-biomass'!W15+'[1]BIFUbC-hydrogen'!Y15</f>
        <v>2.7030997751274936E+16</v>
      </c>
      <c r="X15" s="78">
        <f>'[1]BIFUbC-coal'!X15+'[1]BIFUbC-LPG-propane-or-butane'!X15+'[1]BIFUbC-petroleum-diesel'!X15+'[1]BIFUbC-crude-oil'!X15+'[1]BIFUbC-heavy-or-residual-oil'!X15+'[1]BIFUbC-natural-gas'!X15+'[1]BIFUbC-electricity'!X15+'[1]BIFUbC-heat'!X15+'[1]BIFUbC-biomass'!X15+'[1]BIFUbC-hydrogen'!Z15</f>
        <v>2.641965488261292E+16</v>
      </c>
      <c r="Y15" s="78">
        <f>'[1]BIFUbC-coal'!Y15+'[1]BIFUbC-LPG-propane-or-butane'!Y15+'[1]BIFUbC-petroleum-diesel'!Y15+'[1]BIFUbC-crude-oil'!Y15+'[1]BIFUbC-heavy-or-residual-oil'!Y15+'[1]BIFUbC-natural-gas'!Y15+'[1]BIFUbC-electricity'!Y15+'[1]BIFUbC-heat'!Y15+'[1]BIFUbC-biomass'!Y15+'[1]BIFUbC-hydrogen'!AA15</f>
        <v>2.5808386834637392E+16</v>
      </c>
      <c r="Z15" s="78">
        <f>'[1]BIFUbC-coal'!Z15+'[1]BIFUbC-LPG-propane-or-butane'!Z15+'[1]BIFUbC-petroleum-diesel'!Z15+'[1]BIFUbC-crude-oil'!Z15+'[1]BIFUbC-heavy-or-residual-oil'!Z15+'[1]BIFUbC-natural-gas'!Z15+'[1]BIFUbC-electricity'!Z15+'[1]BIFUbC-heat'!Z15+'[1]BIFUbC-biomass'!Z15+'[1]BIFUbC-hydrogen'!AB15</f>
        <v>2.5197193607348352E+16</v>
      </c>
      <c r="AA15" s="78">
        <f>'[1]BIFUbC-coal'!AA15+'[1]BIFUbC-LPG-propane-or-butane'!AA15+'[1]BIFUbC-petroleum-diesel'!AA15+'[1]BIFUbC-crude-oil'!AA15+'[1]BIFUbC-heavy-or-residual-oil'!AA15+'[1]BIFUbC-natural-gas'!AA15+'[1]BIFUbC-electricity'!AA15+'[1]BIFUbC-heat'!AA15+'[1]BIFUbC-biomass'!AA15+'[1]BIFUbC-hydrogen'!AC15</f>
        <v>2.4586075200745796E+16</v>
      </c>
      <c r="AB15" s="78">
        <f>'[1]BIFUbC-coal'!AB15+'[1]BIFUbC-LPG-propane-or-butane'!AB15+'[1]BIFUbC-petroleum-diesel'!AB15+'[1]BIFUbC-crude-oil'!AB15+'[1]BIFUbC-heavy-or-residual-oil'!AB15+'[1]BIFUbC-natural-gas'!AB15+'[1]BIFUbC-electricity'!AB15+'[1]BIFUbC-heat'!AB15+'[1]BIFUbC-biomass'!AB15+'[1]BIFUbC-hydrogen'!AD15</f>
        <v>2.3975031614829724E+16</v>
      </c>
      <c r="AC15" s="78">
        <f>'[1]BIFUbC-coal'!AC15+'[1]BIFUbC-LPG-propane-or-butane'!AC15+'[1]BIFUbC-petroleum-diesel'!AC15+'[1]BIFUbC-crude-oil'!AC15+'[1]BIFUbC-heavy-or-residual-oil'!AC15+'[1]BIFUbC-natural-gas'!AC15+'[1]BIFUbC-electricity'!AC15+'[1]BIFUbC-heat'!AC15+'[1]BIFUbC-biomass'!AC15+'[1]BIFUbC-hydrogen'!AE15</f>
        <v>2.3364062849600132E+16</v>
      </c>
      <c r="AD15" s="78">
        <f>'[1]BIFUbC-coal'!AD15+'[1]BIFUbC-LPG-propane-or-butane'!AD15+'[1]BIFUbC-petroleum-diesel'!AD15+'[1]BIFUbC-crude-oil'!AD15+'[1]BIFUbC-heavy-or-residual-oil'!AD15+'[1]BIFUbC-natural-gas'!AD15+'[1]BIFUbC-electricity'!AD15+'[1]BIFUbC-heat'!AD15+'[1]BIFUbC-biomass'!AD15+'[1]BIFUbC-hydrogen'!AF15</f>
        <v>2.2753168905057032E+16</v>
      </c>
      <c r="AE15" s="78">
        <f>'[1]BIFUbC-coal'!AE15+'[1]BIFUbC-LPG-propane-or-butane'!AE15+'[1]BIFUbC-petroleum-diesel'!AE15+'[1]BIFUbC-crude-oil'!AE15+'[1]BIFUbC-heavy-or-residual-oil'!AE15+'[1]BIFUbC-natural-gas'!AE15+'[1]BIFUbC-electricity'!AE15+'[1]BIFUbC-heat'!AE15+'[1]BIFUbC-biomass'!AE15+'[1]BIFUbC-hydrogen'!AG15</f>
        <v>2.2142349781200428E+16</v>
      </c>
      <c r="AF15" s="78">
        <f>'[1]BIFUbC-coal'!AF15+'[1]BIFUbC-LPG-propane-or-butane'!AF15+'[1]BIFUbC-petroleum-diesel'!AF15+'[1]BIFUbC-crude-oil'!AF15+'[1]BIFUbC-heavy-or-residual-oil'!AF15+'[1]BIFUbC-natural-gas'!AF15+'[1]BIFUbC-electricity'!AF15+'[1]BIFUbC-heat'!AF15+'[1]BIFUbC-biomass'!AF15+'[1]BIFUbC-hydrogen'!AH15</f>
        <v>2.15316054780303E+16</v>
      </c>
      <c r="AG15" s="78">
        <f>'[1]BIFUbC-coal'!AG15+'[1]BIFUbC-LPG-propane-or-butane'!AG15+'[1]BIFUbC-petroleum-diesel'!AG15+'[1]BIFUbC-crude-oil'!AG15+'[1]BIFUbC-heavy-or-residual-oil'!AG15+'[1]BIFUbC-natural-gas'!AG15+'[1]BIFUbC-electricity'!AG15+'[1]BIFUbC-heat'!AG15+'[1]BIFUbC-biomass'!AG15+'[1]BIFUbC-hydrogen'!AI15</f>
        <v>2.0920935995546652E+16</v>
      </c>
      <c r="AH15" s="78">
        <f>'[1]BIFUbC-coal'!AH15+'[1]BIFUbC-LPG-propane-or-butane'!AH15+'[1]BIFUbC-petroleum-diesel'!AH15+'[1]BIFUbC-crude-oil'!AH15+'[1]BIFUbC-heavy-or-residual-oil'!AH15+'[1]BIFUbC-natural-gas'!AH15+'[1]BIFUbC-electricity'!AH15+'[1]BIFUbC-heat'!AH15+'[1]BIFUbC-biomass'!AH15+'[1]BIFUbC-hydrogen'!AJ15</f>
        <v>2.0391582699084492E+16</v>
      </c>
      <c r="AI15" s="78">
        <f>'[1]BIFUbC-coal'!AI15+'[1]BIFUbC-LPG-propane-or-butane'!AI15+'[1]BIFUbC-petroleum-diesel'!AI15+'[1]BIFUbC-crude-oil'!AI15+'[1]BIFUbC-heavy-or-residual-oil'!AI15+'[1]BIFUbC-natural-gas'!AI15+'[1]BIFUbC-electricity'!AI15+'[1]BIFUbC-heat'!AI15+'[1]BIFUbC-biomass'!AI15+'[1]BIFUbC-hydrogen'!AK15</f>
        <v>1.9862294247217288E+16</v>
      </c>
      <c r="AJ15" s="78">
        <f>'[1]BIFUbC-coal'!AJ15+'[1]BIFUbC-LPG-propane-or-butane'!AJ15+'[1]BIFUbC-petroleum-diesel'!AJ15+'[1]BIFUbC-crude-oil'!AJ15+'[1]BIFUbC-heavy-or-residual-oil'!AJ15+'[1]BIFUbC-natural-gas'!AJ15+'[1]BIFUbC-electricity'!AJ15+'[1]BIFUbC-heat'!AJ15+'[1]BIFUbC-biomass'!AJ15+'[1]BIFUbC-hydrogen'!AL15</f>
        <v>1.933307063994504E+16</v>
      </c>
      <c r="AK15" s="78">
        <f>'[1]BIFUbC-coal'!AK15+'[1]BIFUbC-LPG-propane-or-butane'!AK15+'[1]BIFUbC-petroleum-diesel'!AK15+'[1]BIFUbC-crude-oil'!AK15+'[1]BIFUbC-heavy-or-residual-oil'!AK15+'[1]BIFUbC-natural-gas'!AK15+'[1]BIFUbC-electricity'!AK15+'[1]BIFUbC-heat'!AK15+'[1]BIFUbC-biomass'!AK15+'[1]BIFUbC-hydrogen'!AM15</f>
        <v>1.880391187726774E+16</v>
      </c>
      <c r="AL15" s="78">
        <f>'[1]BIFUbC-coal'!AL15+'[1]BIFUbC-LPG-propane-or-butane'!AL15+'[1]BIFUbC-petroleum-diesel'!AL15+'[1]BIFUbC-crude-oil'!AL15+'[1]BIFUbC-heavy-or-residual-oil'!AL15+'[1]BIFUbC-natural-gas'!AL15+'[1]BIFUbC-electricity'!AL15+'[1]BIFUbC-heat'!AL15+'[1]BIFUbC-biomass'!AL15+'[1]BIFUbC-hydrogen'!AN15</f>
        <v>1.82748179591854E+16</v>
      </c>
      <c r="AM15" s="78">
        <f>'[1]BIFUbC-coal'!AM15+'[1]BIFUbC-LPG-propane-or-butane'!AM15+'[1]BIFUbC-petroleum-diesel'!AM15+'[1]BIFUbC-crude-oil'!AM15+'[1]BIFUbC-heavy-or-residual-oil'!AM15+'[1]BIFUbC-natural-gas'!AM15+'[1]BIFUbC-electricity'!AM15+'[1]BIFUbC-heat'!AM15+'[1]BIFUbC-biomass'!AM15+'[1]BIFUbC-hydrogen'!AO15</f>
        <v>1.7719268677284908E+16</v>
      </c>
      <c r="AN15" s="78">
        <f>'[1]BIFUbC-coal'!AN15+'[1]BIFUbC-LPG-propane-or-butane'!AN15+'[1]BIFUbC-petroleum-diesel'!AN15+'[1]BIFUbC-crude-oil'!AN15+'[1]BIFUbC-heavy-or-residual-oil'!AN15+'[1]BIFUbC-natural-gas'!AN15+'[1]BIFUbC-electricity'!AN15+'[1]BIFUbC-heat'!AN15+'[1]BIFUbC-biomass'!AN15+'[1]BIFUbC-hydrogen'!AP15</f>
        <v>1.7163787497547354E+16</v>
      </c>
      <c r="AO15" s="78">
        <f>'[1]BIFUbC-coal'!AO15+'[1]BIFUbC-LPG-propane-or-butane'!AO15+'[1]BIFUbC-petroleum-diesel'!AO15+'[1]BIFUbC-crude-oil'!AO15+'[1]BIFUbC-heavy-or-residual-oil'!AO15+'[1]BIFUbC-natural-gas'!AO15+'[1]BIFUbC-electricity'!AO15+'[1]BIFUbC-heat'!AO15+'[1]BIFUbC-biomass'!AO15+'[1]BIFUbC-hydrogen'!AQ15</f>
        <v>1.6608374419972748E+16</v>
      </c>
      <c r="AP15" s="78">
        <f>'[1]BIFUbC-coal'!AP15+'[1]BIFUbC-LPG-propane-or-butane'!AP15+'[1]BIFUbC-petroleum-diesel'!AP15+'[1]BIFUbC-crude-oil'!AP15+'[1]BIFUbC-heavy-or-residual-oil'!AP15+'[1]BIFUbC-natural-gas'!AP15+'[1]BIFUbC-electricity'!AP15+'[1]BIFUbC-heat'!AP15+'[1]BIFUbC-biomass'!AP15+'[1]BIFUbC-hydrogen'!AR15</f>
        <v>1.6053029444561082E+16</v>
      </c>
      <c r="AQ15" s="78">
        <f>'[1]BIFUbC-coal'!AQ15+'[1]BIFUbC-LPG-propane-or-butane'!AQ15+'[1]BIFUbC-petroleum-diesel'!AQ15+'[1]BIFUbC-crude-oil'!AQ15+'[1]BIFUbC-heavy-or-residual-oil'!AQ15+'[1]BIFUbC-natural-gas'!AQ15+'[1]BIFUbC-electricity'!AQ15+'[1]BIFUbC-heat'!AQ15+'[1]BIFUbC-biomass'!AQ15+'[1]BIFUbC-hydrogen'!AS15</f>
        <v>1.5492992296862702E+16</v>
      </c>
    </row>
    <row r="16" spans="1:43" s="77" customFormat="1" x14ac:dyDescent="0.2">
      <c r="A16" s="77" t="s">
        <v>46</v>
      </c>
      <c r="B16" s="78">
        <f>'[1]BIFUbC-coal'!B16+'[1]BIFUbC-LPG-propane-or-butane'!B16+'[1]BIFUbC-petroleum-diesel'!B16+'[1]BIFUbC-crude-oil'!B16+'[1]BIFUbC-heavy-or-residual-oil'!B16+'[1]BIFUbC-natural-gas'!B16+'[1]BIFUbC-electricity'!B16+'[1]BIFUbC-heat'!B16+'[1]BIFUbC-biomass'!B16+'[1]BIFUbC-hydrogen'!D16</f>
        <v>3311619800620959</v>
      </c>
      <c r="C16" s="78">
        <f>'[1]BIFUbC-coal'!C16+'[1]BIFUbC-LPG-propane-or-butane'!C16+'[1]BIFUbC-petroleum-diesel'!C16+'[1]BIFUbC-crude-oil'!C16+'[1]BIFUbC-heavy-or-residual-oil'!C16+'[1]BIFUbC-natural-gas'!C16+'[1]BIFUbC-electricity'!C16+'[1]BIFUbC-heat'!C16+'[1]BIFUbC-biomass'!C16+'[1]BIFUbC-hydrogen'!E16</f>
        <v>3410530606926317</v>
      </c>
      <c r="D16" s="78">
        <f>'[1]BIFUbC-coal'!D16+'[1]BIFUbC-LPG-propane-or-butane'!D16+'[1]BIFUbC-petroleum-diesel'!D16+'[1]BIFUbC-crude-oil'!D16+'[1]BIFUbC-heavy-or-residual-oil'!D16+'[1]BIFUbC-natural-gas'!D16+'[1]BIFUbC-electricity'!D16+'[1]BIFUbC-heat'!D16+'[1]BIFUbC-biomass'!D16+'[1]BIFUbC-hydrogen'!F16</f>
        <v>3631979564082622</v>
      </c>
      <c r="E16" s="78">
        <f>'[1]BIFUbC-coal'!E16+'[1]BIFUbC-LPG-propane-or-butane'!E16+'[1]BIFUbC-petroleum-diesel'!E16+'[1]BIFUbC-crude-oil'!E16+'[1]BIFUbC-heavy-or-residual-oil'!E16+'[1]BIFUbC-natural-gas'!E16+'[1]BIFUbC-electricity'!E16+'[1]BIFUbC-heat'!E16+'[1]BIFUbC-biomass'!E16+'[1]BIFUbC-hydrogen'!G16</f>
        <v>3958448226217563</v>
      </c>
      <c r="F16" s="78">
        <f>'[1]BIFUbC-coal'!F16+'[1]BIFUbC-LPG-propane-or-butane'!F16+'[1]BIFUbC-petroleum-diesel'!F16+'[1]BIFUbC-crude-oil'!F16+'[1]BIFUbC-heavy-or-residual-oil'!F16+'[1]BIFUbC-natural-gas'!F16+'[1]BIFUbC-electricity'!F16+'[1]BIFUbC-heat'!F16+'[1]BIFUbC-biomass'!F16+'[1]BIFUbC-hydrogen'!H16</f>
        <v>4390740415780671.5</v>
      </c>
      <c r="G16" s="78">
        <f>'[1]BIFUbC-coal'!G16+'[1]BIFUbC-LPG-propane-or-butane'!G16+'[1]BIFUbC-petroleum-diesel'!G16+'[1]BIFUbC-crude-oil'!G16+'[1]BIFUbC-heavy-or-residual-oil'!G16+'[1]BIFUbC-natural-gas'!G16+'[1]BIFUbC-electricity'!G16+'[1]BIFUbC-heat'!G16+'[1]BIFUbC-biomass'!G16+'[1]BIFUbC-hydrogen'!I16</f>
        <v>4693859092506271</v>
      </c>
      <c r="H16" s="78">
        <f>'[1]BIFUbC-coal'!H16+'[1]BIFUbC-LPG-propane-or-butane'!H16+'[1]BIFUbC-petroleum-diesel'!H16+'[1]BIFUbC-crude-oil'!H16+'[1]BIFUbC-heavy-or-residual-oil'!H16+'[1]BIFUbC-natural-gas'!H16+'[1]BIFUbC-electricity'!H16+'[1]BIFUbC-heat'!H16+'[1]BIFUbC-biomass'!H16+'[1]BIFUbC-hydrogen'!J16</f>
        <v>4995771160402706</v>
      </c>
      <c r="I16" s="78">
        <f>'[1]BIFUbC-coal'!I16+'[1]BIFUbC-LPG-propane-or-butane'!I16+'[1]BIFUbC-petroleum-diesel'!I16+'[1]BIFUbC-crude-oil'!I16+'[1]BIFUbC-heavy-or-residual-oil'!I16+'[1]BIFUbC-natural-gas'!I16+'[1]BIFUbC-electricity'!I16+'[1]BIFUbC-heat'!I16+'[1]BIFUbC-biomass'!I16+'[1]BIFUbC-hydrogen'!K16</f>
        <v>5252696421713933</v>
      </c>
      <c r="J16" s="78">
        <f>'[1]BIFUbC-coal'!J16+'[1]BIFUbC-LPG-propane-or-butane'!J16+'[1]BIFUbC-petroleum-diesel'!J16+'[1]BIFUbC-crude-oil'!J16+'[1]BIFUbC-heavy-or-residual-oil'!J16+'[1]BIFUbC-natural-gas'!J16+'[1]BIFUbC-electricity'!J16+'[1]BIFUbC-heat'!J16+'[1]BIFUbC-biomass'!J16+'[1]BIFUbC-hydrogen'!L16</f>
        <v>5509469478767547</v>
      </c>
      <c r="K16" s="78">
        <f>'[1]BIFUbC-coal'!K16+'[1]BIFUbC-LPG-propane-or-butane'!K16+'[1]BIFUbC-petroleum-diesel'!K16+'[1]BIFUbC-crude-oil'!K16+'[1]BIFUbC-heavy-or-residual-oil'!K16+'[1]BIFUbC-natural-gas'!K16+'[1]BIFUbC-electricity'!K16+'[1]BIFUbC-heat'!K16+'[1]BIFUbC-biomass'!K16+'[1]BIFUbC-hydrogen'!M16</f>
        <v>5766090331563546</v>
      </c>
      <c r="L16" s="78">
        <f>'[1]BIFUbC-coal'!L16+'[1]BIFUbC-LPG-propane-or-butane'!L16+'[1]BIFUbC-petroleum-diesel'!L16+'[1]BIFUbC-crude-oil'!L16+'[1]BIFUbC-heavy-or-residual-oil'!L16+'[1]BIFUbC-natural-gas'!L16+'[1]BIFUbC-electricity'!L16+'[1]BIFUbC-heat'!L16+'[1]BIFUbC-biomass'!L16+'[1]BIFUbC-hydrogen'!N16</f>
        <v>6022558980101930</v>
      </c>
      <c r="M16" s="78">
        <f>'[1]BIFUbC-coal'!M16+'[1]BIFUbC-LPG-propane-or-butane'!M16+'[1]BIFUbC-petroleum-diesel'!M16+'[1]BIFUbC-crude-oil'!M16+'[1]BIFUbC-heavy-or-residual-oil'!M16+'[1]BIFUbC-natural-gas'!M16+'[1]BIFUbC-electricity'!M16+'[1]BIFUbC-heat'!M16+'[1]BIFUbC-biomass'!M16+'[1]BIFUbC-hydrogen'!O16</f>
        <v>6278875424382702</v>
      </c>
      <c r="N16" s="78">
        <f>'[1]BIFUbC-coal'!N16+'[1]BIFUbC-LPG-propane-or-butane'!N16+'[1]BIFUbC-petroleum-diesel'!N16+'[1]BIFUbC-crude-oil'!N16+'[1]BIFUbC-heavy-or-residual-oil'!N16+'[1]BIFUbC-natural-gas'!N16+'[1]BIFUbC-electricity'!N16+'[1]BIFUbC-heat'!N16+'[1]BIFUbC-biomass'!N16+'[1]BIFUbC-hydrogen'!P16</f>
        <v>6416872454014016</v>
      </c>
      <c r="O16" s="78">
        <f>'[1]BIFUbC-coal'!O16+'[1]BIFUbC-LPG-propane-or-butane'!O16+'[1]BIFUbC-petroleum-diesel'!O16+'[1]BIFUbC-crude-oil'!O16+'[1]BIFUbC-heavy-or-residual-oil'!O16+'[1]BIFUbC-natural-gas'!O16+'[1]BIFUbC-electricity'!O16+'[1]BIFUbC-heat'!O16+'[1]BIFUbC-biomass'!O16+'[1]BIFUbC-hydrogen'!Q16</f>
        <v>6554814816568317</v>
      </c>
      <c r="P16" s="78">
        <f>'[1]BIFUbC-coal'!P16+'[1]BIFUbC-LPG-propane-or-butane'!P16+'[1]BIFUbC-petroleum-diesel'!P16+'[1]BIFUbC-crude-oil'!P16+'[1]BIFUbC-heavy-or-residual-oil'!P16+'[1]BIFUbC-natural-gas'!P16+'[1]BIFUbC-electricity'!P16+'[1]BIFUbC-heat'!P16+'[1]BIFUbC-biomass'!P16+'[1]BIFUbC-hydrogen'!R16</f>
        <v>6692702512045604</v>
      </c>
      <c r="Q16" s="78">
        <f>'[1]BIFUbC-coal'!Q16+'[1]BIFUbC-LPG-propane-or-butane'!Q16+'[1]BIFUbC-petroleum-diesel'!Q16+'[1]BIFUbC-crude-oil'!Q16+'[1]BIFUbC-heavy-or-residual-oil'!Q16+'[1]BIFUbC-natural-gas'!Q16+'[1]BIFUbC-electricity'!Q16+'[1]BIFUbC-heat'!Q16+'[1]BIFUbC-biomass'!Q16+'[1]BIFUbC-hydrogen'!S16</f>
        <v>6830535540445880</v>
      </c>
      <c r="R16" s="78">
        <f>'[1]BIFUbC-coal'!R16+'[1]BIFUbC-LPG-propane-or-butane'!R16+'[1]BIFUbC-petroleum-diesel'!R16+'[1]BIFUbC-crude-oil'!R16+'[1]BIFUbC-heavy-or-residual-oil'!R16+'[1]BIFUbC-natural-gas'!R16+'[1]BIFUbC-electricity'!R16+'[1]BIFUbC-heat'!R16+'[1]BIFUbC-biomass'!R16+'[1]BIFUbC-hydrogen'!T16</f>
        <v>6968313901769148</v>
      </c>
      <c r="S16" s="78">
        <f>'[1]BIFUbC-coal'!S16+'[1]BIFUbC-LPG-propane-or-butane'!S16+'[1]BIFUbC-petroleum-diesel'!S16+'[1]BIFUbC-crude-oil'!S16+'[1]BIFUbC-heavy-or-residual-oil'!S16+'[1]BIFUbC-natural-gas'!S16+'[1]BIFUbC-electricity'!S16+'[1]BIFUbC-heat'!S16+'[1]BIFUbC-biomass'!S16+'[1]BIFUbC-hydrogen'!U16</f>
        <v>7008658880740453</v>
      </c>
      <c r="T16" s="78">
        <f>'[1]BIFUbC-coal'!T16+'[1]BIFUbC-LPG-propane-or-butane'!T16+'[1]BIFUbC-petroleum-diesel'!T16+'[1]BIFUbC-crude-oil'!T16+'[1]BIFUbC-heavy-or-residual-oil'!T16+'[1]BIFUbC-natural-gas'!T16+'[1]BIFUbC-electricity'!T16+'[1]BIFUbC-heat'!T16+'[1]BIFUbC-biomass'!T16+'[1]BIFUbC-hydrogen'!V16</f>
        <v>7048998520487524</v>
      </c>
      <c r="U16" s="78">
        <f>'[1]BIFUbC-coal'!U16+'[1]BIFUbC-LPG-propane-or-butane'!U16+'[1]BIFUbC-petroleum-diesel'!U16+'[1]BIFUbC-crude-oil'!U16+'[1]BIFUbC-heavy-or-residual-oil'!U16+'[1]BIFUbC-natural-gas'!U16+'[1]BIFUbC-electricity'!U16+'[1]BIFUbC-heat'!U16+'[1]BIFUbC-biomass'!U16+'[1]BIFUbC-hydrogen'!W16</f>
        <v>7089332821010359</v>
      </c>
      <c r="V16" s="78">
        <f>'[1]BIFUbC-coal'!V16+'[1]BIFUbC-LPG-propane-or-butane'!V16+'[1]BIFUbC-petroleum-diesel'!V16+'[1]BIFUbC-crude-oil'!V16+'[1]BIFUbC-heavy-or-residual-oil'!V16+'[1]BIFUbC-natural-gas'!V16+'[1]BIFUbC-electricity'!V16+'[1]BIFUbC-heat'!V16+'[1]BIFUbC-biomass'!V16+'[1]BIFUbC-hydrogen'!X16</f>
        <v>7129661782308956</v>
      </c>
      <c r="W16" s="78">
        <f>'[1]BIFUbC-coal'!W16+'[1]BIFUbC-LPG-propane-or-butane'!W16+'[1]BIFUbC-petroleum-diesel'!W16+'[1]BIFUbC-crude-oil'!W16+'[1]BIFUbC-heavy-or-residual-oil'!W16+'[1]BIFUbC-natural-gas'!W16+'[1]BIFUbC-electricity'!W16+'[1]BIFUbC-heat'!W16+'[1]BIFUbC-biomass'!W16+'[1]BIFUbC-hydrogen'!Y16</f>
        <v>7169985404383320</v>
      </c>
      <c r="X16" s="78">
        <f>'[1]BIFUbC-coal'!X16+'[1]BIFUbC-LPG-propane-or-butane'!X16+'[1]BIFUbC-petroleum-diesel'!X16+'[1]BIFUbC-crude-oil'!X16+'[1]BIFUbC-heavy-or-residual-oil'!X16+'[1]BIFUbC-natural-gas'!X16+'[1]BIFUbC-electricity'!X16+'[1]BIFUbC-heat'!X16+'[1]BIFUbC-biomass'!X16+'[1]BIFUbC-hydrogen'!Z16</f>
        <v>7151582963238826</v>
      </c>
      <c r="Y16" s="78">
        <f>'[1]BIFUbC-coal'!Y16+'[1]BIFUbC-LPG-propane-or-butane'!Y16+'[1]BIFUbC-petroleum-diesel'!Y16+'[1]BIFUbC-crude-oil'!Y16+'[1]BIFUbC-heavy-or-residual-oil'!Y16+'[1]BIFUbC-natural-gas'!Y16+'[1]BIFUbC-electricity'!Y16+'[1]BIFUbC-heat'!Y16+'[1]BIFUbC-biomass'!Y16+'[1]BIFUbC-hydrogen'!AA16</f>
        <v>7133182869607661</v>
      </c>
      <c r="Z16" s="78">
        <f>'[1]BIFUbC-coal'!Z16+'[1]BIFUbC-LPG-propane-or-butane'!Z16+'[1]BIFUbC-petroleum-diesel'!Z16+'[1]BIFUbC-crude-oil'!Z16+'[1]BIFUbC-heavy-or-residual-oil'!Z16+'[1]BIFUbC-natural-gas'!Z16+'[1]BIFUbC-electricity'!Z16+'[1]BIFUbC-heat'!Z16+'[1]BIFUbC-biomass'!Z16+'[1]BIFUbC-hydrogen'!AB16</f>
        <v>7114785123489828</v>
      </c>
      <c r="AA16" s="78">
        <f>'[1]BIFUbC-coal'!AA16+'[1]BIFUbC-LPG-propane-or-butane'!AA16+'[1]BIFUbC-petroleum-diesel'!AA16+'[1]BIFUbC-crude-oil'!AA16+'[1]BIFUbC-heavy-or-residual-oil'!AA16+'[1]BIFUbC-natural-gas'!AA16+'[1]BIFUbC-electricity'!AA16+'[1]BIFUbC-heat'!AA16+'[1]BIFUbC-biomass'!AA16+'[1]BIFUbC-hydrogen'!AC16</f>
        <v>7096389724885326</v>
      </c>
      <c r="AB16" s="78">
        <f>'[1]BIFUbC-coal'!AB16+'[1]BIFUbC-LPG-propane-or-butane'!AB16+'[1]BIFUbC-petroleum-diesel'!AB16+'[1]BIFUbC-crude-oil'!AB16+'[1]BIFUbC-heavy-or-residual-oil'!AB16+'[1]BIFUbC-natural-gas'!AB16+'[1]BIFUbC-electricity'!AB16+'[1]BIFUbC-heat'!AB16+'[1]BIFUbC-biomass'!AB16+'[1]BIFUbC-hydrogen'!AD16</f>
        <v>7077996673794153</v>
      </c>
      <c r="AC16" s="78">
        <f>'[1]BIFUbC-coal'!AC16+'[1]BIFUbC-LPG-propane-or-butane'!AC16+'[1]BIFUbC-petroleum-diesel'!AC16+'[1]BIFUbC-crude-oil'!AC16+'[1]BIFUbC-heavy-or-residual-oil'!AC16+'[1]BIFUbC-natural-gas'!AC16+'[1]BIFUbC-electricity'!AC16+'[1]BIFUbC-heat'!AC16+'[1]BIFUbC-biomass'!AC16+'[1]BIFUbC-hydrogen'!AE16</f>
        <v>6982977147428129</v>
      </c>
      <c r="AD16" s="78">
        <f>'[1]BIFUbC-coal'!AD16+'[1]BIFUbC-LPG-propane-or-butane'!AD16+'[1]BIFUbC-petroleum-diesel'!AD16+'[1]BIFUbC-crude-oil'!AD16+'[1]BIFUbC-heavy-or-residual-oil'!AD16+'[1]BIFUbC-natural-gas'!AD16+'[1]BIFUbC-electricity'!AD16+'[1]BIFUbC-heat'!AD16+'[1]BIFUbC-biomass'!AD16+'[1]BIFUbC-hydrogen'!AF16</f>
        <v>6887970002826333</v>
      </c>
      <c r="AE16" s="78">
        <f>'[1]BIFUbC-coal'!AE16+'[1]BIFUbC-LPG-propane-or-butane'!AE16+'[1]BIFUbC-petroleum-diesel'!AE16+'[1]BIFUbC-crude-oil'!AE16+'[1]BIFUbC-heavy-or-residual-oil'!AE16+'[1]BIFUbC-natural-gas'!AE16+'[1]BIFUbC-electricity'!AE16+'[1]BIFUbC-heat'!AE16+'[1]BIFUbC-biomass'!AE16+'[1]BIFUbC-hydrogen'!AG16</f>
        <v>6792975239988766</v>
      </c>
      <c r="AF16" s="78">
        <f>'[1]BIFUbC-coal'!AF16+'[1]BIFUbC-LPG-propane-or-butane'!AF16+'[1]BIFUbC-petroleum-diesel'!AF16+'[1]BIFUbC-crude-oil'!AF16+'[1]BIFUbC-heavy-or-residual-oil'!AF16+'[1]BIFUbC-natural-gas'!AF16+'[1]BIFUbC-electricity'!AF16+'[1]BIFUbC-heat'!AF16+'[1]BIFUbC-biomass'!AF16+'[1]BIFUbC-hydrogen'!AH16</f>
        <v>6697992858915428</v>
      </c>
      <c r="AG16" s="78">
        <f>'[1]BIFUbC-coal'!AG16+'[1]BIFUbC-LPG-propane-or-butane'!AG16+'[1]BIFUbC-petroleum-diesel'!AG16+'[1]BIFUbC-crude-oil'!AG16+'[1]BIFUbC-heavy-or-residual-oil'!AG16+'[1]BIFUbC-natural-gas'!AG16+'[1]BIFUbC-electricity'!AG16+'[1]BIFUbC-heat'!AG16+'[1]BIFUbC-biomass'!AG16+'[1]BIFUbC-hydrogen'!AI16</f>
        <v>6603022859606318</v>
      </c>
      <c r="AH16" s="78">
        <f>'[1]BIFUbC-coal'!AH16+'[1]BIFUbC-LPG-propane-or-butane'!AH16+'[1]BIFUbC-petroleum-diesel'!AH16+'[1]BIFUbC-crude-oil'!AH16+'[1]BIFUbC-heavy-or-residual-oil'!AH16+'[1]BIFUbC-natural-gas'!AH16+'[1]BIFUbC-electricity'!AH16+'[1]BIFUbC-heat'!AH16+'[1]BIFUbC-biomass'!AH16+'[1]BIFUbC-hydrogen'!AJ16</f>
        <v>6450612439190732</v>
      </c>
      <c r="AI16" s="78">
        <f>'[1]BIFUbC-coal'!AI16+'[1]BIFUbC-LPG-propane-or-butane'!AI16+'[1]BIFUbC-petroleum-diesel'!AI16+'[1]BIFUbC-crude-oil'!AI16+'[1]BIFUbC-heavy-or-residual-oil'!AI16+'[1]BIFUbC-natural-gas'!AI16+'[1]BIFUbC-electricity'!AI16+'[1]BIFUbC-heat'!AI16+'[1]BIFUbC-biomass'!AI16+'[1]BIFUbC-hydrogen'!AK16</f>
        <v>6298221926227548</v>
      </c>
      <c r="AJ16" s="78">
        <f>'[1]BIFUbC-coal'!AJ16+'[1]BIFUbC-LPG-propane-or-butane'!AJ16+'[1]BIFUbC-petroleum-diesel'!AJ16+'[1]BIFUbC-crude-oil'!AJ16+'[1]BIFUbC-heavy-or-residual-oil'!AJ16+'[1]BIFUbC-natural-gas'!AJ16+'[1]BIFUbC-electricity'!AJ16+'[1]BIFUbC-heat'!AJ16+'[1]BIFUbC-biomass'!AJ16+'[1]BIFUbC-hydrogen'!AL16</f>
        <v>6145851320716767</v>
      </c>
      <c r="AK16" s="78">
        <f>'[1]BIFUbC-coal'!AK16+'[1]BIFUbC-LPG-propane-or-butane'!AK16+'[1]BIFUbC-petroleum-diesel'!AK16+'[1]BIFUbC-crude-oil'!AK16+'[1]BIFUbC-heavy-or-residual-oil'!AK16+'[1]BIFUbC-natural-gas'!AK16+'[1]BIFUbC-electricity'!AK16+'[1]BIFUbC-heat'!AK16+'[1]BIFUbC-biomass'!AK16+'[1]BIFUbC-hydrogen'!AM16</f>
        <v>5993500622658388</v>
      </c>
      <c r="AL16" s="78">
        <f>'[1]BIFUbC-coal'!AL16+'[1]BIFUbC-LPG-propane-or-butane'!AL16+'[1]BIFUbC-petroleum-diesel'!AL16+'[1]BIFUbC-crude-oil'!AL16+'[1]BIFUbC-heavy-or-residual-oil'!AL16+'[1]BIFUbC-natural-gas'!AL16+'[1]BIFUbC-electricity'!AL16+'[1]BIFUbC-heat'!AL16+'[1]BIFUbC-biomass'!AL16+'[1]BIFUbC-hydrogen'!AN16</f>
        <v>5841169832052413</v>
      </c>
      <c r="AM16" s="78">
        <f>'[1]BIFUbC-coal'!AM16+'[1]BIFUbC-LPG-propane-or-butane'!AM16+'[1]BIFUbC-petroleum-diesel'!AM16+'[1]BIFUbC-crude-oil'!AM16+'[1]BIFUbC-heavy-or-residual-oil'!AM16+'[1]BIFUbC-natural-gas'!AM16+'[1]BIFUbC-electricity'!AM16+'[1]BIFUbC-heat'!AM16+'[1]BIFUbC-biomass'!AM16+'[1]BIFUbC-hydrogen'!AO16</f>
        <v>5688613131936318</v>
      </c>
      <c r="AN16" s="78">
        <f>'[1]BIFUbC-coal'!AN16+'[1]BIFUbC-LPG-propane-or-butane'!AN16+'[1]BIFUbC-petroleum-diesel'!AN16+'[1]BIFUbC-crude-oil'!AN16+'[1]BIFUbC-heavy-or-residual-oil'!AN16+'[1]BIFUbC-natural-gas'!AN16+'[1]BIFUbC-electricity'!AN16+'[1]BIFUbC-heat'!AN16+'[1]BIFUbC-biomass'!AN16+'[1]BIFUbC-hydrogen'!AP16</f>
        <v>5536076371482504</v>
      </c>
      <c r="AO16" s="78">
        <f>'[1]BIFUbC-coal'!AO16+'[1]BIFUbC-LPG-propane-or-butane'!AO16+'[1]BIFUbC-petroleum-diesel'!AO16+'[1]BIFUbC-crude-oil'!AO16+'[1]BIFUbC-heavy-or-residual-oil'!AO16+'[1]BIFUbC-natural-gas'!AO16+'[1]BIFUbC-electricity'!AO16+'[1]BIFUbC-heat'!AO16+'[1]BIFUbC-biomass'!AO16+'[1]BIFUbC-hydrogen'!AQ16</f>
        <v>5383559550690972</v>
      </c>
      <c r="AP16" s="78">
        <f>'[1]BIFUbC-coal'!AP16+'[1]BIFUbC-LPG-propane-or-butane'!AP16+'[1]BIFUbC-petroleum-diesel'!AP16+'[1]BIFUbC-crude-oil'!AP16+'[1]BIFUbC-heavy-or-residual-oil'!AP16+'[1]BIFUbC-natural-gas'!AP16+'[1]BIFUbC-electricity'!AP16+'[1]BIFUbC-heat'!AP16+'[1]BIFUbC-biomass'!AP16+'[1]BIFUbC-hydrogen'!AR16</f>
        <v>5231062669561720</v>
      </c>
      <c r="AQ16" s="78">
        <f>'[1]BIFUbC-coal'!AQ16+'[1]BIFUbC-LPG-propane-or-butane'!AQ16+'[1]BIFUbC-petroleum-diesel'!AQ16+'[1]BIFUbC-crude-oil'!AQ16+'[1]BIFUbC-heavy-or-residual-oil'!AQ16+'[1]BIFUbC-natural-gas'!AQ16+'[1]BIFUbC-electricity'!AQ16+'[1]BIFUbC-heat'!AQ16+'[1]BIFUbC-biomass'!AQ16+'[1]BIFUbC-hydrogen'!AS16</f>
        <v>5076921649379341</v>
      </c>
    </row>
    <row r="17" spans="1:43" s="77" customFormat="1" x14ac:dyDescent="0.2">
      <c r="A17" s="77" t="s">
        <v>47</v>
      </c>
      <c r="B17" s="78">
        <f>'[1]BIFUbC-coal'!B17+'[1]BIFUbC-LPG-propane-or-butane'!B17+'[1]BIFUbC-petroleum-diesel'!B17+'[1]BIFUbC-crude-oil'!B17+'[1]BIFUbC-heavy-or-residual-oil'!B17+'[1]BIFUbC-natural-gas'!B17+'[1]BIFUbC-electricity'!B17+'[1]BIFUbC-heat'!B17+'[1]BIFUbC-biomass'!B17+'[1]BIFUbC-hydrogen'!D17</f>
        <v>1250991188856060.5</v>
      </c>
      <c r="C17" s="78">
        <f>'[1]BIFUbC-coal'!C17+'[1]BIFUbC-LPG-propane-or-butane'!C17+'[1]BIFUbC-petroleum-diesel'!C17+'[1]BIFUbC-crude-oil'!C17+'[1]BIFUbC-heavy-or-residual-oil'!C17+'[1]BIFUbC-natural-gas'!C17+'[1]BIFUbC-electricity'!C17+'[1]BIFUbC-heat'!C17+'[1]BIFUbC-biomass'!C17+'[1]BIFUbC-hydrogen'!E17</f>
        <v>1274478057333611.5</v>
      </c>
      <c r="D17" s="78">
        <f>'[1]BIFUbC-coal'!D17+'[1]BIFUbC-LPG-propane-or-butane'!D17+'[1]BIFUbC-petroleum-diesel'!D17+'[1]BIFUbC-crude-oil'!D17+'[1]BIFUbC-heavy-or-residual-oil'!D17+'[1]BIFUbC-natural-gas'!D17+'[1]BIFUbC-electricity'!D17+'[1]BIFUbC-heat'!D17+'[1]BIFUbC-biomass'!D17+'[1]BIFUbC-hydrogen'!F17</f>
        <v>1538518948226182.3</v>
      </c>
      <c r="E17" s="78">
        <f>'[1]BIFUbC-coal'!E17+'[1]BIFUbC-LPG-propane-or-butane'!E17+'[1]BIFUbC-petroleum-diesel'!E17+'[1]BIFUbC-crude-oil'!E17+'[1]BIFUbC-heavy-or-residual-oil'!E17+'[1]BIFUbC-natural-gas'!E17+'[1]BIFUbC-electricity'!E17+'[1]BIFUbC-heat'!E17+'[1]BIFUbC-biomass'!E17+'[1]BIFUbC-hydrogen'!G17</f>
        <v>1556313916639596.5</v>
      </c>
      <c r="F17" s="78">
        <f>'[1]BIFUbC-coal'!F17+'[1]BIFUbC-LPG-propane-or-butane'!F17+'[1]BIFUbC-petroleum-diesel'!F17+'[1]BIFUbC-crude-oil'!F17+'[1]BIFUbC-heavy-or-residual-oil'!F17+'[1]BIFUbC-natural-gas'!F17+'[1]BIFUbC-electricity'!F17+'[1]BIFUbC-heat'!F17+'[1]BIFUbC-biomass'!F17+'[1]BIFUbC-hydrogen'!H17</f>
        <v>1616742399771298.8</v>
      </c>
      <c r="G17" s="78">
        <f>'[1]BIFUbC-coal'!G17+'[1]BIFUbC-LPG-propane-or-butane'!G17+'[1]BIFUbC-petroleum-diesel'!G17+'[1]BIFUbC-crude-oil'!G17+'[1]BIFUbC-heavy-or-residual-oil'!G17+'[1]BIFUbC-natural-gas'!G17+'[1]BIFUbC-electricity'!G17+'[1]BIFUbC-heat'!G17+'[1]BIFUbC-biomass'!G17+'[1]BIFUbC-hydrogen'!I17</f>
        <v>1666096424808026.5</v>
      </c>
      <c r="H17" s="78">
        <f>'[1]BIFUbC-coal'!H17+'[1]BIFUbC-LPG-propane-or-butane'!H17+'[1]BIFUbC-petroleum-diesel'!H17+'[1]BIFUbC-crude-oil'!H17+'[1]BIFUbC-heavy-or-residual-oil'!H17+'[1]BIFUbC-natural-gas'!H17+'[1]BIFUbC-electricity'!H17+'[1]BIFUbC-heat'!H17+'[1]BIFUbC-biomass'!H17+'[1]BIFUbC-hydrogen'!J17</f>
        <v>1728115062106158</v>
      </c>
      <c r="I17" s="78">
        <f>'[1]BIFUbC-coal'!I17+'[1]BIFUbC-LPG-propane-or-butane'!I17+'[1]BIFUbC-petroleum-diesel'!I17+'[1]BIFUbC-crude-oil'!I17+'[1]BIFUbC-heavy-or-residual-oil'!I17+'[1]BIFUbC-natural-gas'!I17+'[1]BIFUbC-electricity'!I17+'[1]BIFUbC-heat'!I17+'[1]BIFUbC-biomass'!I17+'[1]BIFUbC-hydrogen'!K17</f>
        <v>1789066307757383</v>
      </c>
      <c r="J17" s="78">
        <f>'[1]BIFUbC-coal'!J17+'[1]BIFUbC-LPG-propane-or-butane'!J17+'[1]BIFUbC-petroleum-diesel'!J17+'[1]BIFUbC-crude-oil'!J17+'[1]BIFUbC-heavy-or-residual-oil'!J17+'[1]BIFUbC-natural-gas'!J17+'[1]BIFUbC-electricity'!J17+'[1]BIFUbC-heat'!J17+'[1]BIFUbC-biomass'!J17+'[1]BIFUbC-hydrogen'!L17</f>
        <v>1842679752946704.5</v>
      </c>
      <c r="K17" s="78">
        <f>'[1]BIFUbC-coal'!K17+'[1]BIFUbC-LPG-propane-or-butane'!K17+'[1]BIFUbC-petroleum-diesel'!K17+'[1]BIFUbC-crude-oil'!K17+'[1]BIFUbC-heavy-or-residual-oil'!K17+'[1]BIFUbC-natural-gas'!K17+'[1]BIFUbC-electricity'!K17+'[1]BIFUbC-heat'!K17+'[1]BIFUbC-biomass'!K17+'[1]BIFUbC-hydrogen'!M17</f>
        <v>1889275030843062</v>
      </c>
      <c r="L17" s="78">
        <f>'[1]BIFUbC-coal'!L17+'[1]BIFUbC-LPG-propane-or-butane'!L17+'[1]BIFUbC-petroleum-diesel'!L17+'[1]BIFUbC-crude-oil'!L17+'[1]BIFUbC-heavy-or-residual-oil'!L17+'[1]BIFUbC-natural-gas'!L17+'[1]BIFUbC-electricity'!L17+'[1]BIFUbC-heat'!L17+'[1]BIFUbC-biomass'!L17+'[1]BIFUbC-hydrogen'!N17</f>
        <v>1929366122561923</v>
      </c>
      <c r="M17" s="78">
        <f>'[1]BIFUbC-coal'!M17+'[1]BIFUbC-LPG-propane-or-butane'!M17+'[1]BIFUbC-petroleum-diesel'!M17+'[1]BIFUbC-crude-oil'!M17+'[1]BIFUbC-heavy-or-residual-oil'!M17+'[1]BIFUbC-natural-gas'!M17+'[1]BIFUbC-electricity'!M17+'[1]BIFUbC-heat'!M17+'[1]BIFUbC-biomass'!M17+'[1]BIFUbC-hydrogen'!O17</f>
        <v>1963633821141125.5</v>
      </c>
      <c r="N17" s="78">
        <f>'[1]BIFUbC-coal'!N17+'[1]BIFUbC-LPG-propane-or-butane'!N17+'[1]BIFUbC-petroleum-diesel'!N17+'[1]BIFUbC-crude-oil'!N17+'[1]BIFUbC-heavy-or-residual-oil'!N17+'[1]BIFUbC-natural-gas'!N17+'[1]BIFUbC-electricity'!N17+'[1]BIFUbC-heat'!N17+'[1]BIFUbC-biomass'!N17+'[1]BIFUbC-hydrogen'!P17</f>
        <v>1993055029353036.5</v>
      </c>
      <c r="O17" s="78">
        <f>'[1]BIFUbC-coal'!O17+'[1]BIFUbC-LPG-propane-or-butane'!O17+'[1]BIFUbC-petroleum-diesel'!O17+'[1]BIFUbC-crude-oil'!O17+'[1]BIFUbC-heavy-or-residual-oil'!O17+'[1]BIFUbC-natural-gas'!O17+'[1]BIFUbC-electricity'!O17+'[1]BIFUbC-heat'!O17+'[1]BIFUbC-biomass'!O17+'[1]BIFUbC-hydrogen'!Q17</f>
        <v>2018147557667908</v>
      </c>
      <c r="P17" s="78">
        <f>'[1]BIFUbC-coal'!P17+'[1]BIFUbC-LPG-propane-or-butane'!P17+'[1]BIFUbC-petroleum-diesel'!P17+'[1]BIFUbC-crude-oil'!P17+'[1]BIFUbC-heavy-or-residual-oil'!P17+'[1]BIFUbC-natural-gas'!P17+'[1]BIFUbC-electricity'!P17+'[1]BIFUbC-heat'!P17+'[1]BIFUbC-biomass'!P17+'[1]BIFUbC-hydrogen'!R17</f>
        <v>2039658981910907</v>
      </c>
      <c r="Q17" s="78">
        <f>'[1]BIFUbC-coal'!Q17+'[1]BIFUbC-LPG-propane-or-butane'!Q17+'[1]BIFUbC-petroleum-diesel'!Q17+'[1]BIFUbC-crude-oil'!Q17+'[1]BIFUbC-heavy-or-residual-oil'!Q17+'[1]BIFUbC-natural-gas'!Q17+'[1]BIFUbC-electricity'!Q17+'[1]BIFUbC-heat'!Q17+'[1]BIFUbC-biomass'!Q17+'[1]BIFUbC-hydrogen'!S17</f>
        <v>2058398254791055</v>
      </c>
      <c r="R17" s="78">
        <f>'[1]BIFUbC-coal'!R17+'[1]BIFUbC-LPG-propane-or-butane'!R17+'[1]BIFUbC-petroleum-diesel'!R17+'[1]BIFUbC-crude-oil'!R17+'[1]BIFUbC-heavy-or-residual-oil'!R17+'[1]BIFUbC-natural-gas'!R17+'[1]BIFUbC-electricity'!R17+'[1]BIFUbC-heat'!R17+'[1]BIFUbC-biomass'!R17+'[1]BIFUbC-hydrogen'!T17</f>
        <v>2075222289661160.8</v>
      </c>
      <c r="S17" s="78">
        <f>'[1]BIFUbC-coal'!S17+'[1]BIFUbC-LPG-propane-or-butane'!S17+'[1]BIFUbC-petroleum-diesel'!S17+'[1]BIFUbC-crude-oil'!S17+'[1]BIFUbC-heavy-or-residual-oil'!S17+'[1]BIFUbC-natural-gas'!S17+'[1]BIFUbC-electricity'!S17+'[1]BIFUbC-heat'!S17+'[1]BIFUbC-biomass'!S17+'[1]BIFUbC-hydrogen'!U17</f>
        <v>2091154186477131</v>
      </c>
      <c r="T17" s="78">
        <f>'[1]BIFUbC-coal'!T17+'[1]BIFUbC-LPG-propane-or-butane'!T17+'[1]BIFUbC-petroleum-diesel'!T17+'[1]BIFUbC-crude-oil'!T17+'[1]BIFUbC-heavy-or-residual-oil'!T17+'[1]BIFUbC-natural-gas'!T17+'[1]BIFUbC-electricity'!T17+'[1]BIFUbC-heat'!T17+'[1]BIFUbC-biomass'!T17+'[1]BIFUbC-hydrogen'!V17</f>
        <v>2106081582360479.5</v>
      </c>
      <c r="U17" s="78">
        <f>'[1]BIFUbC-coal'!U17+'[1]BIFUbC-LPG-propane-or-butane'!U17+'[1]BIFUbC-petroleum-diesel'!U17+'[1]BIFUbC-crude-oil'!U17+'[1]BIFUbC-heavy-or-residual-oil'!U17+'[1]BIFUbC-natural-gas'!U17+'[1]BIFUbC-electricity'!U17+'[1]BIFUbC-heat'!U17+'[1]BIFUbC-biomass'!U17+'[1]BIFUbC-hydrogen'!W17</f>
        <v>2120020984837515.8</v>
      </c>
      <c r="V17" s="78">
        <f>'[1]BIFUbC-coal'!V17+'[1]BIFUbC-LPG-propane-or-butane'!V17+'[1]BIFUbC-petroleum-diesel'!V17+'[1]BIFUbC-crude-oil'!V17+'[1]BIFUbC-heavy-or-residual-oil'!V17+'[1]BIFUbC-natural-gas'!V17+'[1]BIFUbC-electricity'!V17+'[1]BIFUbC-heat'!V17+'[1]BIFUbC-biomass'!V17+'[1]BIFUbC-hydrogen'!X17</f>
        <v>2132991363430398.3</v>
      </c>
      <c r="W17" s="78">
        <f>'[1]BIFUbC-coal'!W17+'[1]BIFUbC-LPG-propane-or-butane'!W17+'[1]BIFUbC-petroleum-diesel'!W17+'[1]BIFUbC-crude-oil'!W17+'[1]BIFUbC-heavy-or-residual-oil'!W17+'[1]BIFUbC-natural-gas'!W17+'[1]BIFUbC-electricity'!W17+'[1]BIFUbC-heat'!W17+'[1]BIFUbC-biomass'!W17+'[1]BIFUbC-hydrogen'!Y17</f>
        <v>2145014017198736.3</v>
      </c>
      <c r="X17" s="78">
        <f>'[1]BIFUbC-coal'!X17+'[1]BIFUbC-LPG-propane-or-butane'!X17+'[1]BIFUbC-petroleum-diesel'!X17+'[1]BIFUbC-crude-oil'!X17+'[1]BIFUbC-heavy-or-residual-oil'!X17+'[1]BIFUbC-natural-gas'!X17+'[1]BIFUbC-electricity'!X17+'[1]BIFUbC-heat'!X17+'[1]BIFUbC-biomass'!X17+'[1]BIFUbC-hydrogen'!Z17</f>
        <v>2156112439402036.5</v>
      </c>
      <c r="Y17" s="78">
        <f>'[1]BIFUbC-coal'!Y17+'[1]BIFUbC-LPG-propane-or-butane'!Y17+'[1]BIFUbC-petroleum-diesel'!Y17+'[1]BIFUbC-crude-oil'!Y17+'[1]BIFUbC-heavy-or-residual-oil'!Y17+'[1]BIFUbC-natural-gas'!Y17+'[1]BIFUbC-electricity'!Y17+'[1]BIFUbC-heat'!Y17+'[1]BIFUbC-biomass'!Y17+'[1]BIFUbC-hydrogen'!AA17</f>
        <v>2166312180299295.3</v>
      </c>
      <c r="Z17" s="78">
        <f>'[1]BIFUbC-coal'!Z17+'[1]BIFUbC-LPG-propane-or-butane'!Z17+'[1]BIFUbC-petroleum-diesel'!Z17+'[1]BIFUbC-crude-oil'!Z17+'[1]BIFUbC-heavy-or-residual-oil'!Z17+'[1]BIFUbC-natural-gas'!Z17+'[1]BIFUbC-electricity'!Z17+'[1]BIFUbC-heat'!Z17+'[1]BIFUbC-biomass'!Z17+'[1]BIFUbC-hydrogen'!AB17</f>
        <v>2175640709061065.8</v>
      </c>
      <c r="AA17" s="78">
        <f>'[1]BIFUbC-coal'!AA17+'[1]BIFUbC-LPG-propane-or-butane'!AA17+'[1]BIFUbC-petroleum-diesel'!AA17+'[1]BIFUbC-crude-oil'!AA17+'[1]BIFUbC-heavy-or-residual-oil'!AA17+'[1]BIFUbC-natural-gas'!AA17+'[1]BIFUbC-electricity'!AA17+'[1]BIFUbC-heat'!AA17+'[1]BIFUbC-biomass'!AA17+'[1]BIFUbC-hydrogen'!AC17</f>
        <v>2184127275722963</v>
      </c>
      <c r="AB17" s="78">
        <f>'[1]BIFUbC-coal'!AB17+'[1]BIFUbC-LPG-propane-or-butane'!AB17+'[1]BIFUbC-petroleum-diesel'!AB17+'[1]BIFUbC-crude-oil'!AB17+'[1]BIFUbC-heavy-or-residual-oil'!AB17+'[1]BIFUbC-natural-gas'!AB17+'[1]BIFUbC-electricity'!AB17+'[1]BIFUbC-heat'!AB17+'[1]BIFUbC-biomass'!AB17+'[1]BIFUbC-hydrogen'!AD17</f>
        <v>2191802774059943.8</v>
      </c>
      <c r="AC17" s="78">
        <f>'[1]BIFUbC-coal'!AC17+'[1]BIFUbC-LPG-propane-or-butane'!AC17+'[1]BIFUbC-petroleum-diesel'!AC17+'[1]BIFUbC-crude-oil'!AC17+'[1]BIFUbC-heavy-or-residual-oil'!AC17+'[1]BIFUbC-natural-gas'!AC17+'[1]BIFUbC-electricity'!AC17+'[1]BIFUbC-heat'!AC17+'[1]BIFUbC-biomass'!AC17+'[1]BIFUbC-hydrogen'!AE17</f>
        <v>2198699606207753.8</v>
      </c>
      <c r="AD17" s="78">
        <f>'[1]BIFUbC-coal'!AD17+'[1]BIFUbC-LPG-propane-or-butane'!AD17+'[1]BIFUbC-petroleum-diesel'!AD17+'[1]BIFUbC-crude-oil'!AD17+'[1]BIFUbC-heavy-or-residual-oil'!AD17+'[1]BIFUbC-natural-gas'!AD17+'[1]BIFUbC-electricity'!AD17+'[1]BIFUbC-heat'!AD17+'[1]BIFUbC-biomass'!AD17+'[1]BIFUbC-hydrogen'!AF17</f>
        <v>2204851549802668</v>
      </c>
      <c r="AE17" s="78">
        <f>'[1]BIFUbC-coal'!AE17+'[1]BIFUbC-LPG-propane-or-butane'!AE17+'[1]BIFUbC-petroleum-diesel'!AE17+'[1]BIFUbC-crude-oil'!AE17+'[1]BIFUbC-heavy-or-residual-oil'!AE17+'[1]BIFUbC-natural-gas'!AE17+'[1]BIFUbC-electricity'!AE17+'[1]BIFUbC-heat'!AE17+'[1]BIFUbC-biomass'!AE17+'[1]BIFUbC-hydrogen'!AG17</f>
        <v>2210293628354244.3</v>
      </c>
      <c r="AF17" s="78">
        <f>'[1]BIFUbC-coal'!AF17+'[1]BIFUbC-LPG-propane-or-butane'!AF17+'[1]BIFUbC-petroleum-diesel'!AF17+'[1]BIFUbC-crude-oil'!AF17+'[1]BIFUbC-heavy-or-residual-oil'!AF17+'[1]BIFUbC-natural-gas'!AF17+'[1]BIFUbC-electricity'!AF17+'[1]BIFUbC-heat'!AF17+'[1]BIFUbC-biomass'!AF17+'[1]BIFUbC-hydrogen'!AH17</f>
        <v>2215061985507940.3</v>
      </c>
      <c r="AG17" s="78">
        <f>'[1]BIFUbC-coal'!AG17+'[1]BIFUbC-LPG-propane-or-butane'!AG17+'[1]BIFUbC-petroleum-diesel'!AG17+'[1]BIFUbC-crude-oil'!AG17+'[1]BIFUbC-heavy-or-residual-oil'!AG17+'[1]BIFUbC-natural-gas'!AG17+'[1]BIFUbC-electricity'!AG17+'[1]BIFUbC-heat'!AG17+'[1]BIFUbC-biomass'!AG17+'[1]BIFUbC-hydrogen'!AI17</f>
        <v>2219193763796988.3</v>
      </c>
      <c r="AH17" s="78">
        <f>'[1]BIFUbC-coal'!AH17+'[1]BIFUbC-LPG-propane-or-butane'!AH17+'[1]BIFUbC-petroleum-diesel'!AH17+'[1]BIFUbC-crude-oil'!AH17+'[1]BIFUbC-heavy-or-residual-oil'!AH17+'[1]BIFUbC-natural-gas'!AH17+'[1]BIFUbC-electricity'!AH17+'[1]BIFUbC-heat'!AH17+'[1]BIFUbC-biomass'!AH17+'[1]BIFUbC-hydrogen'!AJ17</f>
        <v>2222726988425408.8</v>
      </c>
      <c r="AI17" s="78">
        <f>'[1]BIFUbC-coal'!AI17+'[1]BIFUbC-LPG-propane-or-butane'!AI17+'[1]BIFUbC-petroleum-diesel'!AI17+'[1]BIFUbC-crude-oil'!AI17+'[1]BIFUbC-heavy-or-residual-oil'!AI17+'[1]BIFUbC-natural-gas'!AI17+'[1]BIFUbC-electricity'!AI17+'[1]BIFUbC-heat'!AI17+'[1]BIFUbC-biomass'!AI17+'[1]BIFUbC-hydrogen'!AK17</f>
        <v>2225700456567864.5</v>
      </c>
      <c r="AJ17" s="78">
        <f>'[1]BIFUbC-coal'!AJ17+'[1]BIFUbC-LPG-propane-or-butane'!AJ17+'[1]BIFUbC-petroleum-diesel'!AJ17+'[1]BIFUbC-crude-oil'!AJ17+'[1]BIFUbC-heavy-or-residual-oil'!AJ17+'[1]BIFUbC-natural-gas'!AJ17+'[1]BIFUbC-electricity'!AJ17+'[1]BIFUbC-heat'!AJ17+'[1]BIFUbC-biomass'!AJ17+'[1]BIFUbC-hydrogen'!AL17</f>
        <v>2228153632616938</v>
      </c>
      <c r="AK17" s="78">
        <f>'[1]BIFUbC-coal'!AK17+'[1]BIFUbC-LPG-propane-or-butane'!AK17+'[1]BIFUbC-petroleum-diesel'!AK17+'[1]BIFUbC-crude-oil'!AK17+'[1]BIFUbC-heavy-or-residual-oil'!AK17+'[1]BIFUbC-natural-gas'!AK17+'[1]BIFUbC-electricity'!AK17+'[1]BIFUbC-heat'!AK17+'[1]BIFUbC-biomass'!AK17+'[1]BIFUbC-hydrogen'!AM17</f>
        <v>2230126549755688.3</v>
      </c>
      <c r="AL17" s="78">
        <f>'[1]BIFUbC-coal'!AL17+'[1]BIFUbC-LPG-propane-or-butane'!AL17+'[1]BIFUbC-petroleum-diesel'!AL17+'[1]BIFUbC-crude-oil'!AL17+'[1]BIFUbC-heavy-or-residual-oil'!AL17+'[1]BIFUbC-natural-gas'!AL17+'[1]BIFUbC-electricity'!AL17+'[1]BIFUbC-heat'!AL17+'[1]BIFUbC-biomass'!AL17+'[1]BIFUbC-hydrogen'!AN17</f>
        <v>2231659718182484</v>
      </c>
      <c r="AM17" s="78">
        <f>'[1]BIFUbC-coal'!AM17+'[1]BIFUbC-LPG-propane-or-butane'!AM17+'[1]BIFUbC-petroleum-diesel'!AM17+'[1]BIFUbC-crude-oil'!AM17+'[1]BIFUbC-heavy-or-residual-oil'!AM17+'[1]BIFUbC-natural-gas'!AM17+'[1]BIFUbC-electricity'!AM17+'[1]BIFUbC-heat'!AM17+'[1]BIFUbC-biomass'!AM17+'[1]BIFUbC-hydrogen'!AO17</f>
        <v>2232794040267464.8</v>
      </c>
      <c r="AN17" s="78">
        <f>'[1]BIFUbC-coal'!AN17+'[1]BIFUbC-LPG-propane-or-butane'!AN17+'[1]BIFUbC-petroleum-diesel'!AN17+'[1]BIFUbC-crude-oil'!AN17+'[1]BIFUbC-heavy-or-residual-oil'!AN17+'[1]BIFUbC-natural-gas'!AN17+'[1]BIFUbC-electricity'!AN17+'[1]BIFUbC-heat'!AN17+'[1]BIFUbC-biomass'!AN17+'[1]BIFUbC-hydrogen'!AP17</f>
        <v>2233570732874621</v>
      </c>
      <c r="AO17" s="78">
        <f>'[1]BIFUbC-coal'!AO17+'[1]BIFUbC-LPG-propane-or-butane'!AO17+'[1]BIFUbC-petroleum-diesel'!AO17+'[1]BIFUbC-crude-oil'!AO17+'[1]BIFUbC-heavy-or-residual-oil'!AO17+'[1]BIFUbC-natural-gas'!AO17+'[1]BIFUbC-electricity'!AO17+'[1]BIFUbC-heat'!AO17+'[1]BIFUbC-biomass'!AO17+'[1]BIFUbC-hydrogen'!AQ17</f>
        <v>2234031257042190.8</v>
      </c>
      <c r="AP17" s="78">
        <f>'[1]BIFUbC-coal'!AP17+'[1]BIFUbC-LPG-propane-or-butane'!AP17+'[1]BIFUbC-petroleum-diesel'!AP17+'[1]BIFUbC-crude-oil'!AP17+'[1]BIFUbC-heavy-or-residual-oil'!AP17+'[1]BIFUbC-natural-gas'!AP17+'[1]BIFUbC-electricity'!AP17+'[1]BIFUbC-heat'!AP17+'[1]BIFUbC-biomass'!AP17+'[1]BIFUbC-hydrogen'!AR17</f>
        <v>2234217255175741.5</v>
      </c>
      <c r="AQ17" s="78">
        <f>'[1]BIFUbC-coal'!AQ17+'[1]BIFUbC-LPG-propane-or-butane'!AQ17+'[1]BIFUbC-petroleum-diesel'!AQ17+'[1]BIFUbC-crude-oil'!AQ17+'[1]BIFUbC-heavy-or-residual-oil'!AQ17+'[1]BIFUbC-natural-gas'!AQ17+'[1]BIFUbC-electricity'!AQ17+'[1]BIFUbC-heat'!AQ17+'[1]BIFUbC-biomass'!AQ17+'[1]BIFUbC-hydrogen'!AS17</f>
        <v>2233424529096998.8</v>
      </c>
    </row>
    <row r="18" spans="1:43" s="77" customFormat="1" x14ac:dyDescent="0.2">
      <c r="A18" s="77" t="s">
        <v>48</v>
      </c>
      <c r="B18" s="78">
        <f>'[1]BIFUbC-coal'!B18+'[1]BIFUbC-LPG-propane-or-butane'!B18+'[1]BIFUbC-petroleum-diesel'!B18+'[1]BIFUbC-crude-oil'!B18+'[1]BIFUbC-heavy-or-residual-oil'!B18+'[1]BIFUbC-natural-gas'!B18+'[1]BIFUbC-electricity'!B18+'[1]BIFUbC-heat'!B18+'[1]BIFUbC-biomass'!B18+'[1]BIFUbC-hydrogen'!D18</f>
        <v>713283680006255.88</v>
      </c>
      <c r="C18" s="78">
        <f>'[1]BIFUbC-coal'!C18+'[1]BIFUbC-LPG-propane-or-butane'!C18+'[1]BIFUbC-petroleum-diesel'!C18+'[1]BIFUbC-crude-oil'!C18+'[1]BIFUbC-heavy-or-residual-oil'!C18+'[1]BIFUbC-natural-gas'!C18+'[1]BIFUbC-electricity'!C18+'[1]BIFUbC-heat'!C18+'[1]BIFUbC-biomass'!C18+'[1]BIFUbC-hydrogen'!E18</f>
        <v>773177021555770.13</v>
      </c>
      <c r="D18" s="78">
        <f>'[1]BIFUbC-coal'!D18+'[1]BIFUbC-LPG-propane-or-butane'!D18+'[1]BIFUbC-petroleum-diesel'!D18+'[1]BIFUbC-crude-oil'!D18+'[1]BIFUbC-heavy-or-residual-oil'!D18+'[1]BIFUbC-natural-gas'!D18+'[1]BIFUbC-electricity'!D18+'[1]BIFUbC-heat'!D18+'[1]BIFUbC-biomass'!D18+'[1]BIFUbC-hydrogen'!F18</f>
        <v>929717332828424.75</v>
      </c>
      <c r="E18" s="78">
        <f>'[1]BIFUbC-coal'!E18+'[1]BIFUbC-LPG-propane-or-butane'!E18+'[1]BIFUbC-petroleum-diesel'!E18+'[1]BIFUbC-crude-oil'!E18+'[1]BIFUbC-heavy-or-residual-oil'!E18+'[1]BIFUbC-natural-gas'!E18+'[1]BIFUbC-electricity'!E18+'[1]BIFUbC-heat'!E18+'[1]BIFUbC-biomass'!E18+'[1]BIFUbC-hydrogen'!G18</f>
        <v>1014876734209457.6</v>
      </c>
      <c r="F18" s="78">
        <f>'[1]BIFUbC-coal'!F18+'[1]BIFUbC-LPG-propane-or-butane'!F18+'[1]BIFUbC-petroleum-diesel'!F18+'[1]BIFUbC-crude-oil'!F18+'[1]BIFUbC-heavy-or-residual-oil'!F18+'[1]BIFUbC-natural-gas'!F18+'[1]BIFUbC-electricity'!F18+'[1]BIFUbC-heat'!F18+'[1]BIFUbC-biomass'!F18+'[1]BIFUbC-hydrogen'!H18</f>
        <v>1068900710750476</v>
      </c>
      <c r="G18" s="78">
        <f>'[1]BIFUbC-coal'!G18+'[1]BIFUbC-LPG-propane-or-butane'!G18+'[1]BIFUbC-petroleum-diesel'!G18+'[1]BIFUbC-crude-oil'!G18+'[1]BIFUbC-heavy-or-residual-oil'!G18+'[1]BIFUbC-natural-gas'!G18+'[1]BIFUbC-electricity'!G18+'[1]BIFUbC-heat'!G18+'[1]BIFUbC-biomass'!G18+'[1]BIFUbC-hydrogen'!I18</f>
        <v>1136894046586693.5</v>
      </c>
      <c r="H18" s="78">
        <f>'[1]BIFUbC-coal'!H18+'[1]BIFUbC-LPG-propane-or-butane'!H18+'[1]BIFUbC-petroleum-diesel'!H18+'[1]BIFUbC-crude-oil'!H18+'[1]BIFUbC-heavy-or-residual-oil'!H18+'[1]BIFUbC-natural-gas'!H18+'[1]BIFUbC-electricity'!H18+'[1]BIFUbC-heat'!H18+'[1]BIFUbC-biomass'!H18+'[1]BIFUbC-hydrogen'!J18</f>
        <v>1221032618926790</v>
      </c>
      <c r="I18" s="78">
        <f>'[1]BIFUbC-coal'!I18+'[1]BIFUbC-LPG-propane-or-butane'!I18+'[1]BIFUbC-petroleum-diesel'!I18+'[1]BIFUbC-crude-oil'!I18+'[1]BIFUbC-heavy-or-residual-oil'!I18+'[1]BIFUbC-natural-gas'!I18+'[1]BIFUbC-electricity'!I18+'[1]BIFUbC-heat'!I18+'[1]BIFUbC-biomass'!I18+'[1]BIFUbC-hydrogen'!K18</f>
        <v>1298069410677635.3</v>
      </c>
      <c r="J18" s="78">
        <f>'[1]BIFUbC-coal'!J18+'[1]BIFUbC-LPG-propane-or-butane'!J18+'[1]BIFUbC-petroleum-diesel'!J18+'[1]BIFUbC-crude-oil'!J18+'[1]BIFUbC-heavy-or-residual-oil'!J18+'[1]BIFUbC-natural-gas'!J18+'[1]BIFUbC-electricity'!J18+'[1]BIFUbC-heat'!J18+'[1]BIFUbC-biomass'!J18+'[1]BIFUbC-hydrogen'!L18</f>
        <v>1362239309872627</v>
      </c>
      <c r="K18" s="78">
        <f>'[1]BIFUbC-coal'!K18+'[1]BIFUbC-LPG-propane-or-butane'!K18+'[1]BIFUbC-petroleum-diesel'!K18+'[1]BIFUbC-crude-oil'!K18+'[1]BIFUbC-heavy-or-residual-oil'!K18+'[1]BIFUbC-natural-gas'!K18+'[1]BIFUbC-electricity'!K18+'[1]BIFUbC-heat'!K18+'[1]BIFUbC-biomass'!K18+'[1]BIFUbC-hydrogen'!M18</f>
        <v>1417094657009904.5</v>
      </c>
      <c r="L18" s="78">
        <f>'[1]BIFUbC-coal'!L18+'[1]BIFUbC-LPG-propane-or-butane'!L18+'[1]BIFUbC-petroleum-diesel'!L18+'[1]BIFUbC-crude-oil'!L18+'[1]BIFUbC-heavy-or-residual-oil'!L18+'[1]BIFUbC-natural-gas'!L18+'[1]BIFUbC-electricity'!L18+'[1]BIFUbC-heat'!L18+'[1]BIFUbC-biomass'!L18+'[1]BIFUbC-hydrogen'!N18</f>
        <v>1467376873820411.5</v>
      </c>
      <c r="M18" s="78">
        <f>'[1]BIFUbC-coal'!M18+'[1]BIFUbC-LPG-propane-or-butane'!M18+'[1]BIFUbC-petroleum-diesel'!M18+'[1]BIFUbC-crude-oil'!M18+'[1]BIFUbC-heavy-or-residual-oil'!M18+'[1]BIFUbC-natural-gas'!M18+'[1]BIFUbC-electricity'!M18+'[1]BIFUbC-heat'!M18+'[1]BIFUbC-biomass'!M18+'[1]BIFUbC-hydrogen'!O18</f>
        <v>1518766101797459.5</v>
      </c>
      <c r="N18" s="78">
        <f>'[1]BIFUbC-coal'!N18+'[1]BIFUbC-LPG-propane-or-butane'!N18+'[1]BIFUbC-petroleum-diesel'!N18+'[1]BIFUbC-crude-oil'!N18+'[1]BIFUbC-heavy-or-residual-oil'!N18+'[1]BIFUbC-natural-gas'!N18+'[1]BIFUbC-electricity'!N18+'[1]BIFUbC-heat'!N18+'[1]BIFUbC-biomass'!N18+'[1]BIFUbC-hydrogen'!P18</f>
        <v>1576590890449991</v>
      </c>
      <c r="O18" s="78">
        <f>'[1]BIFUbC-coal'!O18+'[1]BIFUbC-LPG-propane-or-butane'!O18+'[1]BIFUbC-petroleum-diesel'!O18+'[1]BIFUbC-crude-oil'!O18+'[1]BIFUbC-heavy-or-residual-oil'!O18+'[1]BIFUbC-natural-gas'!O18+'[1]BIFUbC-electricity'!O18+'[1]BIFUbC-heat'!O18+'[1]BIFUbC-biomass'!O18+'[1]BIFUbC-hydrogen'!Q18</f>
        <v>1640913150231273.5</v>
      </c>
      <c r="P18" s="78">
        <f>'[1]BIFUbC-coal'!P18+'[1]BIFUbC-LPG-propane-or-butane'!P18+'[1]BIFUbC-petroleum-diesel'!P18+'[1]BIFUbC-crude-oil'!P18+'[1]BIFUbC-heavy-or-residual-oil'!P18+'[1]BIFUbC-natural-gas'!P18+'[1]BIFUbC-electricity'!P18+'[1]BIFUbC-heat'!P18+'[1]BIFUbC-biomass'!P18+'[1]BIFUbC-hydrogen'!R18</f>
        <v>1710455922274982.8</v>
      </c>
      <c r="Q18" s="78">
        <f>'[1]BIFUbC-coal'!Q18+'[1]BIFUbC-LPG-propane-or-butane'!Q18+'[1]BIFUbC-petroleum-diesel'!Q18+'[1]BIFUbC-crude-oil'!Q18+'[1]BIFUbC-heavy-or-residual-oil'!Q18+'[1]BIFUbC-natural-gas'!Q18+'[1]BIFUbC-electricity'!Q18+'[1]BIFUbC-heat'!Q18+'[1]BIFUbC-biomass'!Q18+'[1]BIFUbC-hydrogen'!S18</f>
        <v>1783686933153543.3</v>
      </c>
      <c r="R18" s="78">
        <f>'[1]BIFUbC-coal'!R18+'[1]BIFUbC-LPG-propane-or-butane'!R18+'[1]BIFUbC-petroleum-diesel'!R18+'[1]BIFUbC-crude-oil'!R18+'[1]BIFUbC-heavy-or-residual-oil'!R18+'[1]BIFUbC-natural-gas'!R18+'[1]BIFUbC-electricity'!R18+'[1]BIFUbC-heat'!R18+'[1]BIFUbC-biomass'!R18+'[1]BIFUbC-hydrogen'!T18</f>
        <v>1858771922536690</v>
      </c>
      <c r="S18" s="78">
        <f>'[1]BIFUbC-coal'!S18+'[1]BIFUbC-LPG-propane-or-butane'!S18+'[1]BIFUbC-petroleum-diesel'!S18+'[1]BIFUbC-crude-oil'!S18+'[1]BIFUbC-heavy-or-residual-oil'!S18+'[1]BIFUbC-natural-gas'!S18+'[1]BIFUbC-electricity'!S18+'[1]BIFUbC-heat'!S18+'[1]BIFUbC-biomass'!S18+'[1]BIFUbC-hydrogen'!U18</f>
        <v>1934163102098578.8</v>
      </c>
      <c r="T18" s="78">
        <f>'[1]BIFUbC-coal'!T18+'[1]BIFUbC-LPG-propane-or-butane'!T18+'[1]BIFUbC-petroleum-diesel'!T18+'[1]BIFUbC-crude-oil'!T18+'[1]BIFUbC-heavy-or-residual-oil'!T18+'[1]BIFUbC-natural-gas'!T18+'[1]BIFUbC-electricity'!T18+'[1]BIFUbC-heat'!T18+'[1]BIFUbC-biomass'!T18+'[1]BIFUbC-hydrogen'!V18</f>
        <v>2009027439009508.3</v>
      </c>
      <c r="U18" s="78">
        <f>'[1]BIFUbC-coal'!U18+'[1]BIFUbC-LPG-propane-or-butane'!U18+'[1]BIFUbC-petroleum-diesel'!U18+'[1]BIFUbC-crude-oil'!U18+'[1]BIFUbC-heavy-or-residual-oil'!U18+'[1]BIFUbC-natural-gas'!U18+'[1]BIFUbC-electricity'!U18+'[1]BIFUbC-heat'!U18+'[1]BIFUbC-biomass'!U18+'[1]BIFUbC-hydrogen'!W18</f>
        <v>2083098001338617.5</v>
      </c>
      <c r="V18" s="78">
        <f>'[1]BIFUbC-coal'!V18+'[1]BIFUbC-LPG-propane-or-butane'!V18+'[1]BIFUbC-petroleum-diesel'!V18+'[1]BIFUbC-crude-oil'!V18+'[1]BIFUbC-heavy-or-residual-oil'!V18+'[1]BIFUbC-natural-gas'!V18+'[1]BIFUbC-electricity'!V18+'[1]BIFUbC-heat'!V18+'[1]BIFUbC-biomass'!V18+'[1]BIFUbC-hydrogen'!X18</f>
        <v>2156105500686154</v>
      </c>
      <c r="W18" s="78">
        <f>'[1]BIFUbC-coal'!W18+'[1]BIFUbC-LPG-propane-or-butane'!W18+'[1]BIFUbC-petroleum-diesel'!W18+'[1]BIFUbC-crude-oil'!W18+'[1]BIFUbC-heavy-or-residual-oil'!W18+'[1]BIFUbC-natural-gas'!W18+'[1]BIFUbC-electricity'!W18+'[1]BIFUbC-heat'!W18+'[1]BIFUbC-biomass'!W18+'[1]BIFUbC-hydrogen'!Y18</f>
        <v>2227780069555373.5</v>
      </c>
      <c r="X18" s="78">
        <f>'[1]BIFUbC-coal'!X18+'[1]BIFUbC-LPG-propane-or-butane'!X18+'[1]BIFUbC-petroleum-diesel'!X18+'[1]BIFUbC-crude-oil'!X18+'[1]BIFUbC-heavy-or-residual-oil'!X18+'[1]BIFUbC-natural-gas'!X18+'[1]BIFUbC-electricity'!X18+'[1]BIFUbC-heat'!X18+'[1]BIFUbC-biomass'!X18+'[1]BIFUbC-hydrogen'!Z18</f>
        <v>2297853065520780</v>
      </c>
      <c r="Y18" s="78">
        <f>'[1]BIFUbC-coal'!Y18+'[1]BIFUbC-LPG-propane-or-butane'!Y18+'[1]BIFUbC-petroleum-diesel'!Y18+'[1]BIFUbC-crude-oil'!Y18+'[1]BIFUbC-heavy-or-residual-oil'!Y18+'[1]BIFUbC-natural-gas'!Y18+'[1]BIFUbC-electricity'!Y18+'[1]BIFUbC-heat'!Y18+'[1]BIFUbC-biomass'!Y18+'[1]BIFUbC-hydrogen'!AA18</f>
        <v>2366058883904213</v>
      </c>
      <c r="Z18" s="78">
        <f>'[1]BIFUbC-coal'!Z18+'[1]BIFUbC-LPG-propane-or-butane'!Z18+'[1]BIFUbC-petroleum-diesel'!Z18+'[1]BIFUbC-crude-oil'!Z18+'[1]BIFUbC-heavy-or-residual-oil'!Z18+'[1]BIFUbC-natural-gas'!Z18+'[1]BIFUbC-electricity'!Z18+'[1]BIFUbC-heat'!Z18+'[1]BIFUbC-biomass'!Z18+'[1]BIFUbC-hydrogen'!AB18</f>
        <v>2432136760582119</v>
      </c>
      <c r="AA18" s="78">
        <f>'[1]BIFUbC-coal'!AA18+'[1]BIFUbC-LPG-propane-or-butane'!AA18+'[1]BIFUbC-petroleum-diesel'!AA18+'[1]BIFUbC-crude-oil'!AA18+'[1]BIFUbC-heavy-or-residual-oil'!AA18+'[1]BIFUbC-natural-gas'!AA18+'[1]BIFUbC-electricity'!AA18+'[1]BIFUbC-heat'!AA18+'[1]BIFUbC-biomass'!AA18+'[1]BIFUbC-hydrogen'!AC18</f>
        <v>2495832546716556.5</v>
      </c>
      <c r="AB18" s="78">
        <f>'[1]BIFUbC-coal'!AB18+'[1]BIFUbC-LPG-propane-or-butane'!AB18+'[1]BIFUbC-petroleum-diesel'!AB18+'[1]BIFUbC-crude-oil'!AB18+'[1]BIFUbC-heavy-or-residual-oil'!AB18+'[1]BIFUbC-natural-gas'!AB18+'[1]BIFUbC-electricity'!AB18+'[1]BIFUbC-heat'!AB18+'[1]BIFUbC-biomass'!AB18+'[1]BIFUbC-hydrogen'!AD18</f>
        <v>2556900437621663</v>
      </c>
      <c r="AC18" s="78">
        <f>'[1]BIFUbC-coal'!AC18+'[1]BIFUbC-LPG-propane-or-butane'!AC18+'[1]BIFUbC-petroleum-diesel'!AC18+'[1]BIFUbC-crude-oil'!AC18+'[1]BIFUbC-heavy-or-residual-oil'!AC18+'[1]BIFUbC-natural-gas'!AC18+'[1]BIFUbC-electricity'!AC18+'[1]BIFUbC-heat'!AC18+'[1]BIFUbC-biomass'!AC18+'[1]BIFUbC-hydrogen'!AE18</f>
        <v>2615104638636766.5</v>
      </c>
      <c r="AD18" s="78">
        <f>'[1]BIFUbC-coal'!AD18+'[1]BIFUbC-LPG-propane-or-butane'!AD18+'[1]BIFUbC-petroleum-diesel'!AD18+'[1]BIFUbC-crude-oil'!AD18+'[1]BIFUbC-heavy-or-residual-oil'!AD18+'[1]BIFUbC-natural-gas'!AD18+'[1]BIFUbC-electricity'!AD18+'[1]BIFUbC-heat'!AD18+'[1]BIFUbC-biomass'!AD18+'[1]BIFUbC-hydrogen'!AF18</f>
        <v>2670220951761189</v>
      </c>
      <c r="AE18" s="78">
        <f>'[1]BIFUbC-coal'!AE18+'[1]BIFUbC-LPG-propane-or-butane'!AE18+'[1]BIFUbC-petroleum-diesel'!AE18+'[1]BIFUbC-crude-oil'!AE18+'[1]BIFUbC-heavy-or-residual-oil'!AE18+'[1]BIFUbC-natural-gas'!AE18+'[1]BIFUbC-electricity'!AE18+'[1]BIFUbC-heat'!AE18+'[1]BIFUbC-biomass'!AE18+'[1]BIFUbC-hydrogen'!AG18</f>
        <v>2722038267896082</v>
      </c>
      <c r="AF18" s="78">
        <f>'[1]BIFUbC-coal'!AF18+'[1]BIFUbC-LPG-propane-or-butane'!AF18+'[1]BIFUbC-petroleum-diesel'!AF18+'[1]BIFUbC-crude-oil'!AF18+'[1]BIFUbC-heavy-or-residual-oil'!AF18+'[1]BIFUbC-natural-gas'!AF18+'[1]BIFUbC-electricity'!AF18+'[1]BIFUbC-heat'!AF18+'[1]BIFUbC-biomass'!AF18+'[1]BIFUbC-hydrogen'!AH18</f>
        <v>2770359950812745.5</v>
      </c>
      <c r="AG18" s="78">
        <f>'[1]BIFUbC-coal'!AG18+'[1]BIFUbC-LPG-propane-or-butane'!AG18+'[1]BIFUbC-petroleum-diesel'!AG18+'[1]BIFUbC-crude-oil'!AG18+'[1]BIFUbC-heavy-or-residual-oil'!AG18+'[1]BIFUbC-natural-gas'!AG18+'[1]BIFUbC-electricity'!AG18+'[1]BIFUbC-heat'!AG18+'[1]BIFUbC-biomass'!AG18+'[1]BIFUbC-hydrogen'!AI18</f>
        <v>2815005100400667.5</v>
      </c>
      <c r="AH18" s="78">
        <f>'[1]BIFUbC-coal'!AH18+'[1]BIFUbC-LPG-propane-or-butane'!AH18+'[1]BIFUbC-petroleum-diesel'!AH18+'[1]BIFUbC-crude-oil'!AH18+'[1]BIFUbC-heavy-or-residual-oil'!AH18+'[1]BIFUbC-natural-gas'!AH18+'[1]BIFUbC-electricity'!AH18+'[1]BIFUbC-heat'!AH18+'[1]BIFUbC-biomass'!AH18+'[1]BIFUbC-hydrogen'!AJ18</f>
        <v>2855809684314849.5</v>
      </c>
      <c r="AI18" s="78">
        <f>'[1]BIFUbC-coal'!AI18+'[1]BIFUbC-LPG-propane-or-butane'!AI18+'[1]BIFUbC-petroleum-diesel'!AI18+'[1]BIFUbC-crude-oil'!AI18+'[1]BIFUbC-heavy-or-residual-oil'!AI18+'[1]BIFUbC-natural-gas'!AI18+'[1]BIFUbC-electricity'!AI18+'[1]BIFUbC-heat'!AI18+'[1]BIFUbC-biomass'!AI18+'[1]BIFUbC-hydrogen'!AK18</f>
        <v>2892627528812646.5</v>
      </c>
      <c r="AJ18" s="78">
        <f>'[1]BIFUbC-coal'!AJ18+'[1]BIFUbC-LPG-propane-or-butane'!AJ18+'[1]BIFUbC-petroleum-diesel'!AJ18+'[1]BIFUbC-crude-oil'!AJ18+'[1]BIFUbC-heavy-or-residual-oil'!AJ18+'[1]BIFUbC-natural-gas'!AJ18+'[1]BIFUbC-electricity'!AJ18+'[1]BIFUbC-heat'!AJ18+'[1]BIFUbC-biomass'!AJ18+'[1]BIFUbC-hydrogen'!AL18</f>
        <v>2925331161316447.5</v>
      </c>
      <c r="AK18" s="78">
        <f>'[1]BIFUbC-coal'!AK18+'[1]BIFUbC-LPG-propane-or-butane'!AK18+'[1]BIFUbC-petroleum-diesel'!AK18+'[1]BIFUbC-crude-oil'!AK18+'[1]BIFUbC-heavy-or-residual-oil'!AK18+'[1]BIFUbC-natural-gas'!AK18+'[1]BIFUbC-electricity'!AK18+'[1]BIFUbC-heat'!AK18+'[1]BIFUbC-biomass'!AK18+'[1]BIFUbC-hydrogen'!AM18</f>
        <v>2953812499030439</v>
      </c>
      <c r="AL18" s="78">
        <f>'[1]BIFUbC-coal'!AL18+'[1]BIFUbC-LPG-propane-or-butane'!AL18+'[1]BIFUbC-petroleum-diesel'!AL18+'[1]BIFUbC-crude-oil'!AL18+'[1]BIFUbC-heavy-or-residual-oil'!AL18+'[1]BIFUbC-natural-gas'!AL18+'[1]BIFUbC-electricity'!AL18+'[1]BIFUbC-heat'!AL18+'[1]BIFUbC-biomass'!AL18+'[1]BIFUbC-hydrogen'!AN18</f>
        <v>2977983379748979</v>
      </c>
      <c r="AM18" s="78">
        <f>'[1]BIFUbC-coal'!AM18+'[1]BIFUbC-LPG-propane-or-butane'!AM18+'[1]BIFUbC-petroleum-diesel'!AM18+'[1]BIFUbC-crude-oil'!AM18+'[1]BIFUbC-heavy-or-residual-oil'!AM18+'[1]BIFUbC-natural-gas'!AM18+'[1]BIFUbC-electricity'!AM18+'[1]BIFUbC-heat'!AM18+'[1]BIFUbC-biomass'!AM18+'[1]BIFUbC-hydrogen'!AO18</f>
        <v>2997775932792752.5</v>
      </c>
      <c r="AN18" s="78">
        <f>'[1]BIFUbC-coal'!AN18+'[1]BIFUbC-LPG-propane-or-butane'!AN18+'[1]BIFUbC-petroleum-diesel'!AN18+'[1]BIFUbC-crude-oil'!AN18+'[1]BIFUbC-heavy-or-residual-oil'!AN18+'[1]BIFUbC-natural-gas'!AN18+'[1]BIFUbC-electricity'!AN18+'[1]BIFUbC-heat'!AN18+'[1]BIFUbC-biomass'!AN18+'[1]BIFUbC-hydrogen'!AP18</f>
        <v>3013142789770757</v>
      </c>
      <c r="AO18" s="78">
        <f>'[1]BIFUbC-coal'!AO18+'[1]BIFUbC-LPG-propane-or-butane'!AO18+'[1]BIFUbC-petroleum-diesel'!AO18+'[1]BIFUbC-crude-oil'!AO18+'[1]BIFUbC-heavy-or-residual-oil'!AO18+'[1]BIFUbC-natural-gas'!AO18+'[1]BIFUbC-electricity'!AO18+'[1]BIFUbC-heat'!AO18+'[1]BIFUbC-biomass'!AO18+'[1]BIFUbC-hydrogen'!AQ18</f>
        <v>3024057136566988.5</v>
      </c>
      <c r="AP18" s="78">
        <f>'[1]BIFUbC-coal'!AP18+'[1]BIFUbC-LPG-propane-or-butane'!AP18+'[1]BIFUbC-petroleum-diesel'!AP18+'[1]BIFUbC-crude-oil'!AP18+'[1]BIFUbC-heavy-or-residual-oil'!AP18+'[1]BIFUbC-natural-gas'!AP18+'[1]BIFUbC-electricity'!AP18+'[1]BIFUbC-heat'!AP18+'[1]BIFUbC-biomass'!AP18+'[1]BIFUbC-hydrogen'!AR18</f>
        <v>3030512609569283.5</v>
      </c>
      <c r="AQ18" s="78">
        <f>'[1]BIFUbC-coal'!AQ18+'[1]BIFUbC-LPG-propane-or-butane'!AQ18+'[1]BIFUbC-petroleum-diesel'!AQ18+'[1]BIFUbC-crude-oil'!AQ18+'[1]BIFUbC-heavy-or-residual-oil'!AQ18+'[1]BIFUbC-natural-gas'!AQ18+'[1]BIFUbC-electricity'!AQ18+'[1]BIFUbC-heat'!AQ18+'[1]BIFUbC-biomass'!AQ18+'[1]BIFUbC-hydrogen'!AS18</f>
        <v>3031510512113327</v>
      </c>
    </row>
    <row r="19" spans="1:43" s="77" customFormat="1" x14ac:dyDescent="0.2">
      <c r="A19" s="77" t="s">
        <v>49</v>
      </c>
      <c r="B19" s="78">
        <f>'[1]BIFUbC-coal'!B19+'[1]BIFUbC-LPG-propane-or-butane'!B19+'[1]BIFUbC-petroleum-diesel'!B19+'[1]BIFUbC-crude-oil'!B19+'[1]BIFUbC-heavy-or-residual-oil'!B19+'[1]BIFUbC-natural-gas'!B19+'[1]BIFUbC-electricity'!B19+'[1]BIFUbC-heat'!B19+'[1]BIFUbC-biomass'!B19+'[1]BIFUbC-hydrogen'!D19</f>
        <v>355602451056580.88</v>
      </c>
      <c r="C19" s="78">
        <f>'[1]BIFUbC-coal'!C19+'[1]BIFUbC-LPG-propane-or-butane'!C19+'[1]BIFUbC-petroleum-diesel'!C19+'[1]BIFUbC-crude-oil'!C19+'[1]BIFUbC-heavy-or-residual-oil'!C19+'[1]BIFUbC-natural-gas'!C19+'[1]BIFUbC-electricity'!C19+'[1]BIFUbC-heat'!C19+'[1]BIFUbC-biomass'!C19+'[1]BIFUbC-hydrogen'!E19</f>
        <v>391851376450712.25</v>
      </c>
      <c r="D19" s="78">
        <f>'[1]BIFUbC-coal'!D19+'[1]BIFUbC-LPG-propane-or-butane'!D19+'[1]BIFUbC-petroleum-diesel'!D19+'[1]BIFUbC-crude-oil'!D19+'[1]BIFUbC-heavy-or-residual-oil'!D19+'[1]BIFUbC-natural-gas'!D19+'[1]BIFUbC-electricity'!D19+'[1]BIFUbC-heat'!D19+'[1]BIFUbC-biomass'!D19+'[1]BIFUbC-hydrogen'!F19</f>
        <v>476295761622883.75</v>
      </c>
      <c r="E19" s="78">
        <f>'[1]BIFUbC-coal'!E19+'[1]BIFUbC-LPG-propane-or-butane'!E19+'[1]BIFUbC-petroleum-diesel'!E19+'[1]BIFUbC-crude-oil'!E19+'[1]BIFUbC-heavy-or-residual-oil'!E19+'[1]BIFUbC-natural-gas'!E19+'[1]BIFUbC-electricity'!E19+'[1]BIFUbC-heat'!E19+'[1]BIFUbC-biomass'!E19+'[1]BIFUbC-hydrogen'!G19</f>
        <v>541304723254829.63</v>
      </c>
      <c r="F19" s="78">
        <f>'[1]BIFUbC-coal'!F19+'[1]BIFUbC-LPG-propane-or-butane'!F19+'[1]BIFUbC-petroleum-diesel'!F19+'[1]BIFUbC-crude-oil'!F19+'[1]BIFUbC-heavy-or-residual-oil'!F19+'[1]BIFUbC-natural-gas'!F19+'[1]BIFUbC-electricity'!F19+'[1]BIFUbC-heat'!F19+'[1]BIFUbC-biomass'!F19+'[1]BIFUbC-hydrogen'!H19</f>
        <v>572624423835619.75</v>
      </c>
      <c r="G19" s="78">
        <f>'[1]BIFUbC-coal'!G19+'[1]BIFUbC-LPG-propane-or-butane'!G19+'[1]BIFUbC-petroleum-diesel'!G19+'[1]BIFUbC-crude-oil'!G19+'[1]BIFUbC-heavy-or-residual-oil'!G19+'[1]BIFUbC-natural-gas'!G19+'[1]BIFUbC-electricity'!G19+'[1]BIFUbC-heat'!G19+'[1]BIFUbC-biomass'!G19+'[1]BIFUbC-hydrogen'!I19</f>
        <v>615963970582912.25</v>
      </c>
      <c r="H19" s="78">
        <f>'[1]BIFUbC-coal'!H19+'[1]BIFUbC-LPG-propane-or-butane'!H19+'[1]BIFUbC-petroleum-diesel'!H19+'[1]BIFUbC-crude-oil'!H19+'[1]BIFUbC-heavy-or-residual-oil'!H19+'[1]BIFUbC-natural-gas'!H19+'[1]BIFUbC-electricity'!H19+'[1]BIFUbC-heat'!H19+'[1]BIFUbC-biomass'!H19+'[1]BIFUbC-hydrogen'!J19</f>
        <v>671823176294404.38</v>
      </c>
      <c r="I19" s="78">
        <f>'[1]BIFUbC-coal'!I19+'[1]BIFUbC-LPG-propane-or-butane'!I19+'[1]BIFUbC-petroleum-diesel'!I19+'[1]BIFUbC-crude-oil'!I19+'[1]BIFUbC-heavy-or-residual-oil'!I19+'[1]BIFUbC-natural-gas'!I19+'[1]BIFUbC-electricity'!I19+'[1]BIFUbC-heat'!I19+'[1]BIFUbC-biomass'!I19+'[1]BIFUbC-hydrogen'!K19</f>
        <v>726471916412773.13</v>
      </c>
      <c r="J19" s="78">
        <f>'[1]BIFUbC-coal'!J19+'[1]BIFUbC-LPG-propane-or-butane'!J19+'[1]BIFUbC-petroleum-diesel'!J19+'[1]BIFUbC-crude-oil'!J19+'[1]BIFUbC-heavy-or-residual-oil'!J19+'[1]BIFUbC-natural-gas'!J19+'[1]BIFUbC-electricity'!J19+'[1]BIFUbC-heat'!J19+'[1]BIFUbC-biomass'!J19+'[1]BIFUbC-hydrogen'!L19</f>
        <v>775546035020223.5</v>
      </c>
      <c r="K19" s="78">
        <f>'[1]BIFUbC-coal'!K19+'[1]BIFUbC-LPG-propane-or-butane'!K19+'[1]BIFUbC-petroleum-diesel'!K19+'[1]BIFUbC-crude-oil'!K19+'[1]BIFUbC-heavy-or-residual-oil'!K19+'[1]BIFUbC-natural-gas'!K19+'[1]BIFUbC-electricity'!K19+'[1]BIFUbC-heat'!K19+'[1]BIFUbC-biomass'!K19+'[1]BIFUbC-hydrogen'!M19</f>
        <v>819725478813511.38</v>
      </c>
      <c r="L19" s="78">
        <f>'[1]BIFUbC-coal'!L19+'[1]BIFUbC-LPG-propane-or-butane'!L19+'[1]BIFUbC-petroleum-diesel'!L19+'[1]BIFUbC-crude-oil'!L19+'[1]BIFUbC-heavy-or-residual-oil'!L19+'[1]BIFUbC-natural-gas'!L19+'[1]BIFUbC-electricity'!L19+'[1]BIFUbC-heat'!L19+'[1]BIFUbC-biomass'!L19+'[1]BIFUbC-hydrogen'!N19</f>
        <v>860297348225820.13</v>
      </c>
      <c r="M19" s="78">
        <f>'[1]BIFUbC-coal'!M19+'[1]BIFUbC-LPG-propane-or-butane'!M19+'[1]BIFUbC-petroleum-diesel'!M19+'[1]BIFUbC-crude-oil'!M19+'[1]BIFUbC-heavy-or-residual-oil'!M19+'[1]BIFUbC-natural-gas'!M19+'[1]BIFUbC-electricity'!M19+'[1]BIFUbC-heat'!M19+'[1]BIFUbC-biomass'!M19+'[1]BIFUbC-hydrogen'!O19</f>
        <v>899073567217824</v>
      </c>
      <c r="N19" s="78">
        <f>'[1]BIFUbC-coal'!N19+'[1]BIFUbC-LPG-propane-or-butane'!N19+'[1]BIFUbC-petroleum-diesel'!N19+'[1]BIFUbC-crude-oil'!N19+'[1]BIFUbC-heavy-or-residual-oil'!N19+'[1]BIFUbC-natural-gas'!N19+'[1]BIFUbC-electricity'!N19+'[1]BIFUbC-heat'!N19+'[1]BIFUbC-biomass'!N19+'[1]BIFUbC-hydrogen'!P19</f>
        <v>937962655916580.75</v>
      </c>
      <c r="O19" s="78">
        <f>'[1]BIFUbC-coal'!O19+'[1]BIFUbC-LPG-propane-or-butane'!O19+'[1]BIFUbC-petroleum-diesel'!O19+'[1]BIFUbC-crude-oil'!O19+'[1]BIFUbC-heavy-or-residual-oil'!O19+'[1]BIFUbC-natural-gas'!O19+'[1]BIFUbC-electricity'!O19+'[1]BIFUbC-heat'!O19+'[1]BIFUbC-biomass'!O19+'[1]BIFUbC-hydrogen'!Q19</f>
        <v>977135614092409.75</v>
      </c>
      <c r="P19" s="78">
        <f>'[1]BIFUbC-coal'!P19+'[1]BIFUbC-LPG-propane-or-butane'!P19+'[1]BIFUbC-petroleum-diesel'!P19+'[1]BIFUbC-crude-oil'!P19+'[1]BIFUbC-heavy-or-residual-oil'!P19+'[1]BIFUbC-natural-gas'!P19+'[1]BIFUbC-electricity'!P19+'[1]BIFUbC-heat'!P19+'[1]BIFUbC-biomass'!P19+'[1]BIFUbC-hydrogen'!R19</f>
        <v>1016408705918380.3</v>
      </c>
      <c r="Q19" s="78">
        <f>'[1]BIFUbC-coal'!Q19+'[1]BIFUbC-LPG-propane-or-butane'!Q19+'[1]BIFUbC-petroleum-diesel'!Q19+'[1]BIFUbC-crude-oil'!Q19+'[1]BIFUbC-heavy-or-residual-oil'!Q19+'[1]BIFUbC-natural-gas'!Q19+'[1]BIFUbC-electricity'!Q19+'[1]BIFUbC-heat'!Q19+'[1]BIFUbC-biomass'!Q19+'[1]BIFUbC-hydrogen'!S19</f>
        <v>1055580627898805.5</v>
      </c>
      <c r="R19" s="78">
        <f>'[1]BIFUbC-coal'!R19+'[1]BIFUbC-LPG-propane-or-butane'!R19+'[1]BIFUbC-petroleum-diesel'!R19+'[1]BIFUbC-crude-oil'!R19+'[1]BIFUbC-heavy-or-residual-oil'!R19+'[1]BIFUbC-natural-gas'!R19+'[1]BIFUbC-electricity'!R19+'[1]BIFUbC-heat'!R19+'[1]BIFUbC-biomass'!R19+'[1]BIFUbC-hydrogen'!T19</f>
        <v>1094433076917246.8</v>
      </c>
      <c r="S19" s="78">
        <f>'[1]BIFUbC-coal'!S19+'[1]BIFUbC-LPG-propane-or-butane'!S19+'[1]BIFUbC-petroleum-diesel'!S19+'[1]BIFUbC-crude-oil'!S19+'[1]BIFUbC-heavy-or-residual-oil'!S19+'[1]BIFUbC-natural-gas'!S19+'[1]BIFUbC-electricity'!S19+'[1]BIFUbC-heat'!S19+'[1]BIFUbC-biomass'!S19+'[1]BIFUbC-hydrogen'!U19</f>
        <v>1132903031755431.3</v>
      </c>
      <c r="T19" s="78">
        <f>'[1]BIFUbC-coal'!T19+'[1]BIFUbC-LPG-propane-or-butane'!T19+'[1]BIFUbC-petroleum-diesel'!T19+'[1]BIFUbC-crude-oil'!T19+'[1]BIFUbC-heavy-or-residual-oil'!T19+'[1]BIFUbC-natural-gas'!T19+'[1]BIFUbC-electricity'!T19+'[1]BIFUbC-heat'!T19+'[1]BIFUbC-biomass'!T19+'[1]BIFUbC-hydrogen'!V19</f>
        <v>1170705859552117</v>
      </c>
      <c r="U19" s="78">
        <f>'[1]BIFUbC-coal'!U19+'[1]BIFUbC-LPG-propane-or-butane'!U19+'[1]BIFUbC-petroleum-diesel'!U19+'[1]BIFUbC-crude-oil'!U19+'[1]BIFUbC-heavy-or-residual-oil'!U19+'[1]BIFUbC-natural-gas'!U19+'[1]BIFUbC-electricity'!U19+'[1]BIFUbC-heat'!U19+'[1]BIFUbC-biomass'!U19+'[1]BIFUbC-hydrogen'!W19</f>
        <v>1207718870444808.8</v>
      </c>
      <c r="V19" s="78">
        <f>'[1]BIFUbC-coal'!V19+'[1]BIFUbC-LPG-propane-or-butane'!V19+'[1]BIFUbC-petroleum-diesel'!V19+'[1]BIFUbC-crude-oil'!V19+'[1]BIFUbC-heavy-or-residual-oil'!V19+'[1]BIFUbC-natural-gas'!V19+'[1]BIFUbC-electricity'!V19+'[1]BIFUbC-heat'!V19+'[1]BIFUbC-biomass'!V19+'[1]BIFUbC-hydrogen'!X19</f>
        <v>1243822480962310.5</v>
      </c>
      <c r="W19" s="78">
        <f>'[1]BIFUbC-coal'!W19+'[1]BIFUbC-LPG-propane-or-butane'!W19+'[1]BIFUbC-petroleum-diesel'!W19+'[1]BIFUbC-crude-oil'!W19+'[1]BIFUbC-heavy-or-residual-oil'!W19+'[1]BIFUbC-natural-gas'!W19+'[1]BIFUbC-electricity'!W19+'[1]BIFUbC-heat'!W19+'[1]BIFUbC-biomass'!W19+'[1]BIFUbC-hydrogen'!Y19</f>
        <v>1278900992737723.8</v>
      </c>
      <c r="X19" s="78">
        <f>'[1]BIFUbC-coal'!X19+'[1]BIFUbC-LPG-propane-or-butane'!X19+'[1]BIFUbC-petroleum-diesel'!X19+'[1]BIFUbC-crude-oil'!X19+'[1]BIFUbC-heavy-or-residual-oil'!X19+'[1]BIFUbC-natural-gas'!X19+'[1]BIFUbC-electricity'!X19+'[1]BIFUbC-heat'!X19+'[1]BIFUbC-biomass'!X19+'[1]BIFUbC-hydrogen'!Z19</f>
        <v>1312843330773608</v>
      </c>
      <c r="Y19" s="78">
        <f>'[1]BIFUbC-coal'!Y19+'[1]BIFUbC-LPG-propane-or-butane'!Y19+'[1]BIFUbC-petroleum-diesel'!Y19+'[1]BIFUbC-crude-oil'!Y19+'[1]BIFUbC-heavy-or-residual-oil'!Y19+'[1]BIFUbC-natural-gas'!Y19+'[1]BIFUbC-electricity'!Y19+'[1]BIFUbC-heat'!Y19+'[1]BIFUbC-biomass'!Y19+'[1]BIFUbC-hydrogen'!AA19</f>
        <v>1345543734317936.3</v>
      </c>
      <c r="Z19" s="78">
        <f>'[1]BIFUbC-coal'!Z19+'[1]BIFUbC-LPG-propane-or-butane'!Z19+'[1]BIFUbC-petroleum-diesel'!Z19+'[1]BIFUbC-crude-oil'!Z19+'[1]BIFUbC-heavy-or-residual-oil'!Z19+'[1]BIFUbC-natural-gas'!Z19+'[1]BIFUbC-electricity'!Z19+'[1]BIFUbC-heat'!Z19+'[1]BIFUbC-biomass'!Z19+'[1]BIFUbC-hydrogen'!AB19</f>
        <v>1376902394161000.3</v>
      </c>
      <c r="AA19" s="78">
        <f>'[1]BIFUbC-coal'!AA19+'[1]BIFUbC-LPG-propane-or-butane'!AA19+'[1]BIFUbC-petroleum-diesel'!AA19+'[1]BIFUbC-crude-oil'!AA19+'[1]BIFUbC-heavy-or-residual-oil'!AA19+'[1]BIFUbC-natural-gas'!AA19+'[1]BIFUbC-electricity'!AA19+'[1]BIFUbC-heat'!AA19+'[1]BIFUbC-biomass'!AA19+'[1]BIFUbC-hydrogen'!AC19</f>
        <v>1406826030980430.5</v>
      </c>
      <c r="AB19" s="78">
        <f>'[1]BIFUbC-coal'!AB19+'[1]BIFUbC-LPG-propane-or-butane'!AB19+'[1]BIFUbC-petroleum-diesel'!AB19+'[1]BIFUbC-crude-oil'!AB19+'[1]BIFUbC-heavy-or-residual-oil'!AB19+'[1]BIFUbC-natural-gas'!AB19+'[1]BIFUbC-electricity'!AB19+'[1]BIFUbC-heat'!AB19+'[1]BIFUbC-biomass'!AB19+'[1]BIFUbC-hydrogen'!AD19</f>
        <v>1435228410227483</v>
      </c>
      <c r="AC19" s="78">
        <f>'[1]BIFUbC-coal'!AC19+'[1]BIFUbC-LPG-propane-or-butane'!AC19+'[1]BIFUbC-petroleum-diesel'!AC19+'[1]BIFUbC-crude-oil'!AC19+'[1]BIFUbC-heavy-or-residual-oil'!AC19+'[1]BIFUbC-natural-gas'!AC19+'[1]BIFUbC-electricity'!AC19+'[1]BIFUbC-heat'!AC19+'[1]BIFUbC-biomass'!AC19+'[1]BIFUbC-hydrogen'!AE19</f>
        <v>1462030789947552.8</v>
      </c>
      <c r="AD19" s="78">
        <f>'[1]BIFUbC-coal'!AD19+'[1]BIFUbC-LPG-propane-or-butane'!AD19+'[1]BIFUbC-petroleum-diesel'!AD19+'[1]BIFUbC-crude-oil'!AD19+'[1]BIFUbC-heavy-or-residual-oil'!AD19+'[1]BIFUbC-natural-gas'!AD19+'[1]BIFUbC-electricity'!AD19+'[1]BIFUbC-heat'!AD19+'[1]BIFUbC-biomass'!AD19+'[1]BIFUbC-hydrogen'!AF19</f>
        <v>1487162298844928</v>
      </c>
      <c r="AE19" s="78">
        <f>'[1]BIFUbC-coal'!AE19+'[1]BIFUbC-LPG-propane-or-butane'!AE19+'[1]BIFUbC-petroleum-diesel'!AE19+'[1]BIFUbC-crude-oil'!AE19+'[1]BIFUbC-heavy-or-residual-oil'!AE19+'[1]BIFUbC-natural-gas'!AE19+'[1]BIFUbC-electricity'!AE19+'[1]BIFUbC-heat'!AE19+'[1]BIFUbC-biomass'!AE19+'[1]BIFUbC-hydrogen'!AG19</f>
        <v>1510560242821141</v>
      </c>
      <c r="AF19" s="78">
        <f>'[1]BIFUbC-coal'!AF19+'[1]BIFUbC-LPG-propane-or-butane'!AF19+'[1]BIFUbC-petroleum-diesel'!AF19+'[1]BIFUbC-crude-oil'!AF19+'[1]BIFUbC-heavy-or-residual-oil'!AF19+'[1]BIFUbC-natural-gas'!AF19+'[1]BIFUbC-electricity'!AF19+'[1]BIFUbC-heat'!AF19+'[1]BIFUbC-biomass'!AF19+'[1]BIFUbC-hydrogen'!AH19</f>
        <v>1532170339122803.5</v>
      </c>
      <c r="AG19" s="78">
        <f>'[1]BIFUbC-coal'!AG19+'[1]BIFUbC-LPG-propane-or-butane'!AG19+'[1]BIFUbC-petroleum-diesel'!AG19+'[1]BIFUbC-crude-oil'!AG19+'[1]BIFUbC-heavy-or-residual-oil'!AG19+'[1]BIFUbC-natural-gas'!AG19+'[1]BIFUbC-electricity'!AG19+'[1]BIFUbC-heat'!AG19+'[1]BIFUbC-biomass'!AG19+'[1]BIFUbC-hydrogen'!AI19</f>
        <v>1551946878115205.8</v>
      </c>
      <c r="AH19" s="78">
        <f>'[1]BIFUbC-coal'!AH19+'[1]BIFUbC-LPG-propane-or-butane'!AH19+'[1]BIFUbC-petroleum-diesel'!AH19+'[1]BIFUbC-crude-oil'!AH19+'[1]BIFUbC-heavy-or-residual-oil'!AH19+'[1]BIFUbC-natural-gas'!AH19+'[1]BIFUbC-electricity'!AH19+'[1]BIFUbC-heat'!AH19+'[1]BIFUbC-biomass'!AH19+'[1]BIFUbC-hydrogen'!AJ19</f>
        <v>1569852813539385</v>
      </c>
      <c r="AI19" s="78">
        <f>'[1]BIFUbC-coal'!AI19+'[1]BIFUbC-LPG-propane-or-butane'!AI19+'[1]BIFUbC-petroleum-diesel'!AI19+'[1]BIFUbC-crude-oil'!AI19+'[1]BIFUbC-heavy-or-residual-oil'!AI19+'[1]BIFUbC-natural-gas'!AI19+'[1]BIFUbC-electricity'!AI19+'[1]BIFUbC-heat'!AI19+'[1]BIFUbC-biomass'!AI19+'[1]BIFUbC-hydrogen'!AK19</f>
        <v>1585859782901723.3</v>
      </c>
      <c r="AJ19" s="78">
        <f>'[1]BIFUbC-coal'!AJ19+'[1]BIFUbC-LPG-propane-or-butane'!AJ19+'[1]BIFUbC-petroleum-diesel'!AJ19+'[1]BIFUbC-crude-oil'!AJ19+'[1]BIFUbC-heavy-or-residual-oil'!AJ19+'[1]BIFUbC-natural-gas'!AJ19+'[1]BIFUbC-electricity'!AJ19+'[1]BIFUbC-heat'!AJ19+'[1]BIFUbC-biomass'!AJ19+'[1]BIFUbC-hydrogen'!AL19</f>
        <v>1599948060377012</v>
      </c>
      <c r="AK19" s="78">
        <f>'[1]BIFUbC-coal'!AK19+'[1]BIFUbC-LPG-propane-or-butane'!AK19+'[1]BIFUbC-petroleum-diesel'!AK19+'[1]BIFUbC-crude-oil'!AK19+'[1]BIFUbC-heavy-or-residual-oil'!AK19+'[1]BIFUbC-natural-gas'!AK19+'[1]BIFUbC-electricity'!AK19+'[1]BIFUbC-heat'!AK19+'[1]BIFUbC-biomass'!AK19+'[1]BIFUbC-hydrogen'!AM19</f>
        <v>1612106445270024</v>
      </c>
      <c r="AL19" s="78">
        <f>'[1]BIFUbC-coal'!AL19+'[1]BIFUbC-LPG-propane-or-butane'!AL19+'[1]BIFUbC-petroleum-diesel'!AL19+'[1]BIFUbC-crude-oil'!AL19+'[1]BIFUbC-heavy-or-residual-oil'!AL19+'[1]BIFUbC-natural-gas'!AL19+'[1]BIFUbC-electricity'!AL19+'[1]BIFUbC-heat'!AL19+'[1]BIFUbC-biomass'!AL19+'[1]BIFUbC-hydrogen'!AN19</f>
        <v>1622332089670747.8</v>
      </c>
      <c r="AM19" s="78">
        <f>'[1]BIFUbC-coal'!AM19+'[1]BIFUbC-LPG-propane-or-butane'!AM19+'[1]BIFUbC-petroleum-diesel'!AM19+'[1]BIFUbC-crude-oil'!AM19+'[1]BIFUbC-heavy-or-residual-oil'!AM19+'[1]BIFUbC-natural-gas'!AM19+'[1]BIFUbC-electricity'!AM19+'[1]BIFUbC-heat'!AM19+'[1]BIFUbC-biomass'!AM19+'[1]BIFUbC-hydrogen'!AO19</f>
        <v>1630630269449721.5</v>
      </c>
      <c r="AN19" s="78">
        <f>'[1]BIFUbC-coal'!AN19+'[1]BIFUbC-LPG-propane-or-butane'!AN19+'[1]BIFUbC-petroleum-diesel'!AN19+'[1]BIFUbC-crude-oil'!AN19+'[1]BIFUbC-heavy-or-residual-oil'!AN19+'[1]BIFUbC-natural-gas'!AN19+'[1]BIFUbC-electricity'!AN19+'[1]BIFUbC-heat'!AN19+'[1]BIFUbC-biomass'!AN19+'[1]BIFUbC-hydrogen'!AP19</f>
        <v>1637014103169607.5</v>
      </c>
      <c r="AO19" s="78">
        <f>'[1]BIFUbC-coal'!AO19+'[1]BIFUbC-LPG-propane-or-butane'!AO19+'[1]BIFUbC-petroleum-diesel'!AO19+'[1]BIFUbC-crude-oil'!AO19+'[1]BIFUbC-heavy-or-residual-oil'!AO19+'[1]BIFUbC-natural-gas'!AO19+'[1]BIFUbC-electricity'!AO19+'[1]BIFUbC-heat'!AO19+'[1]BIFUbC-biomass'!AO19+'[1]BIFUbC-hydrogen'!AQ19</f>
        <v>1641504223835363.5</v>
      </c>
      <c r="AP19" s="78">
        <f>'[1]BIFUbC-coal'!AP19+'[1]BIFUbC-LPG-propane-or-butane'!AP19+'[1]BIFUbC-petroleum-diesel'!AP19+'[1]BIFUbC-crude-oil'!AP19+'[1]BIFUbC-heavy-or-residual-oil'!AP19+'[1]BIFUbC-natural-gas'!AP19+'[1]BIFUbC-electricity'!AP19+'[1]BIFUbC-heat'!AP19+'[1]BIFUbC-biomass'!AP19+'[1]BIFUbC-hydrogen'!AR19</f>
        <v>1644128408668518.5</v>
      </c>
      <c r="AQ19" s="78">
        <f>'[1]BIFUbC-coal'!AQ19+'[1]BIFUbC-LPG-propane-or-butane'!AQ19+'[1]BIFUbC-petroleum-diesel'!AQ19+'[1]BIFUbC-crude-oil'!AQ19+'[1]BIFUbC-heavy-or-residual-oil'!AQ19+'[1]BIFUbC-natural-gas'!AQ19+'[1]BIFUbC-electricity'!AQ19+'[1]BIFUbC-heat'!AQ19+'[1]BIFUbC-biomass'!AQ19+'[1]BIFUbC-hydrogen'!AS19</f>
        <v>1644371949844199.5</v>
      </c>
    </row>
    <row r="20" spans="1:43" s="77" customFormat="1" x14ac:dyDescent="0.2">
      <c r="A20" s="77" t="s">
        <v>50</v>
      </c>
      <c r="B20" s="78">
        <f>'[1]BIFUbC-coal'!B20+'[1]BIFUbC-LPG-propane-or-butane'!B20+'[1]BIFUbC-petroleum-diesel'!B20+'[1]BIFUbC-crude-oil'!B20+'[1]BIFUbC-heavy-or-residual-oil'!B20+'[1]BIFUbC-natural-gas'!B20+'[1]BIFUbC-electricity'!B20+'[1]BIFUbC-heat'!B20+'[1]BIFUbC-biomass'!B20+'[1]BIFUbC-hydrogen'!D20</f>
        <v>239928922216129.44</v>
      </c>
      <c r="C20" s="78">
        <f>'[1]BIFUbC-coal'!C20+'[1]BIFUbC-LPG-propane-or-butane'!C20+'[1]BIFUbC-petroleum-diesel'!C20+'[1]BIFUbC-crude-oil'!C20+'[1]BIFUbC-heavy-or-residual-oil'!C20+'[1]BIFUbC-natural-gas'!C20+'[1]BIFUbC-electricity'!C20+'[1]BIFUbC-heat'!C20+'[1]BIFUbC-biomass'!C20+'[1]BIFUbC-hydrogen'!E20</f>
        <v>242793277946328.5</v>
      </c>
      <c r="D20" s="78">
        <f>'[1]BIFUbC-coal'!D20+'[1]BIFUbC-LPG-propane-or-butane'!D20+'[1]BIFUbC-petroleum-diesel'!D20+'[1]BIFUbC-crude-oil'!D20+'[1]BIFUbC-heavy-or-residual-oil'!D20+'[1]BIFUbC-natural-gas'!D20+'[1]BIFUbC-electricity'!D20+'[1]BIFUbC-heat'!D20+'[1]BIFUbC-biomass'!D20+'[1]BIFUbC-hydrogen'!F20</f>
        <v>274537908211829.09</v>
      </c>
      <c r="E20" s="78">
        <f>'[1]BIFUbC-coal'!E20+'[1]BIFUbC-LPG-propane-or-butane'!E20+'[1]BIFUbC-petroleum-diesel'!E20+'[1]BIFUbC-crude-oil'!E20+'[1]BIFUbC-heavy-or-residual-oil'!E20+'[1]BIFUbC-natural-gas'!E20+'[1]BIFUbC-electricity'!E20+'[1]BIFUbC-heat'!E20+'[1]BIFUbC-biomass'!E20+'[1]BIFUbC-hydrogen'!G20</f>
        <v>303046129825858.25</v>
      </c>
      <c r="F20" s="78">
        <f>'[1]BIFUbC-coal'!F20+'[1]BIFUbC-LPG-propane-or-butane'!F20+'[1]BIFUbC-petroleum-diesel'!F20+'[1]BIFUbC-crude-oil'!F20+'[1]BIFUbC-heavy-or-residual-oil'!F20+'[1]BIFUbC-natural-gas'!F20+'[1]BIFUbC-electricity'!F20+'[1]BIFUbC-heat'!F20+'[1]BIFUbC-biomass'!F20+'[1]BIFUbC-hydrogen'!H20</f>
        <v>314575866973166.88</v>
      </c>
      <c r="G20" s="78">
        <f>'[1]BIFUbC-coal'!G20+'[1]BIFUbC-LPG-propane-or-butane'!G20+'[1]BIFUbC-petroleum-diesel'!G20+'[1]BIFUbC-crude-oil'!G20+'[1]BIFUbC-heavy-or-residual-oil'!G20+'[1]BIFUbC-natural-gas'!G20+'[1]BIFUbC-electricity'!G20+'[1]BIFUbC-heat'!G20+'[1]BIFUbC-biomass'!G20+'[1]BIFUbC-hydrogen'!I20</f>
        <v>323955925067743.94</v>
      </c>
      <c r="H20" s="78">
        <f>'[1]BIFUbC-coal'!H20+'[1]BIFUbC-LPG-propane-or-butane'!H20+'[1]BIFUbC-petroleum-diesel'!H20+'[1]BIFUbC-crude-oil'!H20+'[1]BIFUbC-heavy-or-residual-oil'!H20+'[1]BIFUbC-natural-gas'!H20+'[1]BIFUbC-electricity'!H20+'[1]BIFUbC-heat'!H20+'[1]BIFUbC-biomass'!H20+'[1]BIFUbC-hydrogen'!J20</f>
        <v>336579002320985.13</v>
      </c>
      <c r="I20" s="78">
        <f>'[1]BIFUbC-coal'!I20+'[1]BIFUbC-LPG-propane-or-butane'!I20+'[1]BIFUbC-petroleum-diesel'!I20+'[1]BIFUbC-crude-oil'!I20+'[1]BIFUbC-heavy-or-residual-oil'!I20+'[1]BIFUbC-natural-gas'!I20+'[1]BIFUbC-electricity'!I20+'[1]BIFUbC-heat'!I20+'[1]BIFUbC-biomass'!I20+'[1]BIFUbC-hydrogen'!K20</f>
        <v>350412626302280.94</v>
      </c>
      <c r="J20" s="78">
        <f>'[1]BIFUbC-coal'!J20+'[1]BIFUbC-LPG-propane-or-butane'!J20+'[1]BIFUbC-petroleum-diesel'!J20+'[1]BIFUbC-crude-oil'!J20+'[1]BIFUbC-heavy-or-residual-oil'!J20+'[1]BIFUbC-natural-gas'!J20+'[1]BIFUbC-electricity'!J20+'[1]BIFUbC-heat'!J20+'[1]BIFUbC-biomass'!J20+'[1]BIFUbC-hydrogen'!L20</f>
        <v>364174031188978.5</v>
      </c>
      <c r="K20" s="78">
        <f>'[1]BIFUbC-coal'!K20+'[1]BIFUbC-LPG-propane-or-butane'!K20+'[1]BIFUbC-petroleum-diesel'!K20+'[1]BIFUbC-crude-oil'!K20+'[1]BIFUbC-heavy-or-residual-oil'!K20+'[1]BIFUbC-natural-gas'!K20+'[1]BIFUbC-electricity'!K20+'[1]BIFUbC-heat'!K20+'[1]BIFUbC-biomass'!K20+'[1]BIFUbC-hydrogen'!M20</f>
        <v>377639960061209.25</v>
      </c>
      <c r="L20" s="78">
        <f>'[1]BIFUbC-coal'!L20+'[1]BIFUbC-LPG-propane-or-butane'!L20+'[1]BIFUbC-petroleum-diesel'!L20+'[1]BIFUbC-crude-oil'!L20+'[1]BIFUbC-heavy-or-residual-oil'!L20+'[1]BIFUbC-natural-gas'!L20+'[1]BIFUbC-electricity'!L20+'[1]BIFUbC-heat'!L20+'[1]BIFUbC-biomass'!L20+'[1]BIFUbC-hydrogen'!N20</f>
        <v>390575131961159.94</v>
      </c>
      <c r="M20" s="78">
        <f>'[1]BIFUbC-coal'!M20+'[1]BIFUbC-LPG-propane-or-butane'!M20+'[1]BIFUbC-petroleum-diesel'!M20+'[1]BIFUbC-crude-oil'!M20+'[1]BIFUbC-heavy-or-residual-oil'!M20+'[1]BIFUbC-natural-gas'!M20+'[1]BIFUbC-electricity'!M20+'[1]BIFUbC-heat'!M20+'[1]BIFUbC-biomass'!M20+'[1]BIFUbC-hydrogen'!O20</f>
        <v>402734001289045.75</v>
      </c>
      <c r="N20" s="78">
        <f>'[1]BIFUbC-coal'!N20+'[1]BIFUbC-LPG-propane-or-butane'!N20+'[1]BIFUbC-petroleum-diesel'!N20+'[1]BIFUbC-crude-oil'!N20+'[1]BIFUbC-heavy-or-residual-oil'!N20+'[1]BIFUbC-natural-gas'!N20+'[1]BIFUbC-electricity'!N20+'[1]BIFUbC-heat'!N20+'[1]BIFUbC-biomass'!N20+'[1]BIFUbC-hydrogen'!P20</f>
        <v>413950012892228.75</v>
      </c>
      <c r="O20" s="78">
        <f>'[1]BIFUbC-coal'!O20+'[1]BIFUbC-LPG-propane-or-butane'!O20+'[1]BIFUbC-petroleum-diesel'!O20+'[1]BIFUbC-crude-oil'!O20+'[1]BIFUbC-heavy-or-residual-oil'!O20+'[1]BIFUbC-natural-gas'!O20+'[1]BIFUbC-electricity'!O20+'[1]BIFUbC-heat'!O20+'[1]BIFUbC-biomass'!O20+'[1]BIFUbC-hydrogen'!Q20</f>
        <v>424155750334033.44</v>
      </c>
      <c r="P20" s="78">
        <f>'[1]BIFUbC-coal'!P20+'[1]BIFUbC-LPG-propane-or-butane'!P20+'[1]BIFUbC-petroleum-diesel'!P20+'[1]BIFUbC-crude-oil'!P20+'[1]BIFUbC-heavy-or-residual-oil'!P20+'[1]BIFUbC-natural-gas'!P20+'[1]BIFUbC-electricity'!P20+'[1]BIFUbC-heat'!P20+'[1]BIFUbC-biomass'!P20+'[1]BIFUbC-hydrogen'!R20</f>
        <v>433384275732107.38</v>
      </c>
      <c r="Q20" s="78">
        <f>'[1]BIFUbC-coal'!Q20+'[1]BIFUbC-LPG-propane-or-butane'!Q20+'[1]BIFUbC-petroleum-diesel'!Q20+'[1]BIFUbC-crude-oil'!Q20+'[1]BIFUbC-heavy-or-residual-oil'!Q20+'[1]BIFUbC-natural-gas'!Q20+'[1]BIFUbC-electricity'!Q20+'[1]BIFUbC-heat'!Q20+'[1]BIFUbC-biomass'!Q20+'[1]BIFUbC-hydrogen'!S20</f>
        <v>441686232478647.5</v>
      </c>
      <c r="R20" s="78">
        <f>'[1]BIFUbC-coal'!R20+'[1]BIFUbC-LPG-propane-or-butane'!R20+'[1]BIFUbC-petroleum-diesel'!R20+'[1]BIFUbC-crude-oil'!R20+'[1]BIFUbC-heavy-or-residual-oil'!R20+'[1]BIFUbC-natural-gas'!R20+'[1]BIFUbC-electricity'!R20+'[1]BIFUbC-heat'!R20+'[1]BIFUbC-biomass'!R20+'[1]BIFUbC-hydrogen'!T20</f>
        <v>449128067683894.88</v>
      </c>
      <c r="S20" s="78">
        <f>'[1]BIFUbC-coal'!S20+'[1]BIFUbC-LPG-propane-or-butane'!S20+'[1]BIFUbC-petroleum-diesel'!S20+'[1]BIFUbC-crude-oil'!S20+'[1]BIFUbC-heavy-or-residual-oil'!S20+'[1]BIFUbC-natural-gas'!S20+'[1]BIFUbC-electricity'!S20+'[1]BIFUbC-heat'!S20+'[1]BIFUbC-biomass'!S20+'[1]BIFUbC-hydrogen'!U20</f>
        <v>455839018259975.06</v>
      </c>
      <c r="T20" s="78">
        <f>'[1]BIFUbC-coal'!T20+'[1]BIFUbC-LPG-propane-or-butane'!T20+'[1]BIFUbC-petroleum-diesel'!T20+'[1]BIFUbC-crude-oil'!T20+'[1]BIFUbC-heavy-or-residual-oil'!T20+'[1]BIFUbC-natural-gas'!T20+'[1]BIFUbC-electricity'!T20+'[1]BIFUbC-heat'!T20+'[1]BIFUbC-biomass'!T20+'[1]BIFUbC-hydrogen'!V20</f>
        <v>461790587390030.19</v>
      </c>
      <c r="U20" s="78">
        <f>'[1]BIFUbC-coal'!U20+'[1]BIFUbC-LPG-propane-or-butane'!U20+'[1]BIFUbC-petroleum-diesel'!U20+'[1]BIFUbC-crude-oil'!U20+'[1]BIFUbC-heavy-or-residual-oil'!U20+'[1]BIFUbC-natural-gas'!U20+'[1]BIFUbC-electricity'!U20+'[1]BIFUbC-heat'!U20+'[1]BIFUbC-biomass'!U20+'[1]BIFUbC-hydrogen'!W20</f>
        <v>467007709229329.44</v>
      </c>
      <c r="V20" s="78">
        <f>'[1]BIFUbC-coal'!V20+'[1]BIFUbC-LPG-propane-or-butane'!V20+'[1]BIFUbC-petroleum-diesel'!V20+'[1]BIFUbC-crude-oil'!V20+'[1]BIFUbC-heavy-or-residual-oil'!V20+'[1]BIFUbC-natural-gas'!V20+'[1]BIFUbC-electricity'!V20+'[1]BIFUbC-heat'!V20+'[1]BIFUbC-biomass'!V20+'[1]BIFUbC-hydrogen'!X20</f>
        <v>471520593769358.06</v>
      </c>
      <c r="W20" s="78">
        <f>'[1]BIFUbC-coal'!W20+'[1]BIFUbC-LPG-propane-or-butane'!W20+'[1]BIFUbC-petroleum-diesel'!W20+'[1]BIFUbC-crude-oil'!W20+'[1]BIFUbC-heavy-or-residual-oil'!W20+'[1]BIFUbC-natural-gas'!W20+'[1]BIFUbC-electricity'!W20+'[1]BIFUbC-heat'!W20+'[1]BIFUbC-biomass'!W20+'[1]BIFUbC-hydrogen'!Y20</f>
        <v>475363946016263</v>
      </c>
      <c r="X20" s="78">
        <f>'[1]BIFUbC-coal'!X20+'[1]BIFUbC-LPG-propane-or-butane'!X20+'[1]BIFUbC-petroleum-diesel'!X20+'[1]BIFUbC-crude-oil'!X20+'[1]BIFUbC-heavy-or-residual-oil'!X20+'[1]BIFUbC-natural-gas'!X20+'[1]BIFUbC-electricity'!X20+'[1]BIFUbC-heat'!X20+'[1]BIFUbC-biomass'!X20+'[1]BIFUbC-hydrogen'!Z20</f>
        <v>478576201574808.69</v>
      </c>
      <c r="Y20" s="78">
        <f>'[1]BIFUbC-coal'!Y20+'[1]BIFUbC-LPG-propane-or-butane'!Y20+'[1]BIFUbC-petroleum-diesel'!Y20+'[1]BIFUbC-crude-oil'!Y20+'[1]BIFUbC-heavy-or-residual-oil'!Y20+'[1]BIFUbC-natural-gas'!Y20+'[1]BIFUbC-electricity'!Y20+'[1]BIFUbC-heat'!Y20+'[1]BIFUbC-biomass'!Y20+'[1]BIFUbC-hydrogen'!AA20</f>
        <v>481198795348874.56</v>
      </c>
      <c r="Z20" s="78">
        <f>'[1]BIFUbC-coal'!Z20+'[1]BIFUbC-LPG-propane-or-butane'!Z20+'[1]BIFUbC-petroleum-diesel'!Z20+'[1]BIFUbC-crude-oil'!Z20+'[1]BIFUbC-heavy-or-residual-oil'!Z20+'[1]BIFUbC-natural-gas'!Z20+'[1]BIFUbC-electricity'!Z20+'[1]BIFUbC-heat'!Z20+'[1]BIFUbC-biomass'!Z20+'[1]BIFUbC-hydrogen'!AB20</f>
        <v>483275477353883</v>
      </c>
      <c r="AA20" s="78">
        <f>'[1]BIFUbC-coal'!AA20+'[1]BIFUbC-LPG-propane-or-butane'!AA20+'[1]BIFUbC-petroleum-diesel'!AA20+'[1]BIFUbC-crude-oil'!AA20+'[1]BIFUbC-heavy-or-residual-oil'!AA20+'[1]BIFUbC-natural-gas'!AA20+'[1]BIFUbC-electricity'!AA20+'[1]BIFUbC-heat'!AA20+'[1]BIFUbC-biomass'!AA20+'[1]BIFUbC-hydrogen'!AC20</f>
        <v>484851686893648.94</v>
      </c>
      <c r="AB20" s="78">
        <f>'[1]BIFUbC-coal'!AB20+'[1]BIFUbC-LPG-propane-or-butane'!AB20+'[1]BIFUbC-petroleum-diesel'!AB20+'[1]BIFUbC-crude-oil'!AB20+'[1]BIFUbC-heavy-or-residual-oil'!AB20+'[1]BIFUbC-natural-gas'!AB20+'[1]BIFUbC-electricity'!AB20+'[1]BIFUbC-heat'!AB20+'[1]BIFUbC-biomass'!AB20+'[1]BIFUbC-hydrogen'!AD20</f>
        <v>485973993688033.63</v>
      </c>
      <c r="AC20" s="78">
        <f>'[1]BIFUbC-coal'!AC20+'[1]BIFUbC-LPG-propane-or-butane'!AC20+'[1]BIFUbC-petroleum-diesel'!AC20+'[1]BIFUbC-crude-oil'!AC20+'[1]BIFUbC-heavy-or-residual-oil'!AC20+'[1]BIFUbC-natural-gas'!AC20+'[1]BIFUbC-electricity'!AC20+'[1]BIFUbC-heat'!AC20+'[1]BIFUbC-biomass'!AC20+'[1]BIFUbC-hydrogen'!AE20</f>
        <v>486689612034260.06</v>
      </c>
      <c r="AD20" s="78">
        <f>'[1]BIFUbC-coal'!AD20+'[1]BIFUbC-LPG-propane-or-butane'!AD20+'[1]BIFUbC-petroleum-diesel'!AD20+'[1]BIFUbC-crude-oil'!AD20+'[1]BIFUbC-heavy-or-residual-oil'!AD20+'[1]BIFUbC-natural-gas'!AD20+'[1]BIFUbC-electricity'!AD20+'[1]BIFUbC-heat'!AD20+'[1]BIFUbC-biomass'!AD20+'[1]BIFUbC-hydrogen'!AF20</f>
        <v>487045991811126.06</v>
      </c>
      <c r="AE20" s="78">
        <f>'[1]BIFUbC-coal'!AE20+'[1]BIFUbC-LPG-propane-or-butane'!AE20+'[1]BIFUbC-petroleum-diesel'!AE20+'[1]BIFUbC-crude-oil'!AE20+'[1]BIFUbC-heavy-or-residual-oil'!AE20+'[1]BIFUbC-natural-gas'!AE20+'[1]BIFUbC-electricity'!AE20+'[1]BIFUbC-heat'!AE20+'[1]BIFUbC-biomass'!AE20+'[1]BIFUbC-hydrogen'!AG20</f>
        <v>487090488141046.94</v>
      </c>
      <c r="AF20" s="78">
        <f>'[1]BIFUbC-coal'!AF20+'[1]BIFUbC-LPG-propane-or-butane'!AF20+'[1]BIFUbC-petroleum-diesel'!AF20+'[1]BIFUbC-crude-oil'!AF20+'[1]BIFUbC-heavy-or-residual-oil'!AF20+'[1]BIFUbC-natural-gas'!AF20+'[1]BIFUbC-electricity'!AF20+'[1]BIFUbC-heat'!AF20+'[1]BIFUbC-biomass'!AF20+'[1]BIFUbC-hydrogen'!AH20</f>
        <v>486870109842638.38</v>
      </c>
      <c r="AG20" s="78">
        <f>'[1]BIFUbC-coal'!AG20+'[1]BIFUbC-LPG-propane-or-butane'!AG20+'[1]BIFUbC-petroleum-diesel'!AG20+'[1]BIFUbC-crude-oil'!AG20+'[1]BIFUbC-heavy-or-residual-oil'!AG20+'[1]BIFUbC-natural-gas'!AG20+'[1]BIFUbC-electricity'!AG20+'[1]BIFUbC-heat'!AG20+'[1]BIFUbC-biomass'!AG20+'[1]BIFUbC-hydrogen'!AI20</f>
        <v>486431345454567.44</v>
      </c>
      <c r="AH20" s="78">
        <f>'[1]BIFUbC-coal'!AH20+'[1]BIFUbC-LPG-propane-or-butane'!AH20+'[1]BIFUbC-petroleum-diesel'!AH20+'[1]BIFUbC-crude-oil'!AH20+'[1]BIFUbC-heavy-or-residual-oil'!AH20+'[1]BIFUbC-natural-gas'!AH20+'[1]BIFUbC-electricity'!AH20+'[1]BIFUbC-heat'!AH20+'[1]BIFUbC-biomass'!AH20+'[1]BIFUbC-hydrogen'!AJ20</f>
        <v>485820064595550</v>
      </c>
      <c r="AI20" s="78">
        <f>'[1]BIFUbC-coal'!AI20+'[1]BIFUbC-LPG-propane-or-butane'!AI20+'[1]BIFUbC-petroleum-diesel'!AI20+'[1]BIFUbC-crude-oil'!AI20+'[1]BIFUbC-heavy-or-residual-oil'!AI20+'[1]BIFUbC-natural-gas'!AI20+'[1]BIFUbC-electricity'!AI20+'[1]BIFUbC-heat'!AI20+'[1]BIFUbC-biomass'!AI20+'[1]BIFUbC-hydrogen'!AK20</f>
        <v>485081491741703.13</v>
      </c>
      <c r="AJ20" s="78">
        <f>'[1]BIFUbC-coal'!AJ20+'[1]BIFUbC-LPG-propane-or-butane'!AJ20+'[1]BIFUbC-petroleum-diesel'!AJ20+'[1]BIFUbC-crude-oil'!AJ20+'[1]BIFUbC-heavy-or-residual-oil'!AJ20+'[1]BIFUbC-natural-gas'!AJ20+'[1]BIFUbC-electricity'!AJ20+'[1]BIFUbC-heat'!AJ20+'[1]BIFUbC-biomass'!AJ20+'[1]BIFUbC-hydrogen'!AL20</f>
        <v>484260249140019.06</v>
      </c>
      <c r="AK20" s="78">
        <f>'[1]BIFUbC-coal'!AK20+'[1]BIFUbC-LPG-propane-or-butane'!AK20+'[1]BIFUbC-petroleum-diesel'!AK20+'[1]BIFUbC-crude-oil'!AK20+'[1]BIFUbC-heavy-or-residual-oil'!AK20+'[1]BIFUbC-natural-gas'!AK20+'[1]BIFUbC-electricity'!AK20+'[1]BIFUbC-heat'!AK20+'[1]BIFUbC-biomass'!AK20+'[1]BIFUbC-hydrogen'!AM20</f>
        <v>483400465519907.31</v>
      </c>
      <c r="AL20" s="78">
        <f>'[1]BIFUbC-coal'!AL20+'[1]BIFUbC-LPG-propane-or-butane'!AL20+'[1]BIFUbC-petroleum-diesel'!AL20+'[1]BIFUbC-crude-oil'!AL20+'[1]BIFUbC-heavy-or-residual-oil'!AL20+'[1]BIFUbC-natural-gas'!AL20+'[1]BIFUbC-electricity'!AL20+'[1]BIFUbC-heat'!AL20+'[1]BIFUbC-biomass'!AL20+'[1]BIFUbC-hydrogen'!AN20</f>
        <v>482545947496022.75</v>
      </c>
      <c r="AM20" s="78">
        <f>'[1]BIFUbC-coal'!AM20+'[1]BIFUbC-LPG-propane-or-butane'!AM20+'[1]BIFUbC-petroleum-diesel'!AM20+'[1]BIFUbC-crude-oil'!AM20+'[1]BIFUbC-heavy-or-residual-oil'!AM20+'[1]BIFUbC-natural-gas'!AM20+'[1]BIFUbC-electricity'!AM20+'[1]BIFUbC-heat'!AM20+'[1]BIFUbC-biomass'!AM20+'[1]BIFUbC-hydrogen'!AO20</f>
        <v>481740411057577</v>
      </c>
      <c r="AN20" s="78">
        <f>'[1]BIFUbC-coal'!AN20+'[1]BIFUbC-LPG-propane-or-butane'!AN20+'[1]BIFUbC-petroleum-diesel'!AN20+'[1]BIFUbC-crude-oil'!AN20+'[1]BIFUbC-heavy-or-residual-oil'!AN20+'[1]BIFUbC-natural-gas'!AN20+'[1]BIFUbC-electricity'!AN20+'[1]BIFUbC-heat'!AN20+'[1]BIFUbC-biomass'!AN20+'[1]BIFUbC-hydrogen'!AP20</f>
        <v>481027771297168.38</v>
      </c>
      <c r="AO20" s="78">
        <f>'[1]BIFUbC-coal'!AO20+'[1]BIFUbC-LPG-propane-or-butane'!AO20+'[1]BIFUbC-petroleum-diesel'!AO20+'[1]BIFUbC-crude-oil'!AO20+'[1]BIFUbC-heavy-or-residual-oil'!AO20+'[1]BIFUbC-natural-gas'!AO20+'[1]BIFUbC-electricity'!AO20+'[1]BIFUbC-heat'!AO20+'[1]BIFUbC-biomass'!AO20+'[1]BIFUbC-hydrogen'!AQ20</f>
        <v>480452489535371.13</v>
      </c>
      <c r="AP20" s="78">
        <f>'[1]BIFUbC-coal'!AP20+'[1]BIFUbC-LPG-propane-or-butane'!AP20+'[1]BIFUbC-petroleum-diesel'!AP20+'[1]BIFUbC-crude-oil'!AP20+'[1]BIFUbC-heavy-or-residual-oil'!AP20+'[1]BIFUbC-natural-gas'!AP20+'[1]BIFUbC-electricity'!AP20+'[1]BIFUbC-heat'!AP20+'[1]BIFUbC-biomass'!AP20+'[1]BIFUbC-hydrogen'!AR20</f>
        <v>480059978241804.63</v>
      </c>
      <c r="AQ20" s="78">
        <f>'[1]BIFUbC-coal'!AQ20+'[1]BIFUbC-LPG-propane-or-butane'!AQ20+'[1]BIFUbC-petroleum-diesel'!AQ20+'[1]BIFUbC-crude-oil'!AQ20+'[1]BIFUbC-heavy-or-residual-oil'!AQ20+'[1]BIFUbC-natural-gas'!AQ20+'[1]BIFUbC-electricity'!AQ20+'[1]BIFUbC-heat'!AQ20+'[1]BIFUbC-biomass'!AQ20+'[1]BIFUbC-hydrogen'!AS20</f>
        <v>479736832900078.75</v>
      </c>
    </row>
    <row r="21" spans="1:43" s="77" customFormat="1" x14ac:dyDescent="0.2">
      <c r="A21" s="77" t="s">
        <v>51</v>
      </c>
      <c r="B21" s="78">
        <f>'[1]BIFUbC-coal'!B21+'[1]BIFUbC-LPG-propane-or-butane'!B21+'[1]BIFUbC-petroleum-diesel'!B21+'[1]BIFUbC-crude-oil'!B21+'[1]BIFUbC-heavy-or-residual-oil'!B21+'[1]BIFUbC-natural-gas'!B21+'[1]BIFUbC-electricity'!B21+'[1]BIFUbC-heat'!B21+'[1]BIFUbC-biomass'!B21+'[1]BIFUbC-hydrogen'!D21</f>
        <v>317102944436984.94</v>
      </c>
      <c r="C21" s="78">
        <f>'[1]BIFUbC-coal'!C21+'[1]BIFUbC-LPG-propane-or-butane'!C21+'[1]BIFUbC-petroleum-diesel'!C21+'[1]BIFUbC-crude-oil'!C21+'[1]BIFUbC-heavy-or-residual-oil'!C21+'[1]BIFUbC-natural-gas'!C21+'[1]BIFUbC-electricity'!C21+'[1]BIFUbC-heat'!C21+'[1]BIFUbC-biomass'!C21+'[1]BIFUbC-hydrogen'!E21</f>
        <v>339259391172511.13</v>
      </c>
      <c r="D21" s="78">
        <f>'[1]BIFUbC-coal'!D21+'[1]BIFUbC-LPG-propane-or-butane'!D21+'[1]BIFUbC-petroleum-diesel'!D21+'[1]BIFUbC-crude-oil'!D21+'[1]BIFUbC-heavy-or-residual-oil'!D21+'[1]BIFUbC-natural-gas'!D21+'[1]BIFUbC-electricity'!D21+'[1]BIFUbC-heat'!D21+'[1]BIFUbC-biomass'!D21+'[1]BIFUbC-hydrogen'!F21</f>
        <v>361013586760950.19</v>
      </c>
      <c r="E21" s="78">
        <f>'[1]BIFUbC-coal'!E21+'[1]BIFUbC-LPG-propane-or-butane'!E21+'[1]BIFUbC-petroleum-diesel'!E21+'[1]BIFUbC-crude-oil'!E21+'[1]BIFUbC-heavy-or-residual-oil'!E21+'[1]BIFUbC-natural-gas'!E21+'[1]BIFUbC-electricity'!E21+'[1]BIFUbC-heat'!E21+'[1]BIFUbC-biomass'!E21+'[1]BIFUbC-hydrogen'!G21</f>
        <v>397471904240601.5</v>
      </c>
      <c r="F21" s="78">
        <f>'[1]BIFUbC-coal'!F21+'[1]BIFUbC-LPG-propane-or-butane'!F21+'[1]BIFUbC-petroleum-diesel'!F21+'[1]BIFUbC-crude-oil'!F21+'[1]BIFUbC-heavy-or-residual-oil'!F21+'[1]BIFUbC-natural-gas'!F21+'[1]BIFUbC-electricity'!F21+'[1]BIFUbC-heat'!F21+'[1]BIFUbC-biomass'!F21+'[1]BIFUbC-hydrogen'!H21</f>
        <v>440259109062941.75</v>
      </c>
      <c r="G21" s="78">
        <f>'[1]BIFUbC-coal'!G21+'[1]BIFUbC-LPG-propane-or-butane'!G21+'[1]BIFUbC-petroleum-diesel'!G21+'[1]BIFUbC-crude-oil'!G21+'[1]BIFUbC-heavy-or-residual-oil'!G21+'[1]BIFUbC-natural-gas'!G21+'[1]BIFUbC-electricity'!G21+'[1]BIFUbC-heat'!G21+'[1]BIFUbC-biomass'!G21+'[1]BIFUbC-hydrogen'!I21</f>
        <v>467780489279901.94</v>
      </c>
      <c r="H21" s="78">
        <f>'[1]BIFUbC-coal'!H21+'[1]BIFUbC-LPG-propane-or-butane'!H21+'[1]BIFUbC-petroleum-diesel'!H21+'[1]BIFUbC-crude-oil'!H21+'[1]BIFUbC-heavy-or-residual-oil'!H21+'[1]BIFUbC-natural-gas'!H21+'[1]BIFUbC-electricity'!H21+'[1]BIFUbC-heat'!H21+'[1]BIFUbC-biomass'!H21+'[1]BIFUbC-hydrogen'!J21</f>
        <v>495191067834169.25</v>
      </c>
      <c r="I21" s="78">
        <f>'[1]BIFUbC-coal'!I21+'[1]BIFUbC-LPG-propane-or-butane'!I21+'[1]BIFUbC-petroleum-diesel'!I21+'[1]BIFUbC-crude-oil'!I21+'[1]BIFUbC-heavy-or-residual-oil'!I21+'[1]BIFUbC-natural-gas'!I21+'[1]BIFUbC-electricity'!I21+'[1]BIFUbC-heat'!I21+'[1]BIFUbC-biomass'!I21+'[1]BIFUbC-hydrogen'!K21</f>
        <v>509711825278671.94</v>
      </c>
      <c r="J21" s="78">
        <f>'[1]BIFUbC-coal'!J21+'[1]BIFUbC-LPG-propane-or-butane'!J21+'[1]BIFUbC-petroleum-diesel'!J21+'[1]BIFUbC-crude-oil'!J21+'[1]BIFUbC-heavy-or-residual-oil'!J21+'[1]BIFUbC-natural-gas'!J21+'[1]BIFUbC-electricity'!J21+'[1]BIFUbC-heat'!J21+'[1]BIFUbC-biomass'!J21+'[1]BIFUbC-hydrogen'!L21</f>
        <v>524223859241659.69</v>
      </c>
      <c r="K21" s="78">
        <f>'[1]BIFUbC-coal'!K21+'[1]BIFUbC-LPG-propane-or-butane'!K21+'[1]BIFUbC-petroleum-diesel'!K21+'[1]BIFUbC-crude-oil'!K21+'[1]BIFUbC-heavy-or-residual-oil'!K21+'[1]BIFUbC-natural-gas'!K21+'[1]BIFUbC-electricity'!K21+'[1]BIFUbC-heat'!K21+'[1]BIFUbC-biomass'!K21+'[1]BIFUbC-hydrogen'!M21</f>
        <v>538727169723132.19</v>
      </c>
      <c r="L21" s="78">
        <f>'[1]BIFUbC-coal'!L21+'[1]BIFUbC-LPG-propane-or-butane'!L21+'[1]BIFUbC-petroleum-diesel'!L21+'[1]BIFUbC-crude-oil'!L21+'[1]BIFUbC-heavy-or-residual-oil'!L21+'[1]BIFUbC-natural-gas'!L21+'[1]BIFUbC-electricity'!L21+'[1]BIFUbC-heat'!L21+'[1]BIFUbC-biomass'!L21+'[1]BIFUbC-hydrogen'!N21</f>
        <v>553221756723089.69</v>
      </c>
      <c r="M21" s="78">
        <f>'[1]BIFUbC-coal'!M21+'[1]BIFUbC-LPG-propane-or-butane'!M21+'[1]BIFUbC-petroleum-diesel'!M21+'[1]BIFUbC-crude-oil'!M21+'[1]BIFUbC-heavy-or-residual-oil'!M21+'[1]BIFUbC-natural-gas'!M21+'[1]BIFUbC-electricity'!M21+'[1]BIFUbC-heat'!M21+'[1]BIFUbC-biomass'!M21+'[1]BIFUbC-hydrogen'!O21</f>
        <v>567707620241532.25</v>
      </c>
      <c r="N21" s="78">
        <f>'[1]BIFUbC-coal'!N21+'[1]BIFUbC-LPG-propane-or-butane'!N21+'[1]BIFUbC-petroleum-diesel'!N21+'[1]BIFUbC-crude-oil'!N21+'[1]BIFUbC-heavy-or-residual-oil'!N21+'[1]BIFUbC-natural-gas'!N21+'[1]BIFUbC-electricity'!N21+'[1]BIFUbC-heat'!N21+'[1]BIFUbC-biomass'!N21+'[1]BIFUbC-hydrogen'!P21</f>
        <v>574918918839387.63</v>
      </c>
      <c r="O21" s="78">
        <f>'[1]BIFUbC-coal'!O21+'[1]BIFUbC-LPG-propane-or-butane'!O21+'[1]BIFUbC-petroleum-diesel'!O21+'[1]BIFUbC-crude-oil'!O21+'[1]BIFUbC-heavy-or-residual-oil'!O21+'[1]BIFUbC-natural-gas'!O21+'[1]BIFUbC-electricity'!O21+'[1]BIFUbC-heat'!O21+'[1]BIFUbC-biomass'!O21+'[1]BIFUbC-hydrogen'!Q21</f>
        <v>582127313971812.25</v>
      </c>
      <c r="P21" s="78">
        <f>'[1]BIFUbC-coal'!P21+'[1]BIFUbC-LPG-propane-or-butane'!P21+'[1]BIFUbC-petroleum-diesel'!P21+'[1]BIFUbC-crude-oil'!P21+'[1]BIFUbC-heavy-or-residual-oil'!P21+'[1]BIFUbC-natural-gas'!P21+'[1]BIFUbC-electricity'!P21+'[1]BIFUbC-heat'!P21+'[1]BIFUbC-biomass'!P21+'[1]BIFUbC-hydrogen'!R21</f>
        <v>589332805638805.75</v>
      </c>
      <c r="Q21" s="78">
        <f>'[1]BIFUbC-coal'!Q21+'[1]BIFUbC-LPG-propane-or-butane'!Q21+'[1]BIFUbC-petroleum-diesel'!Q21+'[1]BIFUbC-crude-oil'!Q21+'[1]BIFUbC-heavy-or-residual-oil'!Q21+'[1]BIFUbC-natural-gas'!Q21+'[1]BIFUbC-electricity'!Q21+'[1]BIFUbC-heat'!Q21+'[1]BIFUbC-biomass'!Q21+'[1]BIFUbC-hydrogen'!S21</f>
        <v>596535393840368.63</v>
      </c>
      <c r="R21" s="78">
        <f>'[1]BIFUbC-coal'!R21+'[1]BIFUbC-LPG-propane-or-butane'!R21+'[1]BIFUbC-petroleum-diesel'!R21+'[1]BIFUbC-crude-oil'!R21+'[1]BIFUbC-heavy-or-residual-oil'!R21+'[1]BIFUbC-natural-gas'!R21+'[1]BIFUbC-electricity'!R21+'[1]BIFUbC-heat'!R21+'[1]BIFUbC-biomass'!R21+'[1]BIFUbC-hydrogen'!T21</f>
        <v>603735078576500.38</v>
      </c>
      <c r="S21" s="78">
        <f>'[1]BIFUbC-coal'!S21+'[1]BIFUbC-LPG-propane-or-butane'!S21+'[1]BIFUbC-petroleum-diesel'!S21+'[1]BIFUbC-crude-oil'!S21+'[1]BIFUbC-heavy-or-residual-oil'!S21+'[1]BIFUbC-natural-gas'!S21+'[1]BIFUbC-electricity'!S21+'[1]BIFUbC-heat'!S21+'[1]BIFUbC-biomass'!S21+'[1]BIFUbC-hydrogen'!U21</f>
        <v>601865816468112.75</v>
      </c>
      <c r="T21" s="78">
        <f>'[1]BIFUbC-coal'!T21+'[1]BIFUbC-LPG-propane-or-butane'!T21+'[1]BIFUbC-petroleum-diesel'!T21+'[1]BIFUbC-crude-oil'!T21+'[1]BIFUbC-heavy-or-residual-oil'!T21+'[1]BIFUbC-natural-gas'!T21+'[1]BIFUbC-electricity'!T21+'[1]BIFUbC-heat'!T21+'[1]BIFUbC-biomass'!T21+'[1]BIFUbC-hydrogen'!V21</f>
        <v>599996796073222.25</v>
      </c>
      <c r="U21" s="78">
        <f>'[1]BIFUbC-coal'!U21+'[1]BIFUbC-LPG-propane-or-butane'!U21+'[1]BIFUbC-petroleum-diesel'!U21+'[1]BIFUbC-crude-oil'!U21+'[1]BIFUbC-heavy-or-residual-oil'!U21+'[1]BIFUbC-natural-gas'!U21+'[1]BIFUbC-electricity'!U21+'[1]BIFUbC-heat'!U21+'[1]BIFUbC-biomass'!U21+'[1]BIFUbC-hydrogen'!W21</f>
        <v>598128017391828.75</v>
      </c>
      <c r="V21" s="78">
        <f>'[1]BIFUbC-coal'!V21+'[1]BIFUbC-LPG-propane-or-butane'!V21+'[1]BIFUbC-petroleum-diesel'!V21+'[1]BIFUbC-crude-oil'!V21+'[1]BIFUbC-heavy-or-residual-oil'!V21+'[1]BIFUbC-natural-gas'!V21+'[1]BIFUbC-electricity'!V21+'[1]BIFUbC-heat'!V21+'[1]BIFUbC-biomass'!V21+'[1]BIFUbC-hydrogen'!X21</f>
        <v>596259480423932.5</v>
      </c>
      <c r="W21" s="78">
        <f>'[1]BIFUbC-coal'!W21+'[1]BIFUbC-LPG-propane-or-butane'!W21+'[1]BIFUbC-petroleum-diesel'!W21+'[1]BIFUbC-crude-oil'!W21+'[1]BIFUbC-heavy-or-residual-oil'!W21+'[1]BIFUbC-natural-gas'!W21+'[1]BIFUbC-electricity'!W21+'[1]BIFUbC-heat'!W21+'[1]BIFUbC-biomass'!W21+'[1]BIFUbC-hydrogen'!Y21</f>
        <v>594391185169533.25</v>
      </c>
      <c r="X21" s="78">
        <f>'[1]BIFUbC-coal'!X21+'[1]BIFUbC-LPG-propane-or-butane'!X21+'[1]BIFUbC-petroleum-diesel'!X21+'[1]BIFUbC-crude-oil'!X21+'[1]BIFUbC-heavy-or-residual-oil'!X21+'[1]BIFUbC-natural-gas'!X21+'[1]BIFUbC-electricity'!X21+'[1]BIFUbC-heat'!X21+'[1]BIFUbC-biomass'!X21+'[1]BIFUbC-hydrogen'!Z21</f>
        <v>592523131628631</v>
      </c>
      <c r="Y21" s="78">
        <f>'[1]BIFUbC-coal'!Y21+'[1]BIFUbC-LPG-propane-or-butane'!Y21+'[1]BIFUbC-petroleum-diesel'!Y21+'[1]BIFUbC-crude-oil'!Y21+'[1]BIFUbC-heavy-or-residual-oil'!Y21+'[1]BIFUbC-natural-gas'!Y21+'[1]BIFUbC-electricity'!Y21+'[1]BIFUbC-heat'!Y21+'[1]BIFUbC-biomass'!Y21+'[1]BIFUbC-hydrogen'!AA21</f>
        <v>590655319801226.13</v>
      </c>
      <c r="Z21" s="78">
        <f>'[1]BIFUbC-coal'!Z21+'[1]BIFUbC-LPG-propane-or-butane'!Z21+'[1]BIFUbC-petroleum-diesel'!Z21+'[1]BIFUbC-crude-oil'!Z21+'[1]BIFUbC-heavy-or-residual-oil'!Z21+'[1]BIFUbC-natural-gas'!Z21+'[1]BIFUbC-electricity'!Z21+'[1]BIFUbC-heat'!Z21+'[1]BIFUbC-biomass'!Z21+'[1]BIFUbC-hydrogen'!AB21</f>
        <v>588787749687318.38</v>
      </c>
      <c r="AA21" s="78">
        <f>'[1]BIFUbC-coal'!AA21+'[1]BIFUbC-LPG-propane-or-butane'!AA21+'[1]BIFUbC-petroleum-diesel'!AA21+'[1]BIFUbC-crude-oil'!AA21+'[1]BIFUbC-heavy-or-residual-oil'!AA21+'[1]BIFUbC-natural-gas'!AA21+'[1]BIFUbC-electricity'!AA21+'[1]BIFUbC-heat'!AA21+'[1]BIFUbC-biomass'!AA21+'[1]BIFUbC-hydrogen'!AC21</f>
        <v>586920421286907.5</v>
      </c>
      <c r="AB21" s="78">
        <f>'[1]BIFUbC-coal'!AB21+'[1]BIFUbC-LPG-propane-or-butane'!AB21+'[1]BIFUbC-petroleum-diesel'!AB21+'[1]BIFUbC-crude-oil'!AB21+'[1]BIFUbC-heavy-or-residual-oil'!AB21+'[1]BIFUbC-natural-gas'!AB21+'[1]BIFUbC-electricity'!AB21+'[1]BIFUbC-heat'!AB21+'[1]BIFUbC-biomass'!AB21+'[1]BIFUbC-hydrogen'!AD21</f>
        <v>585053334599994.13</v>
      </c>
      <c r="AC21" s="78">
        <f>'[1]BIFUbC-coal'!AC21+'[1]BIFUbC-LPG-propane-or-butane'!AC21+'[1]BIFUbC-petroleum-diesel'!AC21+'[1]BIFUbC-crude-oil'!AC21+'[1]BIFUbC-heavy-or-residual-oil'!AC21+'[1]BIFUbC-natural-gas'!AC21+'[1]BIFUbC-electricity'!AC21+'[1]BIFUbC-heat'!AC21+'[1]BIFUbC-biomass'!AC21+'[1]BIFUbC-hydrogen'!AE21</f>
        <v>583186489626577.63</v>
      </c>
      <c r="AD21" s="78">
        <f>'[1]BIFUbC-coal'!AD21+'[1]BIFUbC-LPG-propane-or-butane'!AD21+'[1]BIFUbC-petroleum-diesel'!AD21+'[1]BIFUbC-crude-oil'!AD21+'[1]BIFUbC-heavy-or-residual-oil'!AD21+'[1]BIFUbC-natural-gas'!AD21+'[1]BIFUbC-electricity'!AD21+'[1]BIFUbC-heat'!AD21+'[1]BIFUbC-biomass'!AD21+'[1]BIFUbC-hydrogen'!AF21</f>
        <v>581319886366658.38</v>
      </c>
      <c r="AE21" s="78">
        <f>'[1]BIFUbC-coal'!AE21+'[1]BIFUbC-LPG-propane-or-butane'!AE21+'[1]BIFUbC-petroleum-diesel'!AE21+'[1]BIFUbC-crude-oil'!AE21+'[1]BIFUbC-heavy-or-residual-oil'!AE21+'[1]BIFUbC-natural-gas'!AE21+'[1]BIFUbC-electricity'!AE21+'[1]BIFUbC-heat'!AE21+'[1]BIFUbC-biomass'!AE21+'[1]BIFUbC-hydrogen'!AG21</f>
        <v>579453524820236</v>
      </c>
      <c r="AF21" s="78">
        <f>'[1]BIFUbC-coal'!AF21+'[1]BIFUbC-LPG-propane-or-butane'!AF21+'[1]BIFUbC-petroleum-diesel'!AF21+'[1]BIFUbC-crude-oil'!AF21+'[1]BIFUbC-heavy-or-residual-oil'!AF21+'[1]BIFUbC-natural-gas'!AF21+'[1]BIFUbC-electricity'!AF21+'[1]BIFUbC-heat'!AF21+'[1]BIFUbC-biomass'!AF21+'[1]BIFUbC-hydrogen'!AH21</f>
        <v>577587404987311.13</v>
      </c>
      <c r="AG21" s="78">
        <f>'[1]BIFUbC-coal'!AG21+'[1]BIFUbC-LPG-propane-or-butane'!AG21+'[1]BIFUbC-petroleum-diesel'!AG21+'[1]BIFUbC-crude-oil'!AG21+'[1]BIFUbC-heavy-or-residual-oil'!AG21+'[1]BIFUbC-natural-gas'!AG21+'[1]BIFUbC-electricity'!AG21+'[1]BIFUbC-heat'!AG21+'[1]BIFUbC-biomass'!AG21+'[1]BIFUbC-hydrogen'!AI21</f>
        <v>575721526867883</v>
      </c>
      <c r="AH21" s="78">
        <f>'[1]BIFUbC-coal'!AH21+'[1]BIFUbC-LPG-propane-or-butane'!AH21+'[1]BIFUbC-petroleum-diesel'!AH21+'[1]BIFUbC-crude-oil'!AH21+'[1]BIFUbC-heavy-or-residual-oil'!AH21+'[1]BIFUbC-natural-gas'!AH21+'[1]BIFUbC-electricity'!AH21+'[1]BIFUbC-heat'!AH21+'[1]BIFUbC-biomass'!AH21+'[1]BIFUbC-hydrogen'!AJ21</f>
        <v>574952430380032.38</v>
      </c>
      <c r="AI21" s="78">
        <f>'[1]BIFUbC-coal'!AI21+'[1]BIFUbC-LPG-propane-or-butane'!AI21+'[1]BIFUbC-petroleum-diesel'!AI21+'[1]BIFUbC-crude-oil'!AI21+'[1]BIFUbC-heavy-or-residual-oil'!AI21+'[1]BIFUbC-natural-gas'!AI21+'[1]BIFUbC-electricity'!AI21+'[1]BIFUbC-heat'!AI21+'[1]BIFUbC-biomass'!AI21+'[1]BIFUbC-hydrogen'!AK21</f>
        <v>574183430577580.38</v>
      </c>
      <c r="AJ21" s="78">
        <f>'[1]BIFUbC-coal'!AJ21+'[1]BIFUbC-LPG-propane-or-butane'!AJ21+'[1]BIFUbC-petroleum-diesel'!AJ21+'[1]BIFUbC-crude-oil'!AJ21+'[1]BIFUbC-heavy-or-residual-oil'!AJ21+'[1]BIFUbC-natural-gas'!AJ21+'[1]BIFUbC-electricity'!AJ21+'[1]BIFUbC-heat'!AJ21+'[1]BIFUbC-biomass'!AJ21+'[1]BIFUbC-hydrogen'!AL21</f>
        <v>573414527460527.5</v>
      </c>
      <c r="AK21" s="78">
        <f>'[1]BIFUbC-coal'!AK21+'[1]BIFUbC-LPG-propane-or-butane'!AK21+'[1]BIFUbC-petroleum-diesel'!AK21+'[1]BIFUbC-crude-oil'!AK21+'[1]BIFUbC-heavy-or-residual-oil'!AK21+'[1]BIFUbC-natural-gas'!AK21+'[1]BIFUbC-electricity'!AK21+'[1]BIFUbC-heat'!AK21+'[1]BIFUbC-biomass'!AK21+'[1]BIFUbC-hydrogen'!AM21</f>
        <v>572645721028873.5</v>
      </c>
      <c r="AL21" s="78">
        <f>'[1]BIFUbC-coal'!AL21+'[1]BIFUbC-LPG-propane-or-butane'!AL21+'[1]BIFUbC-petroleum-diesel'!AL21+'[1]BIFUbC-crude-oil'!AL21+'[1]BIFUbC-heavy-or-residual-oil'!AL21+'[1]BIFUbC-natural-gas'!AL21+'[1]BIFUbC-electricity'!AL21+'[1]BIFUbC-heat'!AL21+'[1]BIFUbC-biomass'!AL21+'[1]BIFUbC-hydrogen'!AN21</f>
        <v>571877011282618.13</v>
      </c>
      <c r="AM21" s="78">
        <f>'[1]BIFUbC-coal'!AM21+'[1]BIFUbC-LPG-propane-or-butane'!AM21+'[1]BIFUbC-petroleum-diesel'!AM21+'[1]BIFUbC-crude-oil'!AM21+'[1]BIFUbC-heavy-or-residual-oil'!AM21+'[1]BIFUbC-natural-gas'!AM21+'[1]BIFUbC-electricity'!AM21+'[1]BIFUbC-heat'!AM21+'[1]BIFUbC-biomass'!AM21+'[1]BIFUbC-hydrogen'!AO21</f>
        <v>570743005772483.63</v>
      </c>
      <c r="AN21" s="78">
        <f>'[1]BIFUbC-coal'!AN21+'[1]BIFUbC-LPG-propane-or-butane'!AN21+'[1]BIFUbC-petroleum-diesel'!AN21+'[1]BIFUbC-crude-oil'!AN21+'[1]BIFUbC-heavy-or-residual-oil'!AN21+'[1]BIFUbC-natural-gas'!AN21+'[1]BIFUbC-electricity'!AN21+'[1]BIFUbC-heat'!AN21+'[1]BIFUbC-biomass'!AN21+'[1]BIFUbC-hydrogen'!AP21</f>
        <v>569609145290447.25</v>
      </c>
      <c r="AO21" s="78">
        <f>'[1]BIFUbC-coal'!AO21+'[1]BIFUbC-LPG-propane-or-butane'!AO21+'[1]BIFUbC-petroleum-diesel'!AO21+'[1]BIFUbC-crude-oil'!AO21+'[1]BIFUbC-heavy-or-residual-oil'!AO21+'[1]BIFUbC-natural-gas'!AO21+'[1]BIFUbC-electricity'!AO21+'[1]BIFUbC-heat'!AO21+'[1]BIFUbC-biomass'!AO21+'[1]BIFUbC-hydrogen'!AQ21</f>
        <v>568475429836509.38</v>
      </c>
      <c r="AP21" s="78">
        <f>'[1]BIFUbC-coal'!AP21+'[1]BIFUbC-LPG-propane-or-butane'!AP21+'[1]BIFUbC-petroleum-diesel'!AP21+'[1]BIFUbC-crude-oil'!AP21+'[1]BIFUbC-heavy-or-residual-oil'!AP21+'[1]BIFUbC-natural-gas'!AP21+'[1]BIFUbC-electricity'!AP21+'[1]BIFUbC-heat'!AP21+'[1]BIFUbC-biomass'!AP21+'[1]BIFUbC-hydrogen'!AR21</f>
        <v>567341859410669.63</v>
      </c>
      <c r="AQ21" s="78">
        <f>'[1]BIFUbC-coal'!AQ21+'[1]BIFUbC-LPG-propane-or-butane'!AQ21+'[1]BIFUbC-petroleum-diesel'!AQ21+'[1]BIFUbC-crude-oil'!AQ21+'[1]BIFUbC-heavy-or-residual-oil'!AQ21+'[1]BIFUbC-natural-gas'!AQ21+'[1]BIFUbC-electricity'!AQ21+'[1]BIFUbC-heat'!AQ21+'[1]BIFUbC-biomass'!AQ21+'[1]BIFUbC-hydrogen'!AS21</f>
        <v>566021106052655.38</v>
      </c>
    </row>
    <row r="22" spans="1:43" s="77" customFormat="1" x14ac:dyDescent="0.2">
      <c r="A22" s="77" t="s">
        <v>52</v>
      </c>
      <c r="B22" s="78">
        <f>'[1]BIFUbC-coal'!B22+'[1]BIFUbC-LPG-propane-or-butane'!B22+'[1]BIFUbC-petroleum-diesel'!B22+'[1]BIFUbC-crude-oil'!B22+'[1]BIFUbC-heavy-or-residual-oil'!B22+'[1]BIFUbC-natural-gas'!B22+'[1]BIFUbC-electricity'!B22+'[1]BIFUbC-heat'!B22+'[1]BIFUbC-biomass'!B22+'[1]BIFUbC-hydrogen'!D22</f>
        <v>212632544735218.56</v>
      </c>
      <c r="C22" s="78">
        <f>'[1]BIFUbC-coal'!C22+'[1]BIFUbC-LPG-propane-or-butane'!C22+'[1]BIFUbC-petroleum-diesel'!C22+'[1]BIFUbC-crude-oil'!C22+'[1]BIFUbC-heavy-or-residual-oil'!C22+'[1]BIFUbC-natural-gas'!C22+'[1]BIFUbC-electricity'!C22+'[1]BIFUbC-heat'!C22+'[1]BIFUbC-biomass'!C22+'[1]BIFUbC-hydrogen'!E22</f>
        <v>207156667738263.25</v>
      </c>
      <c r="D22" s="78">
        <f>'[1]BIFUbC-coal'!D22+'[1]BIFUbC-LPG-propane-or-butane'!D22+'[1]BIFUbC-petroleum-diesel'!D22+'[1]BIFUbC-crude-oil'!D22+'[1]BIFUbC-heavy-or-residual-oil'!D22+'[1]BIFUbC-natural-gas'!D22+'[1]BIFUbC-electricity'!D22+'[1]BIFUbC-heat'!D22+'[1]BIFUbC-biomass'!D22+'[1]BIFUbC-hydrogen'!F22</f>
        <v>233690377335719.16</v>
      </c>
      <c r="E22" s="78">
        <f>'[1]BIFUbC-coal'!E22+'[1]BIFUbC-LPG-propane-or-butane'!E22+'[1]BIFUbC-petroleum-diesel'!E22+'[1]BIFUbC-crude-oil'!E22+'[1]BIFUbC-heavy-or-residual-oil'!E22+'[1]BIFUbC-natural-gas'!E22+'[1]BIFUbC-electricity'!E22+'[1]BIFUbC-heat'!E22+'[1]BIFUbC-biomass'!E22+'[1]BIFUbC-hydrogen'!G22</f>
        <v>243038934830303.06</v>
      </c>
      <c r="F22" s="78">
        <f>'[1]BIFUbC-coal'!F22+'[1]BIFUbC-LPG-propane-or-butane'!F22+'[1]BIFUbC-petroleum-diesel'!F22+'[1]BIFUbC-crude-oil'!F22+'[1]BIFUbC-heavy-or-residual-oil'!F22+'[1]BIFUbC-natural-gas'!F22+'[1]BIFUbC-electricity'!F22+'[1]BIFUbC-heat'!F22+'[1]BIFUbC-biomass'!F22+'[1]BIFUbC-hydrogen'!H22</f>
        <v>251332415703130.97</v>
      </c>
      <c r="G22" s="78">
        <f>'[1]BIFUbC-coal'!G22+'[1]BIFUbC-LPG-propane-or-butane'!G22+'[1]BIFUbC-petroleum-diesel'!G22+'[1]BIFUbC-crude-oil'!G22+'[1]BIFUbC-heavy-or-residual-oil'!G22+'[1]BIFUbC-natural-gas'!G22+'[1]BIFUbC-electricity'!G22+'[1]BIFUbC-heat'!G22+'[1]BIFUbC-biomass'!G22+'[1]BIFUbC-hydrogen'!I22</f>
        <v>256249875920627.03</v>
      </c>
      <c r="H22" s="78">
        <f>'[1]BIFUbC-coal'!H22+'[1]BIFUbC-LPG-propane-or-butane'!H22+'[1]BIFUbC-petroleum-diesel'!H22+'[1]BIFUbC-crude-oil'!H22+'[1]BIFUbC-heavy-or-residual-oil'!H22+'[1]BIFUbC-natural-gas'!H22+'[1]BIFUbC-electricity'!H22+'[1]BIFUbC-heat'!H22+'[1]BIFUbC-biomass'!H22+'[1]BIFUbC-hydrogen'!J22</f>
        <v>262473135462109.06</v>
      </c>
      <c r="I22" s="78">
        <f>'[1]BIFUbC-coal'!I22+'[1]BIFUbC-LPG-propane-or-butane'!I22+'[1]BIFUbC-petroleum-diesel'!I22+'[1]BIFUbC-crude-oil'!I22+'[1]BIFUbC-heavy-or-residual-oil'!I22+'[1]BIFUbC-natural-gas'!I22+'[1]BIFUbC-electricity'!I22+'[1]BIFUbC-heat'!I22+'[1]BIFUbC-biomass'!I22+'[1]BIFUbC-hydrogen'!K22</f>
        <v>268782981965653.22</v>
      </c>
      <c r="J22" s="78">
        <f>'[1]BIFUbC-coal'!J22+'[1]BIFUbC-LPG-propane-or-butane'!J22+'[1]BIFUbC-petroleum-diesel'!J22+'[1]BIFUbC-crude-oil'!J22+'[1]BIFUbC-heavy-or-residual-oil'!J22+'[1]BIFUbC-natural-gas'!J22+'[1]BIFUbC-electricity'!J22+'[1]BIFUbC-heat'!J22+'[1]BIFUbC-biomass'!J22+'[1]BIFUbC-hydrogen'!L22</f>
        <v>274360443941914.38</v>
      </c>
      <c r="K22" s="78">
        <f>'[1]BIFUbC-coal'!K22+'[1]BIFUbC-LPG-propane-or-butane'!K22+'[1]BIFUbC-petroleum-diesel'!K22+'[1]BIFUbC-crude-oil'!K22+'[1]BIFUbC-heavy-or-residual-oil'!K22+'[1]BIFUbC-natural-gas'!K22+'[1]BIFUbC-electricity'!K22+'[1]BIFUbC-heat'!K22+'[1]BIFUbC-biomass'!K22+'[1]BIFUbC-hydrogen'!M22</f>
        <v>279166703904046.53</v>
      </c>
      <c r="L22" s="78">
        <f>'[1]BIFUbC-coal'!L22+'[1]BIFUbC-LPG-propane-or-butane'!L22+'[1]BIFUbC-petroleum-diesel'!L22+'[1]BIFUbC-crude-oil'!L22+'[1]BIFUbC-heavy-or-residual-oil'!L22+'[1]BIFUbC-natural-gas'!L22+'[1]BIFUbC-electricity'!L22+'[1]BIFUbC-heat'!L22+'[1]BIFUbC-biomass'!L22+'[1]BIFUbC-hydrogen'!N22</f>
        <v>283170303448999.19</v>
      </c>
      <c r="M22" s="78">
        <f>'[1]BIFUbC-coal'!M22+'[1]BIFUbC-LPG-propane-or-butane'!M22+'[1]BIFUbC-petroleum-diesel'!M22+'[1]BIFUbC-crude-oil'!M22+'[1]BIFUbC-heavy-or-residual-oil'!M22+'[1]BIFUbC-natural-gas'!M22+'[1]BIFUbC-electricity'!M22+'[1]BIFUbC-heat'!M22+'[1]BIFUbC-biomass'!M22+'[1]BIFUbC-hydrogen'!O22</f>
        <v>286347457376852.5</v>
      </c>
      <c r="N22" s="78">
        <f>'[1]BIFUbC-coal'!N22+'[1]BIFUbC-LPG-propane-or-butane'!N22+'[1]BIFUbC-petroleum-diesel'!N22+'[1]BIFUbC-crude-oil'!N22+'[1]BIFUbC-heavy-or-residual-oil'!N22+'[1]BIFUbC-natural-gas'!N22+'[1]BIFUbC-electricity'!N22+'[1]BIFUbC-heat'!N22+'[1]BIFUbC-biomass'!N22+'[1]BIFUbC-hydrogen'!P22</f>
        <v>288730998538308.44</v>
      </c>
      <c r="O22" s="78">
        <f>'[1]BIFUbC-coal'!O22+'[1]BIFUbC-LPG-propane-or-butane'!O22+'[1]BIFUbC-petroleum-diesel'!O22+'[1]BIFUbC-crude-oil'!O22+'[1]BIFUbC-heavy-or-residual-oil'!O22+'[1]BIFUbC-natural-gas'!O22+'[1]BIFUbC-electricity'!O22+'[1]BIFUbC-heat'!O22+'[1]BIFUbC-biomass'!O22+'[1]BIFUbC-hydrogen'!Q22</f>
        <v>290383957993009.38</v>
      </c>
      <c r="P22" s="78">
        <f>'[1]BIFUbC-coal'!P22+'[1]BIFUbC-LPG-propane-or-butane'!P22+'[1]BIFUbC-petroleum-diesel'!P22+'[1]BIFUbC-crude-oil'!P22+'[1]BIFUbC-heavy-or-residual-oil'!P22+'[1]BIFUbC-natural-gas'!P22+'[1]BIFUbC-electricity'!P22+'[1]BIFUbC-heat'!P22+'[1]BIFUbC-biomass'!P22+'[1]BIFUbC-hydrogen'!R22</f>
        <v>291426438137527.88</v>
      </c>
      <c r="Q22" s="78">
        <f>'[1]BIFUbC-coal'!Q22+'[1]BIFUbC-LPG-propane-or-butane'!Q22+'[1]BIFUbC-petroleum-diesel'!Q22+'[1]BIFUbC-crude-oil'!Q22+'[1]BIFUbC-heavy-or-residual-oil'!Q22+'[1]BIFUbC-natural-gas'!Q22+'[1]BIFUbC-electricity'!Q22+'[1]BIFUbC-heat'!Q22+'[1]BIFUbC-biomass'!Q22+'[1]BIFUbC-hydrogen'!S22</f>
        <v>291984898665179.88</v>
      </c>
      <c r="R22" s="78">
        <f>'[1]BIFUbC-coal'!R22+'[1]BIFUbC-LPG-propane-or-butane'!R22+'[1]BIFUbC-petroleum-diesel'!R22+'[1]BIFUbC-crude-oil'!R22+'[1]BIFUbC-heavy-or-residual-oil'!R22+'[1]BIFUbC-natural-gas'!R22+'[1]BIFUbC-electricity'!R22+'[1]BIFUbC-heat'!R22+'[1]BIFUbC-biomass'!R22+'[1]BIFUbC-hydrogen'!T22</f>
        <v>292189726031414</v>
      </c>
      <c r="S22" s="78">
        <f>'[1]BIFUbC-coal'!S22+'[1]BIFUbC-LPG-propane-or-butane'!S22+'[1]BIFUbC-petroleum-diesel'!S22+'[1]BIFUbC-crude-oil'!S22+'[1]BIFUbC-heavy-or-residual-oil'!S22+'[1]BIFUbC-natural-gas'!S22+'[1]BIFUbC-electricity'!S22+'[1]BIFUbC-heat'!S22+'[1]BIFUbC-biomass'!S22+'[1]BIFUbC-hydrogen'!U22</f>
        <v>292193023751135.19</v>
      </c>
      <c r="T22" s="78">
        <f>'[1]BIFUbC-coal'!T22+'[1]BIFUbC-LPG-propane-or-butane'!T22+'[1]BIFUbC-petroleum-diesel'!T22+'[1]BIFUbC-crude-oil'!T22+'[1]BIFUbC-heavy-or-residual-oil'!T22+'[1]BIFUbC-natural-gas'!T22+'[1]BIFUbC-electricity'!T22+'[1]BIFUbC-heat'!T22+'[1]BIFUbC-biomass'!T22+'[1]BIFUbC-hydrogen'!V22</f>
        <v>291992402865262.75</v>
      </c>
      <c r="U22" s="78">
        <f>'[1]BIFUbC-coal'!U22+'[1]BIFUbC-LPG-propane-or-butane'!U22+'[1]BIFUbC-petroleum-diesel'!U22+'[1]BIFUbC-crude-oil'!U22+'[1]BIFUbC-heavy-or-residual-oil'!U22+'[1]BIFUbC-natural-gas'!U22+'[1]BIFUbC-electricity'!U22+'[1]BIFUbC-heat'!U22+'[1]BIFUbC-biomass'!U22+'[1]BIFUbC-hydrogen'!W22</f>
        <v>291605531995190.56</v>
      </c>
      <c r="V22" s="78">
        <f>'[1]BIFUbC-coal'!V22+'[1]BIFUbC-LPG-propane-or-butane'!V22+'[1]BIFUbC-petroleum-diesel'!V22+'[1]BIFUbC-crude-oil'!V22+'[1]BIFUbC-heavy-or-residual-oil'!V22+'[1]BIFUbC-natural-gas'!V22+'[1]BIFUbC-electricity'!V22+'[1]BIFUbC-heat'!V22+'[1]BIFUbC-biomass'!V22+'[1]BIFUbC-hydrogen'!X22</f>
        <v>291050367673352.06</v>
      </c>
      <c r="W22" s="78">
        <f>'[1]BIFUbC-coal'!W22+'[1]BIFUbC-LPG-propane-or-butane'!W22+'[1]BIFUbC-petroleum-diesel'!W22+'[1]BIFUbC-crude-oil'!W22+'[1]BIFUbC-heavy-or-residual-oil'!W22+'[1]BIFUbC-natural-gas'!W22+'[1]BIFUbC-electricity'!W22+'[1]BIFUbC-heat'!W22+'[1]BIFUbC-biomass'!W22+'[1]BIFUbC-hydrogen'!Y22</f>
        <v>290345047420710.25</v>
      </c>
      <c r="X22" s="78">
        <f>'[1]BIFUbC-coal'!X22+'[1]BIFUbC-LPG-propane-or-butane'!X22+'[1]BIFUbC-petroleum-diesel'!X22+'[1]BIFUbC-crude-oil'!X22+'[1]BIFUbC-heavy-or-residual-oil'!X22+'[1]BIFUbC-natural-gas'!X22+'[1]BIFUbC-electricity'!X22+'[1]BIFUbC-heat'!X22+'[1]BIFUbC-biomass'!X22+'[1]BIFUbC-hydrogen'!Z22</f>
        <v>289507793118290.31</v>
      </c>
      <c r="Y22" s="78">
        <f>'[1]BIFUbC-coal'!Y22+'[1]BIFUbC-LPG-propane-or-butane'!Y22+'[1]BIFUbC-petroleum-diesel'!Y22+'[1]BIFUbC-crude-oil'!Y22+'[1]BIFUbC-heavy-or-residual-oil'!Y22+'[1]BIFUbC-natural-gas'!Y22+'[1]BIFUbC-electricity'!Y22+'[1]BIFUbC-heat'!Y22+'[1]BIFUbC-biomass'!Y22+'[1]BIFUbC-hydrogen'!AA22</f>
        <v>288556825091534.56</v>
      </c>
      <c r="Z22" s="78">
        <f>'[1]BIFUbC-coal'!Z22+'[1]BIFUbC-LPG-propane-or-butane'!Z22+'[1]BIFUbC-petroleum-diesel'!Z22+'[1]BIFUbC-crude-oil'!Z22+'[1]BIFUbC-heavy-or-residual-oil'!Z22+'[1]BIFUbC-natural-gas'!Z22+'[1]BIFUbC-electricity'!Z22+'[1]BIFUbC-heat'!Z22+'[1]BIFUbC-biomass'!Z22+'[1]BIFUbC-hydrogen'!AB22</f>
        <v>287510287173286.56</v>
      </c>
      <c r="AA22" s="78">
        <f>'[1]BIFUbC-coal'!AA22+'[1]BIFUbC-LPG-propane-or-butane'!AA22+'[1]BIFUbC-petroleum-diesel'!AA22+'[1]BIFUbC-crude-oil'!AA22+'[1]BIFUbC-heavy-or-residual-oil'!AA22+'[1]BIFUbC-natural-gas'!AA22+'[1]BIFUbC-electricity'!AA22+'[1]BIFUbC-heat'!AA22+'[1]BIFUbC-biomass'!AA22+'[1]BIFUbC-hydrogen'!AC22</f>
        <v>286386182875454.44</v>
      </c>
      <c r="AB22" s="78">
        <f>'[1]BIFUbC-coal'!AB22+'[1]BIFUbC-LPG-propane-or-butane'!AB22+'[1]BIFUbC-petroleum-diesel'!AB22+'[1]BIFUbC-crude-oil'!AB22+'[1]BIFUbC-heavy-or-residual-oil'!AB22+'[1]BIFUbC-natural-gas'!AB22+'[1]BIFUbC-electricity'!AB22+'[1]BIFUbC-heat'!AB22+'[1]BIFUbC-biomass'!AB22+'[1]BIFUbC-hydrogen'!AD22</f>
        <v>285202322681805.88</v>
      </c>
      <c r="AC22" s="78">
        <f>'[1]BIFUbC-coal'!AC22+'[1]BIFUbC-LPG-propane-or-butane'!AC22+'[1]BIFUbC-petroleum-diesel'!AC22+'[1]BIFUbC-crude-oil'!AC22+'[1]BIFUbC-heavy-or-residual-oil'!AC22+'[1]BIFUbC-natural-gas'!AC22+'[1]BIFUbC-electricity'!AC22+'[1]BIFUbC-heat'!AC22+'[1]BIFUbC-biomass'!AC22+'[1]BIFUbC-hydrogen'!AE22</f>
        <v>283976282375382.5</v>
      </c>
      <c r="AD22" s="78">
        <f>'[1]BIFUbC-coal'!AD22+'[1]BIFUbC-LPG-propane-or-butane'!AD22+'[1]BIFUbC-petroleum-diesel'!AD22+'[1]BIFUbC-crude-oil'!AD22+'[1]BIFUbC-heavy-or-residual-oil'!AD22+'[1]BIFUbC-natural-gas'!AD22+'[1]BIFUbC-electricity'!AD22+'[1]BIFUbC-heat'!AD22+'[1]BIFUbC-biomass'!AD22+'[1]BIFUbC-hydrogen'!AF22</f>
        <v>282725372233979.13</v>
      </c>
      <c r="AE22" s="78">
        <f>'[1]BIFUbC-coal'!AE22+'[1]BIFUbC-LPG-propane-or-butane'!AE22+'[1]BIFUbC-petroleum-diesel'!AE22+'[1]BIFUbC-crude-oil'!AE22+'[1]BIFUbC-heavy-or-residual-oil'!AE22+'[1]BIFUbC-natural-gas'!AE22+'[1]BIFUbC-electricity'!AE22+'[1]BIFUbC-heat'!AE22+'[1]BIFUbC-biomass'!AE22+'[1]BIFUbC-hydrogen'!AG22</f>
        <v>281466616865721.19</v>
      </c>
      <c r="AF22" s="78">
        <f>'[1]BIFUbC-coal'!AF22+'[1]BIFUbC-LPG-propane-or-butane'!AF22+'[1]BIFUbC-petroleum-diesel'!AF22+'[1]BIFUbC-crude-oil'!AF22+'[1]BIFUbC-heavy-or-residual-oil'!AF22+'[1]BIFUbC-natural-gas'!AF22+'[1]BIFUbC-electricity'!AF22+'[1]BIFUbC-heat'!AF22+'[1]BIFUbC-biomass'!AF22+'[1]BIFUbC-hydrogen'!AH22</f>
        <v>280216745413813.16</v>
      </c>
      <c r="AG22" s="78">
        <f>'[1]BIFUbC-coal'!AG22+'[1]BIFUbC-LPG-propane-or-butane'!AG22+'[1]BIFUbC-petroleum-diesel'!AG22+'[1]BIFUbC-crude-oil'!AG22+'[1]BIFUbC-heavy-or-residual-oil'!AG22+'[1]BIFUbC-natural-gas'!AG22+'[1]BIFUbC-electricity'!AG22+'[1]BIFUbC-heat'!AG22+'[1]BIFUbC-biomass'!AG22+'[1]BIFUbC-hydrogen'!AI22</f>
        <v>278992191834319.47</v>
      </c>
      <c r="AH22" s="78">
        <f>'[1]BIFUbC-coal'!AH22+'[1]BIFUbC-LPG-propane-or-butane'!AH22+'[1]BIFUbC-petroleum-diesel'!AH22+'[1]BIFUbC-crude-oil'!AH22+'[1]BIFUbC-heavy-or-residual-oil'!AH22+'[1]BIFUbC-natural-gas'!AH22+'[1]BIFUbC-electricity'!AH22+'[1]BIFUbC-heat'!AH22+'[1]BIFUbC-biomass'!AH22+'[1]BIFUbC-hydrogen'!AJ22</f>
        <v>277809104942856.75</v>
      </c>
      <c r="AI22" s="78">
        <f>'[1]BIFUbC-coal'!AI22+'[1]BIFUbC-LPG-propane-or-butane'!AI22+'[1]BIFUbC-petroleum-diesel'!AI22+'[1]BIFUbC-crude-oil'!AI22+'[1]BIFUbC-heavy-or-residual-oil'!AI22+'[1]BIFUbC-natural-gas'!AI22+'[1]BIFUbC-electricity'!AI22+'[1]BIFUbC-heat'!AI22+'[1]BIFUbC-biomass'!AI22+'[1]BIFUbC-hydrogen'!AK22</f>
        <v>276683367934522.5</v>
      </c>
      <c r="AJ22" s="78">
        <f>'[1]BIFUbC-coal'!AJ22+'[1]BIFUbC-LPG-propane-or-butane'!AJ22+'[1]BIFUbC-petroleum-diesel'!AJ22+'[1]BIFUbC-crude-oil'!AJ22+'[1]BIFUbC-heavy-or-residual-oil'!AJ22+'[1]BIFUbC-natural-gas'!AJ22+'[1]BIFUbC-electricity'!AJ22+'[1]BIFUbC-heat'!AJ22+'[1]BIFUbC-biomass'!AJ22+'[1]BIFUbC-hydrogen'!AL22</f>
        <v>275630627105651.63</v>
      </c>
      <c r="AK22" s="78">
        <f>'[1]BIFUbC-coal'!AK22+'[1]BIFUbC-LPG-propane-or-butane'!AK22+'[1]BIFUbC-petroleum-diesel'!AK22+'[1]BIFUbC-crude-oil'!AK22+'[1]BIFUbC-heavy-or-residual-oil'!AK22+'[1]BIFUbC-natural-gas'!AK22+'[1]BIFUbC-electricity'!AK22+'[1]BIFUbC-heat'!AK22+'[1]BIFUbC-biomass'!AK22+'[1]BIFUbC-hydrogen'!AM22</f>
        <v>274666329545337.88</v>
      </c>
      <c r="AL22" s="78">
        <f>'[1]BIFUbC-coal'!AL22+'[1]BIFUbC-LPG-propane-or-butane'!AL22+'[1]BIFUbC-petroleum-diesel'!AL22+'[1]BIFUbC-crude-oil'!AL22+'[1]BIFUbC-heavy-or-residual-oil'!AL22+'[1]BIFUbC-natural-gas'!AL22+'[1]BIFUbC-electricity'!AL22+'[1]BIFUbC-heat'!AL22+'[1]BIFUbC-biomass'!AL22+'[1]BIFUbC-hydrogen'!AN22</f>
        <v>273805769618601.63</v>
      </c>
      <c r="AM22" s="78">
        <f>'[1]BIFUbC-coal'!AM22+'[1]BIFUbC-LPG-propane-or-butane'!AM22+'[1]BIFUbC-petroleum-diesel'!AM22+'[1]BIFUbC-crude-oil'!AM22+'[1]BIFUbC-heavy-or-residual-oil'!AM22+'[1]BIFUbC-natural-gas'!AM22+'[1]BIFUbC-electricity'!AM22+'[1]BIFUbC-heat'!AM22+'[1]BIFUbC-biomass'!AM22+'[1]BIFUbC-hydrogen'!AO22</f>
        <v>273064144131193.19</v>
      </c>
      <c r="AN22" s="78">
        <f>'[1]BIFUbC-coal'!AN22+'[1]BIFUbC-LPG-propane-or-butane'!AN22+'[1]BIFUbC-petroleum-diesel'!AN22+'[1]BIFUbC-crude-oil'!AN22+'[1]BIFUbC-heavy-or-residual-oil'!AN22+'[1]BIFUbC-natural-gas'!AN22+'[1]BIFUbC-electricity'!AN22+'[1]BIFUbC-heat'!AN22+'[1]BIFUbC-biomass'!AN22+'[1]BIFUbC-hydrogen'!AP22</f>
        <v>272456616148124.53</v>
      </c>
      <c r="AO22" s="78">
        <f>'[1]BIFUbC-coal'!AO22+'[1]BIFUbC-LPG-propane-or-butane'!AO22+'[1]BIFUbC-petroleum-diesel'!AO22+'[1]BIFUbC-crude-oil'!AO22+'[1]BIFUbC-heavy-or-residual-oil'!AO22+'[1]BIFUbC-natural-gas'!AO22+'[1]BIFUbC-electricity'!AO22+'[1]BIFUbC-heat'!AO22+'[1]BIFUbC-biomass'!AO22+'[1]BIFUbC-hydrogen'!AQ22</f>
        <v>271998387534087.44</v>
      </c>
      <c r="AP22" s="78">
        <f>'[1]BIFUbC-coal'!AP22+'[1]BIFUbC-LPG-propane-or-butane'!AP22+'[1]BIFUbC-petroleum-diesel'!AP22+'[1]BIFUbC-crude-oil'!AP22+'[1]BIFUbC-heavy-or-residual-oil'!AP22+'[1]BIFUbC-natural-gas'!AP22+'[1]BIFUbC-electricity'!AP22+'[1]BIFUbC-heat'!AP22+'[1]BIFUbC-biomass'!AP22+'[1]BIFUbC-hydrogen'!AR22</f>
        <v>271704780394382.78</v>
      </c>
      <c r="AQ22" s="78">
        <f>'[1]BIFUbC-coal'!AQ22+'[1]BIFUbC-LPG-propane-or-butane'!AQ22+'[1]BIFUbC-petroleum-diesel'!AQ22+'[1]BIFUbC-crude-oil'!AQ22+'[1]BIFUbC-heavy-or-residual-oil'!AQ22+'[1]BIFUbC-natural-gas'!AQ22+'[1]BIFUbC-electricity'!AQ22+'[1]BIFUbC-heat'!AQ22+'[1]BIFUbC-biomass'!AQ22+'[1]BIFUbC-hydrogen'!AS22</f>
        <v>271500701060898.84</v>
      </c>
    </row>
    <row r="23" spans="1:43" s="77" customFormat="1" x14ac:dyDescent="0.2">
      <c r="A23" s="77" t="s">
        <v>53</v>
      </c>
      <c r="B23" s="78">
        <f>'[1]BIFUbC-coal'!B23+'[1]BIFUbC-LPG-propane-or-butane'!B23+'[1]BIFUbC-petroleum-diesel'!B23+'[1]BIFUbC-crude-oil'!B23+'[1]BIFUbC-heavy-or-residual-oil'!B23+'[1]BIFUbC-natural-gas'!B23+'[1]BIFUbC-electricity'!B23+'[1]BIFUbC-heat'!B23+'[1]BIFUbC-biomass'!B23+'[1]BIFUbC-hydrogen'!D23</f>
        <v>476831221078434.75</v>
      </c>
      <c r="C23" s="78">
        <f>'[1]BIFUbC-coal'!C23+'[1]BIFUbC-LPG-propane-or-butane'!C23+'[1]BIFUbC-petroleum-diesel'!C23+'[1]BIFUbC-crude-oil'!C23+'[1]BIFUbC-heavy-or-residual-oil'!C23+'[1]BIFUbC-natural-gas'!C23+'[1]BIFUbC-electricity'!C23+'[1]BIFUbC-heat'!C23+'[1]BIFUbC-biomass'!C23+'[1]BIFUbC-hydrogen'!E23</f>
        <v>543801799049952.25</v>
      </c>
      <c r="D23" s="78">
        <f>'[1]BIFUbC-coal'!D23+'[1]BIFUbC-LPG-propane-or-butane'!D23+'[1]BIFUbC-petroleum-diesel'!D23+'[1]BIFUbC-crude-oil'!D23+'[1]BIFUbC-heavy-or-residual-oil'!D23+'[1]BIFUbC-natural-gas'!D23+'[1]BIFUbC-electricity'!D23+'[1]BIFUbC-heat'!D23+'[1]BIFUbC-biomass'!D23+'[1]BIFUbC-hydrogen'!F23</f>
        <v>636092210102517.75</v>
      </c>
      <c r="E23" s="78">
        <f>'[1]BIFUbC-coal'!E23+'[1]BIFUbC-LPG-propane-or-butane'!E23+'[1]BIFUbC-petroleum-diesel'!E23+'[1]BIFUbC-crude-oil'!E23+'[1]BIFUbC-heavy-or-residual-oil'!E23+'[1]BIFUbC-natural-gas'!E23+'[1]BIFUbC-electricity'!E23+'[1]BIFUbC-heat'!E23+'[1]BIFUbC-biomass'!E23+'[1]BIFUbC-hydrogen'!G23</f>
        <v>638281542888463.38</v>
      </c>
      <c r="F23" s="78">
        <f>'[1]BIFUbC-coal'!F23+'[1]BIFUbC-LPG-propane-or-butane'!F23+'[1]BIFUbC-petroleum-diesel'!F23+'[1]BIFUbC-crude-oil'!F23+'[1]BIFUbC-heavy-or-residual-oil'!F23+'[1]BIFUbC-natural-gas'!F23+'[1]BIFUbC-electricity'!F23+'[1]BIFUbC-heat'!F23+'[1]BIFUbC-biomass'!F23+'[1]BIFUbC-hydrogen'!H23</f>
        <v>663572281005928.75</v>
      </c>
      <c r="G23" s="78">
        <f>'[1]BIFUbC-coal'!G23+'[1]BIFUbC-LPG-propane-or-butane'!G23+'[1]BIFUbC-petroleum-diesel'!G23+'[1]BIFUbC-crude-oil'!G23+'[1]BIFUbC-heavy-or-residual-oil'!G23+'[1]BIFUbC-natural-gas'!G23+'[1]BIFUbC-electricity'!G23+'[1]BIFUbC-heat'!G23+'[1]BIFUbC-biomass'!G23+'[1]BIFUbC-hydrogen'!I23</f>
        <v>685185630749101</v>
      </c>
      <c r="H23" s="78">
        <f>'[1]BIFUbC-coal'!H23+'[1]BIFUbC-LPG-propane-or-butane'!H23+'[1]BIFUbC-petroleum-diesel'!H23+'[1]BIFUbC-crude-oil'!H23+'[1]BIFUbC-heavy-or-residual-oil'!H23+'[1]BIFUbC-natural-gas'!H23+'[1]BIFUbC-electricity'!H23+'[1]BIFUbC-heat'!H23+'[1]BIFUbC-biomass'!H23+'[1]BIFUbC-hydrogen'!J23</f>
        <v>712345559311165.63</v>
      </c>
      <c r="I23" s="78">
        <f>'[1]BIFUbC-coal'!I23+'[1]BIFUbC-LPG-propane-or-butane'!I23+'[1]BIFUbC-petroleum-diesel'!I23+'[1]BIFUbC-crude-oil'!I23+'[1]BIFUbC-heavy-or-residual-oil'!I23+'[1]BIFUbC-natural-gas'!I23+'[1]BIFUbC-electricity'!I23+'[1]BIFUbC-heat'!I23+'[1]BIFUbC-biomass'!I23+'[1]BIFUbC-hydrogen'!K23</f>
        <v>738959106904664.5</v>
      </c>
      <c r="J23" s="78">
        <f>'[1]BIFUbC-coal'!J23+'[1]BIFUbC-LPG-propane-or-butane'!J23+'[1]BIFUbC-petroleum-diesel'!J23+'[1]BIFUbC-crude-oil'!J23+'[1]BIFUbC-heavy-or-residual-oil'!J23+'[1]BIFUbC-natural-gas'!J23+'[1]BIFUbC-electricity'!J23+'[1]BIFUbC-heat'!J23+'[1]BIFUbC-biomass'!J23+'[1]BIFUbC-hydrogen'!L23</f>
        <v>762370206423863.5</v>
      </c>
      <c r="K23" s="78">
        <f>'[1]BIFUbC-coal'!K23+'[1]BIFUbC-LPG-propane-or-butane'!K23+'[1]BIFUbC-petroleum-diesel'!K23+'[1]BIFUbC-crude-oil'!K23+'[1]BIFUbC-heavy-or-residual-oil'!K23+'[1]BIFUbC-natural-gas'!K23+'[1]BIFUbC-electricity'!K23+'[1]BIFUbC-heat'!K23+'[1]BIFUbC-biomass'!K23+'[1]BIFUbC-hydrogen'!M23</f>
        <v>782748904625609</v>
      </c>
      <c r="L23" s="78">
        <f>'[1]BIFUbC-coal'!L23+'[1]BIFUbC-LPG-propane-or-butane'!L23+'[1]BIFUbC-petroleum-diesel'!L23+'[1]BIFUbC-crude-oil'!L23+'[1]BIFUbC-heavy-or-residual-oil'!L23+'[1]BIFUbC-natural-gas'!L23+'[1]BIFUbC-electricity'!L23+'[1]BIFUbC-heat'!L23+'[1]BIFUbC-biomass'!L23+'[1]BIFUbC-hydrogen'!N23</f>
        <v>800359827413077.88</v>
      </c>
      <c r="M23" s="78">
        <f>'[1]BIFUbC-coal'!M23+'[1]BIFUbC-LPG-propane-or-butane'!M23+'[1]BIFUbC-petroleum-diesel'!M23+'[1]BIFUbC-crude-oil'!M23+'[1]BIFUbC-heavy-or-residual-oil'!M23+'[1]BIFUbC-natural-gas'!M23+'[1]BIFUbC-electricity'!M23+'[1]BIFUbC-heat'!M23+'[1]BIFUbC-biomass'!M23+'[1]BIFUbC-hydrogen'!O23</f>
        <v>815548086757482.75</v>
      </c>
      <c r="N23" s="78">
        <f>'[1]BIFUbC-coal'!N23+'[1]BIFUbC-LPG-propane-or-butane'!N23+'[1]BIFUbC-petroleum-diesel'!N23+'[1]BIFUbC-crude-oil'!N23+'[1]BIFUbC-heavy-or-residual-oil'!N23+'[1]BIFUbC-natural-gas'!N23+'[1]BIFUbC-electricity'!N23+'[1]BIFUbC-heat'!N23+'[1]BIFUbC-biomass'!N23+'[1]BIFUbC-hydrogen'!P23</f>
        <v>828776658802248.63</v>
      </c>
      <c r="O23" s="78">
        <f>'[1]BIFUbC-coal'!O23+'[1]BIFUbC-LPG-propane-or-butane'!O23+'[1]BIFUbC-petroleum-diesel'!O23+'[1]BIFUbC-crude-oil'!O23+'[1]BIFUbC-heavy-or-residual-oil'!O23+'[1]BIFUbC-natural-gas'!O23+'[1]BIFUbC-electricity'!O23+'[1]BIFUbC-heat'!O23+'[1]BIFUbC-biomass'!O23+'[1]BIFUbC-hydrogen'!Q23</f>
        <v>840268376551424.13</v>
      </c>
      <c r="P23" s="78">
        <f>'[1]BIFUbC-coal'!P23+'[1]BIFUbC-LPG-propane-or-butane'!P23+'[1]BIFUbC-petroleum-diesel'!P23+'[1]BIFUbC-crude-oil'!P23+'[1]BIFUbC-heavy-or-residual-oil'!P23+'[1]BIFUbC-natural-gas'!P23+'[1]BIFUbC-electricity'!P23+'[1]BIFUbC-heat'!P23+'[1]BIFUbC-biomass'!P23+'[1]BIFUbC-hydrogen'!R23</f>
        <v>850328919041938.75</v>
      </c>
      <c r="Q23" s="78">
        <f>'[1]BIFUbC-coal'!Q23+'[1]BIFUbC-LPG-propane-or-butane'!Q23+'[1]BIFUbC-petroleum-diesel'!Q23+'[1]BIFUbC-crude-oil'!Q23+'[1]BIFUbC-heavy-or-residual-oil'!Q23+'[1]BIFUbC-natural-gas'!Q23+'[1]BIFUbC-electricity'!Q23+'[1]BIFUbC-heat'!Q23+'[1]BIFUbC-biomass'!Q23+'[1]BIFUbC-hydrogen'!S23</f>
        <v>859290784802562</v>
      </c>
      <c r="R23" s="78">
        <f>'[1]BIFUbC-coal'!R23+'[1]BIFUbC-LPG-propane-or-butane'!R23+'[1]BIFUbC-petroleum-diesel'!R23+'[1]BIFUbC-crude-oil'!R23+'[1]BIFUbC-heavy-or-residual-oil'!R23+'[1]BIFUbC-natural-gas'!R23+'[1]BIFUbC-electricity'!R23+'[1]BIFUbC-heat'!R23+'[1]BIFUbC-biomass'!R23+'[1]BIFUbC-hydrogen'!T23</f>
        <v>867507996655193.75</v>
      </c>
      <c r="S23" s="78">
        <f>'[1]BIFUbC-coal'!S23+'[1]BIFUbC-LPG-propane-or-butane'!S23+'[1]BIFUbC-petroleum-diesel'!S23+'[1]BIFUbC-crude-oil'!S23+'[1]BIFUbC-heavy-or-residual-oil'!S23+'[1]BIFUbC-natural-gas'!S23+'[1]BIFUbC-electricity'!S23+'[1]BIFUbC-heat'!S23+'[1]BIFUbC-biomass'!S23+'[1]BIFUbC-hydrogen'!U23</f>
        <v>875404563041959.88</v>
      </c>
      <c r="T23" s="78">
        <f>'[1]BIFUbC-coal'!T23+'[1]BIFUbC-LPG-propane-or-butane'!T23+'[1]BIFUbC-petroleum-diesel'!T23+'[1]BIFUbC-crude-oil'!T23+'[1]BIFUbC-heavy-or-residual-oil'!T23+'[1]BIFUbC-natural-gas'!T23+'[1]BIFUbC-electricity'!T23+'[1]BIFUbC-heat'!T23+'[1]BIFUbC-biomass'!T23+'[1]BIFUbC-hydrogen'!V23</f>
        <v>882927410418696.25</v>
      </c>
      <c r="U23" s="78">
        <f>'[1]BIFUbC-coal'!U23+'[1]BIFUbC-LPG-propane-or-butane'!U23+'[1]BIFUbC-petroleum-diesel'!U23+'[1]BIFUbC-crude-oil'!U23+'[1]BIFUbC-heavy-or-residual-oil'!U23+'[1]BIFUbC-natural-gas'!U23+'[1]BIFUbC-electricity'!U23+'[1]BIFUbC-heat'!U23+'[1]BIFUbC-biomass'!U23+'[1]BIFUbC-hydrogen'!W23</f>
        <v>890075704463227.63</v>
      </c>
      <c r="V23" s="78">
        <f>'[1]BIFUbC-coal'!V23+'[1]BIFUbC-LPG-propane-or-butane'!V23+'[1]BIFUbC-petroleum-diesel'!V23+'[1]BIFUbC-crude-oil'!V23+'[1]BIFUbC-heavy-or-residual-oil'!V23+'[1]BIFUbC-natural-gas'!V23+'[1]BIFUbC-electricity'!V23+'[1]BIFUbC-heat'!V23+'[1]BIFUbC-biomass'!V23+'[1]BIFUbC-hydrogen'!X23</f>
        <v>896849408568001.13</v>
      </c>
      <c r="W23" s="78">
        <f>'[1]BIFUbC-coal'!W23+'[1]BIFUbC-LPG-propane-or-butane'!W23+'[1]BIFUbC-petroleum-diesel'!W23+'[1]BIFUbC-crude-oil'!W23+'[1]BIFUbC-heavy-or-residual-oil'!W23+'[1]BIFUbC-natural-gas'!W23+'[1]BIFUbC-electricity'!W23+'[1]BIFUbC-heat'!W23+'[1]BIFUbC-biomass'!W23+'[1]BIFUbC-hydrogen'!Y23</f>
        <v>903249265044275.5</v>
      </c>
      <c r="X23" s="78">
        <f>'[1]BIFUbC-coal'!X23+'[1]BIFUbC-LPG-propane-or-butane'!X23+'[1]BIFUbC-petroleum-diesel'!X23+'[1]BIFUbC-crude-oil'!X23+'[1]BIFUbC-heavy-or-residual-oil'!X23+'[1]BIFUbC-natural-gas'!X23+'[1]BIFUbC-electricity'!X23+'[1]BIFUbC-heat'!X23+'[1]BIFUbC-biomass'!X23+'[1]BIFUbC-hydrogen'!Z23</f>
        <v>909276774333804.88</v>
      </c>
      <c r="Y23" s="78">
        <f>'[1]BIFUbC-coal'!Y23+'[1]BIFUbC-LPG-propane-or-butane'!Y23+'[1]BIFUbC-petroleum-diesel'!Y23+'[1]BIFUbC-crude-oil'!Y23+'[1]BIFUbC-heavy-or-residual-oil'!Y23+'[1]BIFUbC-natural-gas'!Y23+'[1]BIFUbC-electricity'!Y23+'[1]BIFUbC-heat'!Y23+'[1]BIFUbC-biomass'!Y23+'[1]BIFUbC-hydrogen'!AA23</f>
        <v>914934172402311.63</v>
      </c>
      <c r="Z23" s="78">
        <f>'[1]BIFUbC-coal'!Z23+'[1]BIFUbC-LPG-propane-or-butane'!Z23+'[1]BIFUbC-petroleum-diesel'!Z23+'[1]BIFUbC-crude-oil'!Z23+'[1]BIFUbC-heavy-or-residual-oil'!Z23+'[1]BIFUbC-natural-gas'!Z23+'[1]BIFUbC-electricity'!Z23+'[1]BIFUbC-heat'!Z23+'[1]BIFUbC-biomass'!Z23+'[1]BIFUbC-hydrogen'!AB23</f>
        <v>920224406491256.88</v>
      </c>
      <c r="AA23" s="78">
        <f>'[1]BIFUbC-coal'!AA23+'[1]BIFUbC-LPG-propane-or-butane'!AA23+'[1]BIFUbC-petroleum-diesel'!AA23+'[1]BIFUbC-crude-oil'!AA23+'[1]BIFUbC-heavy-or-residual-oil'!AA23+'[1]BIFUbC-natural-gas'!AA23+'[1]BIFUbC-electricity'!AA23+'[1]BIFUbC-heat'!AA23+'[1]BIFUbC-biomass'!AA23+'[1]BIFUbC-hydrogen'!AC23</f>
        <v>925151109405358.63</v>
      </c>
      <c r="AB23" s="78">
        <f>'[1]BIFUbC-coal'!AB23+'[1]BIFUbC-LPG-propane-or-butane'!AB23+'[1]BIFUbC-petroleum-diesel'!AB23+'[1]BIFUbC-crude-oil'!AB23+'[1]BIFUbC-heavy-or-residual-oil'!AB23+'[1]BIFUbC-natural-gas'!AB23+'[1]BIFUbC-electricity'!AB23+'[1]BIFUbC-heat'!AB23+'[1]BIFUbC-biomass'!AB23+'[1]BIFUbC-hydrogen'!AD23</f>
        <v>929718572513230.63</v>
      </c>
      <c r="AC23" s="78">
        <f>'[1]BIFUbC-coal'!AC23+'[1]BIFUbC-LPG-propane-or-butane'!AC23+'[1]BIFUbC-petroleum-diesel'!AC23+'[1]BIFUbC-crude-oil'!AC23+'[1]BIFUbC-heavy-or-residual-oil'!AC23+'[1]BIFUbC-natural-gas'!AC23+'[1]BIFUbC-electricity'!AC23+'[1]BIFUbC-heat'!AC23+'[1]BIFUbC-biomass'!AC23+'[1]BIFUbC-hydrogen'!AE23</f>
        <v>933931717637194.88</v>
      </c>
      <c r="AD23" s="78">
        <f>'[1]BIFUbC-coal'!AD23+'[1]BIFUbC-LPG-propane-or-butane'!AD23+'[1]BIFUbC-petroleum-diesel'!AD23+'[1]BIFUbC-crude-oil'!AD23+'[1]BIFUbC-heavy-or-residual-oil'!AD23+'[1]BIFUbC-natural-gas'!AD23+'[1]BIFUbC-electricity'!AD23+'[1]BIFUbC-heat'!AD23+'[1]BIFUbC-biomass'!AD23+'[1]BIFUbC-hydrogen'!AF23</f>
        <v>937796068006238.38</v>
      </c>
      <c r="AE23" s="78">
        <f>'[1]BIFUbC-coal'!AE23+'[1]BIFUbC-LPG-propane-or-butane'!AE23+'[1]BIFUbC-petroleum-diesel'!AE23+'[1]BIFUbC-crude-oil'!AE23+'[1]BIFUbC-heavy-or-residual-oil'!AE23+'[1]BIFUbC-natural-gas'!AE23+'[1]BIFUbC-electricity'!AE23+'[1]BIFUbC-heat'!AE23+'[1]BIFUbC-biomass'!AE23+'[1]BIFUbC-hydrogen'!AG23</f>
        <v>941317718442858.13</v>
      </c>
      <c r="AF23" s="78">
        <f>'[1]BIFUbC-coal'!AF23+'[1]BIFUbC-LPG-propane-or-butane'!AF23+'[1]BIFUbC-petroleum-diesel'!AF23+'[1]BIFUbC-crude-oil'!AF23+'[1]BIFUbC-heavy-or-residual-oil'!AF23+'[1]BIFUbC-natural-gas'!AF23+'[1]BIFUbC-electricity'!AF23+'[1]BIFUbC-heat'!AF23+'[1]BIFUbC-biomass'!AF23+'[1]BIFUbC-hydrogen'!AH23</f>
        <v>944503304950604</v>
      </c>
      <c r="AG23" s="78">
        <f>'[1]BIFUbC-coal'!AG23+'[1]BIFUbC-LPG-propane-or-butane'!AG23+'[1]BIFUbC-petroleum-diesel'!AG23+'[1]BIFUbC-crude-oil'!AG23+'[1]BIFUbC-heavy-or-residual-oil'!AG23+'[1]BIFUbC-natural-gas'!AG23+'[1]BIFUbC-electricity'!AG23+'[1]BIFUbC-heat'!AG23+'[1]BIFUbC-biomass'!AG23+'[1]BIFUbC-hydrogen'!AI23</f>
        <v>947359973864430.25</v>
      </c>
      <c r="AH23" s="78">
        <f>'[1]BIFUbC-coal'!AH23+'[1]BIFUbC-LPG-propane-or-butane'!AH23+'[1]BIFUbC-petroleum-diesel'!AH23+'[1]BIFUbC-crude-oil'!AH23+'[1]BIFUbC-heavy-or-residual-oil'!AH23+'[1]BIFUbC-natural-gas'!AH23+'[1]BIFUbC-electricity'!AH23+'[1]BIFUbC-heat'!AH23+'[1]BIFUbC-biomass'!AH23+'[1]BIFUbC-hydrogen'!AJ23</f>
        <v>949895350720469.38</v>
      </c>
      <c r="AI23" s="78">
        <f>'[1]BIFUbC-coal'!AI23+'[1]BIFUbC-LPG-propane-or-butane'!AI23+'[1]BIFUbC-petroleum-diesel'!AI23+'[1]BIFUbC-crude-oil'!AI23+'[1]BIFUbC-heavy-or-residual-oil'!AI23+'[1]BIFUbC-natural-gas'!AI23+'[1]BIFUbC-electricity'!AI23+'[1]BIFUbC-heat'!AI23+'[1]BIFUbC-biomass'!AI23+'[1]BIFUbC-hydrogen'!AK23</f>
        <v>952117508995881.63</v>
      </c>
      <c r="AJ23" s="78">
        <f>'[1]BIFUbC-coal'!AJ23+'[1]BIFUbC-LPG-propane-or-butane'!AJ23+'[1]BIFUbC-petroleum-diesel'!AJ23+'[1]BIFUbC-crude-oil'!AJ23+'[1]BIFUbC-heavy-or-residual-oil'!AJ23+'[1]BIFUbC-natural-gas'!AJ23+'[1]BIFUbC-electricity'!AJ23+'[1]BIFUbC-heat'!AJ23+'[1]BIFUbC-biomass'!AJ23+'[1]BIFUbC-hydrogen'!AL23</f>
        <v>954034938862843.13</v>
      </c>
      <c r="AK23" s="78">
        <f>'[1]BIFUbC-coal'!AK23+'[1]BIFUbC-LPG-propane-or-butane'!AK23+'[1]BIFUbC-petroleum-diesel'!AK23+'[1]BIFUbC-crude-oil'!AK23+'[1]BIFUbC-heavy-or-residual-oil'!AK23+'[1]BIFUbC-natural-gas'!AK23+'[1]BIFUbC-electricity'!AK23+'[1]BIFUbC-heat'!AK23+'[1]BIFUbC-biomass'!AK23+'[1]BIFUbC-hydrogen'!AM23</f>
        <v>955656516093759.75</v>
      </c>
      <c r="AL23" s="78">
        <f>'[1]BIFUbC-coal'!AL23+'[1]BIFUbC-LPG-propane-or-butane'!AL23+'[1]BIFUbC-petroleum-diesel'!AL23+'[1]BIFUbC-crude-oil'!AL23+'[1]BIFUbC-heavy-or-residual-oil'!AL23+'[1]BIFUbC-natural-gas'!AL23+'[1]BIFUbC-electricity'!AL23+'[1]BIFUbC-heat'!AL23+'[1]BIFUbC-biomass'!AL23+'[1]BIFUbC-hydrogen'!AN23</f>
        <v>956991471247422.75</v>
      </c>
      <c r="AM23" s="78">
        <f>'[1]BIFUbC-coal'!AM23+'[1]BIFUbC-LPG-propane-or-butane'!AM23+'[1]BIFUbC-petroleum-diesel'!AM23+'[1]BIFUbC-crude-oil'!AM23+'[1]BIFUbC-heavy-or-residual-oil'!AM23+'[1]BIFUbC-natural-gas'!AM23+'[1]BIFUbC-electricity'!AM23+'[1]BIFUbC-heat'!AM23+'[1]BIFUbC-biomass'!AM23+'[1]BIFUbC-hydrogen'!AO23</f>
        <v>958049359258154.38</v>
      </c>
      <c r="AN23" s="78">
        <f>'[1]BIFUbC-coal'!AN23+'[1]BIFUbC-LPG-propane-or-butane'!AN23+'[1]BIFUbC-petroleum-diesel'!AN23+'[1]BIFUbC-crude-oil'!AN23+'[1]BIFUbC-heavy-or-residual-oil'!AN23+'[1]BIFUbC-natural-gas'!AN23+'[1]BIFUbC-electricity'!AN23+'[1]BIFUbC-heat'!AN23+'[1]BIFUbC-biomass'!AN23+'[1]BIFUbC-hydrogen'!AP23</f>
        <v>958840029542142.88</v>
      </c>
      <c r="AO23" s="78">
        <f>'[1]BIFUbC-coal'!AO23+'[1]BIFUbC-LPG-propane-or-butane'!AO23+'[1]BIFUbC-petroleum-diesel'!AO23+'[1]BIFUbC-crude-oil'!AO23+'[1]BIFUbC-heavy-or-residual-oil'!AO23+'[1]BIFUbC-natural-gas'!AO23+'[1]BIFUbC-electricity'!AO23+'[1]BIFUbC-heat'!AO23+'[1]BIFUbC-biomass'!AO23+'[1]BIFUbC-hydrogen'!AQ23</f>
        <v>959373596727078.63</v>
      </c>
      <c r="AP23" s="78">
        <f>'[1]BIFUbC-coal'!AP23+'[1]BIFUbC-LPG-propane-or-butane'!AP23+'[1]BIFUbC-petroleum-diesel'!AP23+'[1]BIFUbC-crude-oil'!AP23+'[1]BIFUbC-heavy-or-residual-oil'!AP23+'[1]BIFUbC-natural-gas'!AP23+'[1]BIFUbC-electricity'!AP23+'[1]BIFUbC-heat'!AP23+'[1]BIFUbC-biomass'!AP23+'[1]BIFUbC-hydrogen'!AR23</f>
        <v>959660412103181.75</v>
      </c>
      <c r="AQ23" s="78">
        <f>'[1]BIFUbC-coal'!AQ23+'[1]BIFUbC-LPG-propane-or-butane'!AQ23+'[1]BIFUbC-petroleum-diesel'!AQ23+'[1]BIFUbC-crude-oil'!AQ23+'[1]BIFUbC-heavy-or-residual-oil'!AQ23+'[1]BIFUbC-natural-gas'!AQ23+'[1]BIFUbC-electricity'!AQ23+'[1]BIFUbC-heat'!AQ23+'[1]BIFUbC-biomass'!AQ23+'[1]BIFUbC-hydrogen'!AS23</f>
        <v>959391510324256.75</v>
      </c>
    </row>
    <row r="24" spans="1:43" s="77" customFormat="1" x14ac:dyDescent="0.2">
      <c r="A24" s="77" t="s">
        <v>54</v>
      </c>
      <c r="B24" s="78">
        <f>'[1]BIFUbC-coal'!B24+'[1]BIFUbC-LPG-propane-or-butane'!B24+'[1]BIFUbC-petroleum-diesel'!B24+'[1]BIFUbC-crude-oil'!B24+'[1]BIFUbC-heavy-or-residual-oil'!B24+'[1]BIFUbC-natural-gas'!B24+'[1]BIFUbC-electricity'!B24+'[1]BIFUbC-heat'!B24+'[1]BIFUbC-biomass'!B24+'[1]BIFUbC-hydrogen'!D24</f>
        <v>686810244762751.13</v>
      </c>
      <c r="C24" s="78">
        <f>'[1]BIFUbC-coal'!C24+'[1]BIFUbC-LPG-propane-or-butane'!C24+'[1]BIFUbC-petroleum-diesel'!C24+'[1]BIFUbC-crude-oil'!C24+'[1]BIFUbC-heavy-or-residual-oil'!C24+'[1]BIFUbC-natural-gas'!C24+'[1]BIFUbC-electricity'!C24+'[1]BIFUbC-heat'!C24+'[1]BIFUbC-biomass'!C24+'[1]BIFUbC-hydrogen'!E24</f>
        <v>1009897887835043</v>
      </c>
      <c r="D24" s="78">
        <f>'[1]BIFUbC-coal'!D24+'[1]BIFUbC-LPG-propane-or-butane'!D24+'[1]BIFUbC-petroleum-diesel'!D24+'[1]BIFUbC-crude-oil'!D24+'[1]BIFUbC-heavy-or-residual-oil'!D24+'[1]BIFUbC-natural-gas'!D24+'[1]BIFUbC-electricity'!D24+'[1]BIFUbC-heat'!D24+'[1]BIFUbC-biomass'!D24+'[1]BIFUbC-hydrogen'!F24</f>
        <v>1241710579657464.3</v>
      </c>
      <c r="E24" s="78">
        <f>'[1]BIFUbC-coal'!E24+'[1]BIFUbC-LPG-propane-or-butane'!E24+'[1]BIFUbC-petroleum-diesel'!E24+'[1]BIFUbC-crude-oil'!E24+'[1]BIFUbC-heavy-or-residual-oil'!E24+'[1]BIFUbC-natural-gas'!E24+'[1]BIFUbC-electricity'!E24+'[1]BIFUbC-heat'!E24+'[1]BIFUbC-biomass'!E24+'[1]BIFUbC-hydrogen'!G24</f>
        <v>1340790306702460.8</v>
      </c>
      <c r="F24" s="78">
        <f>'[1]BIFUbC-coal'!F24+'[1]BIFUbC-LPG-propane-or-butane'!F24+'[1]BIFUbC-petroleum-diesel'!F24+'[1]BIFUbC-crude-oil'!F24+'[1]BIFUbC-heavy-or-residual-oil'!F24+'[1]BIFUbC-natural-gas'!F24+'[1]BIFUbC-electricity'!F24+'[1]BIFUbC-heat'!F24+'[1]BIFUbC-biomass'!F24+'[1]BIFUbC-hydrogen'!H24</f>
        <v>1407830107281670.8</v>
      </c>
      <c r="G24" s="78">
        <f>'[1]BIFUbC-coal'!G24+'[1]BIFUbC-LPG-propane-or-butane'!G24+'[1]BIFUbC-petroleum-diesel'!G24+'[1]BIFUbC-crude-oil'!G24+'[1]BIFUbC-heavy-or-residual-oil'!G24+'[1]BIFUbC-natural-gas'!G24+'[1]BIFUbC-electricity'!G24+'[1]BIFUbC-heat'!G24+'[1]BIFUbC-biomass'!G24+'[1]BIFUbC-hydrogen'!I24</f>
        <v>1564534771905587</v>
      </c>
      <c r="H24" s="78">
        <f>'[1]BIFUbC-coal'!H24+'[1]BIFUbC-LPG-propane-or-butane'!H24+'[1]BIFUbC-petroleum-diesel'!H24+'[1]BIFUbC-crude-oil'!H24+'[1]BIFUbC-heavy-or-residual-oil'!H24+'[1]BIFUbC-natural-gas'!H24+'[1]BIFUbC-electricity'!H24+'[1]BIFUbC-heat'!H24+'[1]BIFUbC-biomass'!H24+'[1]BIFUbC-hydrogen'!J24</f>
        <v>1772963110934728.8</v>
      </c>
      <c r="I24" s="78">
        <f>'[1]BIFUbC-coal'!I24+'[1]BIFUbC-LPG-propane-or-butane'!I24+'[1]BIFUbC-petroleum-diesel'!I24+'[1]BIFUbC-crude-oil'!I24+'[1]BIFUbC-heavy-or-residual-oil'!I24+'[1]BIFUbC-natural-gas'!I24+'[1]BIFUbC-electricity'!I24+'[1]BIFUbC-heat'!I24+'[1]BIFUbC-biomass'!I24+'[1]BIFUbC-hydrogen'!K24</f>
        <v>1980643679711029.3</v>
      </c>
      <c r="J24" s="78">
        <f>'[1]BIFUbC-coal'!J24+'[1]BIFUbC-LPG-propane-or-butane'!J24+'[1]BIFUbC-petroleum-diesel'!J24+'[1]BIFUbC-crude-oil'!J24+'[1]BIFUbC-heavy-or-residual-oil'!J24+'[1]BIFUbC-natural-gas'!J24+'[1]BIFUbC-electricity'!J24+'[1]BIFUbC-heat'!J24+'[1]BIFUbC-biomass'!J24+'[1]BIFUbC-hydrogen'!L24</f>
        <v>2173137572016766</v>
      </c>
      <c r="K24" s="78">
        <f>'[1]BIFUbC-coal'!K24+'[1]BIFUbC-LPG-propane-or-butane'!K24+'[1]BIFUbC-petroleum-diesel'!K24+'[1]BIFUbC-crude-oil'!K24+'[1]BIFUbC-heavy-or-residual-oil'!K24+'[1]BIFUbC-natural-gas'!K24+'[1]BIFUbC-electricity'!K24+'[1]BIFUbC-heat'!K24+'[1]BIFUbC-biomass'!K24+'[1]BIFUbC-hydrogen'!M24</f>
        <v>2351701640962997.5</v>
      </c>
      <c r="L24" s="78">
        <f>'[1]BIFUbC-coal'!L24+'[1]BIFUbC-LPG-propane-or-butane'!L24+'[1]BIFUbC-petroleum-diesel'!L24+'[1]BIFUbC-crude-oil'!L24+'[1]BIFUbC-heavy-or-residual-oil'!L24+'[1]BIFUbC-natural-gas'!L24+'[1]BIFUbC-electricity'!L24+'[1]BIFUbC-heat'!L24+'[1]BIFUbC-biomass'!L24+'[1]BIFUbC-hydrogen'!N24</f>
        <v>2520758706955493.5</v>
      </c>
      <c r="M24" s="78">
        <f>'[1]BIFUbC-coal'!M24+'[1]BIFUbC-LPG-propane-or-butane'!M24+'[1]BIFUbC-petroleum-diesel'!M24+'[1]BIFUbC-crude-oil'!M24+'[1]BIFUbC-heavy-or-residual-oil'!M24+'[1]BIFUbC-natural-gas'!M24+'[1]BIFUbC-electricity'!M24+'[1]BIFUbC-heat'!M24+'[1]BIFUbC-biomass'!M24+'[1]BIFUbC-hydrogen'!O24</f>
        <v>2687659829050356.5</v>
      </c>
      <c r="N24" s="78">
        <f>'[1]BIFUbC-coal'!N24+'[1]BIFUbC-LPG-propane-or-butane'!N24+'[1]BIFUbC-petroleum-diesel'!N24+'[1]BIFUbC-crude-oil'!N24+'[1]BIFUbC-heavy-or-residual-oil'!N24+'[1]BIFUbC-natural-gas'!N24+'[1]BIFUbC-electricity'!N24+'[1]BIFUbC-heat'!N24+'[1]BIFUbC-biomass'!N24+'[1]BIFUbC-hydrogen'!P24</f>
        <v>2860535199666168.5</v>
      </c>
      <c r="O24" s="78">
        <f>'[1]BIFUbC-coal'!O24+'[1]BIFUbC-LPG-propane-or-butane'!O24+'[1]BIFUbC-petroleum-diesel'!O24+'[1]BIFUbC-crude-oil'!O24+'[1]BIFUbC-heavy-or-residual-oil'!O24+'[1]BIFUbC-natural-gas'!O24+'[1]BIFUbC-electricity'!O24+'[1]BIFUbC-heat'!O24+'[1]BIFUbC-biomass'!O24+'[1]BIFUbC-hydrogen'!Q24</f>
        <v>3041064985205626.5</v>
      </c>
      <c r="P24" s="78">
        <f>'[1]BIFUbC-coal'!P24+'[1]BIFUbC-LPG-propane-or-butane'!P24+'[1]BIFUbC-petroleum-diesel'!P24+'[1]BIFUbC-crude-oil'!P24+'[1]BIFUbC-heavy-or-residual-oil'!P24+'[1]BIFUbC-natural-gas'!P24+'[1]BIFUbC-electricity'!P24+'[1]BIFUbC-heat'!P24+'[1]BIFUbC-biomass'!P24+'[1]BIFUbC-hydrogen'!R24</f>
        <v>3229096565714046</v>
      </c>
      <c r="Q24" s="78">
        <f>'[1]BIFUbC-coal'!Q24+'[1]BIFUbC-LPG-propane-or-butane'!Q24+'[1]BIFUbC-petroleum-diesel'!Q24+'[1]BIFUbC-crude-oil'!Q24+'[1]BIFUbC-heavy-or-residual-oil'!Q24+'[1]BIFUbC-natural-gas'!Q24+'[1]BIFUbC-electricity'!Q24+'[1]BIFUbC-heat'!Q24+'[1]BIFUbC-biomass'!Q24+'[1]BIFUbC-hydrogen'!S24</f>
        <v>3424402544089475</v>
      </c>
      <c r="R24" s="78">
        <f>'[1]BIFUbC-coal'!R24+'[1]BIFUbC-LPG-propane-or-butane'!R24+'[1]BIFUbC-petroleum-diesel'!R24+'[1]BIFUbC-crude-oil'!R24+'[1]BIFUbC-heavy-or-residual-oil'!R24+'[1]BIFUbC-natural-gas'!R24+'[1]BIFUbC-electricity'!R24+'[1]BIFUbC-heat'!R24+'[1]BIFUbC-biomass'!R24+'[1]BIFUbC-hydrogen'!T24</f>
        <v>3626674298872620.5</v>
      </c>
      <c r="S24" s="78">
        <f>'[1]BIFUbC-coal'!S24+'[1]BIFUbC-LPG-propane-or-butane'!S24+'[1]BIFUbC-petroleum-diesel'!S24+'[1]BIFUbC-crude-oil'!S24+'[1]BIFUbC-heavy-or-residual-oil'!S24+'[1]BIFUbC-natural-gas'!S24+'[1]BIFUbC-electricity'!S24+'[1]BIFUbC-heat'!S24+'[1]BIFUbC-biomass'!S24+'[1]BIFUbC-hydrogen'!U24</f>
        <v>3835601154403596</v>
      </c>
      <c r="T24" s="78">
        <f>'[1]BIFUbC-coal'!T24+'[1]BIFUbC-LPG-propane-or-butane'!T24+'[1]BIFUbC-petroleum-diesel'!T24+'[1]BIFUbC-crude-oil'!T24+'[1]BIFUbC-heavy-or-residual-oil'!T24+'[1]BIFUbC-natural-gas'!T24+'[1]BIFUbC-electricity'!T24+'[1]BIFUbC-heat'!T24+'[1]BIFUbC-biomass'!T24+'[1]BIFUbC-hydrogen'!V24</f>
        <v>4050602695586118.5</v>
      </c>
      <c r="U24" s="78">
        <f>'[1]BIFUbC-coal'!U24+'[1]BIFUbC-LPG-propane-or-butane'!U24+'[1]BIFUbC-petroleum-diesel'!U24+'[1]BIFUbC-crude-oil'!U24+'[1]BIFUbC-heavy-or-residual-oil'!U24+'[1]BIFUbC-natural-gas'!U24+'[1]BIFUbC-electricity'!U24+'[1]BIFUbC-heat'!U24+'[1]BIFUbC-biomass'!U24+'[1]BIFUbC-hydrogen'!W24</f>
        <v>4271073161554925.5</v>
      </c>
      <c r="V24" s="78">
        <f>'[1]BIFUbC-coal'!V24+'[1]BIFUbC-LPG-propane-or-butane'!V24+'[1]BIFUbC-petroleum-diesel'!V24+'[1]BIFUbC-crude-oil'!V24+'[1]BIFUbC-heavy-or-residual-oil'!V24+'[1]BIFUbC-natural-gas'!V24+'[1]BIFUbC-electricity'!V24+'[1]BIFUbC-heat'!V24+'[1]BIFUbC-biomass'!V24+'[1]BIFUbC-hydrogen'!X24</f>
        <v>4496300895169791</v>
      </c>
      <c r="W24" s="78">
        <f>'[1]BIFUbC-coal'!W24+'[1]BIFUbC-LPG-propane-or-butane'!W24+'[1]BIFUbC-petroleum-diesel'!W24+'[1]BIFUbC-crude-oil'!W24+'[1]BIFUbC-heavy-or-residual-oil'!W24+'[1]BIFUbC-natural-gas'!W24+'[1]BIFUbC-electricity'!W24+'[1]BIFUbC-heat'!W24+'[1]BIFUbC-biomass'!W24+'[1]BIFUbC-hydrogen'!Y24</f>
        <v>4725465006741554</v>
      </c>
      <c r="X24" s="78">
        <f>'[1]BIFUbC-coal'!X24+'[1]BIFUbC-LPG-propane-or-butane'!X24+'[1]BIFUbC-petroleum-diesel'!X24+'[1]BIFUbC-crude-oil'!X24+'[1]BIFUbC-heavy-or-residual-oil'!X24+'[1]BIFUbC-natural-gas'!X24+'[1]BIFUbC-electricity'!X24+'[1]BIFUbC-heat'!X24+'[1]BIFUbC-biomass'!X24+'[1]BIFUbC-hydrogen'!Z24</f>
        <v>4957633305711801</v>
      </c>
      <c r="Y24" s="78">
        <f>'[1]BIFUbC-coal'!Y24+'[1]BIFUbC-LPG-propane-or-butane'!Y24+'[1]BIFUbC-petroleum-diesel'!Y24+'[1]BIFUbC-crude-oil'!Y24+'[1]BIFUbC-heavy-or-residual-oil'!Y24+'[1]BIFUbC-natural-gas'!Y24+'[1]BIFUbC-electricity'!Y24+'[1]BIFUbC-heat'!Y24+'[1]BIFUbC-biomass'!Y24+'[1]BIFUbC-hydrogen'!AA24</f>
        <v>5191761705284908</v>
      </c>
      <c r="Z24" s="78">
        <f>'[1]BIFUbC-coal'!Z24+'[1]BIFUbC-LPG-propane-or-butane'!Z24+'[1]BIFUbC-petroleum-diesel'!Z24+'[1]BIFUbC-crude-oil'!Z24+'[1]BIFUbC-heavy-or-residual-oil'!Z24+'[1]BIFUbC-natural-gas'!Z24+'[1]BIFUbC-electricity'!Z24+'[1]BIFUbC-heat'!Z24+'[1]BIFUbC-biomass'!Z24+'[1]BIFUbC-hydrogen'!AB24</f>
        <v>5426695299842035</v>
      </c>
      <c r="AA24" s="78">
        <f>'[1]BIFUbC-coal'!AA24+'[1]BIFUbC-LPG-propane-or-butane'!AA24+'[1]BIFUbC-petroleum-diesel'!AA24+'[1]BIFUbC-crude-oil'!AA24+'[1]BIFUbC-heavy-or-residual-oil'!AA24+'[1]BIFUbC-natural-gas'!AA24+'[1]BIFUbC-electricity'!AA24+'[1]BIFUbC-heat'!AA24+'[1]BIFUbC-biomass'!AA24+'[1]BIFUbC-hydrogen'!AC24</f>
        <v>5661171303609484</v>
      </c>
      <c r="AB24" s="78">
        <f>'[1]BIFUbC-coal'!AB24+'[1]BIFUbC-LPG-propane-or-butane'!AB24+'[1]BIFUbC-petroleum-diesel'!AB24+'[1]BIFUbC-crude-oil'!AB24+'[1]BIFUbC-heavy-or-residual-oil'!AB24+'[1]BIFUbC-natural-gas'!AB24+'[1]BIFUbC-electricity'!AB24+'[1]BIFUbC-heat'!AB24+'[1]BIFUbC-biomass'!AB24+'[1]BIFUbC-hydrogen'!AD24</f>
        <v>5893824020889709</v>
      </c>
      <c r="AC24" s="78">
        <f>'[1]BIFUbC-coal'!AC24+'[1]BIFUbC-LPG-propane-or-butane'!AC24+'[1]BIFUbC-petroleum-diesel'!AC24+'[1]BIFUbC-crude-oil'!AC24+'[1]BIFUbC-heavy-or-residual-oil'!AC24+'[1]BIFUbC-natural-gas'!AC24+'[1]BIFUbC-electricity'!AC24+'[1]BIFUbC-heat'!AC24+'[1]BIFUbC-biomass'!AC24+'[1]BIFUbC-hydrogen'!AE24</f>
        <v>6123191992713965</v>
      </c>
      <c r="AD24" s="78">
        <f>'[1]BIFUbC-coal'!AD24+'[1]BIFUbC-LPG-propane-or-butane'!AD24+'[1]BIFUbC-petroleum-diesel'!AD24+'[1]BIFUbC-crude-oil'!AD24+'[1]BIFUbC-heavy-or-residual-oil'!AD24+'[1]BIFUbC-natural-gas'!AD24+'[1]BIFUbC-electricity'!AD24+'[1]BIFUbC-heat'!AD24+'[1]BIFUbC-biomass'!AD24+'[1]BIFUbC-hydrogen'!AF24</f>
        <v>6347727431746620</v>
      </c>
      <c r="AE24" s="78">
        <f>'[1]BIFUbC-coal'!AE24+'[1]BIFUbC-LPG-propane-or-butane'!AE24+'[1]BIFUbC-petroleum-diesel'!AE24+'[1]BIFUbC-crude-oil'!AE24+'[1]BIFUbC-heavy-or-residual-oil'!AE24+'[1]BIFUbC-natural-gas'!AE24+'[1]BIFUbC-electricity'!AE24+'[1]BIFUbC-heat'!AE24+'[1]BIFUbC-biomass'!AE24+'[1]BIFUbC-hydrogen'!AG24</f>
        <v>6565808016598902</v>
      </c>
      <c r="AF24" s="78">
        <f>'[1]BIFUbC-coal'!AF24+'[1]BIFUbC-LPG-propane-or-butane'!AF24+'[1]BIFUbC-petroleum-diesel'!AF24+'[1]BIFUbC-crude-oil'!AF24+'[1]BIFUbC-heavy-or-residual-oil'!AF24+'[1]BIFUbC-natural-gas'!AF24+'[1]BIFUbC-electricity'!AF24+'[1]BIFUbC-heat'!AF24+'[1]BIFUbC-biomass'!AF24+'[1]BIFUbC-hydrogen'!AH24</f>
        <v>6775751068596476</v>
      </c>
      <c r="AG24" s="78">
        <f>'[1]BIFUbC-coal'!AG24+'[1]BIFUbC-LPG-propane-or-butane'!AG24+'[1]BIFUbC-petroleum-diesel'!AG24+'[1]BIFUbC-crude-oil'!AG24+'[1]BIFUbC-heavy-or-residual-oil'!AG24+'[1]BIFUbC-natural-gas'!AG24+'[1]BIFUbC-electricity'!AG24+'[1]BIFUbC-heat'!AG24+'[1]BIFUbC-biomass'!AG24+'[1]BIFUbC-hydrogen'!AI24</f>
        <v>6975830079001017</v>
      </c>
      <c r="AH24" s="78">
        <f>'[1]BIFUbC-coal'!AH24+'[1]BIFUbC-LPG-propane-or-butane'!AH24+'[1]BIFUbC-petroleum-diesel'!AH24+'[1]BIFUbC-crude-oil'!AH24+'[1]BIFUbC-heavy-or-residual-oil'!AH24+'[1]BIFUbC-natural-gas'!AH24+'[1]BIFUbC-electricity'!AH24+'[1]BIFUbC-heat'!AH24+'[1]BIFUbC-biomass'!AH24+'[1]BIFUbC-hydrogen'!AJ24</f>
        <v>7164293493552034</v>
      </c>
      <c r="AI24" s="78">
        <f>'[1]BIFUbC-coal'!AI24+'[1]BIFUbC-LPG-propane-or-butane'!AI24+'[1]BIFUbC-petroleum-diesel'!AI24+'[1]BIFUbC-crude-oil'!AI24+'[1]BIFUbC-heavy-or-residual-oil'!AI24+'[1]BIFUbC-natural-gas'!AI24+'[1]BIFUbC-electricity'!AI24+'[1]BIFUbC-heat'!AI24+'[1]BIFUbC-biomass'!AI24+'[1]BIFUbC-hydrogen'!AK24</f>
        <v>7339385595164399</v>
      </c>
      <c r="AJ24" s="78">
        <f>'[1]BIFUbC-coal'!AJ24+'[1]BIFUbC-LPG-propane-or-butane'!AJ24+'[1]BIFUbC-petroleum-diesel'!AJ24+'[1]BIFUbC-crude-oil'!AJ24+'[1]BIFUbC-heavy-or-residual-oil'!AJ24+'[1]BIFUbC-natural-gas'!AJ24+'[1]BIFUbC-electricity'!AJ24+'[1]BIFUbC-heat'!AJ24+'[1]BIFUbC-biomass'!AJ24+'[1]BIFUbC-hydrogen'!AL24</f>
        <v>7499369256233490</v>
      </c>
      <c r="AK24" s="78">
        <f>'[1]BIFUbC-coal'!AK24+'[1]BIFUbC-LPG-propane-or-butane'!AK24+'[1]BIFUbC-petroleum-diesel'!AK24+'[1]BIFUbC-crude-oil'!AK24+'[1]BIFUbC-heavy-or-residual-oil'!AK24+'[1]BIFUbC-natural-gas'!AK24+'[1]BIFUbC-electricity'!AK24+'[1]BIFUbC-heat'!AK24+'[1]BIFUbC-biomass'!AK24+'[1]BIFUbC-hydrogen'!AM24</f>
        <v>7642550261153001</v>
      </c>
      <c r="AL24" s="78">
        <f>'[1]BIFUbC-coal'!AL24+'[1]BIFUbC-LPG-propane-or-butane'!AL24+'[1]BIFUbC-petroleum-diesel'!AL24+'[1]BIFUbC-crude-oil'!AL24+'[1]BIFUbC-heavy-or-residual-oil'!AL24+'[1]BIFUbC-natural-gas'!AL24+'[1]BIFUbC-electricity'!AL24+'[1]BIFUbC-heat'!AL24+'[1]BIFUbC-biomass'!AL24+'[1]BIFUbC-hydrogen'!AN24</f>
        <v>7767302829536929</v>
      </c>
      <c r="AM24" s="78">
        <f>'[1]BIFUbC-coal'!AM24+'[1]BIFUbC-LPG-propane-or-butane'!AM24+'[1]BIFUbC-petroleum-diesel'!AM24+'[1]BIFUbC-crude-oil'!AM24+'[1]BIFUbC-heavy-or-residual-oil'!AM24+'[1]BIFUbC-natural-gas'!AM24+'[1]BIFUbC-electricity'!AM24+'[1]BIFUbC-heat'!AM24+'[1]BIFUbC-biomass'!AM24+'[1]BIFUbC-hydrogen'!AO24</f>
        <v>7872095903718682</v>
      </c>
      <c r="AN24" s="78">
        <f>'[1]BIFUbC-coal'!AN24+'[1]BIFUbC-LPG-propane-or-butane'!AN24+'[1]BIFUbC-petroleum-diesel'!AN24+'[1]BIFUbC-crude-oil'!AN24+'[1]BIFUbC-heavy-or-residual-oil'!AN24+'[1]BIFUbC-natural-gas'!AN24+'[1]BIFUbC-electricity'!AN24+'[1]BIFUbC-heat'!AN24+'[1]BIFUbC-biomass'!AN24+'[1]BIFUbC-hydrogen'!AP24</f>
        <v>7955519703027993</v>
      </c>
      <c r="AO24" s="78">
        <f>'[1]BIFUbC-coal'!AO24+'[1]BIFUbC-LPG-propane-or-butane'!AO24+'[1]BIFUbC-petroleum-diesel'!AO24+'[1]BIFUbC-crude-oil'!AO24+'[1]BIFUbC-heavy-or-residual-oil'!AO24+'[1]BIFUbC-natural-gas'!AO24+'[1]BIFUbC-electricity'!AO24+'[1]BIFUbC-heat'!AO24+'[1]BIFUbC-biomass'!AO24+'[1]BIFUbC-hydrogen'!AQ24</f>
        <v>8016311994876265</v>
      </c>
      <c r="AP24" s="78">
        <f>'[1]BIFUbC-coal'!AP24+'[1]BIFUbC-LPG-propane-or-butane'!AP24+'[1]BIFUbC-petroleum-diesel'!AP24+'[1]BIFUbC-crude-oil'!AP24+'[1]BIFUbC-heavy-or-residual-oil'!AP24+'[1]BIFUbC-natural-gas'!AP24+'[1]BIFUbC-electricity'!AP24+'[1]BIFUbC-heat'!AP24+'[1]BIFUbC-biomass'!AP24+'[1]BIFUbC-hydrogen'!AR24</f>
        <v>8053383491566183</v>
      </c>
      <c r="AQ24" s="78">
        <f>'[1]BIFUbC-coal'!AQ24+'[1]BIFUbC-LPG-propane-or-butane'!AQ24+'[1]BIFUbC-petroleum-diesel'!AQ24+'[1]BIFUbC-crude-oil'!AQ24+'[1]BIFUbC-heavy-or-residual-oil'!AQ24+'[1]BIFUbC-natural-gas'!AQ24+'[1]BIFUbC-electricity'!AQ24+'[1]BIFUbC-heat'!AQ24+'[1]BIFUbC-biomass'!AQ24+'[1]BIFUbC-hydrogen'!AS24</f>
        <v>8065380860732030</v>
      </c>
    </row>
    <row r="25" spans="1:43" s="77" customFormat="1" x14ac:dyDescent="0.2">
      <c r="A25" s="77" t="s">
        <v>408</v>
      </c>
      <c r="B25" s="78">
        <f>'[1]BIFUbC-coal'!B25+'[1]BIFUbC-LPG-propane-or-butane'!B25+'[1]BIFUbC-petroleum-diesel'!B25+'[1]BIFUbC-crude-oil'!B25+'[1]BIFUbC-heavy-or-residual-oil'!B25+'[1]BIFUbC-natural-gas'!B25+'[1]BIFUbC-electricity'!B25+'[1]BIFUbC-heat'!B25+'[1]BIFUbC-biomass'!B25+'[1]BIFUbC-hydrogen'!D25</f>
        <v>374557946969505.38</v>
      </c>
      <c r="C25" s="78">
        <f>'[1]BIFUbC-coal'!C25+'[1]BIFUbC-LPG-propane-or-butane'!C25+'[1]BIFUbC-petroleum-diesel'!C25+'[1]BIFUbC-crude-oil'!C25+'[1]BIFUbC-heavy-or-residual-oil'!C25+'[1]BIFUbC-natural-gas'!C25+'[1]BIFUbC-electricity'!C25+'[1]BIFUbC-heat'!C25+'[1]BIFUbC-biomass'!C25+'[1]BIFUbC-hydrogen'!E25</f>
        <v>407212485139052.56</v>
      </c>
      <c r="D25" s="78">
        <f>'[1]BIFUbC-coal'!D25+'[1]BIFUbC-LPG-propane-or-butane'!D25+'[1]BIFUbC-petroleum-diesel'!D25+'[1]BIFUbC-crude-oil'!D25+'[1]BIFUbC-heavy-or-residual-oil'!D25+'[1]BIFUbC-natural-gas'!D25+'[1]BIFUbC-electricity'!D25+'[1]BIFUbC-heat'!D25+'[1]BIFUbC-biomass'!D25+'[1]BIFUbC-hydrogen'!F25</f>
        <v>503248104731382.75</v>
      </c>
      <c r="E25" s="78">
        <f>'[1]BIFUbC-coal'!E25+'[1]BIFUbC-LPG-propane-or-butane'!E25+'[1]BIFUbC-petroleum-diesel'!E25+'[1]BIFUbC-crude-oil'!E25+'[1]BIFUbC-heavy-or-residual-oil'!E25+'[1]BIFUbC-natural-gas'!E25+'[1]BIFUbC-electricity'!E25+'[1]BIFUbC-heat'!E25+'[1]BIFUbC-biomass'!E25+'[1]BIFUbC-hydrogen'!G25</f>
        <v>574766861349792.88</v>
      </c>
      <c r="F25" s="78">
        <f>'[1]BIFUbC-coal'!F25+'[1]BIFUbC-LPG-propane-or-butane'!F25+'[1]BIFUbC-petroleum-diesel'!F25+'[1]BIFUbC-crude-oil'!F25+'[1]BIFUbC-heavy-or-residual-oil'!F25+'[1]BIFUbC-natural-gas'!F25+'[1]BIFUbC-electricity'!F25+'[1]BIFUbC-heat'!F25+'[1]BIFUbC-biomass'!F25+'[1]BIFUbC-hydrogen'!H25</f>
        <v>609552067042354.5</v>
      </c>
      <c r="G25" s="78">
        <f>'[1]BIFUbC-coal'!G25+'[1]BIFUbC-LPG-propane-or-butane'!G25+'[1]BIFUbC-petroleum-diesel'!G25+'[1]BIFUbC-crude-oil'!G25+'[1]BIFUbC-heavy-or-residual-oil'!G25+'[1]BIFUbC-natural-gas'!G25+'[1]BIFUbC-electricity'!G25+'[1]BIFUbC-heat'!G25+'[1]BIFUbC-biomass'!G25+'[1]BIFUbC-hydrogen'!I25</f>
        <v>660080255706908.13</v>
      </c>
      <c r="H25" s="78">
        <f>'[1]BIFUbC-coal'!H25+'[1]BIFUbC-LPG-propane-or-butane'!H25+'[1]BIFUbC-petroleum-diesel'!H25+'[1]BIFUbC-crude-oil'!H25+'[1]BIFUbC-heavy-or-residual-oil'!H25+'[1]BIFUbC-natural-gas'!H25+'[1]BIFUbC-electricity'!H25+'[1]BIFUbC-heat'!H25+'[1]BIFUbC-biomass'!H25+'[1]BIFUbC-hydrogen'!J25</f>
        <v>726827151986738</v>
      </c>
      <c r="I25" s="78">
        <f>'[1]BIFUbC-coal'!I25+'[1]BIFUbC-LPG-propane-or-butane'!I25+'[1]BIFUbC-petroleum-diesel'!I25+'[1]BIFUbC-crude-oil'!I25+'[1]BIFUbC-heavy-or-residual-oil'!I25+'[1]BIFUbC-natural-gas'!I25+'[1]BIFUbC-electricity'!I25+'[1]BIFUbC-heat'!I25+'[1]BIFUbC-biomass'!I25+'[1]BIFUbC-hydrogen'!K25</f>
        <v>794659402132217.13</v>
      </c>
      <c r="J25" s="78">
        <f>'[1]BIFUbC-coal'!J25+'[1]BIFUbC-LPG-propane-or-butane'!J25+'[1]BIFUbC-petroleum-diesel'!J25+'[1]BIFUbC-crude-oil'!J25+'[1]BIFUbC-heavy-or-residual-oil'!J25+'[1]BIFUbC-natural-gas'!J25+'[1]BIFUbC-electricity'!J25+'[1]BIFUbC-heat'!J25+'[1]BIFUbC-biomass'!J25+'[1]BIFUbC-hydrogen'!L25</f>
        <v>858494826177093</v>
      </c>
      <c r="K25" s="78">
        <f>'[1]BIFUbC-coal'!K25+'[1]BIFUbC-LPG-propane-or-butane'!K25+'[1]BIFUbC-petroleum-diesel'!K25+'[1]BIFUbC-crude-oil'!K25+'[1]BIFUbC-heavy-or-residual-oil'!K25+'[1]BIFUbC-natural-gas'!K25+'[1]BIFUbC-electricity'!K25+'[1]BIFUbC-heat'!K25+'[1]BIFUbC-biomass'!K25+'[1]BIFUbC-hydrogen'!M25</f>
        <v>918706424251321.38</v>
      </c>
      <c r="L25" s="78">
        <f>'[1]BIFUbC-coal'!L25+'[1]BIFUbC-LPG-propane-or-butane'!L25+'[1]BIFUbC-petroleum-diesel'!L25+'[1]BIFUbC-crude-oil'!L25+'[1]BIFUbC-heavy-or-residual-oil'!L25+'[1]BIFUbC-natural-gas'!L25+'[1]BIFUbC-electricity'!L25+'[1]BIFUbC-heat'!L25+'[1]BIFUbC-biomass'!L25+'[1]BIFUbC-hydrogen'!N25</f>
        <v>976297322895894.5</v>
      </c>
      <c r="M25" s="78">
        <f>'[1]BIFUbC-coal'!M25+'[1]BIFUbC-LPG-propane-or-butane'!M25+'[1]BIFUbC-petroleum-diesel'!M25+'[1]BIFUbC-crude-oil'!M25+'[1]BIFUbC-heavy-or-residual-oil'!M25+'[1]BIFUbC-natural-gas'!M25+'[1]BIFUbC-electricity'!M25+'[1]BIFUbC-heat'!M25+'[1]BIFUbC-biomass'!M25+'[1]BIFUbC-hydrogen'!O25</f>
        <v>1032868366526424.3</v>
      </c>
      <c r="N25" s="78">
        <f>'[1]BIFUbC-coal'!N25+'[1]BIFUbC-LPG-propane-or-butane'!N25+'[1]BIFUbC-petroleum-diesel'!N25+'[1]BIFUbC-crude-oil'!N25+'[1]BIFUbC-heavy-or-residual-oil'!N25+'[1]BIFUbC-natural-gas'!N25+'[1]BIFUbC-electricity'!N25+'[1]BIFUbC-heat'!N25+'[1]BIFUbC-biomass'!N25+'[1]BIFUbC-hydrogen'!P25</f>
        <v>1090278994666533.9</v>
      </c>
      <c r="O25" s="78">
        <f>'[1]BIFUbC-coal'!O25+'[1]BIFUbC-LPG-propane-or-butane'!O25+'[1]BIFUbC-petroleum-diesel'!O25+'[1]BIFUbC-crude-oil'!O25+'[1]BIFUbC-heavy-or-residual-oil'!O25+'[1]BIFUbC-natural-gas'!O25+'[1]BIFUbC-electricity'!O25+'[1]BIFUbC-heat'!O25+'[1]BIFUbC-biomass'!O25+'[1]BIFUbC-hydrogen'!Q25</f>
        <v>1148872953157211.8</v>
      </c>
      <c r="P25" s="78">
        <f>'[1]BIFUbC-coal'!P25+'[1]BIFUbC-LPG-propane-or-butane'!P25+'[1]BIFUbC-petroleum-diesel'!P25+'[1]BIFUbC-crude-oil'!P25+'[1]BIFUbC-heavy-or-residual-oil'!P25+'[1]BIFUbC-natural-gas'!P25+'[1]BIFUbC-electricity'!P25+'[1]BIFUbC-heat'!P25+'[1]BIFUbC-biomass'!P25+'[1]BIFUbC-hydrogen'!R25</f>
        <v>1208748878987071</v>
      </c>
      <c r="Q25" s="78">
        <f>'[1]BIFUbC-coal'!Q25+'[1]BIFUbC-LPG-propane-or-butane'!Q25+'[1]BIFUbC-petroleum-diesel'!Q25+'[1]BIFUbC-crude-oil'!Q25+'[1]BIFUbC-heavy-or-residual-oil'!Q25+'[1]BIFUbC-natural-gas'!Q25+'[1]BIFUbC-electricity'!Q25+'[1]BIFUbC-heat'!Q25+'[1]BIFUbC-biomass'!Q25+'[1]BIFUbC-hydrogen'!S25</f>
        <v>1270046240100086.3</v>
      </c>
      <c r="R25" s="78">
        <f>'[1]BIFUbC-coal'!R25+'[1]BIFUbC-LPG-propane-or-butane'!R25+'[1]BIFUbC-petroleum-diesel'!R25+'[1]BIFUbC-crude-oil'!R25+'[1]BIFUbC-heavy-or-residual-oil'!R25+'[1]BIFUbC-natural-gas'!R25+'[1]BIFUbC-electricity'!R25+'[1]BIFUbC-heat'!R25+'[1]BIFUbC-biomass'!R25+'[1]BIFUbC-hydrogen'!T25</f>
        <v>1332949348921446.3</v>
      </c>
      <c r="S25" s="78">
        <f>'[1]BIFUbC-coal'!S25+'[1]BIFUbC-LPG-propane-or-butane'!S25+'[1]BIFUbC-petroleum-diesel'!S25+'[1]BIFUbC-crude-oil'!S25+'[1]BIFUbC-heavy-or-residual-oil'!S25+'[1]BIFUbC-natural-gas'!S25+'[1]BIFUbC-electricity'!S25+'[1]BIFUbC-heat'!S25+'[1]BIFUbC-biomass'!S25+'[1]BIFUbC-hydrogen'!U25</f>
        <v>1397816304681731.5</v>
      </c>
      <c r="T25" s="78">
        <f>'[1]BIFUbC-coal'!T25+'[1]BIFUbC-LPG-propane-or-butane'!T25+'[1]BIFUbC-petroleum-diesel'!T25+'[1]BIFUbC-crude-oil'!T25+'[1]BIFUbC-heavy-or-residual-oil'!T25+'[1]BIFUbC-natural-gas'!T25+'[1]BIFUbC-electricity'!T25+'[1]BIFUbC-heat'!T25+'[1]BIFUbC-biomass'!T25+'[1]BIFUbC-hydrogen'!V25</f>
        <v>1464427449054225</v>
      </c>
      <c r="U25" s="78">
        <f>'[1]BIFUbC-coal'!U25+'[1]BIFUbC-LPG-propane-or-butane'!U25+'[1]BIFUbC-petroleum-diesel'!U25+'[1]BIFUbC-crude-oil'!U25+'[1]BIFUbC-heavy-or-residual-oil'!U25+'[1]BIFUbC-natural-gas'!U25+'[1]BIFUbC-electricity'!U25+'[1]BIFUbC-heat'!U25+'[1]BIFUbC-biomass'!U25+'[1]BIFUbC-hydrogen'!W25</f>
        <v>1532649377091243</v>
      </c>
      <c r="V25" s="78">
        <f>'[1]BIFUbC-coal'!V25+'[1]BIFUbC-LPG-propane-or-butane'!V25+'[1]BIFUbC-petroleum-diesel'!V25+'[1]BIFUbC-crude-oil'!V25+'[1]BIFUbC-heavy-or-residual-oil'!V25+'[1]BIFUbC-natural-gas'!V25+'[1]BIFUbC-electricity'!V25+'[1]BIFUbC-heat'!V25+'[1]BIFUbC-biomass'!V25+'[1]BIFUbC-hydrogen'!X25</f>
        <v>1602318104404495</v>
      </c>
      <c r="W25" s="78">
        <f>'[1]BIFUbC-coal'!W25+'[1]BIFUbC-LPG-propane-or-butane'!W25+'[1]BIFUbC-petroleum-diesel'!W25+'[1]BIFUbC-crude-oil'!W25+'[1]BIFUbC-heavy-or-residual-oil'!W25+'[1]BIFUbC-natural-gas'!W25+'[1]BIFUbC-electricity'!W25+'[1]BIFUbC-heat'!W25+'[1]BIFUbC-biomass'!W25+'[1]BIFUbC-hydrogen'!Y25</f>
        <v>1673236414819086</v>
      </c>
      <c r="X25" s="78">
        <f>'[1]BIFUbC-coal'!X25+'[1]BIFUbC-LPG-propane-or-butane'!X25+'[1]BIFUbC-petroleum-diesel'!X25+'[1]BIFUbC-crude-oil'!X25+'[1]BIFUbC-heavy-or-residual-oil'!X25+'[1]BIFUbC-natural-gas'!X25+'[1]BIFUbC-electricity'!X25+'[1]BIFUbC-heat'!X25+'[1]BIFUbC-biomass'!X25+'[1]BIFUbC-hydrogen'!Z25</f>
        <v>1745171435146511.5</v>
      </c>
      <c r="Y25" s="78">
        <f>'[1]BIFUbC-coal'!Y25+'[1]BIFUbC-LPG-propane-or-butane'!Y25+'[1]BIFUbC-petroleum-diesel'!Y25+'[1]BIFUbC-crude-oil'!Y25+'[1]BIFUbC-heavy-or-residual-oil'!Y25+'[1]BIFUbC-natural-gas'!Y25+'[1]BIFUbC-electricity'!Y25+'[1]BIFUbC-heat'!Y25+'[1]BIFUbC-biomass'!Y25+'[1]BIFUbC-hydrogen'!AA25</f>
        <v>1817852541566183.3</v>
      </c>
      <c r="Z25" s="78">
        <f>'[1]BIFUbC-coal'!Z25+'[1]BIFUbC-LPG-propane-or-butane'!Z25+'[1]BIFUbC-petroleum-diesel'!Z25+'[1]BIFUbC-crude-oil'!Z25+'[1]BIFUbC-heavy-or-residual-oil'!Z25+'[1]BIFUbC-natural-gas'!Z25+'[1]BIFUbC-electricity'!Z25+'[1]BIFUbC-heat'!Z25+'[1]BIFUbC-biomass'!Z25+'[1]BIFUbC-hydrogen'!AB25</f>
        <v>1890969710976307.8</v>
      </c>
      <c r="AA25" s="78">
        <f>'[1]BIFUbC-coal'!AA25+'[1]BIFUbC-LPG-propane-or-butane'!AA25+'[1]BIFUbC-petroleum-diesel'!AA25+'[1]BIFUbC-crude-oil'!AA25+'[1]BIFUbC-heavy-or-residual-oil'!AA25+'[1]BIFUbC-natural-gas'!AA25+'[1]BIFUbC-electricity'!AA25+'[1]BIFUbC-heat'!AA25+'[1]BIFUbC-biomass'!AA25+'[1]BIFUbC-hydrogen'!AC25</f>
        <v>1964172437224114.5</v>
      </c>
      <c r="AB25" s="78">
        <f>'[1]BIFUbC-coal'!AB25+'[1]BIFUbC-LPG-propane-or-butane'!AB25+'[1]BIFUbC-petroleum-diesel'!AB25+'[1]BIFUbC-crude-oil'!AB25+'[1]BIFUbC-heavy-or-residual-oil'!AB25+'[1]BIFUbC-natural-gas'!AB25+'[1]BIFUbC-electricity'!AB25+'[1]BIFUbC-heat'!AB25+'[1]BIFUbC-biomass'!AB25+'[1]BIFUbC-hydrogen'!AD25</f>
        <v>2037069335621407</v>
      </c>
      <c r="AC25" s="78">
        <f>'[1]BIFUbC-coal'!AC25+'[1]BIFUbC-LPG-propane-or-butane'!AC25+'[1]BIFUbC-petroleum-diesel'!AC25+'[1]BIFUbC-crude-oil'!AC25+'[1]BIFUbC-heavy-or-residual-oil'!AC25+'[1]BIFUbC-natural-gas'!AC25+'[1]BIFUbC-electricity'!AC25+'[1]BIFUbC-heat'!AC25+'[1]BIFUbC-biomass'!AC25+'[1]BIFUbC-hydrogen'!AE25</f>
        <v>2109228558846559.5</v>
      </c>
      <c r="AD25" s="78">
        <f>'[1]BIFUbC-coal'!AD25+'[1]BIFUbC-LPG-propane-or-butane'!AD25+'[1]BIFUbC-petroleum-diesel'!AD25+'[1]BIFUbC-crude-oil'!AD25+'[1]BIFUbC-heavy-or-residual-oil'!AD25+'[1]BIFUbC-natural-gas'!AD25+'[1]BIFUbC-electricity'!AD25+'[1]BIFUbC-heat'!AD25+'[1]BIFUbC-biomass'!AD25+'[1]BIFUbC-hydrogen'!AF25</f>
        <v>2180179142500651.8</v>
      </c>
      <c r="AE25" s="78">
        <f>'[1]BIFUbC-coal'!AE25+'[1]BIFUbC-LPG-propane-or-butane'!AE25+'[1]BIFUbC-petroleum-diesel'!AE25+'[1]BIFUbC-crude-oil'!AE25+'[1]BIFUbC-heavy-or-residual-oil'!AE25+'[1]BIFUbC-natural-gas'!AE25+'[1]BIFUbC-electricity'!AE25+'[1]BIFUbC-heat'!AE25+'[1]BIFUbC-biomass'!AE25+'[1]BIFUbC-hydrogen'!AG25</f>
        <v>2249413388557855.3</v>
      </c>
      <c r="AF25" s="78">
        <f>'[1]BIFUbC-coal'!AF25+'[1]BIFUbC-LPG-propane-or-butane'!AF25+'[1]BIFUbC-petroleum-diesel'!AF25+'[1]BIFUbC-crude-oil'!AF25+'[1]BIFUbC-heavy-or-residual-oil'!AF25+'[1]BIFUbC-natural-gas'!AF25+'[1]BIFUbC-electricity'!AF25+'[1]BIFUbC-heat'!AF25+'[1]BIFUbC-biomass'!AF25+'[1]BIFUbC-hydrogen'!AH25</f>
        <v>2316390379175001</v>
      </c>
      <c r="AG25" s="78">
        <f>'[1]BIFUbC-coal'!AG25+'[1]BIFUbC-LPG-propane-or-butane'!AG25+'[1]BIFUbC-petroleum-diesel'!AG25+'[1]BIFUbC-crude-oil'!AG25+'[1]BIFUbC-heavy-or-residual-oil'!AG25+'[1]BIFUbC-natural-gas'!AG25+'[1]BIFUbC-electricity'!AG25+'[1]BIFUbC-heat'!AG25+'[1]BIFUbC-biomass'!AG25+'[1]BIFUbC-hydrogen'!AI25</f>
        <v>2380540691414880</v>
      </c>
      <c r="AH25" s="78">
        <f>'[1]BIFUbC-coal'!AH25+'[1]BIFUbC-LPG-propane-or-butane'!AH25+'[1]BIFUbC-petroleum-diesel'!AH25+'[1]BIFUbC-crude-oil'!AH25+'[1]BIFUbC-heavy-or-residual-oil'!AH25+'[1]BIFUbC-natural-gas'!AH25+'[1]BIFUbC-electricity'!AH25+'[1]BIFUbC-heat'!AH25+'[1]BIFUbC-biomass'!AH25+'[1]BIFUbC-hydrogen'!AJ25</f>
        <v>2441272355226535.5</v>
      </c>
      <c r="AI25" s="78">
        <f>'[1]BIFUbC-coal'!AI25+'[1]BIFUbC-LPG-propane-or-butane'!AI25+'[1]BIFUbC-petroleum-diesel'!AI25+'[1]BIFUbC-crude-oil'!AI25+'[1]BIFUbC-heavy-or-residual-oil'!AI25+'[1]BIFUbC-natural-gas'!AI25+'[1]BIFUbC-electricity'!AI25+'[1]BIFUbC-heat'!AI25+'[1]BIFUbC-biomass'!AI25+'[1]BIFUbC-hydrogen'!AK25</f>
        <v>2497978062626208</v>
      </c>
      <c r="AJ25" s="78">
        <f>'[1]BIFUbC-coal'!AJ25+'[1]BIFUbC-LPG-propane-or-butane'!AJ25+'[1]BIFUbC-petroleum-diesel'!AJ25+'[1]BIFUbC-crude-oil'!AJ25+'[1]BIFUbC-heavy-or-residual-oil'!AJ25+'[1]BIFUbC-natural-gas'!AJ25+'[1]BIFUbC-electricity'!AJ25+'[1]BIFUbC-heat'!AJ25+'[1]BIFUbC-biomass'!AJ25+'[1]BIFUbC-hydrogen'!AL25</f>
        <v>2550043595873094</v>
      </c>
      <c r="AK25" s="78">
        <f>'[1]BIFUbC-coal'!AK25+'[1]BIFUbC-LPG-propane-or-butane'!AK25+'[1]BIFUbC-petroleum-diesel'!AK25+'[1]BIFUbC-crude-oil'!AK25+'[1]BIFUbC-heavy-or-residual-oil'!AK25+'[1]BIFUbC-natural-gas'!AK25+'[1]BIFUbC-electricity'!AK25+'[1]BIFUbC-heat'!AK25+'[1]BIFUbC-biomass'!AK25+'[1]BIFUbC-hydrogen'!AM25</f>
        <v>2596857397341707</v>
      </c>
      <c r="AL25" s="78">
        <f>'[1]BIFUbC-coal'!AL25+'[1]BIFUbC-LPG-propane-or-butane'!AL25+'[1]BIFUbC-petroleum-diesel'!AL25+'[1]BIFUbC-crude-oil'!AL25+'[1]BIFUbC-heavy-or-residual-oil'!AL25+'[1]BIFUbC-natural-gas'!AL25+'[1]BIFUbC-electricity'!AL25+'[1]BIFUbC-heat'!AL25+'[1]BIFUbC-biomass'!AL25+'[1]BIFUbC-hydrogen'!AN25</f>
        <v>2637821154956444.5</v>
      </c>
      <c r="AM25" s="78">
        <f>'[1]BIFUbC-coal'!AM25+'[1]BIFUbC-LPG-propane-or-butane'!AM25+'[1]BIFUbC-petroleum-diesel'!AM25+'[1]BIFUbC-crude-oil'!AM25+'[1]BIFUbC-heavy-or-residual-oil'!AM25+'[1]BIFUbC-natural-gas'!AM25+'[1]BIFUbC-electricity'!AM25+'[1]BIFUbC-heat'!AM25+'[1]BIFUbC-biomass'!AM25+'[1]BIFUbC-hydrogen'!AO25</f>
        <v>2672361226071414.5</v>
      </c>
      <c r="AN25" s="78">
        <f>'[1]BIFUbC-coal'!AN25+'[1]BIFUbC-LPG-propane-or-butane'!AN25+'[1]BIFUbC-petroleum-diesel'!AN25+'[1]BIFUbC-crude-oil'!AN25+'[1]BIFUbC-heavy-or-residual-oil'!AN25+'[1]BIFUbC-natural-gas'!AN25+'[1]BIFUbC-electricity'!AN25+'[1]BIFUbC-heat'!AN25+'[1]BIFUbC-biomass'!AN25+'[1]BIFUbC-hydrogen'!AP25</f>
        <v>2699940671527169</v>
      </c>
      <c r="AO25" s="78">
        <f>'[1]BIFUbC-coal'!AO25+'[1]BIFUbC-LPG-propane-or-butane'!AO25+'[1]BIFUbC-petroleum-diesel'!AO25+'[1]BIFUbC-crude-oil'!AO25+'[1]BIFUbC-heavy-or-residual-oil'!AO25+'[1]BIFUbC-natural-gas'!AO25+'[1]BIFUbC-electricity'!AO25+'[1]BIFUbC-heat'!AO25+'[1]BIFUbC-biomass'!AO25+'[1]BIFUbC-hydrogen'!AQ25</f>
        <v>2720071622605339</v>
      </c>
      <c r="AP25" s="78">
        <f>'[1]BIFUbC-coal'!AP25+'[1]BIFUbC-LPG-propane-or-butane'!AP25+'[1]BIFUbC-petroleum-diesel'!AP25+'[1]BIFUbC-crude-oil'!AP25+'[1]BIFUbC-heavy-or-residual-oil'!AP25+'[1]BIFUbC-natural-gas'!AP25+'[1]BIFUbC-electricity'!AP25+'[1]BIFUbC-heat'!AP25+'[1]BIFUbC-biomass'!AP25+'[1]BIFUbC-hydrogen'!AR25</f>
        <v>2732327659298654.5</v>
      </c>
      <c r="AQ25" s="78">
        <f>'[1]BIFUbC-coal'!AQ25+'[1]BIFUbC-LPG-propane-or-butane'!AQ25+'[1]BIFUbC-petroleum-diesel'!AQ25+'[1]BIFUbC-crude-oil'!AQ25+'[1]BIFUbC-heavy-or-residual-oil'!AQ25+'[1]BIFUbC-natural-gas'!AQ25+'[1]BIFUbC-electricity'!AQ25+'[1]BIFUbC-heat'!AQ25+'[1]BIFUbC-biomass'!AQ25+'[1]BIFUbC-hydrogen'!AS25</f>
        <v>2735442200082252</v>
      </c>
    </row>
    <row r="26" spans="1:43" s="77" customFormat="1" x14ac:dyDescent="0.2">
      <c r="A26" s="77" t="s">
        <v>55</v>
      </c>
      <c r="B26" s="78">
        <f>'[1]BIFUbC-coal'!B26+'[1]BIFUbC-LPG-propane-or-butane'!B26+'[1]BIFUbC-petroleum-diesel'!B26+'[1]BIFUbC-crude-oil'!B26+'[1]BIFUbC-heavy-or-residual-oil'!B26+'[1]BIFUbC-natural-gas'!B26+'[1]BIFUbC-electricity'!B26+'[1]BIFUbC-heat'!B26+'[1]BIFUbC-biomass'!B26+'[1]BIFUbC-hydrogen'!D26</f>
        <v>1911243257682000</v>
      </c>
      <c r="C26" s="78">
        <f>'[1]BIFUbC-coal'!C26+'[1]BIFUbC-LPG-propane-or-butane'!C26+'[1]BIFUbC-petroleum-diesel'!C26+'[1]BIFUbC-crude-oil'!C26+'[1]BIFUbC-heavy-or-residual-oil'!C26+'[1]BIFUbC-natural-gas'!C26+'[1]BIFUbC-electricity'!C26+'[1]BIFUbC-heat'!C26+'[1]BIFUbC-biomass'!C26+'[1]BIFUbC-hydrogen'!E26</f>
        <v>2097268608798000</v>
      </c>
      <c r="D26" s="78">
        <f>'[1]BIFUbC-coal'!D26+'[1]BIFUbC-LPG-propane-or-butane'!D26+'[1]BIFUbC-petroleum-diesel'!D26+'[1]BIFUbC-crude-oil'!D26+'[1]BIFUbC-heavy-or-residual-oil'!D26+'[1]BIFUbC-natural-gas'!D26+'[1]BIFUbC-electricity'!D26+'[1]BIFUbC-heat'!D26+'[1]BIFUbC-biomass'!D26+'[1]BIFUbC-hydrogen'!F26</f>
        <v>2217468058697782</v>
      </c>
      <c r="E26" s="78">
        <f>'[1]BIFUbC-coal'!E26+'[1]BIFUbC-LPG-propane-or-butane'!E26+'[1]BIFUbC-petroleum-diesel'!E26+'[1]BIFUbC-crude-oil'!E26+'[1]BIFUbC-heavy-or-residual-oil'!E26+'[1]BIFUbC-natural-gas'!E26+'[1]BIFUbC-electricity'!E26+'[1]BIFUbC-heat'!E26+'[1]BIFUbC-biomass'!E26+'[1]BIFUbC-hydrogen'!G26</f>
        <v>2256523906335946.5</v>
      </c>
      <c r="F26" s="78">
        <f>'[1]BIFUbC-coal'!F26+'[1]BIFUbC-LPG-propane-or-butane'!F26+'[1]BIFUbC-petroleum-diesel'!F26+'[1]BIFUbC-crude-oil'!F26+'[1]BIFUbC-heavy-or-residual-oil'!F26+'[1]BIFUbC-natural-gas'!F26+'[1]BIFUbC-electricity'!F26+'[1]BIFUbC-heat'!F26+'[1]BIFUbC-biomass'!F26+'[1]BIFUbC-hydrogen'!H26</f>
        <v>2401629231391289.5</v>
      </c>
      <c r="G26" s="78">
        <f>'[1]BIFUbC-coal'!G26+'[1]BIFUbC-LPG-propane-or-butane'!G26+'[1]BIFUbC-petroleum-diesel'!G26+'[1]BIFUbC-crude-oil'!G26+'[1]BIFUbC-heavy-or-residual-oil'!G26+'[1]BIFUbC-natural-gas'!G26+'[1]BIFUbC-electricity'!G26+'[1]BIFUbC-heat'!G26+'[1]BIFUbC-biomass'!G26+'[1]BIFUbC-hydrogen'!I26</f>
        <v>2523108989106534</v>
      </c>
      <c r="H26" s="78">
        <f>'[1]BIFUbC-coal'!H26+'[1]BIFUbC-LPG-propane-or-butane'!H26+'[1]BIFUbC-petroleum-diesel'!H26+'[1]BIFUbC-crude-oil'!H26+'[1]BIFUbC-heavy-or-residual-oil'!H26+'[1]BIFUbC-natural-gas'!H26+'[1]BIFUbC-electricity'!H26+'[1]BIFUbC-heat'!H26+'[1]BIFUbC-biomass'!H26+'[1]BIFUbC-hydrogen'!J26</f>
        <v>2626128505278811</v>
      </c>
      <c r="I26" s="78">
        <f>'[1]BIFUbC-coal'!I26+'[1]BIFUbC-LPG-propane-or-butane'!I26+'[1]BIFUbC-petroleum-diesel'!I26+'[1]BIFUbC-crude-oil'!I26+'[1]BIFUbC-heavy-or-residual-oil'!I26+'[1]BIFUbC-natural-gas'!I26+'[1]BIFUbC-electricity'!I26+'[1]BIFUbC-heat'!I26+'[1]BIFUbC-biomass'!I26+'[1]BIFUbC-hydrogen'!K26</f>
        <v>2763020296047126</v>
      </c>
      <c r="J26" s="78">
        <f>'[1]BIFUbC-coal'!J26+'[1]BIFUbC-LPG-propane-or-butane'!J26+'[1]BIFUbC-petroleum-diesel'!J26+'[1]BIFUbC-crude-oil'!J26+'[1]BIFUbC-heavy-or-residual-oil'!J26+'[1]BIFUbC-natural-gas'!J26+'[1]BIFUbC-electricity'!J26+'[1]BIFUbC-heat'!J26+'[1]BIFUbC-biomass'!J26+'[1]BIFUbC-hydrogen'!L26</f>
        <v>2880598741687170</v>
      </c>
      <c r="K26" s="78">
        <f>'[1]BIFUbC-coal'!K26+'[1]BIFUbC-LPG-propane-or-butane'!K26+'[1]BIFUbC-petroleum-diesel'!K26+'[1]BIFUbC-crude-oil'!K26+'[1]BIFUbC-heavy-or-residual-oil'!K26+'[1]BIFUbC-natural-gas'!K26+'[1]BIFUbC-electricity'!K26+'[1]BIFUbC-heat'!K26+'[1]BIFUbC-biomass'!K26+'[1]BIFUbC-hydrogen'!M26</f>
        <v>2995251834692091.5</v>
      </c>
      <c r="L26" s="78">
        <f>'[1]BIFUbC-coal'!L26+'[1]BIFUbC-LPG-propane-or-butane'!L26+'[1]BIFUbC-petroleum-diesel'!L26+'[1]BIFUbC-crude-oil'!L26+'[1]BIFUbC-heavy-or-residual-oil'!L26+'[1]BIFUbC-natural-gas'!L26+'[1]BIFUbC-electricity'!L26+'[1]BIFUbC-heat'!L26+'[1]BIFUbC-biomass'!L26+'[1]BIFUbC-hydrogen'!N26</f>
        <v>3106535809635040</v>
      </c>
      <c r="M26" s="78">
        <f>'[1]BIFUbC-coal'!M26+'[1]BIFUbC-LPG-propane-or-butane'!M26+'[1]BIFUbC-petroleum-diesel'!M26+'[1]BIFUbC-crude-oil'!M26+'[1]BIFUbC-heavy-or-residual-oil'!M26+'[1]BIFUbC-natural-gas'!M26+'[1]BIFUbC-electricity'!M26+'[1]BIFUbC-heat'!M26+'[1]BIFUbC-biomass'!M26+'[1]BIFUbC-hydrogen'!O26</f>
        <v>3232105537260613</v>
      </c>
      <c r="N26" s="78">
        <f>'[1]BIFUbC-coal'!N26+'[1]BIFUbC-LPG-propane-or-butane'!N26+'[1]BIFUbC-petroleum-diesel'!N26+'[1]BIFUbC-crude-oil'!N26+'[1]BIFUbC-heavy-or-residual-oil'!N26+'[1]BIFUbC-natural-gas'!N26+'[1]BIFUbC-electricity'!N26+'[1]BIFUbC-heat'!N26+'[1]BIFUbC-biomass'!N26+'[1]BIFUbC-hydrogen'!P26</f>
        <v>3317591901880915</v>
      </c>
      <c r="O26" s="78">
        <f>'[1]BIFUbC-coal'!O26+'[1]BIFUbC-LPG-propane-or-butane'!O26+'[1]BIFUbC-petroleum-diesel'!O26+'[1]BIFUbC-crude-oil'!O26+'[1]BIFUbC-heavy-or-residual-oil'!O26+'[1]BIFUbC-natural-gas'!O26+'[1]BIFUbC-electricity'!O26+'[1]BIFUbC-heat'!O26+'[1]BIFUbC-biomass'!O26+'[1]BIFUbC-hydrogen'!Q26</f>
        <v>3416706429890737.5</v>
      </c>
      <c r="P26" s="78">
        <f>'[1]BIFUbC-coal'!P26+'[1]BIFUbC-LPG-propane-or-butane'!P26+'[1]BIFUbC-petroleum-diesel'!P26+'[1]BIFUbC-crude-oil'!P26+'[1]BIFUbC-heavy-or-residual-oil'!P26+'[1]BIFUbC-natural-gas'!P26+'[1]BIFUbC-electricity'!P26+'[1]BIFUbC-heat'!P26+'[1]BIFUbC-biomass'!P26+'[1]BIFUbC-hydrogen'!R26</f>
        <v>3511131213006336.5</v>
      </c>
      <c r="Q26" s="78">
        <f>'[1]BIFUbC-coal'!Q26+'[1]BIFUbC-LPG-propane-or-butane'!Q26+'[1]BIFUbC-petroleum-diesel'!Q26+'[1]BIFUbC-crude-oil'!Q26+'[1]BIFUbC-heavy-or-residual-oil'!Q26+'[1]BIFUbC-natural-gas'!Q26+'[1]BIFUbC-electricity'!Q26+'[1]BIFUbC-heat'!Q26+'[1]BIFUbC-biomass'!Q26+'[1]BIFUbC-hydrogen'!S26</f>
        <v>3600656621397492</v>
      </c>
      <c r="R26" s="78">
        <f>'[1]BIFUbC-coal'!R26+'[1]BIFUbC-LPG-propane-or-butane'!R26+'[1]BIFUbC-petroleum-diesel'!R26+'[1]BIFUbC-crude-oil'!R26+'[1]BIFUbC-heavy-or-residual-oil'!R26+'[1]BIFUbC-natural-gas'!R26+'[1]BIFUbC-electricity'!R26+'[1]BIFUbC-heat'!R26+'[1]BIFUbC-biomass'!R26+'[1]BIFUbC-hydrogen'!T26</f>
        <v>3677509264289245.5</v>
      </c>
      <c r="S26" s="78">
        <f>'[1]BIFUbC-coal'!S26+'[1]BIFUbC-LPG-propane-or-butane'!S26+'[1]BIFUbC-petroleum-diesel'!S26+'[1]BIFUbC-crude-oil'!S26+'[1]BIFUbC-heavy-or-residual-oil'!S26+'[1]BIFUbC-natural-gas'!S26+'[1]BIFUbC-electricity'!S26+'[1]BIFUbC-heat'!S26+'[1]BIFUbC-biomass'!S26+'[1]BIFUbC-hydrogen'!U26</f>
        <v>3764669633808574.5</v>
      </c>
      <c r="T26" s="78">
        <f>'[1]BIFUbC-coal'!T26+'[1]BIFUbC-LPG-propane-or-butane'!T26+'[1]BIFUbC-petroleum-diesel'!T26+'[1]BIFUbC-crude-oil'!T26+'[1]BIFUbC-heavy-or-residual-oil'!T26+'[1]BIFUbC-natural-gas'!T26+'[1]BIFUbC-electricity'!T26+'[1]BIFUbC-heat'!T26+'[1]BIFUbC-biomass'!T26+'[1]BIFUbC-hydrogen'!V26</f>
        <v>3839003541795606.5</v>
      </c>
      <c r="U26" s="78">
        <f>'[1]BIFUbC-coal'!U26+'[1]BIFUbC-LPG-propane-or-butane'!U26+'[1]BIFUbC-petroleum-diesel'!U26+'[1]BIFUbC-crude-oil'!U26+'[1]BIFUbC-heavy-or-residual-oil'!U26+'[1]BIFUbC-natural-gas'!U26+'[1]BIFUbC-electricity'!U26+'[1]BIFUbC-heat'!U26+'[1]BIFUbC-biomass'!U26+'[1]BIFUbC-hydrogen'!W26</f>
        <v>3908117857800475.5</v>
      </c>
      <c r="V26" s="78">
        <f>'[1]BIFUbC-coal'!V26+'[1]BIFUbC-LPG-propane-or-butane'!V26+'[1]BIFUbC-petroleum-diesel'!V26+'[1]BIFUbC-crude-oil'!V26+'[1]BIFUbC-heavy-or-residual-oil'!V26+'[1]BIFUbC-natural-gas'!V26+'[1]BIFUbC-electricity'!V26+'[1]BIFUbC-heat'!V26+'[1]BIFUbC-biomass'!V26+'[1]BIFUbC-hydrogen'!X26</f>
        <v>3972051310892976.5</v>
      </c>
      <c r="W26" s="78">
        <f>'[1]BIFUbC-coal'!W26+'[1]BIFUbC-LPG-propane-or-butane'!W26+'[1]BIFUbC-petroleum-diesel'!W26+'[1]BIFUbC-crude-oil'!W26+'[1]BIFUbC-heavy-or-residual-oil'!W26+'[1]BIFUbC-natural-gas'!W26+'[1]BIFUbC-electricity'!W26+'[1]BIFUbC-heat'!W26+'[1]BIFUbC-biomass'!W26+'[1]BIFUbC-hydrogen'!Y26</f>
        <v>4030887398246871</v>
      </c>
      <c r="X26" s="78">
        <f>'[1]BIFUbC-coal'!X26+'[1]BIFUbC-LPG-propane-or-butane'!X26+'[1]BIFUbC-petroleum-diesel'!X26+'[1]BIFUbC-crude-oil'!X26+'[1]BIFUbC-heavy-or-residual-oil'!X26+'[1]BIFUbC-natural-gas'!X26+'[1]BIFUbC-electricity'!X26+'[1]BIFUbC-heat'!X26+'[1]BIFUbC-biomass'!X26+'[1]BIFUbC-hydrogen'!Z26</f>
        <v>4084751696796264</v>
      </c>
      <c r="Y26" s="78">
        <f>'[1]BIFUbC-coal'!Y26+'[1]BIFUbC-LPG-propane-or-butane'!Y26+'[1]BIFUbC-petroleum-diesel'!Y26+'[1]BIFUbC-crude-oil'!Y26+'[1]BIFUbC-heavy-or-residual-oil'!Y26+'[1]BIFUbC-natural-gas'!Y26+'[1]BIFUbC-electricity'!Y26+'[1]BIFUbC-heat'!Y26+'[1]BIFUbC-biomass'!Y26+'[1]BIFUbC-hydrogen'!AA26</f>
        <v>4133808908057600</v>
      </c>
      <c r="Z26" s="78">
        <f>'[1]BIFUbC-coal'!Z26+'[1]BIFUbC-LPG-propane-or-butane'!Z26+'[1]BIFUbC-petroleum-diesel'!Z26+'[1]BIFUbC-crude-oil'!Z26+'[1]BIFUbC-heavy-or-residual-oil'!Z26+'[1]BIFUbC-natural-gas'!Z26+'[1]BIFUbC-electricity'!Z26+'[1]BIFUbC-heat'!Z26+'[1]BIFUbC-biomass'!Z26+'[1]BIFUbC-hydrogen'!AB26</f>
        <v>4178259715627979.5</v>
      </c>
      <c r="AA26" s="78">
        <f>'[1]BIFUbC-coal'!AA26+'[1]BIFUbC-LPG-propane-or-butane'!AA26+'[1]BIFUbC-petroleum-diesel'!AA26+'[1]BIFUbC-crude-oil'!AA26+'[1]BIFUbC-heavy-or-residual-oil'!AA26+'[1]BIFUbC-natural-gas'!AA26+'[1]BIFUbC-electricity'!AA26+'[1]BIFUbC-heat'!AA26+'[1]BIFUbC-biomass'!AA26+'[1]BIFUbC-hydrogen'!AC26</f>
        <v>4218337531900366.5</v>
      </c>
      <c r="AB26" s="78">
        <f>'[1]BIFUbC-coal'!AB26+'[1]BIFUbC-LPG-propane-or-butane'!AB26+'[1]BIFUbC-petroleum-diesel'!AB26+'[1]BIFUbC-crude-oil'!AB26+'[1]BIFUbC-heavy-or-residual-oil'!AB26+'[1]BIFUbC-natural-gas'!AB26+'[1]BIFUbC-electricity'!AB26+'[1]BIFUbC-heat'!AB26+'[1]BIFUbC-biomass'!AB26+'[1]BIFUbC-hydrogen'!AD26</f>
        <v>4254305206279471.5</v>
      </c>
      <c r="AC26" s="78">
        <f>'[1]BIFUbC-coal'!AC26+'[1]BIFUbC-LPG-propane-or-butane'!AC26+'[1]BIFUbC-petroleum-diesel'!AC26+'[1]BIFUbC-crude-oil'!AC26+'[1]BIFUbC-heavy-or-residual-oil'!AC26+'[1]BIFUbC-natural-gas'!AC26+'[1]BIFUbC-electricity'!AC26+'[1]BIFUbC-heat'!AC26+'[1]BIFUbC-biomass'!AC26+'[1]BIFUbC-hydrogen'!AE26</f>
        <v>4286451761928087</v>
      </c>
      <c r="AD26" s="78">
        <f>'[1]BIFUbC-coal'!AD26+'[1]BIFUbC-LPG-propane-or-butane'!AD26+'[1]BIFUbC-petroleum-diesel'!AD26+'[1]BIFUbC-crude-oil'!AD26+'[1]BIFUbC-heavy-or-residual-oil'!AD26+'[1]BIFUbC-natural-gas'!AD26+'[1]BIFUbC-electricity'!AD26+'[1]BIFUbC-heat'!AD26+'[1]BIFUbC-biomass'!AD26+'[1]BIFUbC-hydrogen'!AF26</f>
        <v>4315089222101698</v>
      </c>
      <c r="AE26" s="78">
        <f>'[1]BIFUbC-coal'!AE26+'[1]BIFUbC-LPG-propane-or-butane'!AE26+'[1]BIFUbC-petroleum-diesel'!AE26+'[1]BIFUbC-crude-oil'!AE26+'[1]BIFUbC-heavy-or-residual-oil'!AE26+'[1]BIFUbC-natural-gas'!AE26+'[1]BIFUbC-electricity'!AE26+'[1]BIFUbC-heat'!AE26+'[1]BIFUbC-biomass'!AE26+'[1]BIFUbC-hydrogen'!AG26</f>
        <v>4340549580711626</v>
      </c>
      <c r="AF26" s="78">
        <f>'[1]BIFUbC-coal'!AF26+'[1]BIFUbC-LPG-propane-or-butane'!AF26+'[1]BIFUbC-petroleum-diesel'!AF26+'[1]BIFUbC-crude-oil'!AF26+'[1]BIFUbC-heavy-or-residual-oil'!AF26+'[1]BIFUbC-natural-gas'!AF26+'[1]BIFUbC-electricity'!AF26+'[1]BIFUbC-heat'!AF26+'[1]BIFUbC-biomass'!AF26+'[1]BIFUbC-hydrogen'!AH26</f>
        <v>4363181965144298</v>
      </c>
      <c r="AG26" s="78">
        <f>'[1]BIFUbC-coal'!AG26+'[1]BIFUbC-LPG-propane-or-butane'!AG26+'[1]BIFUbC-petroleum-diesel'!AG26+'[1]BIFUbC-crude-oil'!AG26+'[1]BIFUbC-heavy-or-residual-oil'!AG26+'[1]BIFUbC-natural-gas'!AG26+'[1]BIFUbC-electricity'!AG26+'[1]BIFUbC-heat'!AG26+'[1]BIFUbC-biomass'!AG26+'[1]BIFUbC-hydrogen'!AI26</f>
        <v>4383350032786504.5</v>
      </c>
      <c r="AH26" s="78">
        <f>'[1]BIFUbC-coal'!AH26+'[1]BIFUbC-LPG-propane-or-butane'!AH26+'[1]BIFUbC-petroleum-diesel'!AH26+'[1]BIFUbC-crude-oil'!AH26+'[1]BIFUbC-heavy-or-residual-oil'!AH26+'[1]BIFUbC-natural-gas'!AH26+'[1]BIFUbC-electricity'!AH26+'[1]BIFUbC-heat'!AH26+'[1]BIFUbC-biomass'!AH26+'[1]BIFUbC-hydrogen'!AJ26</f>
        <v>4401429636364832</v>
      </c>
      <c r="AI26" s="78">
        <f>'[1]BIFUbC-coal'!AI26+'[1]BIFUbC-LPG-propane-or-butane'!AI26+'[1]BIFUbC-petroleum-diesel'!AI26+'[1]BIFUbC-crude-oil'!AI26+'[1]BIFUbC-heavy-or-residual-oil'!AI26+'[1]BIFUbC-natural-gas'!AI26+'[1]BIFUbC-electricity'!AI26+'[1]BIFUbC-heat'!AI26+'[1]BIFUbC-biomass'!AI26+'[1]BIFUbC-hydrogen'!AK26</f>
        <v>4417806787279162.5</v>
      </c>
      <c r="AJ26" s="78">
        <f>'[1]BIFUbC-coal'!AJ26+'[1]BIFUbC-LPG-propane-or-butane'!AJ26+'[1]BIFUbC-petroleum-diesel'!AJ26+'[1]BIFUbC-crude-oil'!AJ26+'[1]BIFUbC-heavy-or-residual-oil'!AJ26+'[1]BIFUbC-natural-gas'!AJ26+'[1]BIFUbC-electricity'!AJ26+'[1]BIFUbC-heat'!AJ26+'[1]BIFUbC-biomass'!AJ26+'[1]BIFUbC-hydrogen'!AL26</f>
        <v>4432875940740076.5</v>
      </c>
      <c r="AK26" s="78">
        <f>'[1]BIFUbC-coal'!AK26+'[1]BIFUbC-LPG-propane-or-butane'!AK26+'[1]BIFUbC-petroleum-diesel'!AK26+'[1]BIFUbC-crude-oil'!AK26+'[1]BIFUbC-heavy-or-residual-oil'!AK26+'[1]BIFUbC-natural-gas'!AK26+'[1]BIFUbC-electricity'!AK26+'[1]BIFUbC-heat'!AK26+'[1]BIFUbC-biomass'!AK26+'[1]BIFUbC-hydrogen'!AM26</f>
        <v>4447038621830987</v>
      </c>
      <c r="AL26" s="78">
        <f>'[1]BIFUbC-coal'!AL26+'[1]BIFUbC-LPG-propane-or-butane'!AL26+'[1]BIFUbC-petroleum-diesel'!AL26+'[1]BIFUbC-crude-oil'!AL26+'[1]BIFUbC-heavy-or-residual-oil'!AL26+'[1]BIFUbC-natural-gas'!AL26+'[1]BIFUbC-electricity'!AL26+'[1]BIFUbC-heat'!AL26+'[1]BIFUbC-biomass'!AL26+'[1]BIFUbC-hydrogen'!AN26</f>
        <v>4460702407703770</v>
      </c>
      <c r="AM26" s="78">
        <f>'[1]BIFUbC-coal'!AM26+'[1]BIFUbC-LPG-propane-or-butane'!AM26+'[1]BIFUbC-petroleum-diesel'!AM26+'[1]BIFUbC-crude-oil'!AM26+'[1]BIFUbC-heavy-or-residual-oil'!AM26+'[1]BIFUbC-natural-gas'!AM26+'[1]BIFUbC-electricity'!AM26+'[1]BIFUbC-heat'!AM26+'[1]BIFUbC-biomass'!AM26+'[1]BIFUbC-hydrogen'!AO26</f>
        <v>4474280278057155.5</v>
      </c>
      <c r="AN26" s="78">
        <f>'[1]BIFUbC-coal'!AN26+'[1]BIFUbC-LPG-propane-or-butane'!AN26+'[1]BIFUbC-petroleum-diesel'!AN26+'[1]BIFUbC-crude-oil'!AN26+'[1]BIFUbC-heavy-or-residual-oil'!AN26+'[1]BIFUbC-natural-gas'!AN26+'[1]BIFUbC-electricity'!AN26+'[1]BIFUbC-heat'!AN26+'[1]BIFUbC-biomass'!AN26+'[1]BIFUbC-hydrogen'!AP26</f>
        <v>4488190343898620.5</v>
      </c>
      <c r="AO26" s="78">
        <f>'[1]BIFUbC-coal'!AO26+'[1]BIFUbC-LPG-propane-or-butane'!AO26+'[1]BIFUbC-petroleum-diesel'!AO26+'[1]BIFUbC-crude-oil'!AO26+'[1]BIFUbC-heavy-or-residual-oil'!AO26+'[1]BIFUbC-natural-gas'!AO26+'[1]BIFUbC-electricity'!AO26+'[1]BIFUbC-heat'!AO26+'[1]BIFUbC-biomass'!AO26+'[1]BIFUbC-hydrogen'!AQ26</f>
        <v>4502855963398644.5</v>
      </c>
      <c r="AP26" s="78">
        <f>'[1]BIFUbC-coal'!AP26+'[1]BIFUbC-LPG-propane-or-butane'!AP26+'[1]BIFUbC-petroleum-diesel'!AP26+'[1]BIFUbC-crude-oil'!AP26+'[1]BIFUbC-heavy-or-residual-oil'!AP26+'[1]BIFUbC-natural-gas'!AP26+'[1]BIFUbC-electricity'!AP26+'[1]BIFUbC-heat'!AP26+'[1]BIFUbC-biomass'!AP26+'[1]BIFUbC-hydrogen'!AR26</f>
        <v>4518706253446005</v>
      </c>
      <c r="AQ26" s="78">
        <f>'[1]BIFUbC-coal'!AQ26+'[1]BIFUbC-LPG-propane-or-butane'!AQ26+'[1]BIFUbC-petroleum-diesel'!AQ26+'[1]BIFUbC-crude-oil'!AQ26+'[1]BIFUbC-heavy-or-residual-oil'!AQ26+'[1]BIFUbC-natural-gas'!AQ26+'[1]BIFUbC-electricity'!AQ26+'[1]BIFUbC-heat'!AQ26+'[1]BIFUbC-biomass'!AQ26+'[1]BIFUbC-hydrogen'!AS26</f>
        <v>4535602617557624</v>
      </c>
    </row>
    <row r="27" spans="1:43" x14ac:dyDescent="0.2">
      <c r="A27" s="14" t="s">
        <v>3</v>
      </c>
      <c r="B27" s="14">
        <v>2269430122869799.5</v>
      </c>
      <c r="C27" s="14">
        <v>2269430122869799.5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9"/>
  <sheetViews>
    <sheetView zoomScale="90" zoomScaleNormal="90" workbookViewId="0">
      <selection activeCell="B136" sqref="B136"/>
    </sheetView>
  </sheetViews>
  <sheetFormatPr defaultColWidth="9" defaultRowHeight="15" x14ac:dyDescent="0.25"/>
  <cols>
    <col min="1" max="1" width="12.25" style="2" customWidth="1"/>
    <col min="2" max="2" width="28.5" style="1" customWidth="1"/>
    <col min="3" max="3" width="20" style="2" customWidth="1"/>
    <col min="4" max="4" width="32.25" style="29" customWidth="1"/>
    <col min="5" max="5" width="20" style="2" customWidth="1"/>
    <col min="6" max="6" width="24" style="1" customWidth="1"/>
    <col min="7" max="10" width="12.5" style="1" customWidth="1"/>
    <col min="11" max="12" width="20" style="1" customWidth="1"/>
    <col min="13" max="21" width="13.5" style="1" customWidth="1"/>
    <col min="22" max="16384" width="9" style="1"/>
  </cols>
  <sheetData>
    <row r="1" spans="1:14" ht="31.5" customHeight="1" x14ac:dyDescent="0.25">
      <c r="A1" s="3" t="s">
        <v>106</v>
      </c>
      <c r="B1" s="3" t="s">
        <v>107</v>
      </c>
      <c r="C1" s="3" t="s">
        <v>108</v>
      </c>
      <c r="D1" s="3" t="s">
        <v>64</v>
      </c>
      <c r="E1" s="3" t="s">
        <v>109</v>
      </c>
      <c r="F1" s="3" t="s">
        <v>110</v>
      </c>
      <c r="G1" s="28" t="s">
        <v>381</v>
      </c>
      <c r="H1" s="4" t="s">
        <v>379</v>
      </c>
      <c r="I1" s="28" t="s">
        <v>380</v>
      </c>
      <c r="J1" s="28" t="s">
        <v>382</v>
      </c>
      <c r="K1" s="36" t="s">
        <v>431</v>
      </c>
      <c r="L1" s="28" t="s">
        <v>432</v>
      </c>
      <c r="M1" s="4" t="s">
        <v>383</v>
      </c>
      <c r="N1" s="2"/>
    </row>
    <row r="2" spans="1:14" x14ac:dyDescent="0.25">
      <c r="A2" s="2">
        <v>2020</v>
      </c>
      <c r="B2" s="1" t="s">
        <v>111</v>
      </c>
      <c r="C2" s="2" t="s">
        <v>112</v>
      </c>
      <c r="D2" s="29" t="str">
        <f>IFERROR(VLOOKUP(C2,'Sector &amp; Policy Match'!$A$1:$B$42,2,0),"")</f>
        <v>cement and other nonmetallic minerals 239</v>
      </c>
      <c r="E2" s="2" t="s">
        <v>113</v>
      </c>
      <c r="F2" s="1" t="str">
        <f>VLOOKUP(E2,'Sector &amp; Policy Match'!$G$1:$H$8,2,0)</f>
        <v>Early Facility Retirement</v>
      </c>
      <c r="G2" s="6" t="s">
        <v>27</v>
      </c>
      <c r="H2" s="34">
        <v>2021</v>
      </c>
      <c r="I2" s="2">
        <v>2025</v>
      </c>
      <c r="J2" s="6">
        <v>0.1</v>
      </c>
      <c r="K2" s="2">
        <v>9.65</v>
      </c>
      <c r="L2" s="53">
        <f>(1-IF(G2="&lt;5%",0,G2))/(J2-IF(G2="&lt;5%",0,G2))*K2</f>
        <v>96.5</v>
      </c>
      <c r="M2" s="7">
        <v>2060</v>
      </c>
    </row>
    <row r="3" spans="1:14" x14ac:dyDescent="0.25">
      <c r="A3" s="2">
        <v>2020</v>
      </c>
      <c r="B3" s="1" t="s">
        <v>114</v>
      </c>
      <c r="C3" s="2" t="s">
        <v>112</v>
      </c>
      <c r="D3" s="29" t="str">
        <f>IFERROR(VLOOKUP(C3,'Sector &amp; Policy Match'!$A$1:$B$42,2,0),"")</f>
        <v>cement and other nonmetallic minerals 239</v>
      </c>
      <c r="E3" s="2" t="s">
        <v>113</v>
      </c>
      <c r="F3" s="1" t="str">
        <f>VLOOKUP(E3,'Sector &amp; Policy Match'!$G$1:$H$8,2,0)</f>
        <v>Early Facility Retirement</v>
      </c>
      <c r="G3" s="6" t="s">
        <v>27</v>
      </c>
      <c r="H3" s="34">
        <v>2021</v>
      </c>
      <c r="I3" s="2">
        <v>2025</v>
      </c>
      <c r="J3" s="6">
        <v>0.2</v>
      </c>
      <c r="K3" s="2">
        <v>8.7200000000000006</v>
      </c>
      <c r="L3" s="39">
        <f t="shared" ref="L3:L64" si="0">(1-IF(G3="&lt;5%",0,G3))/(J3-IF(G3="&lt;5%",0,G3))*K3</f>
        <v>43.6</v>
      </c>
      <c r="M3" s="7">
        <v>2060</v>
      </c>
    </row>
    <row r="4" spans="1:14" x14ac:dyDescent="0.25">
      <c r="A4" s="2">
        <v>2020</v>
      </c>
      <c r="B4" s="1" t="s">
        <v>115</v>
      </c>
      <c r="C4" s="2" t="s">
        <v>112</v>
      </c>
      <c r="D4" s="29" t="str">
        <f>IFERROR(VLOOKUP(C4,'Sector &amp; Policy Match'!$A$1:$B$42,2,0),"")</f>
        <v>cement and other nonmetallic minerals 239</v>
      </c>
      <c r="E4" s="2" t="s">
        <v>113</v>
      </c>
      <c r="F4" s="1" t="str">
        <f>VLOOKUP(E4,'Sector &amp; Policy Match'!$G$1:$H$8,2,0)</f>
        <v>Early Facility Retirement</v>
      </c>
      <c r="G4" s="6" t="s">
        <v>27</v>
      </c>
      <c r="H4" s="34">
        <v>2021</v>
      </c>
      <c r="I4" s="2">
        <v>2025</v>
      </c>
      <c r="J4" s="6">
        <v>0.1</v>
      </c>
      <c r="K4" s="2">
        <v>92.1</v>
      </c>
      <c r="L4" s="39">
        <f t="shared" si="0"/>
        <v>921</v>
      </c>
      <c r="M4" s="7">
        <v>2060</v>
      </c>
    </row>
    <row r="5" spans="1:14" x14ac:dyDescent="0.25">
      <c r="A5" s="2">
        <v>2020</v>
      </c>
      <c r="B5" s="1" t="s">
        <v>116</v>
      </c>
      <c r="C5" s="2" t="s">
        <v>112</v>
      </c>
      <c r="D5" s="29" t="str">
        <f>IFERROR(VLOOKUP(C5,'Sector &amp; Policy Match'!$A$1:$B$42,2,0),"")</f>
        <v>cement and other nonmetallic minerals 239</v>
      </c>
      <c r="E5" s="2" t="s">
        <v>113</v>
      </c>
      <c r="F5" s="1" t="str">
        <f>VLOOKUP(E5,'Sector &amp; Policy Match'!$G$1:$H$8,2,0)</f>
        <v>Early Facility Retirement</v>
      </c>
      <c r="G5" s="6" t="s">
        <v>27</v>
      </c>
      <c r="H5" s="34">
        <v>2021</v>
      </c>
      <c r="I5" s="2">
        <v>2025</v>
      </c>
      <c r="J5" s="6">
        <v>0.1</v>
      </c>
      <c r="K5" s="2">
        <v>26.6</v>
      </c>
      <c r="L5" s="39">
        <f t="shared" si="0"/>
        <v>266</v>
      </c>
      <c r="M5" s="7">
        <v>2060</v>
      </c>
    </row>
    <row r="6" spans="1:14" x14ac:dyDescent="0.25">
      <c r="A6" s="2">
        <v>2020</v>
      </c>
      <c r="B6" s="1" t="s">
        <v>117</v>
      </c>
      <c r="C6" s="2" t="s">
        <v>112</v>
      </c>
      <c r="D6" s="29" t="str">
        <f>IFERROR(VLOOKUP(C6,'Sector &amp; Policy Match'!$A$1:$B$42,2,0),"")</f>
        <v>cement and other nonmetallic minerals 239</v>
      </c>
      <c r="E6" s="2" t="s">
        <v>113</v>
      </c>
      <c r="F6" s="1" t="str">
        <f>VLOOKUP(E6,'Sector &amp; Policy Match'!$G$1:$H$8,2,0)</f>
        <v>Early Facility Retirement</v>
      </c>
      <c r="G6" s="6" t="s">
        <v>27</v>
      </c>
      <c r="H6" s="34">
        <v>2021</v>
      </c>
      <c r="I6" s="2">
        <v>2025</v>
      </c>
      <c r="J6" s="6">
        <v>0.1</v>
      </c>
      <c r="K6" s="2">
        <v>3.5</v>
      </c>
      <c r="L6" s="39">
        <f t="shared" si="0"/>
        <v>35</v>
      </c>
      <c r="M6" s="7">
        <v>2060</v>
      </c>
    </row>
    <row r="7" spans="1:14" x14ac:dyDescent="0.25">
      <c r="A7" s="2">
        <v>2020</v>
      </c>
      <c r="B7" s="1" t="s">
        <v>118</v>
      </c>
      <c r="C7" s="2" t="s">
        <v>119</v>
      </c>
      <c r="D7" s="29" t="str">
        <f>IFERROR(VLOOKUP(C7,'Sector &amp; Policy Match'!$A$1:$B$42,2,0),"")</f>
        <v>iron and steel 241</v>
      </c>
      <c r="E7" s="2" t="s">
        <v>113</v>
      </c>
      <c r="F7" s="1" t="str">
        <f>VLOOKUP(E7,'Sector &amp; Policy Match'!$G$1:$H$8,2,0)</f>
        <v>Early Facility Retirement</v>
      </c>
      <c r="G7" s="6" t="s">
        <v>27</v>
      </c>
      <c r="H7" s="34">
        <v>2021</v>
      </c>
      <c r="I7" s="2">
        <v>2025</v>
      </c>
      <c r="J7" s="6">
        <v>0.15</v>
      </c>
      <c r="K7" s="2">
        <v>18</v>
      </c>
      <c r="L7" s="39">
        <f t="shared" si="0"/>
        <v>120</v>
      </c>
      <c r="M7" s="7">
        <v>2060</v>
      </c>
    </row>
    <row r="8" spans="1:14" x14ac:dyDescent="0.25">
      <c r="A8" s="2">
        <v>2020</v>
      </c>
      <c r="B8" s="1" t="s">
        <v>120</v>
      </c>
      <c r="C8" s="2" t="s">
        <v>112</v>
      </c>
      <c r="D8" s="29" t="str">
        <f>IFERROR(VLOOKUP(C8,'Sector &amp; Policy Match'!$A$1:$B$42,2,0),"")</f>
        <v>cement and other nonmetallic minerals 239</v>
      </c>
      <c r="E8" s="2" t="s">
        <v>113</v>
      </c>
      <c r="F8" s="1" t="str">
        <f>VLOOKUP(E8,'Sector &amp; Policy Match'!$G$1:$H$8,2,0)</f>
        <v>Early Facility Retirement</v>
      </c>
      <c r="G8" s="6">
        <v>0.05</v>
      </c>
      <c r="H8" s="34">
        <v>2021</v>
      </c>
      <c r="I8" s="2">
        <v>2025</v>
      </c>
      <c r="J8" s="6">
        <v>0.5</v>
      </c>
      <c r="K8" s="2">
        <v>120</v>
      </c>
      <c r="L8" s="39">
        <f t="shared" si="0"/>
        <v>253.33333333333334</v>
      </c>
      <c r="M8" s="7">
        <v>2060</v>
      </c>
    </row>
    <row r="9" spans="1:14" x14ac:dyDescent="0.25">
      <c r="A9" s="2">
        <v>2020</v>
      </c>
      <c r="B9" s="1" t="s">
        <v>121</v>
      </c>
      <c r="C9" s="2" t="s">
        <v>119</v>
      </c>
      <c r="D9" s="29" t="str">
        <f>IFERROR(VLOOKUP(C9,'Sector &amp; Policy Match'!$A$1:$B$42,2,0),"")</f>
        <v>iron and steel 241</v>
      </c>
      <c r="E9" s="2" t="s">
        <v>113</v>
      </c>
      <c r="F9" s="1" t="str">
        <f>VLOOKUP(E9,'Sector &amp; Policy Match'!$G$1:$H$8,2,0)</f>
        <v>Early Facility Retirement</v>
      </c>
      <c r="G9" s="6">
        <v>0.05</v>
      </c>
      <c r="H9" s="34">
        <v>2021</v>
      </c>
      <c r="I9" s="2">
        <v>2025</v>
      </c>
      <c r="J9" s="6">
        <v>0.35</v>
      </c>
      <c r="K9" s="2">
        <v>178</v>
      </c>
      <c r="L9" s="39">
        <f t="shared" si="0"/>
        <v>563.66666666666663</v>
      </c>
      <c r="M9" s="7">
        <v>2060</v>
      </c>
    </row>
    <row r="10" spans="1:14" x14ac:dyDescent="0.25">
      <c r="A10" s="2">
        <v>2020</v>
      </c>
      <c r="B10" s="1" t="s">
        <v>122</v>
      </c>
      <c r="D10" s="29" t="str">
        <f>IFERROR(VLOOKUP(C10,'Sector &amp; Policy Match'!$A$1:$B$42,2,0),"")</f>
        <v/>
      </c>
      <c r="E10" s="2" t="s">
        <v>113</v>
      </c>
      <c r="F10" s="1" t="str">
        <f>VLOOKUP(E10,'Sector &amp; Policy Match'!$G$1:$H$8,2,0)</f>
        <v>Early Facility Retirement</v>
      </c>
      <c r="G10" s="6">
        <v>0.05</v>
      </c>
      <c r="H10" s="34">
        <v>2021</v>
      </c>
      <c r="I10" s="2">
        <v>2025</v>
      </c>
      <c r="J10" s="6">
        <v>0.15</v>
      </c>
      <c r="K10" s="2">
        <v>95</v>
      </c>
      <c r="L10" s="39">
        <f t="shared" si="0"/>
        <v>902.5</v>
      </c>
      <c r="M10" s="7">
        <v>2060</v>
      </c>
    </row>
    <row r="11" spans="1:14" x14ac:dyDescent="0.25">
      <c r="A11" s="2">
        <v>2020</v>
      </c>
      <c r="B11" s="1" t="s">
        <v>123</v>
      </c>
      <c r="C11" s="2" t="s">
        <v>119</v>
      </c>
      <c r="D11" s="29" t="str">
        <f>IFERROR(VLOOKUP(C11,'Sector &amp; Policy Match'!$A$1:$B$42,2,0),"")</f>
        <v>iron and steel 241</v>
      </c>
      <c r="E11" s="2" t="s">
        <v>113</v>
      </c>
      <c r="F11" s="1" t="str">
        <f>VLOOKUP(E11,'Sector &amp; Policy Match'!$G$1:$H$8,2,0)</f>
        <v>Early Facility Retirement</v>
      </c>
      <c r="G11" s="6">
        <v>0.05</v>
      </c>
      <c r="H11" s="34">
        <v>2021</v>
      </c>
      <c r="I11" s="2">
        <v>2025</v>
      </c>
      <c r="J11" s="6">
        <v>0.2</v>
      </c>
      <c r="K11" s="2">
        <v>21</v>
      </c>
      <c r="L11" s="39">
        <f t="shared" si="0"/>
        <v>132.99999999999997</v>
      </c>
      <c r="M11" s="7">
        <v>2060</v>
      </c>
    </row>
    <row r="12" spans="1:14" x14ac:dyDescent="0.25">
      <c r="A12" s="2">
        <v>2020</v>
      </c>
      <c r="B12" s="1" t="s">
        <v>124</v>
      </c>
      <c r="C12" s="2" t="s">
        <v>125</v>
      </c>
      <c r="D12" s="29" t="str">
        <f>IFERROR(VLOOKUP(C12,'Sector &amp; Policy Match'!$A$1:$B$42,2,0),"")</f>
        <v>chemicals 20</v>
      </c>
      <c r="E12" s="2" t="s">
        <v>113</v>
      </c>
      <c r="F12" s="1" t="str">
        <f>VLOOKUP(E12,'Sector &amp; Policy Match'!$G$1:$H$8,2,0)</f>
        <v>Early Facility Retirement</v>
      </c>
      <c r="G12" s="6">
        <v>0.05</v>
      </c>
      <c r="H12" s="34">
        <v>2021</v>
      </c>
      <c r="I12" s="2">
        <v>2025</v>
      </c>
      <c r="J12" s="6">
        <v>0.15</v>
      </c>
      <c r="K12" s="2">
        <v>13</v>
      </c>
      <c r="L12" s="39">
        <f t="shared" si="0"/>
        <v>123.5</v>
      </c>
      <c r="M12" s="7">
        <v>2060</v>
      </c>
    </row>
    <row r="13" spans="1:14" x14ac:dyDescent="0.25">
      <c r="A13" s="2">
        <v>2020</v>
      </c>
      <c r="B13" s="1" t="s">
        <v>126</v>
      </c>
      <c r="C13" s="2" t="s">
        <v>112</v>
      </c>
      <c r="D13" s="29" t="str">
        <f>IFERROR(VLOOKUP(C13,'Sector &amp; Policy Match'!$A$1:$B$42,2,0),"")</f>
        <v>cement and other nonmetallic minerals 239</v>
      </c>
      <c r="E13" s="2" t="s">
        <v>113</v>
      </c>
      <c r="F13" s="1" t="str">
        <f>VLOOKUP(E13,'Sector &amp; Policy Match'!$G$1:$H$8,2,0)</f>
        <v>Early Facility Retirement</v>
      </c>
      <c r="G13" s="6">
        <v>0.1</v>
      </c>
      <c r="H13" s="34">
        <v>2021</v>
      </c>
      <c r="I13" s="2">
        <v>2025</v>
      </c>
      <c r="J13" s="6">
        <v>0.3</v>
      </c>
      <c r="K13" s="2">
        <v>15</v>
      </c>
      <c r="L13" s="39">
        <f t="shared" si="0"/>
        <v>67.500000000000014</v>
      </c>
      <c r="M13" s="7">
        <v>2060</v>
      </c>
    </row>
    <row r="14" spans="1:14" x14ac:dyDescent="0.25">
      <c r="A14" s="9">
        <v>2020</v>
      </c>
      <c r="B14" s="10" t="s">
        <v>127</v>
      </c>
      <c r="C14" s="9" t="s">
        <v>128</v>
      </c>
      <c r="D14" s="30" t="str">
        <f>IFERROR(VLOOKUP(C14,'Sector &amp; Policy Match'!$A$1:$B$42,2,0),"")</f>
        <v/>
      </c>
      <c r="E14" s="9" t="s">
        <v>113</v>
      </c>
      <c r="F14" s="10" t="str">
        <f>VLOOKUP(E14,'Sector &amp; Policy Match'!$G$1:$H$8,2,0)</f>
        <v>Early Facility Retirement</v>
      </c>
      <c r="G14" s="11">
        <v>0.1</v>
      </c>
      <c r="H14" s="35">
        <v>2021</v>
      </c>
      <c r="I14" s="9">
        <v>2025</v>
      </c>
      <c r="J14" s="11">
        <v>0.3</v>
      </c>
      <c r="K14" s="9">
        <v>8.9</v>
      </c>
      <c r="L14" s="18">
        <f t="shared" si="0"/>
        <v>40.050000000000011</v>
      </c>
      <c r="M14" s="13">
        <v>2060</v>
      </c>
    </row>
    <row r="15" spans="1:14" x14ac:dyDescent="0.25">
      <c r="A15" s="9">
        <v>2020</v>
      </c>
      <c r="B15" s="10" t="s">
        <v>127</v>
      </c>
      <c r="C15" s="9" t="s">
        <v>112</v>
      </c>
      <c r="D15" s="30" t="str">
        <f>IFERROR(VLOOKUP(C15,'Sector &amp; Policy Match'!$A$1:$B$42,2,0),"")</f>
        <v>cement and other nonmetallic minerals 239</v>
      </c>
      <c r="E15" s="9" t="s">
        <v>113</v>
      </c>
      <c r="F15" s="10" t="str">
        <f>VLOOKUP(E15,'Sector &amp; Policy Match'!$G$1:$H$8,2,0)</f>
        <v>Early Facility Retirement</v>
      </c>
      <c r="G15" s="11">
        <v>0.1</v>
      </c>
      <c r="H15" s="35">
        <v>2021</v>
      </c>
      <c r="I15" s="9">
        <v>2025</v>
      </c>
      <c r="J15" s="11">
        <v>0.3</v>
      </c>
      <c r="K15" s="16">
        <f>BIFUbC!B14/(BIFUbC!B14+BIFUbC!B15)*K14</f>
        <v>2.5146699831712431</v>
      </c>
      <c r="L15" s="18">
        <f t="shared" si="0"/>
        <v>11.316014924270597</v>
      </c>
      <c r="M15" s="13">
        <v>2060</v>
      </c>
    </row>
    <row r="16" spans="1:14" x14ac:dyDescent="0.25">
      <c r="A16" s="9">
        <v>2020</v>
      </c>
      <c r="B16" s="10" t="s">
        <v>127</v>
      </c>
      <c r="C16" s="9" t="s">
        <v>119</v>
      </c>
      <c r="D16" s="30" t="str">
        <f>IFERROR(VLOOKUP(C16,'Sector &amp; Policy Match'!$A$1:$B$42,2,0),"")</f>
        <v>iron and steel 241</v>
      </c>
      <c r="E16" s="9" t="s">
        <v>113</v>
      </c>
      <c r="F16" s="10" t="str">
        <f>VLOOKUP(E16,'Sector &amp; Policy Match'!$G$1:$H$8,2,0)</f>
        <v>Early Facility Retirement</v>
      </c>
      <c r="G16" s="11">
        <v>0.1</v>
      </c>
      <c r="H16" s="35">
        <v>2021</v>
      </c>
      <c r="I16" s="9">
        <v>2025</v>
      </c>
      <c r="J16" s="11">
        <v>0.3</v>
      </c>
      <c r="K16" s="16">
        <f>BIFUbC!B15/(BIFUbC!B14+BIFUbC!B15)*K14</f>
        <v>6.3853300168287577</v>
      </c>
      <c r="L16" s="18">
        <f t="shared" si="0"/>
        <v>28.733985075729414</v>
      </c>
      <c r="M16" s="13">
        <v>2060</v>
      </c>
    </row>
    <row r="17" spans="1:13" x14ac:dyDescent="0.25">
      <c r="A17" s="2">
        <v>2020</v>
      </c>
      <c r="B17" s="1" t="s">
        <v>129</v>
      </c>
      <c r="C17" s="2" t="s">
        <v>130</v>
      </c>
      <c r="D17" s="15" t="str">
        <f>IFERROR(VLOOKUP(C17,'Sector &amp; Policy Match'!$A$1:$B$42,2,0),"")</f>
        <v>工业锅炉</v>
      </c>
      <c r="E17" s="2" t="s">
        <v>113</v>
      </c>
      <c r="F17" s="1" t="str">
        <f>VLOOKUP(E17,'Sector &amp; Policy Match'!$G$1:$H$8,2,0)</f>
        <v>Early Facility Retirement</v>
      </c>
      <c r="G17" s="6">
        <v>0.15</v>
      </c>
      <c r="H17" s="34">
        <v>2021</v>
      </c>
      <c r="I17" s="2">
        <v>2025</v>
      </c>
      <c r="J17" s="6">
        <v>0.35</v>
      </c>
      <c r="K17" s="2">
        <v>36</v>
      </c>
      <c r="L17" s="39">
        <f t="shared" si="0"/>
        <v>153</v>
      </c>
      <c r="M17" s="7">
        <v>2060</v>
      </c>
    </row>
    <row r="18" spans="1:13" x14ac:dyDescent="0.25">
      <c r="A18" s="2">
        <v>2020</v>
      </c>
      <c r="B18" s="1" t="s">
        <v>131</v>
      </c>
      <c r="C18" s="2" t="s">
        <v>112</v>
      </c>
      <c r="D18" s="29" t="str">
        <f>IFERROR(VLOOKUP(C18,'Sector &amp; Policy Match'!$A$1:$B$42,2,0),"")</f>
        <v>cement and other nonmetallic minerals 239</v>
      </c>
      <c r="E18" s="2" t="s">
        <v>113</v>
      </c>
      <c r="F18" s="1" t="str">
        <f>VLOOKUP(E18,'Sector &amp; Policy Match'!$G$1:$H$8,2,0)</f>
        <v>Early Facility Retirement</v>
      </c>
      <c r="G18" s="6">
        <v>0.2</v>
      </c>
      <c r="H18" s="34">
        <v>2021</v>
      </c>
      <c r="I18" s="2">
        <v>2025</v>
      </c>
      <c r="J18" s="6">
        <v>0.4</v>
      </c>
      <c r="K18" s="2">
        <v>68.3</v>
      </c>
      <c r="L18" s="39">
        <f t="shared" si="0"/>
        <v>273.2</v>
      </c>
      <c r="M18" s="7">
        <v>2060</v>
      </c>
    </row>
    <row r="19" spans="1:13" x14ac:dyDescent="0.25">
      <c r="A19" s="2">
        <v>2020</v>
      </c>
      <c r="B19" s="1" t="s">
        <v>132</v>
      </c>
      <c r="C19" s="2" t="s">
        <v>125</v>
      </c>
      <c r="D19" s="29" t="str">
        <f>IFERROR(VLOOKUP(C19,'Sector &amp; Policy Match'!$A$1:$B$42,2,0),"")</f>
        <v>chemicals 20</v>
      </c>
      <c r="E19" s="2" t="s">
        <v>113</v>
      </c>
      <c r="F19" s="1" t="str">
        <f>VLOOKUP(E19,'Sector &amp; Policy Match'!$G$1:$H$8,2,0)</f>
        <v>Early Facility Retirement</v>
      </c>
      <c r="G19" s="6">
        <v>0.2</v>
      </c>
      <c r="H19" s="34">
        <v>2021</v>
      </c>
      <c r="I19" s="2">
        <v>2025</v>
      </c>
      <c r="J19" s="6">
        <v>0.4</v>
      </c>
      <c r="K19" s="2">
        <v>36</v>
      </c>
      <c r="L19" s="39">
        <f t="shared" si="0"/>
        <v>144</v>
      </c>
      <c r="M19" s="7">
        <v>2060</v>
      </c>
    </row>
    <row r="20" spans="1:13" x14ac:dyDescent="0.25">
      <c r="A20" s="2">
        <v>2020</v>
      </c>
      <c r="B20" s="1" t="s">
        <v>133</v>
      </c>
      <c r="C20" s="2" t="s">
        <v>134</v>
      </c>
      <c r="D20" s="29" t="str">
        <f>IFERROR(VLOOKUP(C20,'Sector &amp; Policy Match'!$A$1:$B$42,2,0),"")</f>
        <v>other metals 242</v>
      </c>
      <c r="E20" s="2" t="s">
        <v>113</v>
      </c>
      <c r="F20" s="1" t="str">
        <f>VLOOKUP(E20,'Sector &amp; Policy Match'!$G$1:$H$8,2,0)</f>
        <v>Early Facility Retirement</v>
      </c>
      <c r="G20" s="6">
        <v>0.2</v>
      </c>
      <c r="H20" s="34">
        <v>2021</v>
      </c>
      <c r="I20" s="2">
        <v>2025</v>
      </c>
      <c r="J20" s="6">
        <v>0.4</v>
      </c>
      <c r="K20" s="2">
        <v>10</v>
      </c>
      <c r="L20" s="39">
        <f t="shared" si="0"/>
        <v>40</v>
      </c>
      <c r="M20" s="7">
        <v>2060</v>
      </c>
    </row>
    <row r="21" spans="1:13" x14ac:dyDescent="0.25">
      <c r="A21" s="2">
        <v>2020</v>
      </c>
      <c r="B21" s="1" t="s">
        <v>135</v>
      </c>
      <c r="C21" s="2" t="s">
        <v>119</v>
      </c>
      <c r="D21" s="29" t="str">
        <f>IFERROR(VLOOKUP(C21,'Sector &amp; Policy Match'!$A$1:$B$42,2,0),"")</f>
        <v>iron and steel 241</v>
      </c>
      <c r="E21" s="2" t="s">
        <v>113</v>
      </c>
      <c r="F21" s="1" t="str">
        <f>VLOOKUP(E21,'Sector &amp; Policy Match'!$G$1:$H$8,2,0)</f>
        <v>Early Facility Retirement</v>
      </c>
      <c r="G21" s="6">
        <v>0.4</v>
      </c>
      <c r="H21" s="34">
        <v>2021</v>
      </c>
      <c r="I21" s="2">
        <v>2025</v>
      </c>
      <c r="J21" s="6">
        <v>0.6</v>
      </c>
      <c r="K21" s="2">
        <v>40</v>
      </c>
      <c r="L21" s="39">
        <f t="shared" si="0"/>
        <v>120.00000000000001</v>
      </c>
      <c r="M21" s="7">
        <v>2060</v>
      </c>
    </row>
    <row r="22" spans="1:13" x14ac:dyDescent="0.25">
      <c r="A22" s="2">
        <v>2020</v>
      </c>
      <c r="B22" s="1" t="s">
        <v>136</v>
      </c>
      <c r="C22" s="2" t="s">
        <v>130</v>
      </c>
      <c r="D22" s="15" t="str">
        <f>IFERROR(VLOOKUP(C22,'Sector &amp; Policy Match'!$A$1:$B$42,2,0),"")</f>
        <v>工业锅炉</v>
      </c>
      <c r="E22" s="2" t="s">
        <v>137</v>
      </c>
      <c r="F22" s="1" t="str">
        <f>VLOOKUP(E22,'Sector &amp; Policy Match'!$G$1:$H$8,2,0)</f>
        <v>Cogeneration and Waste Heat Recovery</v>
      </c>
      <c r="G22" s="6" t="s">
        <v>27</v>
      </c>
      <c r="H22" s="34">
        <v>2021</v>
      </c>
      <c r="I22" s="2">
        <v>2025</v>
      </c>
      <c r="J22" s="6">
        <v>0.1</v>
      </c>
      <c r="K22" s="2">
        <v>66</v>
      </c>
      <c r="L22" s="39">
        <f t="shared" si="0"/>
        <v>660</v>
      </c>
      <c r="M22" s="7">
        <v>2060</v>
      </c>
    </row>
    <row r="23" spans="1:13" x14ac:dyDescent="0.25">
      <c r="A23" s="2">
        <v>2020</v>
      </c>
      <c r="B23" s="1" t="s">
        <v>138</v>
      </c>
      <c r="C23" s="2" t="s">
        <v>139</v>
      </c>
      <c r="D23" s="15" t="str">
        <f>IFERROR(VLOOKUP(C23,'Sector &amp; Policy Match'!$A$1:$B$42,2,0),"")</f>
        <v>工业循环水</v>
      </c>
      <c r="E23" s="2" t="s">
        <v>137</v>
      </c>
      <c r="F23" s="1" t="str">
        <f>VLOOKUP(E23,'Sector &amp; Policy Match'!$G$1:$H$8,2,0)</f>
        <v>Cogeneration and Waste Heat Recovery</v>
      </c>
      <c r="G23" s="6" t="s">
        <v>27</v>
      </c>
      <c r="H23" s="34">
        <v>2021</v>
      </c>
      <c r="I23" s="2">
        <v>2025</v>
      </c>
      <c r="J23" s="6">
        <v>0.15</v>
      </c>
      <c r="K23" s="2">
        <v>38</v>
      </c>
      <c r="L23" s="39">
        <f t="shared" si="0"/>
        <v>253.33333333333334</v>
      </c>
      <c r="M23" s="7">
        <v>2060</v>
      </c>
    </row>
    <row r="24" spans="1:13" x14ac:dyDescent="0.25">
      <c r="A24" s="2">
        <v>2020</v>
      </c>
      <c r="B24" s="1" t="s">
        <v>140</v>
      </c>
      <c r="C24" s="2" t="s">
        <v>141</v>
      </c>
      <c r="D24" s="15" t="str">
        <f>IFERROR(VLOOKUP(C24,'Sector &amp; Policy Match'!$A$1:$B$42,2,0),"")</f>
        <v>微型燃气轮机</v>
      </c>
      <c r="E24" s="2" t="s">
        <v>137</v>
      </c>
      <c r="F24" s="1" t="str">
        <f>VLOOKUP(E24,'Sector &amp; Policy Match'!$G$1:$H$8,2,0)</f>
        <v>Cogeneration and Waste Heat Recovery</v>
      </c>
      <c r="G24" s="6" t="s">
        <v>27</v>
      </c>
      <c r="H24" s="34">
        <v>2021</v>
      </c>
      <c r="I24" s="2">
        <v>2025</v>
      </c>
      <c r="J24" s="6">
        <v>0.15</v>
      </c>
      <c r="K24" s="2">
        <v>36</v>
      </c>
      <c r="L24" s="39">
        <f t="shared" si="0"/>
        <v>240</v>
      </c>
      <c r="M24" s="7">
        <v>2060</v>
      </c>
    </row>
    <row r="25" spans="1:13" x14ac:dyDescent="0.25">
      <c r="A25" s="2">
        <v>2020</v>
      </c>
      <c r="B25" s="1" t="s">
        <v>142</v>
      </c>
      <c r="C25" s="2" t="s">
        <v>143</v>
      </c>
      <c r="D25" s="29" t="str">
        <f>IFERROR(VLOOKUP(C25,'Sector &amp; Policy Match'!$A$1:$B$42,2,0),"")</f>
        <v>电力、热力生产</v>
      </c>
      <c r="E25" s="2" t="s">
        <v>137</v>
      </c>
      <c r="F25" s="1" t="str">
        <f>VLOOKUP(E25,'Sector &amp; Policy Match'!$G$1:$H$8,2,0)</f>
        <v>Cogeneration and Waste Heat Recovery</v>
      </c>
      <c r="G25" s="6" t="s">
        <v>27</v>
      </c>
      <c r="H25" s="34">
        <v>2021</v>
      </c>
      <c r="I25" s="2">
        <v>2025</v>
      </c>
      <c r="J25" s="6">
        <v>0.1</v>
      </c>
      <c r="K25" s="2">
        <v>100</v>
      </c>
      <c r="L25" s="39">
        <f t="shared" si="0"/>
        <v>1000</v>
      </c>
      <c r="M25" s="7">
        <v>2060</v>
      </c>
    </row>
    <row r="26" spans="1:13" x14ac:dyDescent="0.25">
      <c r="A26" s="2">
        <v>2020</v>
      </c>
      <c r="B26" s="1" t="s">
        <v>144</v>
      </c>
      <c r="C26" s="2" t="s">
        <v>143</v>
      </c>
      <c r="D26" s="29" t="str">
        <f>IFERROR(VLOOKUP(C26,'Sector &amp; Policy Match'!$A$1:$B$42,2,0),"")</f>
        <v>电力、热力生产</v>
      </c>
      <c r="E26" s="2" t="s">
        <v>137</v>
      </c>
      <c r="F26" s="1" t="str">
        <f>VLOOKUP(E26,'Sector &amp; Policy Match'!$G$1:$H$8,2,0)</f>
        <v>Cogeneration and Waste Heat Recovery</v>
      </c>
      <c r="G26" s="6">
        <v>0.1</v>
      </c>
      <c r="H26" s="34">
        <v>2021</v>
      </c>
      <c r="I26" s="2">
        <v>2025</v>
      </c>
      <c r="J26" s="6">
        <v>0.3</v>
      </c>
      <c r="K26" s="2">
        <v>58</v>
      </c>
      <c r="L26" s="39">
        <f t="shared" si="0"/>
        <v>261.00000000000006</v>
      </c>
      <c r="M26" s="7">
        <v>2060</v>
      </c>
    </row>
    <row r="27" spans="1:13" x14ac:dyDescent="0.25">
      <c r="A27" s="2">
        <v>2020</v>
      </c>
      <c r="B27" s="1" t="s">
        <v>145</v>
      </c>
      <c r="C27" s="2" t="s">
        <v>143</v>
      </c>
      <c r="D27" s="29" t="str">
        <f>IFERROR(VLOOKUP(C27,'Sector &amp; Policy Match'!$A$1:$B$42,2,0),"")</f>
        <v>电力、热力生产</v>
      </c>
      <c r="E27" s="2" t="s">
        <v>146</v>
      </c>
      <c r="F27" s="1" t="str">
        <f>VLOOKUP(E27,'Sector &amp; Policy Match'!$G$1:$H$8,2,0)</f>
        <v>Improvement in Eqpt Efficiency Standards</v>
      </c>
      <c r="G27" s="6" t="s">
        <v>27</v>
      </c>
      <c r="H27" s="34">
        <v>2021</v>
      </c>
      <c r="I27" s="2">
        <v>2025</v>
      </c>
      <c r="J27" s="6">
        <v>0.1</v>
      </c>
      <c r="K27" s="2">
        <v>9.5</v>
      </c>
      <c r="L27" s="39">
        <f t="shared" si="0"/>
        <v>95</v>
      </c>
      <c r="M27" s="7">
        <v>2060</v>
      </c>
    </row>
    <row r="28" spans="1:13" x14ac:dyDescent="0.25">
      <c r="A28" s="2">
        <v>2020</v>
      </c>
      <c r="B28" s="1" t="s">
        <v>147</v>
      </c>
      <c r="C28" s="2" t="s">
        <v>148</v>
      </c>
      <c r="D28" s="15" t="str">
        <f>IFERROR(VLOOKUP(C28,'Sector &amp; Policy Match'!$A$1:$B$42,2,0),"")</f>
        <v>压缩空气系统</v>
      </c>
      <c r="E28" s="2" t="s">
        <v>146</v>
      </c>
      <c r="F28" s="1" t="str">
        <f>VLOOKUP(E28,'Sector &amp; Policy Match'!$G$1:$H$8,2,0)</f>
        <v>Improvement in Eqpt Efficiency Standards</v>
      </c>
      <c r="G28" s="6" t="s">
        <v>27</v>
      </c>
      <c r="H28" s="34">
        <v>2021</v>
      </c>
      <c r="I28" s="2">
        <v>2025</v>
      </c>
      <c r="J28" s="6">
        <v>0.2</v>
      </c>
      <c r="K28" s="2">
        <v>6.6</v>
      </c>
      <c r="L28" s="39">
        <f t="shared" si="0"/>
        <v>33</v>
      </c>
      <c r="M28" s="7">
        <v>2060</v>
      </c>
    </row>
    <row r="29" spans="1:13" x14ac:dyDescent="0.25">
      <c r="A29" s="2">
        <v>2020</v>
      </c>
      <c r="B29" s="1" t="s">
        <v>149</v>
      </c>
      <c r="C29" s="2" t="s">
        <v>150</v>
      </c>
      <c r="D29" s="15" t="str">
        <f>IFERROR(VLOOKUP(C29,'Sector &amp; Policy Match'!$A$1:$B$42,2,0),"")</f>
        <v>电动机系统</v>
      </c>
      <c r="E29" s="2" t="s">
        <v>146</v>
      </c>
      <c r="F29" s="1" t="str">
        <f>VLOOKUP(E29,'Sector &amp; Policy Match'!$G$1:$H$8,2,0)</f>
        <v>Improvement in Eqpt Efficiency Standards</v>
      </c>
      <c r="G29" s="6" t="s">
        <v>27</v>
      </c>
      <c r="H29" s="34">
        <v>2021</v>
      </c>
      <c r="I29" s="2">
        <v>2025</v>
      </c>
      <c r="J29" s="6">
        <v>0.1</v>
      </c>
      <c r="K29" s="2">
        <v>4.3</v>
      </c>
      <c r="L29" s="39">
        <f t="shared" si="0"/>
        <v>43</v>
      </c>
      <c r="M29" s="7">
        <v>2060</v>
      </c>
    </row>
    <row r="30" spans="1:13" x14ac:dyDescent="0.25">
      <c r="A30" s="2">
        <v>2020</v>
      </c>
      <c r="B30" s="1" t="s">
        <v>151</v>
      </c>
      <c r="C30" s="2" t="s">
        <v>150</v>
      </c>
      <c r="D30" s="15" t="str">
        <f>IFERROR(VLOOKUP(C30,'Sector &amp; Policy Match'!$A$1:$B$42,2,0),"")</f>
        <v>电动机系统</v>
      </c>
      <c r="E30" s="2" t="s">
        <v>146</v>
      </c>
      <c r="F30" s="1" t="str">
        <f>VLOOKUP(E30,'Sector &amp; Policy Match'!$G$1:$H$8,2,0)</f>
        <v>Improvement in Eqpt Efficiency Standards</v>
      </c>
      <c r="G30" s="6" t="s">
        <v>27</v>
      </c>
      <c r="H30" s="34">
        <v>2021</v>
      </c>
      <c r="I30" s="2">
        <v>2025</v>
      </c>
      <c r="J30" s="6">
        <v>0.06</v>
      </c>
      <c r="K30" s="2">
        <v>4.9000000000000004</v>
      </c>
      <c r="L30" s="39">
        <f t="shared" si="0"/>
        <v>81.666666666666671</v>
      </c>
      <c r="M30" s="7">
        <v>2060</v>
      </c>
    </row>
    <row r="31" spans="1:13" x14ac:dyDescent="0.25">
      <c r="A31" s="2">
        <v>2020</v>
      </c>
      <c r="B31" s="1" t="s">
        <v>152</v>
      </c>
      <c r="C31" s="2" t="s">
        <v>153</v>
      </c>
      <c r="D31" s="15" t="str">
        <f>IFERROR(VLOOKUP(C31,'Sector &amp; Policy Match'!$A$1:$B$42,2,0),"")</f>
        <v>空调系统</v>
      </c>
      <c r="E31" s="2" t="s">
        <v>146</v>
      </c>
      <c r="F31" s="1" t="str">
        <f>VLOOKUP(E31,'Sector &amp; Policy Match'!$G$1:$H$8,2,0)</f>
        <v>Improvement in Eqpt Efficiency Standards</v>
      </c>
      <c r="G31" s="6" t="s">
        <v>27</v>
      </c>
      <c r="H31" s="34">
        <v>2021</v>
      </c>
      <c r="I31" s="2">
        <v>2025</v>
      </c>
      <c r="J31" s="6">
        <v>0.15</v>
      </c>
      <c r="K31" s="2">
        <v>21.5</v>
      </c>
      <c r="L31" s="39">
        <f t="shared" si="0"/>
        <v>143.33333333333334</v>
      </c>
      <c r="M31" s="7">
        <v>2060</v>
      </c>
    </row>
    <row r="32" spans="1:13" x14ac:dyDescent="0.25">
      <c r="A32" s="2">
        <v>2020</v>
      </c>
      <c r="B32" s="1" t="s">
        <v>154</v>
      </c>
      <c r="C32" s="2" t="s">
        <v>155</v>
      </c>
      <c r="D32" s="29" t="str">
        <f>IFERROR(VLOOKUP(C32,'Sector &amp; Policy Match'!$A$1:$B$42,2,0),"")</f>
        <v>oil and gas extraction 06</v>
      </c>
      <c r="E32" s="2" t="s">
        <v>146</v>
      </c>
      <c r="F32" s="1" t="str">
        <f>VLOOKUP(E32,'Sector &amp; Policy Match'!$G$1:$H$8,2,0)</f>
        <v>Improvement in Eqpt Efficiency Standards</v>
      </c>
      <c r="G32" s="6" t="s">
        <v>27</v>
      </c>
      <c r="H32" s="34">
        <v>2021</v>
      </c>
      <c r="I32" s="2">
        <v>2025</v>
      </c>
      <c r="J32" s="6">
        <v>0.1</v>
      </c>
      <c r="K32" s="2">
        <v>68</v>
      </c>
      <c r="L32" s="39">
        <f t="shared" si="0"/>
        <v>680</v>
      </c>
      <c r="M32" s="7">
        <v>2060</v>
      </c>
    </row>
    <row r="33" spans="1:13" x14ac:dyDescent="0.25">
      <c r="A33" s="2">
        <v>2020</v>
      </c>
      <c r="B33" s="1" t="s">
        <v>156</v>
      </c>
      <c r="C33" s="2" t="s">
        <v>157</v>
      </c>
      <c r="D33" s="29" t="str">
        <f>IFERROR(VLOOKUP(C33,'Sector &amp; Policy Match'!$A$1:$B$42,2,0),"")</f>
        <v>pulp paper and printing 17T18</v>
      </c>
      <c r="E33" s="2" t="s">
        <v>146</v>
      </c>
      <c r="F33" s="1" t="str">
        <f>VLOOKUP(E33,'Sector &amp; Policy Match'!$G$1:$H$8,2,0)</f>
        <v>Improvement in Eqpt Efficiency Standards</v>
      </c>
      <c r="G33" s="6" t="s">
        <v>27</v>
      </c>
      <c r="H33" s="34">
        <v>2021</v>
      </c>
      <c r="I33" s="2">
        <v>2025</v>
      </c>
      <c r="J33" s="6">
        <v>0.1</v>
      </c>
      <c r="K33" s="2">
        <v>53</v>
      </c>
      <c r="L33" s="39">
        <f t="shared" si="0"/>
        <v>530</v>
      </c>
      <c r="M33" s="7">
        <v>2060</v>
      </c>
    </row>
    <row r="34" spans="1:13" x14ac:dyDescent="0.25">
      <c r="A34" s="2">
        <v>2020</v>
      </c>
      <c r="B34" s="1" t="s">
        <v>158</v>
      </c>
      <c r="C34" s="2" t="s">
        <v>130</v>
      </c>
      <c r="D34" s="15" t="str">
        <f>IFERROR(VLOOKUP(C34,'Sector &amp; Policy Match'!$A$1:$B$42,2,0),"")</f>
        <v>工业锅炉</v>
      </c>
      <c r="E34" s="2" t="s">
        <v>146</v>
      </c>
      <c r="F34" s="1" t="str">
        <f>VLOOKUP(E34,'Sector &amp; Policy Match'!$G$1:$H$8,2,0)</f>
        <v>Improvement in Eqpt Efficiency Standards</v>
      </c>
      <c r="G34" s="6">
        <v>0.05</v>
      </c>
      <c r="H34" s="34">
        <v>2021</v>
      </c>
      <c r="I34" s="2">
        <v>2025</v>
      </c>
      <c r="J34" s="6">
        <v>0.15</v>
      </c>
      <c r="K34" s="2">
        <v>8.4</v>
      </c>
      <c r="L34" s="39">
        <f t="shared" si="0"/>
        <v>79.8</v>
      </c>
      <c r="M34" s="7">
        <v>2060</v>
      </c>
    </row>
    <row r="35" spans="1:13" x14ac:dyDescent="0.25">
      <c r="A35" s="2">
        <v>2020</v>
      </c>
      <c r="B35" s="1" t="s">
        <v>159</v>
      </c>
      <c r="C35" s="2" t="s">
        <v>150</v>
      </c>
      <c r="D35" s="15" t="str">
        <f>IFERROR(VLOOKUP(C35,'Sector &amp; Policy Match'!$A$1:$B$42,2,0),"")</f>
        <v>电动机系统</v>
      </c>
      <c r="E35" s="2" t="s">
        <v>146</v>
      </c>
      <c r="F35" s="1" t="str">
        <f>VLOOKUP(E35,'Sector &amp; Policy Match'!$G$1:$H$8,2,0)</f>
        <v>Improvement in Eqpt Efficiency Standards</v>
      </c>
      <c r="G35" s="6">
        <v>0.05</v>
      </c>
      <c r="H35" s="34">
        <v>2021</v>
      </c>
      <c r="I35" s="2">
        <v>2025</v>
      </c>
      <c r="J35" s="6">
        <v>0.23</v>
      </c>
      <c r="K35" s="2">
        <v>34</v>
      </c>
      <c r="L35" s="39">
        <f t="shared" si="0"/>
        <v>179.44444444444443</v>
      </c>
      <c r="M35" s="7">
        <v>2060</v>
      </c>
    </row>
    <row r="36" spans="1:13" x14ac:dyDescent="0.25">
      <c r="A36" s="2">
        <v>2020</v>
      </c>
      <c r="B36" s="1" t="s">
        <v>160</v>
      </c>
      <c r="C36" s="2" t="s">
        <v>143</v>
      </c>
      <c r="D36" s="29" t="str">
        <f>IFERROR(VLOOKUP(C36,'Sector &amp; Policy Match'!$A$1:$B$42,2,0),"")</f>
        <v>电力、热力生产</v>
      </c>
      <c r="E36" s="2" t="s">
        <v>146</v>
      </c>
      <c r="F36" s="1" t="str">
        <f>VLOOKUP(E36,'Sector &amp; Policy Match'!$G$1:$H$8,2,0)</f>
        <v>Improvement in Eqpt Efficiency Standards</v>
      </c>
      <c r="G36" s="6">
        <v>0.05</v>
      </c>
      <c r="H36" s="34">
        <v>2021</v>
      </c>
      <c r="I36" s="2">
        <v>2025</v>
      </c>
      <c r="J36" s="6">
        <v>0.15</v>
      </c>
      <c r="K36" s="2">
        <v>39</v>
      </c>
      <c r="L36" s="39">
        <f t="shared" si="0"/>
        <v>370.5</v>
      </c>
      <c r="M36" s="7">
        <v>2060</v>
      </c>
    </row>
    <row r="37" spans="1:13" x14ac:dyDescent="0.25">
      <c r="A37" s="2">
        <v>2020</v>
      </c>
      <c r="B37" s="1" t="s">
        <v>161</v>
      </c>
      <c r="C37" s="2" t="s">
        <v>155</v>
      </c>
      <c r="D37" s="29" t="str">
        <f>IFERROR(VLOOKUP(C37,'Sector &amp; Policy Match'!$A$1:$B$42,2,0),"")</f>
        <v>oil and gas extraction 06</v>
      </c>
      <c r="E37" s="2" t="s">
        <v>146</v>
      </c>
      <c r="F37" s="1" t="str">
        <f>VLOOKUP(E37,'Sector &amp; Policy Match'!$G$1:$H$8,2,0)</f>
        <v>Improvement in Eqpt Efficiency Standards</v>
      </c>
      <c r="G37" s="6">
        <v>0.1</v>
      </c>
      <c r="H37" s="34">
        <v>2021</v>
      </c>
      <c r="I37" s="2">
        <v>2025</v>
      </c>
      <c r="J37" s="6">
        <v>0.4</v>
      </c>
      <c r="K37" s="2">
        <v>40</v>
      </c>
      <c r="L37" s="39">
        <f t="shared" si="0"/>
        <v>119.99999999999999</v>
      </c>
      <c r="M37" s="7">
        <v>2060</v>
      </c>
    </row>
    <row r="38" spans="1:13" x14ac:dyDescent="0.25">
      <c r="A38" s="2">
        <v>2020</v>
      </c>
      <c r="B38" s="1" t="s">
        <v>162</v>
      </c>
      <c r="C38" s="2" t="s">
        <v>125</v>
      </c>
      <c r="D38" s="29" t="str">
        <f>IFERROR(VLOOKUP(C38,'Sector &amp; Policy Match'!$A$1:$B$42,2,0),"")</f>
        <v>chemicals 20</v>
      </c>
      <c r="E38" s="2" t="s">
        <v>146</v>
      </c>
      <c r="F38" s="1" t="str">
        <f>VLOOKUP(E38,'Sector &amp; Policy Match'!$G$1:$H$8,2,0)</f>
        <v>Improvement in Eqpt Efficiency Standards</v>
      </c>
      <c r="G38" s="6">
        <v>0.1</v>
      </c>
      <c r="H38" s="34">
        <v>2021</v>
      </c>
      <c r="I38" s="2">
        <v>2025</v>
      </c>
      <c r="J38" s="6">
        <v>0.2</v>
      </c>
      <c r="K38" s="2">
        <v>5.28</v>
      </c>
      <c r="L38" s="39">
        <f t="shared" si="0"/>
        <v>47.52</v>
      </c>
      <c r="M38" s="7">
        <v>2060</v>
      </c>
    </row>
    <row r="39" spans="1:13" x14ac:dyDescent="0.25">
      <c r="A39" s="2">
        <v>2020</v>
      </c>
      <c r="B39" s="1" t="s">
        <v>163</v>
      </c>
      <c r="C39" s="2" t="s">
        <v>130</v>
      </c>
      <c r="D39" s="15" t="str">
        <f>IFERROR(VLOOKUP(C39,'Sector &amp; Policy Match'!$A$1:$B$42,2,0),"")</f>
        <v>工业锅炉</v>
      </c>
      <c r="E39" s="2" t="s">
        <v>146</v>
      </c>
      <c r="F39" s="1" t="str">
        <f>VLOOKUP(E39,'Sector &amp; Policy Match'!$G$1:$H$8,2,0)</f>
        <v>Improvement in Eqpt Efficiency Standards</v>
      </c>
      <c r="G39" s="6">
        <v>0.12</v>
      </c>
      <c r="H39" s="34">
        <v>2021</v>
      </c>
      <c r="I39" s="2">
        <v>2025</v>
      </c>
      <c r="J39" s="6">
        <v>0.5</v>
      </c>
      <c r="K39" s="2">
        <v>146</v>
      </c>
      <c r="L39" s="39">
        <f t="shared" si="0"/>
        <v>338.10526315789474</v>
      </c>
      <c r="M39" s="7">
        <v>2060</v>
      </c>
    </row>
    <row r="40" spans="1:13" x14ac:dyDescent="0.25">
      <c r="A40" s="2">
        <v>2020</v>
      </c>
      <c r="B40" s="1" t="s">
        <v>164</v>
      </c>
      <c r="C40" s="2" t="s">
        <v>70</v>
      </c>
      <c r="D40" s="15" t="str">
        <f>IFERROR(VLOOKUP(C40,'Sector &amp; Policy Match'!$A$1:$B$42,2,0),"")</f>
        <v/>
      </c>
      <c r="E40" s="2" t="s">
        <v>146</v>
      </c>
      <c r="F40" s="1" t="str">
        <f>VLOOKUP(E40,'Sector &amp; Policy Match'!$G$1:$H$8,2,0)</f>
        <v>Improvement in Eqpt Efficiency Standards</v>
      </c>
      <c r="G40" s="6">
        <v>0.15</v>
      </c>
      <c r="H40" s="34">
        <v>2021</v>
      </c>
      <c r="I40" s="2">
        <v>2025</v>
      </c>
      <c r="J40" s="6">
        <v>0.4</v>
      </c>
      <c r="K40" s="2">
        <v>9.8000000000000007</v>
      </c>
      <c r="L40" s="39">
        <f t="shared" si="0"/>
        <v>33.32</v>
      </c>
      <c r="M40" s="7">
        <v>2060</v>
      </c>
    </row>
    <row r="41" spans="1:13" x14ac:dyDescent="0.25">
      <c r="A41" s="2">
        <v>2020</v>
      </c>
      <c r="B41" s="1" t="s">
        <v>165</v>
      </c>
      <c r="C41" s="2" t="s">
        <v>143</v>
      </c>
      <c r="D41" s="29" t="str">
        <f>IFERROR(VLOOKUP(C41,'Sector &amp; Policy Match'!$A$1:$B$42,2,0),"")</f>
        <v>电力、热力生产</v>
      </c>
      <c r="E41" s="2" t="s">
        <v>166</v>
      </c>
      <c r="F41" s="1" t="str">
        <f>VLOOKUP(E41,'Sector &amp; Policy Match'!$G$1:$H$8,2,0)</f>
        <v>Installation and System Integration</v>
      </c>
      <c r="G41" s="6" t="s">
        <v>27</v>
      </c>
      <c r="H41" s="34">
        <v>2021</v>
      </c>
      <c r="I41" s="2">
        <v>2025</v>
      </c>
      <c r="J41" s="6">
        <v>0.15</v>
      </c>
      <c r="K41" s="2">
        <v>187</v>
      </c>
      <c r="L41" s="39">
        <f t="shared" si="0"/>
        <v>1246.6666666666667</v>
      </c>
      <c r="M41" s="7">
        <v>2060</v>
      </c>
    </row>
    <row r="42" spans="1:13" x14ac:dyDescent="0.25">
      <c r="A42" s="2">
        <v>2020</v>
      </c>
      <c r="B42" s="1" t="s">
        <v>167</v>
      </c>
      <c r="C42" s="2" t="s">
        <v>168</v>
      </c>
      <c r="D42" s="29" t="str">
        <f>IFERROR(VLOOKUP(C42,'Sector &amp; Policy Match'!$A$1:$B$42,2,0),"")</f>
        <v>nonroad vehicles 30</v>
      </c>
      <c r="E42" s="2" t="s">
        <v>166</v>
      </c>
      <c r="F42" s="1" t="str">
        <f>VLOOKUP(E42,'Sector &amp; Policy Match'!$G$1:$H$8,2,0)</f>
        <v>Installation and System Integration</v>
      </c>
      <c r="G42" s="6" t="s">
        <v>27</v>
      </c>
      <c r="H42" s="34">
        <v>2021</v>
      </c>
      <c r="I42" s="2">
        <v>2025</v>
      </c>
      <c r="J42" s="6">
        <v>0.15</v>
      </c>
      <c r="K42" s="2">
        <v>15</v>
      </c>
      <c r="L42" s="39">
        <f t="shared" si="0"/>
        <v>100</v>
      </c>
      <c r="M42" s="7">
        <v>2060</v>
      </c>
    </row>
    <row r="43" spans="1:13" x14ac:dyDescent="0.25">
      <c r="A43" s="2">
        <v>2020</v>
      </c>
      <c r="B43" s="1" t="s">
        <v>169</v>
      </c>
      <c r="C43" s="2" t="s">
        <v>170</v>
      </c>
      <c r="D43" s="15" t="str">
        <f>IFERROR(VLOOKUP(C43,'Sector &amp; Policy Match'!$A$1:$B$42,2,0),"")</f>
        <v>能源系统</v>
      </c>
      <c r="E43" s="2" t="s">
        <v>166</v>
      </c>
      <c r="F43" s="1" t="str">
        <f>VLOOKUP(E43,'Sector &amp; Policy Match'!$G$1:$H$8,2,0)</f>
        <v>Installation and System Integration</v>
      </c>
      <c r="G43" s="6" t="s">
        <v>27</v>
      </c>
      <c r="H43" s="34">
        <v>2021</v>
      </c>
      <c r="I43" s="2">
        <v>2025</v>
      </c>
      <c r="J43" s="6">
        <v>0.1</v>
      </c>
      <c r="K43" s="2">
        <v>15</v>
      </c>
      <c r="L43" s="39">
        <f t="shared" si="0"/>
        <v>150</v>
      </c>
      <c r="M43" s="7">
        <v>2060</v>
      </c>
    </row>
    <row r="44" spans="1:13" x14ac:dyDescent="0.25">
      <c r="A44" s="2">
        <v>2020</v>
      </c>
      <c r="B44" s="1" t="s">
        <v>171</v>
      </c>
      <c r="C44" s="2" t="s">
        <v>170</v>
      </c>
      <c r="D44" s="15" t="str">
        <f>IFERROR(VLOOKUP(C44,'Sector &amp; Policy Match'!$A$1:$B$42,2,0),"")</f>
        <v>能源系统</v>
      </c>
      <c r="E44" s="2" t="s">
        <v>166</v>
      </c>
      <c r="F44" s="1" t="str">
        <f>VLOOKUP(E44,'Sector &amp; Policy Match'!$G$1:$H$8,2,0)</f>
        <v>Installation and System Integration</v>
      </c>
      <c r="G44" s="6" t="s">
        <v>27</v>
      </c>
      <c r="H44" s="34">
        <v>2021</v>
      </c>
      <c r="I44" s="2">
        <v>2025</v>
      </c>
      <c r="J44" s="6">
        <v>0.1</v>
      </c>
      <c r="K44" s="2">
        <v>18</v>
      </c>
      <c r="L44" s="39">
        <f t="shared" si="0"/>
        <v>180</v>
      </c>
      <c r="M44" s="7">
        <v>2060</v>
      </c>
    </row>
    <row r="45" spans="1:13" x14ac:dyDescent="0.25">
      <c r="A45" s="2">
        <v>2020</v>
      </c>
      <c r="B45" s="1" t="s">
        <v>172</v>
      </c>
      <c r="C45" s="2" t="s">
        <v>153</v>
      </c>
      <c r="D45" s="15" t="str">
        <f>IFERROR(VLOOKUP(C45,'Sector &amp; Policy Match'!$A$1:$B$42,2,0),"")</f>
        <v>空调系统</v>
      </c>
      <c r="E45" s="2" t="s">
        <v>166</v>
      </c>
      <c r="F45" s="1" t="str">
        <f>VLOOKUP(E45,'Sector &amp; Policy Match'!$G$1:$H$8,2,0)</f>
        <v>Installation and System Integration</v>
      </c>
      <c r="G45" s="6" t="s">
        <v>27</v>
      </c>
      <c r="H45" s="34">
        <v>2021</v>
      </c>
      <c r="I45" s="2">
        <v>2025</v>
      </c>
      <c r="J45" s="6">
        <v>0.1</v>
      </c>
      <c r="K45" s="2">
        <v>15</v>
      </c>
      <c r="L45" s="39">
        <f t="shared" si="0"/>
        <v>150</v>
      </c>
      <c r="M45" s="7">
        <v>2060</v>
      </c>
    </row>
    <row r="46" spans="1:13" x14ac:dyDescent="0.25">
      <c r="A46" s="2">
        <v>2020</v>
      </c>
      <c r="B46" s="1" t="s">
        <v>173</v>
      </c>
      <c r="C46" s="2" t="s">
        <v>170</v>
      </c>
      <c r="D46" s="15" t="str">
        <f>IFERROR(VLOOKUP(C46,'Sector &amp; Policy Match'!$A$1:$B$42,2,0),"")</f>
        <v>能源系统</v>
      </c>
      <c r="E46" s="2" t="s">
        <v>166</v>
      </c>
      <c r="F46" s="1" t="str">
        <f>VLOOKUP(E46,'Sector &amp; Policy Match'!$G$1:$H$8,2,0)</f>
        <v>Installation and System Integration</v>
      </c>
      <c r="G46" s="6" t="s">
        <v>27</v>
      </c>
      <c r="H46" s="34">
        <v>2021</v>
      </c>
      <c r="I46" s="2">
        <v>2025</v>
      </c>
      <c r="J46" s="6">
        <v>0.1</v>
      </c>
      <c r="K46" s="2">
        <v>5</v>
      </c>
      <c r="L46" s="39">
        <f t="shared" si="0"/>
        <v>50</v>
      </c>
      <c r="M46" s="7">
        <v>2060</v>
      </c>
    </row>
    <row r="47" spans="1:13" x14ac:dyDescent="0.25">
      <c r="A47" s="2">
        <v>2020</v>
      </c>
      <c r="B47" s="1" t="s">
        <v>174</v>
      </c>
      <c r="C47" s="2" t="s">
        <v>170</v>
      </c>
      <c r="D47" s="15" t="str">
        <f>IFERROR(VLOOKUP(C47,'Sector &amp; Policy Match'!$A$1:$B$42,2,0),"")</f>
        <v>能源系统</v>
      </c>
      <c r="E47" s="2" t="s">
        <v>166</v>
      </c>
      <c r="F47" s="1" t="str">
        <f>VLOOKUP(E47,'Sector &amp; Policy Match'!$G$1:$H$8,2,0)</f>
        <v>Installation and System Integration</v>
      </c>
      <c r="G47" s="6" t="s">
        <v>27</v>
      </c>
      <c r="H47" s="34">
        <v>2021</v>
      </c>
      <c r="I47" s="2">
        <v>2025</v>
      </c>
      <c r="J47" s="6">
        <v>0.1</v>
      </c>
      <c r="K47" s="2">
        <v>6.7</v>
      </c>
      <c r="L47" s="39">
        <f t="shared" si="0"/>
        <v>67</v>
      </c>
      <c r="M47" s="7">
        <v>2060</v>
      </c>
    </row>
    <row r="48" spans="1:13" x14ac:dyDescent="0.25">
      <c r="A48" s="2">
        <v>2020</v>
      </c>
      <c r="B48" s="1" t="s">
        <v>175</v>
      </c>
      <c r="C48" s="2" t="s">
        <v>119</v>
      </c>
      <c r="D48" s="29" t="str">
        <f>IFERROR(VLOOKUP(C48,'Sector &amp; Policy Match'!$A$1:$B$42,2,0),"")</f>
        <v>iron and steel 241</v>
      </c>
      <c r="E48" s="2" t="s">
        <v>166</v>
      </c>
      <c r="F48" s="1" t="str">
        <f>VLOOKUP(E48,'Sector &amp; Policy Match'!$G$1:$H$8,2,0)</f>
        <v>Installation and System Integration</v>
      </c>
      <c r="G48" s="6" t="s">
        <v>27</v>
      </c>
      <c r="H48" s="34">
        <v>2021</v>
      </c>
      <c r="I48" s="2">
        <v>2025</v>
      </c>
      <c r="J48" s="6">
        <v>0.15</v>
      </c>
      <c r="K48" s="2">
        <v>41</v>
      </c>
      <c r="L48" s="39">
        <f t="shared" si="0"/>
        <v>273.33333333333337</v>
      </c>
      <c r="M48" s="7">
        <v>2060</v>
      </c>
    </row>
    <row r="49" spans="1:13" x14ac:dyDescent="0.25">
      <c r="A49" s="2">
        <v>2020</v>
      </c>
      <c r="B49" s="1" t="s">
        <v>176</v>
      </c>
      <c r="C49" s="2" t="s">
        <v>170</v>
      </c>
      <c r="D49" s="15" t="str">
        <f>IFERROR(VLOOKUP(C49,'Sector &amp; Policy Match'!$A$1:$B$42,2,0),"")</f>
        <v>能源系统</v>
      </c>
      <c r="E49" s="2" t="s">
        <v>166</v>
      </c>
      <c r="F49" s="1" t="str">
        <f>VLOOKUP(E49,'Sector &amp; Policy Match'!$G$1:$H$8,2,0)</f>
        <v>Installation and System Integration</v>
      </c>
      <c r="G49" s="6">
        <v>0.05</v>
      </c>
      <c r="H49" s="34">
        <v>2021</v>
      </c>
      <c r="I49" s="2">
        <v>2025</v>
      </c>
      <c r="J49" s="6">
        <v>0.25</v>
      </c>
      <c r="K49" s="2">
        <v>10</v>
      </c>
      <c r="L49" s="39">
        <f t="shared" si="0"/>
        <v>47.499999999999993</v>
      </c>
      <c r="M49" s="7">
        <v>2060</v>
      </c>
    </row>
    <row r="50" spans="1:13" x14ac:dyDescent="0.25">
      <c r="A50" s="2">
        <v>2020</v>
      </c>
      <c r="B50" s="1" t="s">
        <v>177</v>
      </c>
      <c r="C50" s="2" t="s">
        <v>170</v>
      </c>
      <c r="D50" s="15" t="str">
        <f>IFERROR(VLOOKUP(C50,'Sector &amp; Policy Match'!$A$1:$B$42,2,0),"")</f>
        <v>能源系统</v>
      </c>
      <c r="E50" s="2" t="s">
        <v>166</v>
      </c>
      <c r="F50" s="1" t="str">
        <f>VLOOKUP(E50,'Sector &amp; Policy Match'!$G$1:$H$8,2,0)</f>
        <v>Installation and System Integration</v>
      </c>
      <c r="G50" s="6">
        <v>0.05</v>
      </c>
      <c r="H50" s="34">
        <v>2021</v>
      </c>
      <c r="I50" s="2">
        <v>2025</v>
      </c>
      <c r="J50" s="6">
        <v>0.2</v>
      </c>
      <c r="K50" s="2">
        <v>16</v>
      </c>
      <c r="L50" s="39">
        <f t="shared" si="0"/>
        <v>101.33333333333331</v>
      </c>
      <c r="M50" s="7">
        <v>2060</v>
      </c>
    </row>
    <row r="51" spans="1:13" x14ac:dyDescent="0.25">
      <c r="A51" s="2">
        <v>2020</v>
      </c>
      <c r="B51" s="1" t="s">
        <v>178</v>
      </c>
      <c r="C51" s="2" t="s">
        <v>170</v>
      </c>
      <c r="D51" s="15" t="str">
        <f>IFERROR(VLOOKUP(C51,'Sector &amp; Policy Match'!$A$1:$B$42,2,0),"")</f>
        <v>能源系统</v>
      </c>
      <c r="E51" s="2" t="s">
        <v>166</v>
      </c>
      <c r="F51" s="1" t="str">
        <f>VLOOKUP(E51,'Sector &amp; Policy Match'!$G$1:$H$8,2,0)</f>
        <v>Installation and System Integration</v>
      </c>
      <c r="G51" s="6">
        <v>0.05</v>
      </c>
      <c r="H51" s="34">
        <v>2021</v>
      </c>
      <c r="I51" s="2">
        <v>2025</v>
      </c>
      <c r="J51" s="6">
        <v>0.1</v>
      </c>
      <c r="K51" s="2">
        <v>14</v>
      </c>
      <c r="L51" s="39">
        <f t="shared" si="0"/>
        <v>265.99999999999994</v>
      </c>
      <c r="M51" s="7">
        <v>2060</v>
      </c>
    </row>
    <row r="52" spans="1:13" x14ac:dyDescent="0.25">
      <c r="A52" s="2">
        <v>2020</v>
      </c>
      <c r="B52" s="1" t="s">
        <v>179</v>
      </c>
      <c r="C52" s="2" t="s">
        <v>119</v>
      </c>
      <c r="D52" s="29" t="str">
        <f>IFERROR(VLOOKUP(C52,'Sector &amp; Policy Match'!$A$1:$B$42,2,0),"")</f>
        <v>iron and steel 241</v>
      </c>
      <c r="E52" s="2" t="s">
        <v>166</v>
      </c>
      <c r="F52" s="1" t="str">
        <f>VLOOKUP(E52,'Sector &amp; Policy Match'!$G$1:$H$8,2,0)</f>
        <v>Installation and System Integration</v>
      </c>
      <c r="G52" s="6">
        <v>0.1</v>
      </c>
      <c r="H52" s="34">
        <v>2021</v>
      </c>
      <c r="I52" s="2">
        <v>2025</v>
      </c>
      <c r="J52" s="6">
        <v>0.3</v>
      </c>
      <c r="K52" s="2">
        <v>18</v>
      </c>
      <c r="L52" s="39">
        <f t="shared" si="0"/>
        <v>81.000000000000014</v>
      </c>
      <c r="M52" s="7">
        <v>2060</v>
      </c>
    </row>
    <row r="53" spans="1:13" x14ac:dyDescent="0.25">
      <c r="A53" s="2">
        <v>2020</v>
      </c>
      <c r="B53" s="1" t="s">
        <v>180</v>
      </c>
      <c r="C53" s="2" t="s">
        <v>153</v>
      </c>
      <c r="D53" s="15" t="str">
        <f>IFERROR(VLOOKUP(C53,'Sector &amp; Policy Match'!$A$1:$B$42,2,0),"")</f>
        <v>空调系统</v>
      </c>
      <c r="E53" s="2" t="s">
        <v>166</v>
      </c>
      <c r="F53" s="1" t="str">
        <f>VLOOKUP(E53,'Sector &amp; Policy Match'!$G$1:$H$8,2,0)</f>
        <v>Installation and System Integration</v>
      </c>
      <c r="G53" s="6">
        <v>0.15</v>
      </c>
      <c r="H53" s="34">
        <v>2021</v>
      </c>
      <c r="I53" s="2">
        <v>2025</v>
      </c>
      <c r="J53" s="6">
        <v>0.3</v>
      </c>
      <c r="K53" s="2">
        <v>44</v>
      </c>
      <c r="L53" s="39">
        <f t="shared" si="0"/>
        <v>249.33333333333334</v>
      </c>
      <c r="M53" s="7">
        <v>2060</v>
      </c>
    </row>
    <row r="54" spans="1:13" x14ac:dyDescent="0.25">
      <c r="A54" s="2">
        <v>2020</v>
      </c>
      <c r="B54" s="1" t="s">
        <v>181</v>
      </c>
      <c r="C54" s="2" t="s">
        <v>143</v>
      </c>
      <c r="D54" s="29" t="str">
        <f>IFERROR(VLOOKUP(C54,'Sector &amp; Policy Match'!$A$1:$B$42,2,0),"")</f>
        <v>电力、热力生产</v>
      </c>
      <c r="E54" s="2" t="s">
        <v>166</v>
      </c>
      <c r="F54" s="1" t="str">
        <f>VLOOKUP(E54,'Sector &amp; Policy Match'!$G$1:$H$8,2,0)</f>
        <v>Installation and System Integration</v>
      </c>
      <c r="G54" s="6">
        <v>0.2</v>
      </c>
      <c r="H54" s="34">
        <v>2021</v>
      </c>
      <c r="I54" s="2">
        <v>2025</v>
      </c>
      <c r="J54" s="6">
        <v>0.4</v>
      </c>
      <c r="K54" s="2">
        <v>24</v>
      </c>
      <c r="L54" s="39">
        <f t="shared" si="0"/>
        <v>96</v>
      </c>
      <c r="M54" s="7">
        <v>2060</v>
      </c>
    </row>
    <row r="55" spans="1:13" x14ac:dyDescent="0.25">
      <c r="A55" s="2">
        <v>2020</v>
      </c>
      <c r="B55" s="1" t="s">
        <v>182</v>
      </c>
      <c r="C55" s="2" t="s">
        <v>143</v>
      </c>
      <c r="D55" s="29" t="str">
        <f>IFERROR(VLOOKUP(C55,'Sector &amp; Policy Match'!$A$1:$B$42,2,0),"")</f>
        <v>电力、热力生产</v>
      </c>
      <c r="E55" s="2" t="s">
        <v>166</v>
      </c>
      <c r="F55" s="1" t="str">
        <f>VLOOKUP(E55,'Sector &amp; Policy Match'!$G$1:$H$8,2,0)</f>
        <v>Installation and System Integration</v>
      </c>
      <c r="G55" s="6" t="s">
        <v>27</v>
      </c>
      <c r="H55" s="34">
        <v>2021</v>
      </c>
      <c r="I55" s="2">
        <v>2025</v>
      </c>
      <c r="J55" s="6">
        <v>0.1</v>
      </c>
      <c r="K55" s="2">
        <v>42</v>
      </c>
      <c r="L55" s="39">
        <f t="shared" si="0"/>
        <v>420</v>
      </c>
      <c r="M55" s="7">
        <v>2060</v>
      </c>
    </row>
    <row r="56" spans="1:13" x14ac:dyDescent="0.25">
      <c r="A56" s="2">
        <v>2020</v>
      </c>
      <c r="B56" s="1" t="s">
        <v>183</v>
      </c>
      <c r="C56" s="2" t="s">
        <v>184</v>
      </c>
      <c r="D56" s="29" t="str">
        <f>IFERROR(VLOOKUP(C56,'Sector &amp; Policy Match'!$A$1:$B$42,2,0),"")</f>
        <v>textiles apparel and leather 13T15</v>
      </c>
      <c r="E56" s="2" t="s">
        <v>166</v>
      </c>
      <c r="F56" s="1" t="str">
        <f>VLOOKUP(E56,'Sector &amp; Policy Match'!$G$1:$H$8,2,0)</f>
        <v>Installation and System Integration</v>
      </c>
      <c r="G56" s="6" t="s">
        <v>27</v>
      </c>
      <c r="H56" s="34">
        <v>2021</v>
      </c>
      <c r="I56" s="2">
        <v>2025</v>
      </c>
      <c r="J56" s="6">
        <v>0.1</v>
      </c>
      <c r="K56" s="2">
        <v>7.7</v>
      </c>
      <c r="L56" s="39">
        <f t="shared" si="0"/>
        <v>77</v>
      </c>
      <c r="M56" s="7">
        <v>2060</v>
      </c>
    </row>
    <row r="57" spans="1:13" x14ac:dyDescent="0.25">
      <c r="A57" s="2">
        <v>2020</v>
      </c>
      <c r="B57" s="1" t="s">
        <v>185</v>
      </c>
      <c r="D57" s="29" t="str">
        <f>IFERROR(VLOOKUP(C57,'Sector &amp; Policy Match'!$A$1:$B$42,2,0),"")</f>
        <v/>
      </c>
      <c r="E57" s="2" t="s">
        <v>166</v>
      </c>
      <c r="F57" s="1" t="str">
        <f>VLOOKUP(E57,'Sector &amp; Policy Match'!$G$1:$H$8,2,0)</f>
        <v>Installation and System Integration</v>
      </c>
      <c r="G57" s="6" t="s">
        <v>27</v>
      </c>
      <c r="H57" s="34">
        <v>2021</v>
      </c>
      <c r="I57" s="2">
        <v>2025</v>
      </c>
      <c r="J57" s="6">
        <v>0.15</v>
      </c>
      <c r="K57" s="2">
        <v>28</v>
      </c>
      <c r="L57" s="39">
        <f t="shared" si="0"/>
        <v>186.66666666666669</v>
      </c>
      <c r="M57" s="7">
        <v>2060</v>
      </c>
    </row>
    <row r="58" spans="1:13" x14ac:dyDescent="0.25">
      <c r="A58" s="2">
        <v>2020</v>
      </c>
      <c r="B58" s="1" t="s">
        <v>186</v>
      </c>
      <c r="C58" s="2" t="s">
        <v>143</v>
      </c>
      <c r="D58" s="29" t="str">
        <f>IFERROR(VLOOKUP(C58,'Sector &amp; Policy Match'!$A$1:$B$42,2,0),"")</f>
        <v>电力、热力生产</v>
      </c>
      <c r="E58" s="2" t="s">
        <v>166</v>
      </c>
      <c r="F58" s="1" t="str">
        <f>VLOOKUP(E58,'Sector &amp; Policy Match'!$G$1:$H$8,2,0)</f>
        <v>Installation and System Integration</v>
      </c>
      <c r="G58" s="6" t="s">
        <v>27</v>
      </c>
      <c r="H58" s="34">
        <v>2021</v>
      </c>
      <c r="I58" s="2">
        <v>2025</v>
      </c>
      <c r="J58" s="6">
        <v>0.1</v>
      </c>
      <c r="K58" s="2">
        <v>9</v>
      </c>
      <c r="L58" s="39">
        <f t="shared" si="0"/>
        <v>90</v>
      </c>
      <c r="M58" s="7">
        <v>2060</v>
      </c>
    </row>
    <row r="59" spans="1:13" x14ac:dyDescent="0.25">
      <c r="A59" s="2">
        <v>2020</v>
      </c>
      <c r="B59" s="1" t="s">
        <v>187</v>
      </c>
      <c r="C59" s="2" t="s">
        <v>188</v>
      </c>
      <c r="D59" s="29" t="str">
        <f>IFERROR(VLOOKUP(C59,'Sector &amp; Policy Match'!$A$1:$B$42,2,0),"")</f>
        <v>bldgs</v>
      </c>
      <c r="E59" s="2" t="s">
        <v>166</v>
      </c>
      <c r="F59" s="1" t="str">
        <f>VLOOKUP(E59,'Sector &amp; Policy Match'!$G$1:$H$8,2,0)</f>
        <v>Installation and System Integration</v>
      </c>
      <c r="G59" s="6" t="s">
        <v>27</v>
      </c>
      <c r="H59" s="34">
        <v>2021</v>
      </c>
      <c r="I59" s="2">
        <v>2025</v>
      </c>
      <c r="J59" s="6">
        <v>0.2</v>
      </c>
      <c r="K59" s="2">
        <v>33.299999999999997</v>
      </c>
      <c r="L59" s="39">
        <f t="shared" si="0"/>
        <v>166.5</v>
      </c>
      <c r="M59" s="7">
        <v>2060</v>
      </c>
    </row>
    <row r="60" spans="1:13" x14ac:dyDescent="0.25">
      <c r="A60" s="2">
        <v>2020</v>
      </c>
      <c r="B60" s="1" t="s">
        <v>189</v>
      </c>
      <c r="C60" s="2" t="s">
        <v>190</v>
      </c>
      <c r="D60" s="29" t="str">
        <f>IFERROR(VLOOKUP(C60,'Sector &amp; Policy Match'!$A$1:$B$42,2,0),"")</f>
        <v>trans</v>
      </c>
      <c r="E60" s="2" t="s">
        <v>166</v>
      </c>
      <c r="F60" s="1" t="str">
        <f>VLOOKUP(E60,'Sector &amp; Policy Match'!$G$1:$H$8,2,0)</f>
        <v>Installation and System Integration</v>
      </c>
      <c r="G60" s="6">
        <v>0.05</v>
      </c>
      <c r="H60" s="34">
        <v>2021</v>
      </c>
      <c r="I60" s="2">
        <v>2025</v>
      </c>
      <c r="J60" s="6">
        <v>0.3</v>
      </c>
      <c r="K60" s="2">
        <v>20</v>
      </c>
      <c r="L60" s="39">
        <f t="shared" si="0"/>
        <v>76</v>
      </c>
      <c r="M60" s="7">
        <v>2060</v>
      </c>
    </row>
    <row r="61" spans="1:13" x14ac:dyDescent="0.25">
      <c r="A61" s="2">
        <v>2020</v>
      </c>
      <c r="B61" s="1" t="s">
        <v>191</v>
      </c>
      <c r="C61" s="2" t="s">
        <v>190</v>
      </c>
      <c r="D61" s="29" t="str">
        <f>IFERROR(VLOOKUP(C61,'Sector &amp; Policy Match'!$A$1:$B$42,2,0),"")</f>
        <v>trans</v>
      </c>
      <c r="E61" s="2" t="s">
        <v>166</v>
      </c>
      <c r="F61" s="1" t="str">
        <f>VLOOKUP(E61,'Sector &amp; Policy Match'!$G$1:$H$8,2,0)</f>
        <v>Installation and System Integration</v>
      </c>
      <c r="G61" s="6">
        <v>0.1</v>
      </c>
      <c r="H61" s="34">
        <v>2021</v>
      </c>
      <c r="I61" s="2">
        <v>2025</v>
      </c>
      <c r="J61" s="6">
        <v>0.2</v>
      </c>
      <c r="K61" s="2">
        <v>8.9</v>
      </c>
      <c r="L61" s="39">
        <f t="shared" si="0"/>
        <v>80.100000000000009</v>
      </c>
      <c r="M61" s="7">
        <v>2060</v>
      </c>
    </row>
    <row r="62" spans="1:13" x14ac:dyDescent="0.25">
      <c r="A62" s="2">
        <v>2020</v>
      </c>
      <c r="B62" s="1" t="s">
        <v>192</v>
      </c>
      <c r="C62" s="2" t="s">
        <v>153</v>
      </c>
      <c r="D62" s="15" t="str">
        <f>IFERROR(VLOOKUP(C62,'Sector &amp; Policy Match'!$A$1:$B$42,2,0),"")</f>
        <v>空调系统</v>
      </c>
      <c r="E62" s="2" t="s">
        <v>166</v>
      </c>
      <c r="F62" s="1" t="str">
        <f>VLOOKUP(E62,'Sector &amp; Policy Match'!$G$1:$H$8,2,0)</f>
        <v>Installation and System Integration</v>
      </c>
      <c r="G62" s="6">
        <v>0.2</v>
      </c>
      <c r="H62" s="34">
        <v>2021</v>
      </c>
      <c r="I62" s="2">
        <v>2025</v>
      </c>
      <c r="J62" s="6">
        <v>0.5</v>
      </c>
      <c r="K62" s="2">
        <v>8.5</v>
      </c>
      <c r="L62" s="39">
        <f t="shared" si="0"/>
        <v>22.666666666666668</v>
      </c>
      <c r="M62" s="7">
        <v>2060</v>
      </c>
    </row>
    <row r="63" spans="1:13" x14ac:dyDescent="0.25">
      <c r="A63" s="2">
        <v>2021</v>
      </c>
      <c r="B63" s="1" t="s">
        <v>193</v>
      </c>
      <c r="C63" s="2" t="s">
        <v>119</v>
      </c>
      <c r="D63" s="29" t="str">
        <f>IFERROR(VLOOKUP(C63,'Sector &amp; Policy Match'!$A$1:$B$42,2,0),"")</f>
        <v>iron and steel 241</v>
      </c>
      <c r="E63" s="2" t="s">
        <v>113</v>
      </c>
      <c r="F63" s="1" t="str">
        <f>VLOOKUP(E63,'Sector &amp; Policy Match'!$G$1:$H$8,2,0)</f>
        <v>Early Facility Retirement</v>
      </c>
      <c r="G63" s="6">
        <v>0.2</v>
      </c>
      <c r="H63" s="34">
        <v>2022</v>
      </c>
      <c r="I63" s="2">
        <v>2024</v>
      </c>
      <c r="J63" s="6">
        <v>0.6</v>
      </c>
      <c r="K63" s="2">
        <v>81.8</v>
      </c>
      <c r="L63" s="39">
        <f t="shared" si="0"/>
        <v>163.60000000000002</v>
      </c>
      <c r="M63" s="7">
        <v>2060</v>
      </c>
    </row>
    <row r="64" spans="1:13" x14ac:dyDescent="0.25">
      <c r="A64" s="2">
        <v>2021</v>
      </c>
      <c r="B64" s="1" t="s">
        <v>194</v>
      </c>
      <c r="C64" s="2" t="s">
        <v>119</v>
      </c>
      <c r="D64" s="29" t="str">
        <f>IFERROR(VLOOKUP(C64,'Sector &amp; Policy Match'!$A$1:$B$42,2,0),"")</f>
        <v>iron and steel 241</v>
      </c>
      <c r="E64" s="2" t="s">
        <v>113</v>
      </c>
      <c r="F64" s="1" t="str">
        <f>VLOOKUP(E64,'Sector &amp; Policy Match'!$G$1:$H$8,2,0)</f>
        <v>Early Facility Retirement</v>
      </c>
      <c r="G64" s="6">
        <v>0.2</v>
      </c>
      <c r="H64" s="34">
        <v>2022</v>
      </c>
      <c r="I64" s="2">
        <v>2024</v>
      </c>
      <c r="J64" s="6">
        <v>0.3</v>
      </c>
      <c r="K64" s="2">
        <v>175</v>
      </c>
      <c r="L64" s="39">
        <f t="shared" si="0"/>
        <v>1400.0000000000002</v>
      </c>
      <c r="M64" s="7">
        <v>2060</v>
      </c>
    </row>
    <row r="65" spans="1:13" x14ac:dyDescent="0.25">
      <c r="A65" s="2">
        <v>2021</v>
      </c>
      <c r="B65" s="5" t="s">
        <v>433</v>
      </c>
      <c r="C65" s="8" t="s">
        <v>1</v>
      </c>
      <c r="D65" s="29" t="str">
        <f>IFERROR(VLOOKUP(C65,'Sector &amp; Policy Match'!$A$1:$B$42,2,0),"")</f>
        <v>iron and steel 241</v>
      </c>
      <c r="E65" s="2" t="s">
        <v>113</v>
      </c>
      <c r="F65" s="1" t="str">
        <f>VLOOKUP(E65,'Sector &amp; Policy Match'!$G$1:$H$8,2,0)</f>
        <v>Early Facility Retirement</v>
      </c>
      <c r="G65" s="54" t="s">
        <v>434</v>
      </c>
      <c r="H65" s="34">
        <v>2022</v>
      </c>
      <c r="I65" s="2">
        <v>2024</v>
      </c>
      <c r="J65" s="6">
        <v>0.05</v>
      </c>
      <c r="K65" s="2">
        <v>149.4</v>
      </c>
      <c r="L65" s="39">
        <f>(1-IF(G65="≤1%",0,G65))/(J65-IF(G65="≤1%",0,G65))*K65</f>
        <v>2988</v>
      </c>
      <c r="M65" s="7">
        <v>2060</v>
      </c>
    </row>
    <row r="66" spans="1:13" x14ac:dyDescent="0.25">
      <c r="A66" s="2">
        <v>2021</v>
      </c>
      <c r="B66" s="1" t="s">
        <v>196</v>
      </c>
      <c r="C66" s="2" t="s">
        <v>134</v>
      </c>
      <c r="D66" s="29" t="str">
        <f>IFERROR(VLOOKUP(C66,'Sector &amp; Policy Match'!$A$1:$B$42,2,0),"")</f>
        <v>other metals 242</v>
      </c>
      <c r="E66" s="2" t="s">
        <v>113</v>
      </c>
      <c r="F66" s="1" t="str">
        <f>VLOOKUP(E66,'Sector &amp; Policy Match'!$G$1:$H$8,2,0)</f>
        <v>Early Facility Retirement</v>
      </c>
      <c r="G66" s="6">
        <v>0.09</v>
      </c>
      <c r="H66" s="34">
        <v>2022</v>
      </c>
      <c r="I66" s="2">
        <v>2024</v>
      </c>
      <c r="J66" s="6">
        <v>0.15</v>
      </c>
      <c r="K66" s="2">
        <v>44.58</v>
      </c>
      <c r="L66" s="39">
        <f t="shared" ref="L66:L128" si="1">(1-IF(G66="≤1%",0,G66))/(J66-IF(G66="≤1%",0,G66))*K66</f>
        <v>676.13</v>
      </c>
      <c r="M66" s="7">
        <v>2060</v>
      </c>
    </row>
    <row r="67" spans="1:13" x14ac:dyDescent="0.25">
      <c r="A67" s="2">
        <v>2021</v>
      </c>
      <c r="B67" s="1" t="s">
        <v>197</v>
      </c>
      <c r="C67" s="2" t="s">
        <v>134</v>
      </c>
      <c r="D67" s="29" t="str">
        <f>IFERROR(VLOOKUP(C67,'Sector &amp; Policy Match'!$A$1:$B$42,2,0),"")</f>
        <v>other metals 242</v>
      </c>
      <c r="E67" s="2" t="s">
        <v>113</v>
      </c>
      <c r="F67" s="1" t="str">
        <f>VLOOKUP(E67,'Sector &amp; Policy Match'!$G$1:$H$8,2,0)</f>
        <v>Early Facility Retirement</v>
      </c>
      <c r="G67" s="6" t="s">
        <v>195</v>
      </c>
      <c r="H67" s="34">
        <v>2022</v>
      </c>
      <c r="I67" s="2">
        <v>2024</v>
      </c>
      <c r="J67" s="6">
        <v>8.8499999999999995E-2</v>
      </c>
      <c r="K67" s="2">
        <v>8.85</v>
      </c>
      <c r="L67" s="39">
        <f t="shared" si="1"/>
        <v>100</v>
      </c>
      <c r="M67" s="7">
        <v>2060</v>
      </c>
    </row>
    <row r="68" spans="1:13" x14ac:dyDescent="0.25">
      <c r="A68" s="2">
        <v>2021</v>
      </c>
      <c r="B68" s="1" t="s">
        <v>198</v>
      </c>
      <c r="C68" s="2" t="s">
        <v>112</v>
      </c>
      <c r="D68" s="29" t="str">
        <f>IFERROR(VLOOKUP(C68,'Sector &amp; Policy Match'!$A$1:$B$42,2,0),"")</f>
        <v>cement and other nonmetallic minerals 239</v>
      </c>
      <c r="E68" s="2" t="s">
        <v>113</v>
      </c>
      <c r="F68" s="1" t="str">
        <f>VLOOKUP(E68,'Sector &amp; Policy Match'!$G$1:$H$8,2,0)</f>
        <v>Early Facility Retirement</v>
      </c>
      <c r="G68" s="6" t="s">
        <v>195</v>
      </c>
      <c r="H68" s="34">
        <v>2022</v>
      </c>
      <c r="I68" s="2">
        <v>2024</v>
      </c>
      <c r="J68" s="6">
        <v>0.11899999999999999</v>
      </c>
      <c r="K68" s="2">
        <v>11.51</v>
      </c>
      <c r="L68" s="39">
        <f t="shared" si="1"/>
        <v>96.722689075630257</v>
      </c>
      <c r="M68" s="7">
        <v>2060</v>
      </c>
    </row>
    <row r="69" spans="1:13" x14ac:dyDescent="0.25">
      <c r="A69" s="2">
        <v>2021</v>
      </c>
      <c r="B69" s="1" t="s">
        <v>199</v>
      </c>
      <c r="C69" s="2" t="s">
        <v>112</v>
      </c>
      <c r="D69" s="29" t="str">
        <f>IFERROR(VLOOKUP(C69,'Sector &amp; Policy Match'!$A$1:$B$42,2,0),"")</f>
        <v>cement and other nonmetallic minerals 239</v>
      </c>
      <c r="E69" s="2" t="s">
        <v>113</v>
      </c>
      <c r="F69" s="1" t="str">
        <f>VLOOKUP(E69,'Sector &amp; Policy Match'!$G$1:$H$8,2,0)</f>
        <v>Early Facility Retirement</v>
      </c>
      <c r="G69" s="6" t="s">
        <v>195</v>
      </c>
      <c r="H69" s="34">
        <v>2022</v>
      </c>
      <c r="I69" s="2">
        <v>2024</v>
      </c>
      <c r="J69" s="6">
        <v>0.05</v>
      </c>
      <c r="K69" s="2">
        <v>1.5</v>
      </c>
      <c r="L69" s="39">
        <f t="shared" si="1"/>
        <v>30</v>
      </c>
      <c r="M69" s="7">
        <v>2060</v>
      </c>
    </row>
    <row r="70" spans="1:13" x14ac:dyDescent="0.25">
      <c r="A70" s="2">
        <v>2021</v>
      </c>
      <c r="B70" s="1" t="s">
        <v>200</v>
      </c>
      <c r="C70" s="2" t="s">
        <v>125</v>
      </c>
      <c r="D70" s="29" t="str">
        <f>IFERROR(VLOOKUP(C70,'Sector &amp; Policy Match'!$A$1:$B$42,2,0),"")</f>
        <v>chemicals 20</v>
      </c>
      <c r="E70" s="2" t="s">
        <v>113</v>
      </c>
      <c r="F70" s="1" t="str">
        <f>VLOOKUP(E70,'Sector &amp; Policy Match'!$G$1:$H$8,2,0)</f>
        <v>Early Facility Retirement</v>
      </c>
      <c r="G70" s="6">
        <v>0.45</v>
      </c>
      <c r="H70" s="34">
        <v>2022</v>
      </c>
      <c r="I70" s="2">
        <v>2024</v>
      </c>
      <c r="J70" s="6">
        <v>0.6</v>
      </c>
      <c r="K70" s="2">
        <v>305</v>
      </c>
      <c r="L70" s="39">
        <f t="shared" si="1"/>
        <v>1118.3333333333337</v>
      </c>
      <c r="M70" s="7">
        <v>2060</v>
      </c>
    </row>
    <row r="71" spans="1:13" x14ac:dyDescent="0.25">
      <c r="A71" s="2">
        <v>2021</v>
      </c>
      <c r="B71" s="1" t="s">
        <v>201</v>
      </c>
      <c r="C71" s="2" t="s">
        <v>125</v>
      </c>
      <c r="D71" s="29" t="str">
        <f>IFERROR(VLOOKUP(C71,'Sector &amp; Policy Match'!$A$1:$B$42,2,0),"")</f>
        <v>chemicals 20</v>
      </c>
      <c r="E71" s="2" t="s">
        <v>113</v>
      </c>
      <c r="F71" s="1" t="str">
        <f>VLOOKUP(E71,'Sector &amp; Policy Match'!$G$1:$H$8,2,0)</f>
        <v>Early Facility Retirement</v>
      </c>
      <c r="G71" s="6">
        <v>0.16</v>
      </c>
      <c r="H71" s="34">
        <v>2022</v>
      </c>
      <c r="I71" s="2">
        <v>2024</v>
      </c>
      <c r="J71" s="6">
        <v>0.37</v>
      </c>
      <c r="K71" s="2">
        <v>10</v>
      </c>
      <c r="L71" s="39">
        <f t="shared" si="1"/>
        <v>40</v>
      </c>
      <c r="M71" s="7">
        <v>2060</v>
      </c>
    </row>
    <row r="72" spans="1:13" x14ac:dyDescent="0.25">
      <c r="A72" s="2">
        <v>2021</v>
      </c>
      <c r="B72" s="1" t="s">
        <v>202</v>
      </c>
      <c r="C72" s="2" t="s">
        <v>125</v>
      </c>
      <c r="D72" s="29" t="str">
        <f>IFERROR(VLOOKUP(C72,'Sector &amp; Policy Match'!$A$1:$B$42,2,0),"")</f>
        <v>chemicals 20</v>
      </c>
      <c r="E72" s="2" t="s">
        <v>113</v>
      </c>
      <c r="F72" s="1" t="str">
        <f>VLOOKUP(E72,'Sector &amp; Policy Match'!$G$1:$H$8,2,0)</f>
        <v>Early Facility Retirement</v>
      </c>
      <c r="G72" s="6">
        <v>0.2</v>
      </c>
      <c r="H72" s="34">
        <v>2022</v>
      </c>
      <c r="I72" s="2">
        <v>2024</v>
      </c>
      <c r="J72" s="6">
        <v>0.4</v>
      </c>
      <c r="K72" s="2">
        <v>11.8</v>
      </c>
      <c r="L72" s="39">
        <f t="shared" si="1"/>
        <v>47.2</v>
      </c>
      <c r="M72" s="7">
        <v>2060</v>
      </c>
    </row>
    <row r="73" spans="1:13" x14ac:dyDescent="0.25">
      <c r="A73" s="2">
        <v>2021</v>
      </c>
      <c r="B73" s="1" t="s">
        <v>203</v>
      </c>
      <c r="C73" s="2" t="s">
        <v>125</v>
      </c>
      <c r="D73" s="29" t="str">
        <f>IFERROR(VLOOKUP(C73,'Sector &amp; Policy Match'!$A$1:$B$42,2,0),"")</f>
        <v>chemicals 20</v>
      </c>
      <c r="E73" s="2" t="s">
        <v>113</v>
      </c>
      <c r="F73" s="1" t="str">
        <f>VLOOKUP(E73,'Sector &amp; Policy Match'!$G$1:$H$8,2,0)</f>
        <v>Early Facility Retirement</v>
      </c>
      <c r="G73" s="6" t="s">
        <v>195</v>
      </c>
      <c r="H73" s="34">
        <v>2022</v>
      </c>
      <c r="I73" s="2">
        <v>2024</v>
      </c>
      <c r="J73" s="6">
        <v>0.05</v>
      </c>
      <c r="K73" s="2">
        <v>1.3</v>
      </c>
      <c r="L73" s="39">
        <f t="shared" si="1"/>
        <v>26</v>
      </c>
      <c r="M73" s="7">
        <v>2060</v>
      </c>
    </row>
    <row r="74" spans="1:13" x14ac:dyDescent="0.25">
      <c r="A74" s="2">
        <v>2021</v>
      </c>
      <c r="B74" s="1" t="s">
        <v>204</v>
      </c>
      <c r="C74" s="2" t="s">
        <v>205</v>
      </c>
      <c r="D74" s="29" t="str">
        <f>IFERROR(VLOOKUP(C74,'Sector &amp; Policy Match'!$A$1:$B$42,2,0),"")</f>
        <v>refined petroleum and coke 19</v>
      </c>
      <c r="E74" s="2" t="s">
        <v>113</v>
      </c>
      <c r="F74" s="1" t="str">
        <f>VLOOKUP(E74,'Sector &amp; Policy Match'!$G$1:$H$8,2,0)</f>
        <v>Early Facility Retirement</v>
      </c>
      <c r="G74" s="6">
        <v>0.2</v>
      </c>
      <c r="H74" s="34">
        <v>2022</v>
      </c>
      <c r="I74" s="2">
        <v>2024</v>
      </c>
      <c r="J74" s="6">
        <v>0.3</v>
      </c>
      <c r="K74" s="2">
        <v>260</v>
      </c>
      <c r="L74" s="39">
        <f t="shared" si="1"/>
        <v>2080.0000000000005</v>
      </c>
      <c r="M74" s="7">
        <v>2060</v>
      </c>
    </row>
    <row r="75" spans="1:13" x14ac:dyDescent="0.25">
      <c r="A75" s="2">
        <v>2021</v>
      </c>
      <c r="B75" s="1" t="s">
        <v>206</v>
      </c>
      <c r="C75" s="2" t="s">
        <v>125</v>
      </c>
      <c r="D75" s="29" t="str">
        <f>IFERROR(VLOOKUP(C75,'Sector &amp; Policy Match'!$A$1:$B$42,2,0),"")</f>
        <v>chemicals 20</v>
      </c>
      <c r="E75" s="2" t="s">
        <v>113</v>
      </c>
      <c r="F75" s="1" t="str">
        <f>VLOOKUP(E75,'Sector &amp; Policy Match'!$G$1:$H$8,2,0)</f>
        <v>Early Facility Retirement</v>
      </c>
      <c r="G75" s="6" t="s">
        <v>195</v>
      </c>
      <c r="H75" s="34">
        <v>2022</v>
      </c>
      <c r="I75" s="2">
        <v>2024</v>
      </c>
      <c r="J75" s="6">
        <v>0.02</v>
      </c>
      <c r="K75" s="2">
        <v>0.62</v>
      </c>
      <c r="L75" s="39">
        <f t="shared" si="1"/>
        <v>31</v>
      </c>
      <c r="M75" s="7">
        <v>2060</v>
      </c>
    </row>
    <row r="76" spans="1:13" x14ac:dyDescent="0.25">
      <c r="A76" s="2">
        <v>2021</v>
      </c>
      <c r="B76" s="1" t="s">
        <v>207</v>
      </c>
      <c r="C76" s="2" t="s">
        <v>125</v>
      </c>
      <c r="D76" s="29" t="str">
        <f>IFERROR(VLOOKUP(C76,'Sector &amp; Policy Match'!$A$1:$B$42,2,0),"")</f>
        <v>chemicals 20</v>
      </c>
      <c r="E76" s="2" t="s">
        <v>113</v>
      </c>
      <c r="F76" s="1" t="str">
        <f>VLOOKUP(E76,'Sector &amp; Policy Match'!$G$1:$H$8,2,0)</f>
        <v>Early Facility Retirement</v>
      </c>
      <c r="G76" s="6">
        <v>0.01</v>
      </c>
      <c r="H76" s="34">
        <v>2022</v>
      </c>
      <c r="I76" s="2">
        <v>2024</v>
      </c>
      <c r="J76" s="6">
        <v>0.05</v>
      </c>
      <c r="K76" s="2">
        <v>20</v>
      </c>
      <c r="L76" s="39">
        <f t="shared" si="1"/>
        <v>495</v>
      </c>
      <c r="M76" s="7">
        <v>2060</v>
      </c>
    </row>
    <row r="77" spans="1:13" x14ac:dyDescent="0.25">
      <c r="A77" s="2">
        <v>2021</v>
      </c>
      <c r="B77" s="1" t="s">
        <v>208</v>
      </c>
      <c r="C77" s="2" t="s">
        <v>125</v>
      </c>
      <c r="D77" s="29" t="str">
        <f>IFERROR(VLOOKUP(C77,'Sector &amp; Policy Match'!$A$1:$B$42,2,0),"")</f>
        <v>chemicals 20</v>
      </c>
      <c r="E77" s="2" t="s">
        <v>113</v>
      </c>
      <c r="F77" s="1" t="str">
        <f>VLOOKUP(E77,'Sector &amp; Policy Match'!$G$1:$H$8,2,0)</f>
        <v>Early Facility Retirement</v>
      </c>
      <c r="G77" s="6">
        <v>0.02</v>
      </c>
      <c r="H77" s="34">
        <v>2022</v>
      </c>
      <c r="I77" s="2">
        <v>2024</v>
      </c>
      <c r="J77" s="6">
        <v>0.1</v>
      </c>
      <c r="K77" s="2">
        <v>13.53</v>
      </c>
      <c r="L77" s="39">
        <f t="shared" si="1"/>
        <v>165.74249999999998</v>
      </c>
      <c r="M77" s="7">
        <v>2060</v>
      </c>
    </row>
    <row r="78" spans="1:13" x14ac:dyDescent="0.25">
      <c r="A78" s="2">
        <v>2021</v>
      </c>
      <c r="B78" s="1" t="s">
        <v>209</v>
      </c>
      <c r="C78" s="2" t="s">
        <v>205</v>
      </c>
      <c r="D78" s="29" t="str">
        <f>IFERROR(VLOOKUP(C78,'Sector &amp; Policy Match'!$A$1:$B$42,2,0),"")</f>
        <v>refined petroleum and coke 19</v>
      </c>
      <c r="E78" s="2" t="s">
        <v>113</v>
      </c>
      <c r="F78" s="1" t="str">
        <f>VLOOKUP(E78,'Sector &amp; Policy Match'!$G$1:$H$8,2,0)</f>
        <v>Early Facility Retirement</v>
      </c>
      <c r="G78" s="6" t="s">
        <v>195</v>
      </c>
      <c r="H78" s="34">
        <v>2022</v>
      </c>
      <c r="I78" s="2">
        <v>2024</v>
      </c>
      <c r="J78" s="6">
        <v>0.05</v>
      </c>
      <c r="K78" s="2">
        <v>5</v>
      </c>
      <c r="L78" s="39">
        <f t="shared" si="1"/>
        <v>100</v>
      </c>
      <c r="M78" s="7">
        <v>2060</v>
      </c>
    </row>
    <row r="79" spans="1:13" x14ac:dyDescent="0.25">
      <c r="A79" s="2">
        <v>2021</v>
      </c>
      <c r="B79" s="1" t="s">
        <v>210</v>
      </c>
      <c r="C79" s="2" t="s">
        <v>205</v>
      </c>
      <c r="D79" s="29" t="str">
        <f>IFERROR(VLOOKUP(C79,'Sector &amp; Policy Match'!$A$1:$B$42,2,0),"")</f>
        <v>refined petroleum and coke 19</v>
      </c>
      <c r="E79" s="2" t="s">
        <v>113</v>
      </c>
      <c r="F79" s="1" t="str">
        <f>VLOOKUP(E79,'Sector &amp; Policy Match'!$G$1:$H$8,2,0)</f>
        <v>Early Facility Retirement</v>
      </c>
      <c r="G79" s="6">
        <v>0.02</v>
      </c>
      <c r="H79" s="34">
        <v>2022</v>
      </c>
      <c r="I79" s="2">
        <v>2024</v>
      </c>
      <c r="J79" s="6">
        <v>0.15</v>
      </c>
      <c r="K79" s="2">
        <v>98</v>
      </c>
      <c r="L79" s="39">
        <f t="shared" si="1"/>
        <v>738.76923076923072</v>
      </c>
      <c r="M79" s="7">
        <v>2060</v>
      </c>
    </row>
    <row r="80" spans="1:13" x14ac:dyDescent="0.25">
      <c r="A80" s="2">
        <v>2021</v>
      </c>
      <c r="B80" s="1" t="s">
        <v>211</v>
      </c>
      <c r="C80" s="2" t="s">
        <v>125</v>
      </c>
      <c r="D80" s="29" t="str">
        <f>IFERROR(VLOOKUP(C80,'Sector &amp; Policy Match'!$A$1:$B$42,2,0),"")</f>
        <v>chemicals 20</v>
      </c>
      <c r="E80" s="2" t="s">
        <v>113</v>
      </c>
      <c r="F80" s="1" t="str">
        <f>VLOOKUP(E80,'Sector &amp; Policy Match'!$G$1:$H$8,2,0)</f>
        <v>Early Facility Retirement</v>
      </c>
      <c r="G80" s="6">
        <v>0.5</v>
      </c>
      <c r="H80" s="34">
        <v>2022</v>
      </c>
      <c r="I80" s="2">
        <v>2024</v>
      </c>
      <c r="J80" s="6">
        <v>0.8</v>
      </c>
      <c r="K80" s="2">
        <v>31.3</v>
      </c>
      <c r="L80" s="39">
        <f t="shared" si="1"/>
        <v>52.166666666666664</v>
      </c>
      <c r="M80" s="7">
        <v>2060</v>
      </c>
    </row>
    <row r="81" spans="1:13" x14ac:dyDescent="0.25">
      <c r="A81" s="2">
        <v>2021</v>
      </c>
      <c r="B81" s="1" t="s">
        <v>212</v>
      </c>
      <c r="C81" s="2" t="s">
        <v>213</v>
      </c>
      <c r="D81" s="15" t="str">
        <f>IFERROR(VLOOKUP(C81,'Sector &amp; Policy Match'!$A$1:$B$42,2,0),"")</f>
        <v>风机系统</v>
      </c>
      <c r="E81" s="2" t="s">
        <v>146</v>
      </c>
      <c r="F81" s="1" t="str">
        <f>VLOOKUP(E81,'Sector &amp; Policy Match'!$G$1:$H$8,2,0)</f>
        <v>Improvement in Eqpt Efficiency Standards</v>
      </c>
      <c r="G81" s="6" t="s">
        <v>195</v>
      </c>
      <c r="H81" s="34">
        <v>2022</v>
      </c>
      <c r="I81" s="2">
        <v>2024</v>
      </c>
      <c r="J81" s="6">
        <v>0.2</v>
      </c>
      <c r="K81" s="2">
        <v>60</v>
      </c>
      <c r="L81" s="39">
        <f t="shared" si="1"/>
        <v>300</v>
      </c>
      <c r="M81" s="7">
        <v>2060</v>
      </c>
    </row>
    <row r="82" spans="1:13" x14ac:dyDescent="0.25">
      <c r="A82" s="2">
        <v>2021</v>
      </c>
      <c r="B82" s="1" t="s">
        <v>214</v>
      </c>
      <c r="C82" s="2" t="s">
        <v>150</v>
      </c>
      <c r="D82" s="15" t="str">
        <f>IFERROR(VLOOKUP(C82,'Sector &amp; Policy Match'!$A$1:$B$42,2,0),"")</f>
        <v>电动机系统</v>
      </c>
      <c r="E82" s="2" t="s">
        <v>146</v>
      </c>
      <c r="F82" s="1" t="str">
        <f>VLOOKUP(E82,'Sector &amp; Policy Match'!$G$1:$H$8,2,0)</f>
        <v>Improvement in Eqpt Efficiency Standards</v>
      </c>
      <c r="G82" s="6" t="s">
        <v>195</v>
      </c>
      <c r="H82" s="34">
        <v>2022</v>
      </c>
      <c r="I82" s="2">
        <v>2024</v>
      </c>
      <c r="J82" s="6">
        <v>0.3</v>
      </c>
      <c r="K82" s="2">
        <v>2.6</v>
      </c>
      <c r="L82" s="39">
        <f t="shared" si="1"/>
        <v>8.6666666666666679</v>
      </c>
      <c r="M82" s="7">
        <v>2060</v>
      </c>
    </row>
    <row r="83" spans="1:13" x14ac:dyDescent="0.25">
      <c r="A83" s="2">
        <v>2021</v>
      </c>
      <c r="B83" s="1" t="s">
        <v>215</v>
      </c>
      <c r="C83" s="2" t="s">
        <v>119</v>
      </c>
      <c r="D83" s="29" t="str">
        <f>IFERROR(VLOOKUP(C83,'Sector &amp; Policy Match'!$A$1:$B$42,2,0),"")</f>
        <v>iron and steel 241</v>
      </c>
      <c r="E83" s="2" t="s">
        <v>146</v>
      </c>
      <c r="F83" s="1" t="str">
        <f>VLOOKUP(E83,'Sector &amp; Policy Match'!$G$1:$H$8,2,0)</f>
        <v>Improvement in Eqpt Efficiency Standards</v>
      </c>
      <c r="G83" s="6">
        <v>0.5</v>
      </c>
      <c r="H83" s="34">
        <v>2022</v>
      </c>
      <c r="I83" s="2">
        <v>2024</v>
      </c>
      <c r="J83" s="6">
        <v>0.8</v>
      </c>
      <c r="K83" s="2">
        <v>49.6</v>
      </c>
      <c r="L83" s="39">
        <f t="shared" si="1"/>
        <v>82.666666666666657</v>
      </c>
      <c r="M83" s="7">
        <v>2060</v>
      </c>
    </row>
    <row r="84" spans="1:13" x14ac:dyDescent="0.25">
      <c r="A84" s="2">
        <v>2021</v>
      </c>
      <c r="B84" s="1" t="s">
        <v>216</v>
      </c>
      <c r="C84" s="2" t="s">
        <v>153</v>
      </c>
      <c r="D84" s="15" t="str">
        <f>IFERROR(VLOOKUP(C84,'Sector &amp; Policy Match'!$A$1:$B$42,2,0),"")</f>
        <v>空调系统</v>
      </c>
      <c r="E84" s="2" t="s">
        <v>146</v>
      </c>
      <c r="F84" s="1" t="str">
        <f>VLOOKUP(E84,'Sector &amp; Policy Match'!$G$1:$H$8,2,0)</f>
        <v>Improvement in Eqpt Efficiency Standards</v>
      </c>
      <c r="G84" s="6">
        <v>3.5000000000000003E-2</v>
      </c>
      <c r="H84" s="34">
        <v>2022</v>
      </c>
      <c r="I84" s="2">
        <v>2024</v>
      </c>
      <c r="J84" s="6">
        <v>6.6000000000000003E-2</v>
      </c>
      <c r="K84" s="2">
        <v>85.25</v>
      </c>
      <c r="L84" s="39">
        <f t="shared" si="1"/>
        <v>2653.75</v>
      </c>
      <c r="M84" s="7">
        <v>2060</v>
      </c>
    </row>
    <row r="85" spans="1:13" x14ac:dyDescent="0.25">
      <c r="A85" s="2">
        <v>2021</v>
      </c>
      <c r="B85" s="1" t="s">
        <v>217</v>
      </c>
      <c r="C85" s="2" t="s">
        <v>143</v>
      </c>
      <c r="D85" s="29" t="str">
        <f>IFERROR(VLOOKUP(C85,'Sector &amp; Policy Match'!$A$1:$B$42,2,0),"")</f>
        <v>电力、热力生产</v>
      </c>
      <c r="E85" s="2" t="s">
        <v>146</v>
      </c>
      <c r="F85" s="1" t="str">
        <f>VLOOKUP(E85,'Sector &amp; Policy Match'!$G$1:$H$8,2,0)</f>
        <v>Improvement in Eqpt Efficiency Standards</v>
      </c>
      <c r="G85" s="6">
        <v>0.3</v>
      </c>
      <c r="H85" s="34">
        <v>2022</v>
      </c>
      <c r="I85" s="2">
        <v>2024</v>
      </c>
      <c r="J85" s="6">
        <v>0.45</v>
      </c>
      <c r="K85" s="2">
        <v>60</v>
      </c>
      <c r="L85" s="39">
        <f t="shared" si="1"/>
        <v>279.99999999999994</v>
      </c>
      <c r="M85" s="7">
        <v>2060</v>
      </c>
    </row>
    <row r="86" spans="1:13" x14ac:dyDescent="0.25">
      <c r="A86" s="2">
        <v>2021</v>
      </c>
      <c r="B86" s="1" t="s">
        <v>218</v>
      </c>
      <c r="C86" s="2" t="s">
        <v>148</v>
      </c>
      <c r="D86" s="15" t="str">
        <f>IFERROR(VLOOKUP(C86,'Sector &amp; Policy Match'!$A$1:$B$42,2,0),"")</f>
        <v>压缩空气系统</v>
      </c>
      <c r="E86" s="2" t="s">
        <v>146</v>
      </c>
      <c r="F86" s="1" t="str">
        <f>VLOOKUP(E86,'Sector &amp; Policy Match'!$G$1:$H$8,2,0)</f>
        <v>Improvement in Eqpt Efficiency Standards</v>
      </c>
      <c r="G86" s="6" t="s">
        <v>195</v>
      </c>
      <c r="H86" s="34">
        <v>2022</v>
      </c>
      <c r="I86" s="2">
        <v>2024</v>
      </c>
      <c r="J86" s="6">
        <v>4.4999999999999998E-2</v>
      </c>
      <c r="K86" s="2">
        <v>5.4</v>
      </c>
      <c r="L86" s="39">
        <f t="shared" si="1"/>
        <v>120</v>
      </c>
      <c r="M86" s="7">
        <v>2060</v>
      </c>
    </row>
    <row r="87" spans="1:13" x14ac:dyDescent="0.25">
      <c r="A87" s="2">
        <v>2021</v>
      </c>
      <c r="B87" s="1" t="s">
        <v>219</v>
      </c>
      <c r="C87" s="2" t="s">
        <v>220</v>
      </c>
      <c r="D87" s="29" t="str">
        <f>IFERROR(VLOOKUP(C87,'Sector &amp; Policy Match'!$A$1:$B$42,2,0),"")</f>
        <v>bldgs</v>
      </c>
      <c r="E87" s="2" t="s">
        <v>146</v>
      </c>
      <c r="F87" s="1" t="str">
        <f>VLOOKUP(E87,'Sector &amp; Policy Match'!$G$1:$H$8,2,0)</f>
        <v>Improvement in Eqpt Efficiency Standards</v>
      </c>
      <c r="G87" s="6" t="s">
        <v>195</v>
      </c>
      <c r="H87" s="34">
        <v>2022</v>
      </c>
      <c r="I87" s="2">
        <v>2024</v>
      </c>
      <c r="J87" s="6">
        <v>0.2</v>
      </c>
      <c r="K87" s="2">
        <v>6.8</v>
      </c>
      <c r="L87" s="39">
        <f t="shared" si="1"/>
        <v>34</v>
      </c>
      <c r="M87" s="7">
        <v>2060</v>
      </c>
    </row>
    <row r="88" spans="1:13" x14ac:dyDescent="0.25">
      <c r="A88" s="2">
        <v>2021</v>
      </c>
      <c r="B88" s="1" t="s">
        <v>221</v>
      </c>
      <c r="C88" s="2" t="s">
        <v>222</v>
      </c>
      <c r="D88" s="15" t="str">
        <f>IFERROR(VLOOKUP(C88,'Sector &amp; Policy Match'!$A$1:$B$42,2,0),"")</f>
        <v>汽轮机</v>
      </c>
      <c r="E88" s="2" t="s">
        <v>146</v>
      </c>
      <c r="F88" s="1" t="str">
        <f>VLOOKUP(E88,'Sector &amp; Policy Match'!$G$1:$H$8,2,0)</f>
        <v>Improvement in Eqpt Efficiency Standards</v>
      </c>
      <c r="G88" s="6">
        <v>0.08</v>
      </c>
      <c r="H88" s="34">
        <v>2022</v>
      </c>
      <c r="I88" s="2">
        <v>2024</v>
      </c>
      <c r="J88" s="6">
        <v>0.18</v>
      </c>
      <c r="K88" s="2">
        <v>4.29</v>
      </c>
      <c r="L88" s="39">
        <f t="shared" si="1"/>
        <v>39.468000000000004</v>
      </c>
      <c r="M88" s="7">
        <v>2060</v>
      </c>
    </row>
    <row r="89" spans="1:13" x14ac:dyDescent="0.25">
      <c r="A89" s="2">
        <v>2021</v>
      </c>
      <c r="B89" s="1" t="s">
        <v>223</v>
      </c>
      <c r="C89" s="2" t="s">
        <v>168</v>
      </c>
      <c r="D89" s="29" t="str">
        <f>IFERROR(VLOOKUP(C89,'Sector &amp; Policy Match'!$A$1:$B$42,2,0),"")</f>
        <v>nonroad vehicles 30</v>
      </c>
      <c r="E89" s="2" t="s">
        <v>146</v>
      </c>
      <c r="F89" s="1" t="str">
        <f>VLOOKUP(E89,'Sector &amp; Policy Match'!$G$1:$H$8,2,0)</f>
        <v>Improvement in Eqpt Efficiency Standards</v>
      </c>
      <c r="G89" s="6" t="s">
        <v>195</v>
      </c>
      <c r="H89" s="34">
        <v>2022</v>
      </c>
      <c r="I89" s="2">
        <v>2024</v>
      </c>
      <c r="J89" s="6">
        <v>0.05</v>
      </c>
      <c r="K89" s="2">
        <v>3.2</v>
      </c>
      <c r="L89" s="39">
        <f t="shared" si="1"/>
        <v>64</v>
      </c>
      <c r="M89" s="7">
        <v>2060</v>
      </c>
    </row>
    <row r="90" spans="1:13" x14ac:dyDescent="0.25">
      <c r="A90" s="2">
        <v>2021</v>
      </c>
      <c r="B90" s="1" t="s">
        <v>224</v>
      </c>
      <c r="C90" s="2" t="s">
        <v>150</v>
      </c>
      <c r="D90" s="15" t="str">
        <f>IFERROR(VLOOKUP(C90,'Sector &amp; Policy Match'!$A$1:$B$42,2,0),"")</f>
        <v>电动机系统</v>
      </c>
      <c r="E90" s="2" t="s">
        <v>146</v>
      </c>
      <c r="F90" s="1" t="str">
        <f>VLOOKUP(E90,'Sector &amp; Policy Match'!$G$1:$H$8,2,0)</f>
        <v>Improvement in Eqpt Efficiency Standards</v>
      </c>
      <c r="G90" s="6">
        <v>0.2</v>
      </c>
      <c r="H90" s="34">
        <v>2022</v>
      </c>
      <c r="I90" s="2">
        <v>2024</v>
      </c>
      <c r="J90" s="6">
        <v>0.3</v>
      </c>
      <c r="K90" s="2">
        <v>7.04</v>
      </c>
      <c r="L90" s="39">
        <f t="shared" si="1"/>
        <v>56.320000000000014</v>
      </c>
      <c r="M90" s="7">
        <v>2060</v>
      </c>
    </row>
    <row r="91" spans="1:13" x14ac:dyDescent="0.25">
      <c r="A91" s="2">
        <v>2021</v>
      </c>
      <c r="B91" s="1" t="s">
        <v>225</v>
      </c>
      <c r="C91" s="2" t="s">
        <v>150</v>
      </c>
      <c r="D91" s="15" t="str">
        <f>IFERROR(VLOOKUP(C91,'Sector &amp; Policy Match'!$A$1:$B$42,2,0),"")</f>
        <v>电动机系统</v>
      </c>
      <c r="E91" s="2" t="s">
        <v>146</v>
      </c>
      <c r="F91" s="1" t="str">
        <f>VLOOKUP(E91,'Sector &amp; Policy Match'!$G$1:$H$8,2,0)</f>
        <v>Improvement in Eqpt Efficiency Standards</v>
      </c>
      <c r="G91" s="6">
        <v>0.01</v>
      </c>
      <c r="H91" s="34">
        <v>2022</v>
      </c>
      <c r="I91" s="2">
        <v>2024</v>
      </c>
      <c r="J91" s="6">
        <v>0.05</v>
      </c>
      <c r="K91" s="2">
        <v>1.24</v>
      </c>
      <c r="L91" s="39">
        <f t="shared" si="1"/>
        <v>30.69</v>
      </c>
      <c r="M91" s="7">
        <v>2060</v>
      </c>
    </row>
    <row r="92" spans="1:13" x14ac:dyDescent="0.25">
      <c r="A92" s="2">
        <v>2021</v>
      </c>
      <c r="B92" s="1" t="s">
        <v>226</v>
      </c>
      <c r="C92" s="2" t="s">
        <v>227</v>
      </c>
      <c r="D92" s="29" t="str">
        <f>IFERROR(VLOOKUP(C92,'Sector &amp; Policy Match'!$A$1:$B$42,2,0),"")</f>
        <v>energy pipelines and gas processing 352T353</v>
      </c>
      <c r="E92" s="2" t="s">
        <v>146</v>
      </c>
      <c r="F92" s="1" t="str">
        <f>VLOOKUP(E92,'Sector &amp; Policy Match'!$G$1:$H$8,2,0)</f>
        <v>Improvement in Eqpt Efficiency Standards</v>
      </c>
      <c r="G92" s="6">
        <v>0.01</v>
      </c>
      <c r="H92" s="34">
        <v>2022</v>
      </c>
      <c r="I92" s="2">
        <v>2024</v>
      </c>
      <c r="J92" s="6">
        <v>0.3</v>
      </c>
      <c r="K92" s="2">
        <v>44.64</v>
      </c>
      <c r="L92" s="39">
        <f t="shared" si="1"/>
        <v>152.39172413793105</v>
      </c>
      <c r="M92" s="7">
        <v>2060</v>
      </c>
    </row>
    <row r="93" spans="1:13" x14ac:dyDescent="0.25">
      <c r="A93" s="2">
        <v>2021</v>
      </c>
      <c r="B93" s="1" t="s">
        <v>228</v>
      </c>
      <c r="C93" s="2" t="s">
        <v>229</v>
      </c>
      <c r="D93" s="29" t="str">
        <f>IFERROR(VLOOKUP(C93,'Sector &amp; Policy Match'!$A$1:$B$42,2,0),"")</f>
        <v>coal mining 05</v>
      </c>
      <c r="E93" s="2" t="s">
        <v>146</v>
      </c>
      <c r="F93" s="1" t="str">
        <f>VLOOKUP(E93,'Sector &amp; Policy Match'!$G$1:$H$8,2,0)</f>
        <v>Improvement in Eqpt Efficiency Standards</v>
      </c>
      <c r="G93" s="6">
        <v>0.01</v>
      </c>
      <c r="H93" s="34">
        <v>2022</v>
      </c>
      <c r="I93" s="2">
        <v>2024</v>
      </c>
      <c r="J93" s="6">
        <v>0.05</v>
      </c>
      <c r="K93" s="2">
        <v>6.1</v>
      </c>
      <c r="L93" s="39">
        <f t="shared" si="1"/>
        <v>150.97499999999999</v>
      </c>
      <c r="M93" s="7">
        <v>2060</v>
      </c>
    </row>
    <row r="94" spans="1:13" x14ac:dyDescent="0.25">
      <c r="A94" s="2">
        <v>2021</v>
      </c>
      <c r="B94" s="1" t="s">
        <v>230</v>
      </c>
      <c r="C94" s="2" t="s">
        <v>150</v>
      </c>
      <c r="D94" s="15" t="str">
        <f>IFERROR(VLOOKUP(C94,'Sector &amp; Policy Match'!$A$1:$B$42,2,0),"")</f>
        <v>电动机系统</v>
      </c>
      <c r="E94" s="2" t="s">
        <v>146</v>
      </c>
      <c r="F94" s="1" t="str">
        <f>VLOOKUP(E94,'Sector &amp; Policy Match'!$G$1:$H$8,2,0)</f>
        <v>Improvement in Eqpt Efficiency Standards</v>
      </c>
      <c r="G94" s="6">
        <v>0.2</v>
      </c>
      <c r="H94" s="34">
        <v>2022</v>
      </c>
      <c r="I94" s="2">
        <v>2024</v>
      </c>
      <c r="J94" s="6">
        <v>0.3</v>
      </c>
      <c r="K94" s="2">
        <v>260</v>
      </c>
      <c r="L94" s="39">
        <f t="shared" si="1"/>
        <v>2080.0000000000005</v>
      </c>
      <c r="M94" s="7">
        <v>2060</v>
      </c>
    </row>
    <row r="95" spans="1:13" x14ac:dyDescent="0.25">
      <c r="A95" s="2">
        <v>2021</v>
      </c>
      <c r="B95" s="1" t="s">
        <v>231</v>
      </c>
      <c r="C95" s="2" t="s">
        <v>220</v>
      </c>
      <c r="D95" s="29" t="str">
        <f>IFERROR(VLOOKUP(C95,'Sector &amp; Policy Match'!$A$1:$B$42,2,0),"")</f>
        <v>bldgs</v>
      </c>
      <c r="E95" s="2" t="s">
        <v>146</v>
      </c>
      <c r="F95" s="1" t="str">
        <f>VLOOKUP(E95,'Sector &amp; Policy Match'!$G$1:$H$8,2,0)</f>
        <v>Improvement in Eqpt Efficiency Standards</v>
      </c>
      <c r="G95" s="6" t="s">
        <v>195</v>
      </c>
      <c r="H95" s="34">
        <v>2022</v>
      </c>
      <c r="I95" s="2">
        <v>2024</v>
      </c>
      <c r="J95" s="6">
        <v>0.1</v>
      </c>
      <c r="K95" s="2">
        <v>0.68</v>
      </c>
      <c r="L95" s="39">
        <f t="shared" si="1"/>
        <v>6.8000000000000007</v>
      </c>
      <c r="M95" s="7">
        <v>2060</v>
      </c>
    </row>
    <row r="96" spans="1:13" x14ac:dyDescent="0.25">
      <c r="A96" s="2">
        <v>2021</v>
      </c>
      <c r="B96" s="1" t="s">
        <v>232</v>
      </c>
      <c r="C96" s="2" t="s">
        <v>150</v>
      </c>
      <c r="D96" s="15" t="str">
        <f>IFERROR(VLOOKUP(C96,'Sector &amp; Policy Match'!$A$1:$B$42,2,0),"")</f>
        <v>电动机系统</v>
      </c>
      <c r="E96" s="2" t="s">
        <v>146</v>
      </c>
      <c r="F96" s="1" t="str">
        <f>VLOOKUP(E96,'Sector &amp; Policy Match'!$G$1:$H$8,2,0)</f>
        <v>Improvement in Eqpt Efficiency Standards</v>
      </c>
      <c r="G96" s="6">
        <v>0.1</v>
      </c>
      <c r="H96" s="34">
        <v>2022</v>
      </c>
      <c r="I96" s="2">
        <v>2024</v>
      </c>
      <c r="J96" s="6">
        <v>0.25</v>
      </c>
      <c r="K96" s="2">
        <v>11.8</v>
      </c>
      <c r="L96" s="39">
        <f t="shared" si="1"/>
        <v>70.800000000000011</v>
      </c>
      <c r="M96" s="7">
        <v>2060</v>
      </c>
    </row>
    <row r="97" spans="1:13" x14ac:dyDescent="0.25">
      <c r="A97" s="2">
        <v>2021</v>
      </c>
      <c r="B97" s="1" t="s">
        <v>233</v>
      </c>
      <c r="C97" s="2" t="s">
        <v>234</v>
      </c>
      <c r="D97" s="29" t="str">
        <f>IFERROR(VLOOKUP(C97,'Sector &amp; Policy Match'!$A$1:$B$42,2,0),"")</f>
        <v>trans</v>
      </c>
      <c r="E97" s="2" t="s">
        <v>146</v>
      </c>
      <c r="F97" s="1" t="str">
        <f>VLOOKUP(E97,'Sector &amp; Policy Match'!$G$1:$H$8,2,0)</f>
        <v>Improvement in Eqpt Efficiency Standards</v>
      </c>
      <c r="G97" s="6" t="s">
        <v>195</v>
      </c>
      <c r="H97" s="34">
        <v>2022</v>
      </c>
      <c r="I97" s="2">
        <v>2024</v>
      </c>
      <c r="J97" s="6">
        <v>0.1</v>
      </c>
      <c r="K97" s="2">
        <v>3.58</v>
      </c>
      <c r="L97" s="39">
        <f t="shared" si="1"/>
        <v>35.799999999999997</v>
      </c>
      <c r="M97" s="7">
        <v>2060</v>
      </c>
    </row>
    <row r="98" spans="1:13" x14ac:dyDescent="0.25">
      <c r="A98" s="2">
        <v>2021</v>
      </c>
      <c r="B98" s="1" t="s">
        <v>235</v>
      </c>
      <c r="C98" s="2" t="s">
        <v>130</v>
      </c>
      <c r="D98" s="15" t="str">
        <f>IFERROR(VLOOKUP(C98,'Sector &amp; Policy Match'!$A$1:$B$42,2,0),"")</f>
        <v>工业锅炉</v>
      </c>
      <c r="E98" s="2" t="s">
        <v>146</v>
      </c>
      <c r="F98" s="1" t="str">
        <f>VLOOKUP(E98,'Sector &amp; Policy Match'!$G$1:$H$8,2,0)</f>
        <v>Improvement in Eqpt Efficiency Standards</v>
      </c>
      <c r="G98" s="6">
        <v>0.15</v>
      </c>
      <c r="H98" s="34">
        <v>2022</v>
      </c>
      <c r="I98" s="2">
        <v>2024</v>
      </c>
      <c r="J98" s="6">
        <v>0.3</v>
      </c>
      <c r="K98" s="2">
        <v>1.94</v>
      </c>
      <c r="L98" s="39">
        <f t="shared" si="1"/>
        <v>10.993333333333334</v>
      </c>
      <c r="M98" s="7">
        <v>2060</v>
      </c>
    </row>
    <row r="99" spans="1:13" x14ac:dyDescent="0.25">
      <c r="A99" s="2">
        <v>2021</v>
      </c>
      <c r="B99" s="1" t="s">
        <v>236</v>
      </c>
      <c r="C99" s="2" t="s">
        <v>153</v>
      </c>
      <c r="D99" s="15" t="str">
        <f>IFERROR(VLOOKUP(C99,'Sector &amp; Policy Match'!$A$1:$B$42,2,0),"")</f>
        <v>空调系统</v>
      </c>
      <c r="E99" s="2" t="s">
        <v>146</v>
      </c>
      <c r="F99" s="1" t="str">
        <f>VLOOKUP(E99,'Sector &amp; Policy Match'!$G$1:$H$8,2,0)</f>
        <v>Improvement in Eqpt Efficiency Standards</v>
      </c>
      <c r="G99" s="6">
        <v>0.1</v>
      </c>
      <c r="H99" s="34">
        <v>2022</v>
      </c>
      <c r="I99" s="2">
        <v>2024</v>
      </c>
      <c r="J99" s="6">
        <v>0.3</v>
      </c>
      <c r="K99" s="2">
        <v>7.2</v>
      </c>
      <c r="L99" s="39">
        <f t="shared" si="1"/>
        <v>32.400000000000006</v>
      </c>
      <c r="M99" s="7">
        <v>2060</v>
      </c>
    </row>
    <row r="100" spans="1:13" x14ac:dyDescent="0.25">
      <c r="A100" s="2">
        <v>2021</v>
      </c>
      <c r="B100" s="1" t="s">
        <v>237</v>
      </c>
      <c r="C100" s="2" t="s">
        <v>238</v>
      </c>
      <c r="D100" s="15" t="str">
        <f>IFERROR(VLOOKUP(C100,'Sector &amp; Policy Match'!$A$1:$B$42,2,0),"")</f>
        <v>工业炉窑</v>
      </c>
      <c r="E100" s="2" t="s">
        <v>146</v>
      </c>
      <c r="F100" s="1" t="str">
        <f>VLOOKUP(E100,'Sector &amp; Policy Match'!$G$1:$H$8,2,0)</f>
        <v>Improvement in Eqpt Efficiency Standards</v>
      </c>
      <c r="G100" s="6">
        <v>0.15</v>
      </c>
      <c r="H100" s="34">
        <v>2022</v>
      </c>
      <c r="I100" s="2">
        <v>2024</v>
      </c>
      <c r="J100" s="6">
        <v>0.25</v>
      </c>
      <c r="K100" s="2">
        <v>12.5</v>
      </c>
      <c r="L100" s="39">
        <f t="shared" si="1"/>
        <v>106.25</v>
      </c>
      <c r="M100" s="7">
        <v>2060</v>
      </c>
    </row>
    <row r="101" spans="1:13" x14ac:dyDescent="0.25">
      <c r="A101" s="9">
        <v>2021</v>
      </c>
      <c r="B101" s="10" t="s">
        <v>239</v>
      </c>
      <c r="C101" s="9" t="s">
        <v>240</v>
      </c>
      <c r="D101" s="30" t="str">
        <f>IFERROR(VLOOKUP(C101,'Sector &amp; Policy Match'!$A$1:$B$42,2,0),"")</f>
        <v/>
      </c>
      <c r="E101" s="9" t="s">
        <v>146</v>
      </c>
      <c r="F101" s="10" t="str">
        <f>VLOOKUP(E101,'Sector &amp; Policy Match'!$G$1:$H$8,2,0)</f>
        <v>Improvement in Eqpt Efficiency Standards</v>
      </c>
      <c r="G101" s="11">
        <v>0.01</v>
      </c>
      <c r="H101" s="35">
        <v>2022</v>
      </c>
      <c r="I101" s="9">
        <v>2024</v>
      </c>
      <c r="J101" s="11">
        <v>0.1</v>
      </c>
      <c r="K101" s="9">
        <v>9.7200000000000006</v>
      </c>
      <c r="L101" s="18">
        <f t="shared" si="1"/>
        <v>106.91999999999999</v>
      </c>
      <c r="M101" s="13">
        <v>2060</v>
      </c>
    </row>
    <row r="102" spans="1:13" x14ac:dyDescent="0.25">
      <c r="A102" s="9">
        <v>2021</v>
      </c>
      <c r="B102" s="10" t="s">
        <v>239</v>
      </c>
      <c r="C102" s="9" t="s">
        <v>241</v>
      </c>
      <c r="D102" s="30" t="str">
        <f>IFERROR(VLOOKUP(C102,'Sector &amp; Policy Match'!$A$1:$B$42,2,0),"")</f>
        <v>road vehicles 29</v>
      </c>
      <c r="E102" s="9" t="s">
        <v>146</v>
      </c>
      <c r="F102" s="10" t="str">
        <f>VLOOKUP(E102,'Sector &amp; Policy Match'!$G$1:$H$8,2,0)</f>
        <v>Improvement in Eqpt Efficiency Standards</v>
      </c>
      <c r="G102" s="11">
        <v>0.01</v>
      </c>
      <c r="H102" s="35">
        <v>2022</v>
      </c>
      <c r="I102" s="9">
        <v>2024</v>
      </c>
      <c r="J102" s="11">
        <v>0.1</v>
      </c>
      <c r="K102" s="16">
        <f>BIFUbC!B21/SUM(BIFUbC!B21:B22)*K101</f>
        <v>5.8184521953475086</v>
      </c>
      <c r="L102" s="18">
        <f t="shared" si="1"/>
        <v>64.002974148822588</v>
      </c>
      <c r="M102" s="13">
        <v>2060</v>
      </c>
    </row>
    <row r="103" spans="1:13" x14ac:dyDescent="0.25">
      <c r="A103" s="9">
        <v>2021</v>
      </c>
      <c r="B103" s="10" t="s">
        <v>239</v>
      </c>
      <c r="C103" s="9" t="s">
        <v>242</v>
      </c>
      <c r="D103" s="30" t="str">
        <f>IFERROR(VLOOKUP(C103,'Sector &amp; Policy Match'!$A$1:$B$42,2,0),"")</f>
        <v>nonroad vehicles 30</v>
      </c>
      <c r="E103" s="9" t="s">
        <v>146</v>
      </c>
      <c r="F103" s="10" t="str">
        <f>VLOOKUP(E103,'Sector &amp; Policy Match'!$G$1:$H$8,2,0)</f>
        <v>Improvement in Eqpt Efficiency Standards</v>
      </c>
      <c r="G103" s="11">
        <v>0.01</v>
      </c>
      <c r="H103" s="35">
        <v>2022</v>
      </c>
      <c r="I103" s="9">
        <v>2024</v>
      </c>
      <c r="J103" s="11">
        <v>0.1</v>
      </c>
      <c r="K103" s="17">
        <f>BIFUbC!B22/SUM(BIFUbC!B21:B22)*K101</f>
        <v>3.9015478046524925</v>
      </c>
      <c r="L103" s="18">
        <f t="shared" si="1"/>
        <v>42.917025851177414</v>
      </c>
      <c r="M103" s="13">
        <v>2060</v>
      </c>
    </row>
    <row r="104" spans="1:13" x14ac:dyDescent="0.25">
      <c r="A104" s="2">
        <v>2021</v>
      </c>
      <c r="B104" s="1" t="s">
        <v>243</v>
      </c>
      <c r="C104" s="2" t="s">
        <v>143</v>
      </c>
      <c r="D104" s="29" t="str">
        <f>IFERROR(VLOOKUP(C104,'Sector &amp; Policy Match'!$A$1:$B$42,2,0),"")</f>
        <v>电力、热力生产</v>
      </c>
      <c r="E104" s="2" t="s">
        <v>244</v>
      </c>
      <c r="F104" s="1" t="str">
        <f>VLOOKUP(E104,'Sector &amp; Policy Match'!$G$1:$H$8,2,0)</f>
        <v>Early Facility Retirement</v>
      </c>
      <c r="G104" s="6">
        <v>0.15</v>
      </c>
      <c r="H104" s="34">
        <v>2022</v>
      </c>
      <c r="I104" s="2">
        <v>2024</v>
      </c>
      <c r="J104" s="6">
        <v>0.3</v>
      </c>
      <c r="K104" s="2">
        <v>74</v>
      </c>
      <c r="L104" s="39">
        <f t="shared" si="1"/>
        <v>419.33333333333337</v>
      </c>
      <c r="M104" s="7">
        <v>2060</v>
      </c>
    </row>
    <row r="105" spans="1:13" x14ac:dyDescent="0.25">
      <c r="A105" s="2">
        <v>2021</v>
      </c>
      <c r="B105" s="1" t="s">
        <v>245</v>
      </c>
      <c r="C105" s="2" t="s">
        <v>143</v>
      </c>
      <c r="D105" s="29" t="str">
        <f>IFERROR(VLOOKUP(C105,'Sector &amp; Policy Match'!$A$1:$B$42,2,0),"")</f>
        <v>电力、热力生产</v>
      </c>
      <c r="E105" s="2" t="s">
        <v>244</v>
      </c>
      <c r="F105" s="1" t="str">
        <f>VLOOKUP(E105,'Sector &amp; Policy Match'!$G$1:$H$8,2,0)</f>
        <v>Early Facility Retirement</v>
      </c>
      <c r="G105" s="6" t="s">
        <v>195</v>
      </c>
      <c r="H105" s="34">
        <v>2022</v>
      </c>
      <c r="I105" s="2">
        <v>2024</v>
      </c>
      <c r="J105" s="6">
        <v>0.02</v>
      </c>
      <c r="K105" s="2">
        <v>0.08</v>
      </c>
      <c r="L105" s="39">
        <f t="shared" si="1"/>
        <v>4</v>
      </c>
      <c r="M105" s="7">
        <v>2060</v>
      </c>
    </row>
    <row r="106" spans="1:13" x14ac:dyDescent="0.25">
      <c r="A106" s="2">
        <v>2021</v>
      </c>
      <c r="B106" s="1" t="s">
        <v>246</v>
      </c>
      <c r="C106" s="2" t="s">
        <v>143</v>
      </c>
      <c r="D106" s="29" t="str">
        <f>IFERROR(VLOOKUP(C106,'Sector &amp; Policy Match'!$A$1:$B$42,2,0),"")</f>
        <v>电力、热力生产</v>
      </c>
      <c r="E106" s="2" t="s">
        <v>244</v>
      </c>
      <c r="F106" s="1" t="str">
        <f>VLOOKUP(E106,'Sector &amp; Policy Match'!$G$1:$H$8,2,0)</f>
        <v>Early Facility Retirement</v>
      </c>
      <c r="G106" s="6">
        <v>0.06</v>
      </c>
      <c r="H106" s="34">
        <v>2022</v>
      </c>
      <c r="I106" s="2">
        <v>2024</v>
      </c>
      <c r="J106" s="6">
        <v>0.3</v>
      </c>
      <c r="K106" s="2">
        <v>3.1</v>
      </c>
      <c r="L106" s="39">
        <f t="shared" si="1"/>
        <v>12.141666666666666</v>
      </c>
      <c r="M106" s="7">
        <v>2060</v>
      </c>
    </row>
    <row r="107" spans="1:13" x14ac:dyDescent="0.25">
      <c r="A107" s="2">
        <v>2021</v>
      </c>
      <c r="B107" s="1" t="s">
        <v>247</v>
      </c>
      <c r="C107" s="2" t="s">
        <v>150</v>
      </c>
      <c r="D107" s="15" t="str">
        <f>IFERROR(VLOOKUP(C107,'Sector &amp; Policy Match'!$A$1:$B$42,2,0),"")</f>
        <v>电动机系统</v>
      </c>
      <c r="E107" s="2" t="s">
        <v>244</v>
      </c>
      <c r="F107" s="1" t="str">
        <f>VLOOKUP(E107,'Sector &amp; Policy Match'!$G$1:$H$8,2,0)</f>
        <v>Early Facility Retirement</v>
      </c>
      <c r="G107" s="6" t="s">
        <v>195</v>
      </c>
      <c r="H107" s="34">
        <v>2022</v>
      </c>
      <c r="I107" s="2">
        <v>2024</v>
      </c>
      <c r="J107" s="6">
        <v>0.2</v>
      </c>
      <c r="K107" s="2">
        <v>0.93</v>
      </c>
      <c r="L107" s="39">
        <f t="shared" si="1"/>
        <v>4.6500000000000004</v>
      </c>
      <c r="M107" s="7">
        <v>2060</v>
      </c>
    </row>
    <row r="108" spans="1:13" x14ac:dyDescent="0.25">
      <c r="A108" s="2">
        <v>2021</v>
      </c>
      <c r="B108" s="1" t="s">
        <v>248</v>
      </c>
      <c r="C108" s="2" t="s">
        <v>143</v>
      </c>
      <c r="D108" s="29" t="str">
        <f>IFERROR(VLOOKUP(C108,'Sector &amp; Policy Match'!$A$1:$B$42,2,0),"")</f>
        <v>电力、热力生产</v>
      </c>
      <c r="E108" s="2" t="s">
        <v>244</v>
      </c>
      <c r="F108" s="1" t="str">
        <f>VLOOKUP(E108,'Sector &amp; Policy Match'!$G$1:$H$8,2,0)</f>
        <v>Early Facility Retirement</v>
      </c>
      <c r="G108" s="6">
        <v>0.02</v>
      </c>
      <c r="H108" s="34">
        <v>2022</v>
      </c>
      <c r="I108" s="2">
        <v>2024</v>
      </c>
      <c r="J108" s="6">
        <v>0.05</v>
      </c>
      <c r="K108" s="2">
        <v>0.08</v>
      </c>
      <c r="L108" s="39">
        <f t="shared" si="1"/>
        <v>2.6133333333333333</v>
      </c>
      <c r="M108" s="7">
        <v>2060</v>
      </c>
    </row>
    <row r="109" spans="1:13" x14ac:dyDescent="0.25">
      <c r="A109" s="2">
        <v>2021</v>
      </c>
      <c r="B109" s="1" t="s">
        <v>249</v>
      </c>
      <c r="C109" s="2" t="s">
        <v>250</v>
      </c>
      <c r="D109" s="15" t="str">
        <f>IFERROR(VLOOKUP(C109,'Sector &amp; Policy Match'!$A$1:$B$42,2,0),"")</f>
        <v>除尘器</v>
      </c>
      <c r="E109" s="2" t="s">
        <v>244</v>
      </c>
      <c r="F109" s="1" t="str">
        <f>VLOOKUP(E109,'Sector &amp; Policy Match'!$G$1:$H$8,2,0)</f>
        <v>Early Facility Retirement</v>
      </c>
      <c r="G109" s="6">
        <v>0.35</v>
      </c>
      <c r="H109" s="34">
        <v>2022</v>
      </c>
      <c r="I109" s="2">
        <v>2024</v>
      </c>
      <c r="J109" s="6">
        <v>0.55000000000000004</v>
      </c>
      <c r="K109" s="2">
        <v>4.4000000000000004</v>
      </c>
      <c r="L109" s="39">
        <f t="shared" si="1"/>
        <v>14.299999999999997</v>
      </c>
      <c r="M109" s="7">
        <v>2060</v>
      </c>
    </row>
    <row r="110" spans="1:13" x14ac:dyDescent="0.25">
      <c r="A110" s="2">
        <v>2021</v>
      </c>
      <c r="B110" s="1" t="s">
        <v>251</v>
      </c>
      <c r="C110" s="2" t="s">
        <v>227</v>
      </c>
      <c r="D110" s="29" t="str">
        <f>IFERROR(VLOOKUP(C110,'Sector &amp; Policy Match'!$A$1:$B$42,2,0),"")</f>
        <v>energy pipelines and gas processing 352T353</v>
      </c>
      <c r="E110" s="2" t="s">
        <v>252</v>
      </c>
      <c r="F110" s="1" t="str">
        <f>VLOOKUP(E110,'Sector &amp; Policy Match'!$G$1:$H$8,2,0)</f>
        <v>Installation and System Integration</v>
      </c>
      <c r="G110" s="6" t="s">
        <v>195</v>
      </c>
      <c r="H110" s="34">
        <v>2022</v>
      </c>
      <c r="I110" s="2">
        <v>2024</v>
      </c>
      <c r="J110" s="6">
        <v>0.3</v>
      </c>
      <c r="K110" s="2">
        <v>6.2E-2</v>
      </c>
      <c r="L110" s="39">
        <f t="shared" si="1"/>
        <v>0.20666666666666667</v>
      </c>
      <c r="M110" s="7">
        <v>2060</v>
      </c>
    </row>
    <row r="111" spans="1:13" x14ac:dyDescent="0.25">
      <c r="A111" s="2">
        <v>2021</v>
      </c>
      <c r="B111" s="1" t="s">
        <v>253</v>
      </c>
      <c r="C111" s="2" t="s">
        <v>170</v>
      </c>
      <c r="D111" s="15" t="str">
        <f>IFERROR(VLOOKUP(C111,'Sector &amp; Policy Match'!$A$1:$B$42,2,0),"")</f>
        <v>能源系统</v>
      </c>
      <c r="E111" s="2" t="s">
        <v>252</v>
      </c>
      <c r="F111" s="1" t="str">
        <f>VLOOKUP(E111,'Sector &amp; Policy Match'!$G$1:$H$8,2,0)</f>
        <v>Installation and System Integration</v>
      </c>
      <c r="G111" s="6">
        <v>0.03</v>
      </c>
      <c r="H111" s="34">
        <v>2022</v>
      </c>
      <c r="I111" s="2">
        <v>2024</v>
      </c>
      <c r="J111" s="6">
        <v>0.17</v>
      </c>
      <c r="K111" s="2">
        <v>176</v>
      </c>
      <c r="L111" s="39">
        <f t="shared" si="1"/>
        <v>1219.4285714285713</v>
      </c>
      <c r="M111" s="7">
        <v>2060</v>
      </c>
    </row>
    <row r="112" spans="1:13" x14ac:dyDescent="0.25">
      <c r="A112" s="2">
        <v>2021</v>
      </c>
      <c r="B112" s="1" t="s">
        <v>254</v>
      </c>
      <c r="C112" s="2" t="s">
        <v>153</v>
      </c>
      <c r="D112" s="15" t="str">
        <f>IFERROR(VLOOKUP(C112,'Sector &amp; Policy Match'!$A$1:$B$42,2,0),"")</f>
        <v>空调系统</v>
      </c>
      <c r="E112" s="2" t="s">
        <v>252</v>
      </c>
      <c r="F112" s="1" t="str">
        <f>VLOOKUP(E112,'Sector &amp; Policy Match'!$G$1:$H$8,2,0)</f>
        <v>Installation and System Integration</v>
      </c>
      <c r="G112" s="6" t="s">
        <v>195</v>
      </c>
      <c r="H112" s="34">
        <v>2022</v>
      </c>
      <c r="I112" s="2">
        <v>2024</v>
      </c>
      <c r="J112" s="6">
        <v>0.2</v>
      </c>
      <c r="K112" s="2">
        <v>14.69</v>
      </c>
      <c r="L112" s="39">
        <f t="shared" si="1"/>
        <v>73.45</v>
      </c>
      <c r="M112" s="7">
        <v>2060</v>
      </c>
    </row>
    <row r="113" spans="1:13" x14ac:dyDescent="0.25">
      <c r="A113" s="2">
        <v>2021</v>
      </c>
      <c r="B113" s="1" t="s">
        <v>255</v>
      </c>
      <c r="C113" s="2" t="s">
        <v>155</v>
      </c>
      <c r="D113" s="29" t="str">
        <f>IFERROR(VLOOKUP(C113,'Sector &amp; Policy Match'!$A$1:$B$42,2,0),"")</f>
        <v>oil and gas extraction 06</v>
      </c>
      <c r="E113" s="2" t="s">
        <v>252</v>
      </c>
      <c r="F113" s="1" t="str">
        <f>VLOOKUP(E113,'Sector &amp; Policy Match'!$G$1:$H$8,2,0)</f>
        <v>Installation and System Integration</v>
      </c>
      <c r="G113" s="6">
        <v>0.12</v>
      </c>
      <c r="H113" s="34">
        <v>2022</v>
      </c>
      <c r="I113" s="2">
        <v>2024</v>
      </c>
      <c r="J113" s="6">
        <v>0.5</v>
      </c>
      <c r="K113" s="2">
        <v>2.35</v>
      </c>
      <c r="L113" s="39">
        <f t="shared" si="1"/>
        <v>5.4421052631578952</v>
      </c>
      <c r="M113" s="7">
        <v>2060</v>
      </c>
    </row>
    <row r="114" spans="1:13" x14ac:dyDescent="0.25">
      <c r="A114" s="2">
        <v>2021</v>
      </c>
      <c r="B114" s="1" t="s">
        <v>256</v>
      </c>
      <c r="C114" s="2" t="s">
        <v>125</v>
      </c>
      <c r="D114" s="29" t="str">
        <f>IFERROR(VLOOKUP(C114,'Sector &amp; Policy Match'!$A$1:$B$42,2,0),"")</f>
        <v>chemicals 20</v>
      </c>
      <c r="E114" s="2" t="s">
        <v>252</v>
      </c>
      <c r="F114" s="1" t="str">
        <f>VLOOKUP(E114,'Sector &amp; Policy Match'!$G$1:$H$8,2,0)</f>
        <v>Installation and System Integration</v>
      </c>
      <c r="G114" s="6">
        <v>0.01</v>
      </c>
      <c r="H114" s="34">
        <v>2022</v>
      </c>
      <c r="I114" s="2">
        <v>2024</v>
      </c>
      <c r="J114" s="6">
        <v>0.05</v>
      </c>
      <c r="K114" s="2">
        <v>2.48</v>
      </c>
      <c r="L114" s="39">
        <f t="shared" si="1"/>
        <v>61.38</v>
      </c>
      <c r="M114" s="7">
        <v>2060</v>
      </c>
    </row>
    <row r="115" spans="1:13" x14ac:dyDescent="0.25">
      <c r="A115" s="2">
        <v>2021</v>
      </c>
      <c r="B115" s="1" t="s">
        <v>257</v>
      </c>
      <c r="C115" s="2" t="s">
        <v>170</v>
      </c>
      <c r="D115" s="15" t="str">
        <f>IFERROR(VLOOKUP(C115,'Sector &amp; Policy Match'!$A$1:$B$42,2,0),"")</f>
        <v>能源系统</v>
      </c>
      <c r="E115" s="2" t="s">
        <v>252</v>
      </c>
      <c r="F115" s="1" t="str">
        <f>VLOOKUP(E115,'Sector &amp; Policy Match'!$G$1:$H$8,2,0)</f>
        <v>Installation and System Integration</v>
      </c>
      <c r="G115" s="6" t="s">
        <v>195</v>
      </c>
      <c r="H115" s="34">
        <v>2022</v>
      </c>
      <c r="I115" s="2">
        <v>2024</v>
      </c>
      <c r="J115" s="6">
        <v>0.02</v>
      </c>
      <c r="K115" s="2">
        <v>0.33</v>
      </c>
      <c r="L115" s="39">
        <f t="shared" si="1"/>
        <v>16.5</v>
      </c>
      <c r="M115" s="7">
        <v>2060</v>
      </c>
    </row>
    <row r="116" spans="1:13" x14ac:dyDescent="0.25">
      <c r="A116" s="2">
        <v>2021</v>
      </c>
      <c r="B116" s="1" t="s">
        <v>258</v>
      </c>
      <c r="C116" s="2" t="s">
        <v>170</v>
      </c>
      <c r="D116" s="15" t="str">
        <f>IFERROR(VLOOKUP(C116,'Sector &amp; Policy Match'!$A$1:$B$42,2,0),"")</f>
        <v>能源系统</v>
      </c>
      <c r="E116" s="2" t="s">
        <v>252</v>
      </c>
      <c r="F116" s="1" t="str">
        <f>VLOOKUP(E116,'Sector &amp; Policy Match'!$G$1:$H$8,2,0)</f>
        <v>Installation and System Integration</v>
      </c>
      <c r="G116" s="6">
        <v>0.01</v>
      </c>
      <c r="H116" s="34">
        <v>2022</v>
      </c>
      <c r="I116" s="2">
        <v>2024</v>
      </c>
      <c r="J116" s="6">
        <v>0.1</v>
      </c>
      <c r="K116" s="2">
        <v>2.88</v>
      </c>
      <c r="L116" s="39">
        <f t="shared" si="1"/>
        <v>31.679999999999993</v>
      </c>
      <c r="M116" s="7">
        <v>2060</v>
      </c>
    </row>
    <row r="117" spans="1:13" x14ac:dyDescent="0.25">
      <c r="A117" s="2">
        <v>2021</v>
      </c>
      <c r="B117" s="1" t="s">
        <v>259</v>
      </c>
      <c r="C117" s="2" t="s">
        <v>148</v>
      </c>
      <c r="D117" s="15" t="str">
        <f>IFERROR(VLOOKUP(C117,'Sector &amp; Policy Match'!$A$1:$B$42,2,0),"")</f>
        <v>压缩空气系统</v>
      </c>
      <c r="E117" s="2" t="s">
        <v>252</v>
      </c>
      <c r="F117" s="1" t="str">
        <f>VLOOKUP(E117,'Sector &amp; Policy Match'!$G$1:$H$8,2,0)</f>
        <v>Installation and System Integration</v>
      </c>
      <c r="G117" s="6">
        <v>0.01</v>
      </c>
      <c r="H117" s="34">
        <v>2022</v>
      </c>
      <c r="I117" s="2">
        <v>2024</v>
      </c>
      <c r="J117" s="6">
        <v>0.05</v>
      </c>
      <c r="K117" s="2">
        <v>0.46</v>
      </c>
      <c r="L117" s="39">
        <f t="shared" si="1"/>
        <v>11.385</v>
      </c>
      <c r="M117" s="7">
        <v>2060</v>
      </c>
    </row>
    <row r="118" spans="1:13" x14ac:dyDescent="0.25">
      <c r="A118" s="2">
        <v>2021</v>
      </c>
      <c r="B118" s="1" t="s">
        <v>260</v>
      </c>
      <c r="C118" s="2" t="s">
        <v>153</v>
      </c>
      <c r="D118" s="15" t="str">
        <f>IFERROR(VLOOKUP(C118,'Sector &amp; Policy Match'!$A$1:$B$42,2,0),"")</f>
        <v>空调系统</v>
      </c>
      <c r="E118" s="2" t="s">
        <v>252</v>
      </c>
      <c r="F118" s="1" t="str">
        <f>VLOOKUP(E118,'Sector &amp; Policy Match'!$G$1:$H$8,2,0)</f>
        <v>Installation and System Integration</v>
      </c>
      <c r="G118" s="6">
        <v>0.05</v>
      </c>
      <c r="H118" s="34">
        <v>2022</v>
      </c>
      <c r="I118" s="2">
        <v>2024</v>
      </c>
      <c r="J118" s="6">
        <v>0.2</v>
      </c>
      <c r="K118" s="2">
        <v>2.4</v>
      </c>
      <c r="L118" s="39">
        <f t="shared" si="1"/>
        <v>15.199999999999996</v>
      </c>
      <c r="M118" s="7">
        <v>2060</v>
      </c>
    </row>
    <row r="119" spans="1:13" x14ac:dyDescent="0.25">
      <c r="A119" s="2">
        <v>2021</v>
      </c>
      <c r="B119" s="1" t="s">
        <v>261</v>
      </c>
      <c r="C119" s="2" t="s">
        <v>125</v>
      </c>
      <c r="D119" s="29" t="str">
        <f>IFERROR(VLOOKUP(C119,'Sector &amp; Policy Match'!$A$1:$B$42,2,0),"")</f>
        <v>chemicals 20</v>
      </c>
      <c r="E119" s="2" t="s">
        <v>252</v>
      </c>
      <c r="F119" s="1" t="str">
        <f>VLOOKUP(E119,'Sector &amp; Policy Match'!$G$1:$H$8,2,0)</f>
        <v>Installation and System Integration</v>
      </c>
      <c r="G119" s="6" t="s">
        <v>195</v>
      </c>
      <c r="H119" s="34">
        <v>2022</v>
      </c>
      <c r="I119" s="2">
        <v>2024</v>
      </c>
      <c r="J119" s="6">
        <v>7.0000000000000007E-2</v>
      </c>
      <c r="K119" s="2">
        <v>20</v>
      </c>
      <c r="L119" s="39">
        <f t="shared" si="1"/>
        <v>285.71428571428567</v>
      </c>
      <c r="M119" s="7">
        <v>2060</v>
      </c>
    </row>
    <row r="120" spans="1:13" x14ac:dyDescent="0.25">
      <c r="A120" s="2">
        <v>2021</v>
      </c>
      <c r="B120" s="1" t="s">
        <v>262</v>
      </c>
      <c r="C120" s="2" t="s">
        <v>153</v>
      </c>
      <c r="D120" s="15" t="str">
        <f>IFERROR(VLOOKUP(C120,'Sector &amp; Policy Match'!$A$1:$B$42,2,0),"")</f>
        <v>空调系统</v>
      </c>
      <c r="E120" s="2" t="s">
        <v>252</v>
      </c>
      <c r="F120" s="1" t="str">
        <f>VLOOKUP(E120,'Sector &amp; Policy Match'!$G$1:$H$8,2,0)</f>
        <v>Installation and System Integration</v>
      </c>
      <c r="G120" s="6" t="s">
        <v>195</v>
      </c>
      <c r="H120" s="34">
        <v>2022</v>
      </c>
      <c r="I120" s="2">
        <v>2024</v>
      </c>
      <c r="J120" s="6">
        <v>0.05</v>
      </c>
      <c r="K120" s="2">
        <v>3.1</v>
      </c>
      <c r="L120" s="39">
        <f t="shared" si="1"/>
        <v>62</v>
      </c>
      <c r="M120" s="7">
        <v>2060</v>
      </c>
    </row>
    <row r="121" spans="1:13" x14ac:dyDescent="0.25">
      <c r="A121" s="2">
        <v>2021</v>
      </c>
      <c r="B121" s="1" t="s">
        <v>263</v>
      </c>
      <c r="C121" s="2" t="s">
        <v>148</v>
      </c>
      <c r="D121" s="15" t="str">
        <f>IFERROR(VLOOKUP(C121,'Sector &amp; Policy Match'!$A$1:$B$42,2,0),"")</f>
        <v>压缩空气系统</v>
      </c>
      <c r="E121" s="2" t="s">
        <v>252</v>
      </c>
      <c r="F121" s="1" t="str">
        <f>VLOOKUP(E121,'Sector &amp; Policy Match'!$G$1:$H$8,2,0)</f>
        <v>Installation and System Integration</v>
      </c>
      <c r="G121" s="6">
        <v>0.01</v>
      </c>
      <c r="H121" s="34">
        <v>2022</v>
      </c>
      <c r="I121" s="2">
        <v>2024</v>
      </c>
      <c r="J121" s="6">
        <v>0.3</v>
      </c>
      <c r="K121" s="2">
        <v>32</v>
      </c>
      <c r="L121" s="39">
        <f t="shared" si="1"/>
        <v>109.24137931034484</v>
      </c>
      <c r="M121" s="7">
        <v>2060</v>
      </c>
    </row>
    <row r="122" spans="1:13" x14ac:dyDescent="0.25">
      <c r="A122" s="9">
        <v>2021</v>
      </c>
      <c r="B122" s="10" t="s">
        <v>264</v>
      </c>
      <c r="C122" s="9" t="s">
        <v>265</v>
      </c>
      <c r="D122" s="30" t="str">
        <f>IFERROR(VLOOKUP(C122,'Sector &amp; Policy Match'!$A$1:$B$42,2,0),"")</f>
        <v/>
      </c>
      <c r="E122" s="9" t="s">
        <v>137</v>
      </c>
      <c r="F122" s="10" t="str">
        <f>VLOOKUP(E122,'Sector &amp; Policy Match'!$G$1:$H$8,2,0)</f>
        <v>Cogeneration and Waste Heat Recovery</v>
      </c>
      <c r="G122" s="11" t="s">
        <v>195</v>
      </c>
      <c r="H122" s="35">
        <v>2022</v>
      </c>
      <c r="I122" s="9">
        <v>2024</v>
      </c>
      <c r="J122" s="11">
        <v>0.03</v>
      </c>
      <c r="K122" s="9">
        <v>130</v>
      </c>
      <c r="L122" s="18">
        <f t="shared" si="1"/>
        <v>4333.3333333333339</v>
      </c>
      <c r="M122" s="13">
        <v>2060</v>
      </c>
    </row>
    <row r="123" spans="1:13" x14ac:dyDescent="0.25">
      <c r="A123" s="9">
        <v>2021</v>
      </c>
      <c r="B123" s="10" t="s">
        <v>264</v>
      </c>
      <c r="C123" s="9" t="s">
        <v>205</v>
      </c>
      <c r="D123" s="30" t="str">
        <f>IFERROR(VLOOKUP(C123,'Sector &amp; Policy Match'!$A$1:$B$42,2,0),"")</f>
        <v>refined petroleum and coke 19</v>
      </c>
      <c r="E123" s="9" t="s">
        <v>137</v>
      </c>
      <c r="F123" s="10" t="str">
        <f>VLOOKUP(E123,'Sector &amp; Policy Match'!$G$1:$H$8,2,0)</f>
        <v>Cogeneration and Waste Heat Recovery</v>
      </c>
      <c r="G123" s="11" t="s">
        <v>195</v>
      </c>
      <c r="H123" s="35">
        <v>2022</v>
      </c>
      <c r="I123" s="9">
        <v>2024</v>
      </c>
      <c r="J123" s="11">
        <v>0.03</v>
      </c>
      <c r="K123" s="16">
        <f>BIFUbC!B10/SUM(BIFUbC!B10:B11)*K122</f>
        <v>101.36182886969161</v>
      </c>
      <c r="L123" s="18">
        <f t="shared" si="1"/>
        <v>3378.7276289897204</v>
      </c>
      <c r="M123" s="13">
        <v>2060</v>
      </c>
    </row>
    <row r="124" spans="1:13" x14ac:dyDescent="0.25">
      <c r="A124" s="9">
        <v>2021</v>
      </c>
      <c r="B124" s="10" t="s">
        <v>264</v>
      </c>
      <c r="C124" s="9" t="s">
        <v>125</v>
      </c>
      <c r="D124" s="30" t="str">
        <f>IFERROR(VLOOKUP(C124,'Sector &amp; Policy Match'!$A$1:$B$42,2,0),"")</f>
        <v>chemicals 20</v>
      </c>
      <c r="E124" s="9" t="s">
        <v>137</v>
      </c>
      <c r="F124" s="10" t="str">
        <f>VLOOKUP(E124,'Sector &amp; Policy Match'!$G$1:$H$8,2,0)</f>
        <v>Cogeneration and Waste Heat Recovery</v>
      </c>
      <c r="G124" s="11" t="s">
        <v>195</v>
      </c>
      <c r="H124" s="35">
        <v>2022</v>
      </c>
      <c r="I124" s="9">
        <v>2024</v>
      </c>
      <c r="J124" s="11">
        <v>0.03</v>
      </c>
      <c r="K124" s="16">
        <f>BIFUbC!B11/SUM(BIFUbC!B10:B11)*K122</f>
        <v>28.638171130308383</v>
      </c>
      <c r="L124" s="18">
        <f t="shared" si="1"/>
        <v>954.60570434361284</v>
      </c>
      <c r="M124" s="13">
        <v>2060</v>
      </c>
    </row>
    <row r="125" spans="1:13" x14ac:dyDescent="0.25">
      <c r="A125" s="2">
        <v>2021</v>
      </c>
      <c r="B125" s="31" t="s">
        <v>266</v>
      </c>
      <c r="C125" s="2" t="s">
        <v>220</v>
      </c>
      <c r="D125" s="29" t="str">
        <f>IFERROR(VLOOKUP(C125,'Sector &amp; Policy Match'!$A$1:$B$42,2,0),"")</f>
        <v>bldgs</v>
      </c>
      <c r="E125" s="2" t="s">
        <v>137</v>
      </c>
      <c r="F125" s="1" t="str">
        <f>VLOOKUP(E125,'Sector &amp; Policy Match'!$G$1:$H$8,2,0)</f>
        <v>Cogeneration and Waste Heat Recovery</v>
      </c>
      <c r="G125" s="6">
        <v>0.02</v>
      </c>
      <c r="H125" s="34">
        <v>2022</v>
      </c>
      <c r="I125" s="2">
        <v>2024</v>
      </c>
      <c r="J125" s="6">
        <v>0.05</v>
      </c>
      <c r="K125" s="2">
        <v>10</v>
      </c>
      <c r="L125" s="39">
        <f t="shared" si="1"/>
        <v>326.66666666666663</v>
      </c>
      <c r="M125" s="7">
        <v>2060</v>
      </c>
    </row>
    <row r="126" spans="1:13" x14ac:dyDescent="0.25">
      <c r="A126" s="2">
        <v>2021</v>
      </c>
      <c r="B126" s="31" t="s">
        <v>267</v>
      </c>
      <c r="C126" s="2" t="s">
        <v>143</v>
      </c>
      <c r="D126" s="29" t="str">
        <f>IFERROR(VLOOKUP(C126,'Sector &amp; Policy Match'!$A$1:$B$42,2,0),"")</f>
        <v>电力、热力生产</v>
      </c>
      <c r="E126" s="2" t="s">
        <v>137</v>
      </c>
      <c r="F126" s="1" t="str">
        <f>VLOOKUP(E126,'Sector &amp; Policy Match'!$G$1:$H$8,2,0)</f>
        <v>Cogeneration and Waste Heat Recovery</v>
      </c>
      <c r="G126" s="6">
        <v>0.15</v>
      </c>
      <c r="H126" s="34">
        <v>2022</v>
      </c>
      <c r="I126" s="2">
        <v>2024</v>
      </c>
      <c r="J126" s="6">
        <v>0.25</v>
      </c>
      <c r="K126" s="2">
        <v>81</v>
      </c>
      <c r="L126" s="39">
        <f t="shared" si="1"/>
        <v>688.5</v>
      </c>
      <c r="M126" s="7">
        <v>2060</v>
      </c>
    </row>
    <row r="127" spans="1:13" x14ac:dyDescent="0.25">
      <c r="A127" s="2">
        <v>2021</v>
      </c>
      <c r="B127" s="31" t="s">
        <v>268</v>
      </c>
      <c r="C127" s="2" t="s">
        <v>112</v>
      </c>
      <c r="D127" s="29" t="str">
        <f>IFERROR(VLOOKUP(C127,'Sector &amp; Policy Match'!$A$1:$B$42,2,0),"")</f>
        <v>cement and other nonmetallic minerals 239</v>
      </c>
      <c r="E127" s="2" t="s">
        <v>137</v>
      </c>
      <c r="F127" s="1" t="str">
        <f>VLOOKUP(E127,'Sector &amp; Policy Match'!$G$1:$H$8,2,0)</f>
        <v>Cogeneration and Waste Heat Recovery</v>
      </c>
      <c r="G127" s="6">
        <v>0.02</v>
      </c>
      <c r="H127" s="34">
        <v>2022</v>
      </c>
      <c r="I127" s="2">
        <v>2024</v>
      </c>
      <c r="J127" s="6">
        <v>0.03</v>
      </c>
      <c r="K127" s="2">
        <v>0.23</v>
      </c>
      <c r="L127" s="39">
        <f t="shared" si="1"/>
        <v>22.540000000000003</v>
      </c>
      <c r="M127" s="7">
        <v>2060</v>
      </c>
    </row>
    <row r="128" spans="1:13" x14ac:dyDescent="0.25">
      <c r="A128" s="2">
        <v>2021</v>
      </c>
      <c r="B128" s="1" t="s">
        <v>269</v>
      </c>
      <c r="C128" s="2" t="s">
        <v>270</v>
      </c>
      <c r="D128" s="29" t="str">
        <f>IFERROR(VLOOKUP(C128,'Sector &amp; Policy Match'!$A$1:$B$42,2,0),"")</f>
        <v>water and waste 36T39</v>
      </c>
      <c r="E128" s="2" t="s">
        <v>137</v>
      </c>
      <c r="F128" s="1" t="str">
        <f>VLOOKUP(E128,'Sector &amp; Policy Match'!$G$1:$H$8,2,0)</f>
        <v>Cogeneration and Waste Heat Recovery</v>
      </c>
      <c r="G128" s="6">
        <v>0.3</v>
      </c>
      <c r="H128" s="34">
        <v>2022</v>
      </c>
      <c r="I128" s="2">
        <v>2024</v>
      </c>
      <c r="J128" s="6">
        <v>0.51</v>
      </c>
      <c r="K128" s="2">
        <v>10</v>
      </c>
      <c r="L128" s="39">
        <f t="shared" si="1"/>
        <v>33.333333333333329</v>
      </c>
      <c r="M128" s="7">
        <v>2060</v>
      </c>
    </row>
    <row r="129" spans="1:13" x14ac:dyDescent="0.25">
      <c r="A129" s="2">
        <v>2021</v>
      </c>
      <c r="B129" s="1" t="s">
        <v>271</v>
      </c>
      <c r="C129" s="2" t="s">
        <v>241</v>
      </c>
      <c r="D129" s="29" t="str">
        <f>IFERROR(VLOOKUP(C129,'Sector &amp; Policy Match'!$A$1:$B$42,2,0),"")</f>
        <v>road vehicles 29</v>
      </c>
      <c r="E129" s="2" t="s">
        <v>137</v>
      </c>
      <c r="F129" s="1" t="str">
        <f>VLOOKUP(E129,'Sector &amp; Policy Match'!$G$1:$H$8,2,0)</f>
        <v>Cogeneration and Waste Heat Recovery</v>
      </c>
      <c r="G129" s="6" t="s">
        <v>435</v>
      </c>
      <c r="H129" s="34">
        <v>2022</v>
      </c>
      <c r="I129" s="2">
        <v>2024</v>
      </c>
      <c r="J129" s="6">
        <v>0.03</v>
      </c>
      <c r="K129" s="2">
        <v>6</v>
      </c>
      <c r="L129" s="39">
        <f>(1-IF(G129="&lt;1%",0,G129))/(J129-IF(G129="&lt;1%",0,G129))*K129</f>
        <v>200</v>
      </c>
      <c r="M129" s="7">
        <v>2060</v>
      </c>
    </row>
    <row r="130" spans="1:13" x14ac:dyDescent="0.25">
      <c r="A130" s="2">
        <v>2021</v>
      </c>
      <c r="B130" s="31" t="s">
        <v>272</v>
      </c>
      <c r="C130" s="2" t="s">
        <v>143</v>
      </c>
      <c r="D130" s="29" t="str">
        <f>IFERROR(VLOOKUP(C130,'Sector &amp; Policy Match'!$A$1:$B$42,2,0),"")</f>
        <v>电力、热力生产</v>
      </c>
      <c r="E130" s="2" t="s">
        <v>137</v>
      </c>
      <c r="F130" s="1" t="str">
        <f>VLOOKUP(E130,'Sector &amp; Policy Match'!$G$1:$H$8,2,0)</f>
        <v>Cogeneration and Waste Heat Recovery</v>
      </c>
      <c r="G130" s="6">
        <v>0.35</v>
      </c>
      <c r="H130" s="34">
        <v>2022</v>
      </c>
      <c r="I130" s="2">
        <v>2024</v>
      </c>
      <c r="J130" s="6">
        <v>0.4</v>
      </c>
      <c r="K130" s="2">
        <v>39</v>
      </c>
      <c r="L130" s="39">
        <f t="shared" ref="L130:L135" si="2">(1-IF(G130="&lt;1%",0,G130))/(J130-IF(G130="&lt;1%",0,G130))*K130</f>
        <v>506.9999999999996</v>
      </c>
      <c r="M130" s="7">
        <v>2060</v>
      </c>
    </row>
    <row r="131" spans="1:13" x14ac:dyDescent="0.25">
      <c r="A131" s="2">
        <v>2021</v>
      </c>
      <c r="B131" s="31" t="s">
        <v>273</v>
      </c>
      <c r="C131" s="2" t="s">
        <v>184</v>
      </c>
      <c r="D131" s="29" t="str">
        <f>IFERROR(VLOOKUP(C131,'Sector &amp; Policy Match'!$A$1:$B$42,2,0),"")</f>
        <v>textiles apparel and leather 13T15</v>
      </c>
      <c r="E131" s="2" t="s">
        <v>137</v>
      </c>
      <c r="F131" s="1" t="str">
        <f>VLOOKUP(E131,'Sector &amp; Policy Match'!$G$1:$H$8,2,0)</f>
        <v>Cogeneration and Waste Heat Recovery</v>
      </c>
      <c r="G131" s="6" t="s">
        <v>28</v>
      </c>
      <c r="H131" s="34">
        <v>2022</v>
      </c>
      <c r="I131" s="2">
        <v>2024</v>
      </c>
      <c r="J131" s="6">
        <v>3.1E-2</v>
      </c>
      <c r="K131" s="2">
        <v>4.6500000000000004</v>
      </c>
      <c r="L131" s="39">
        <f t="shared" si="2"/>
        <v>150</v>
      </c>
      <c r="M131" s="7">
        <v>2060</v>
      </c>
    </row>
    <row r="132" spans="1:13" x14ac:dyDescent="0.25">
      <c r="A132" s="2">
        <v>2021</v>
      </c>
      <c r="B132" s="31" t="s">
        <v>274</v>
      </c>
      <c r="C132" s="2" t="s">
        <v>238</v>
      </c>
      <c r="D132" s="15" t="str">
        <f>IFERROR(VLOOKUP(C132,'Sector &amp; Policy Match'!$A$1:$B$42,2,0),"")</f>
        <v>工业炉窑</v>
      </c>
      <c r="E132" s="2" t="s">
        <v>137</v>
      </c>
      <c r="F132" s="1" t="str">
        <f>VLOOKUP(E132,'Sector &amp; Policy Match'!$G$1:$H$8,2,0)</f>
        <v>Cogeneration and Waste Heat Recovery</v>
      </c>
      <c r="G132" s="6">
        <v>0.01</v>
      </c>
      <c r="H132" s="34">
        <v>2022</v>
      </c>
      <c r="I132" s="2">
        <v>2024</v>
      </c>
      <c r="J132" s="6">
        <v>0.15</v>
      </c>
      <c r="K132" s="2">
        <v>4.5999999999999996</v>
      </c>
      <c r="L132" s="39">
        <f t="shared" si="2"/>
        <v>32.528571428571432</v>
      </c>
      <c r="M132" s="7">
        <v>2060</v>
      </c>
    </row>
    <row r="133" spans="1:13" x14ac:dyDescent="0.25">
      <c r="A133" s="2">
        <v>2021</v>
      </c>
      <c r="B133" s="31" t="s">
        <v>275</v>
      </c>
      <c r="C133" s="2" t="s">
        <v>139</v>
      </c>
      <c r="D133" s="15" t="str">
        <f>IFERROR(VLOOKUP(C133,'Sector &amp; Policy Match'!$A$1:$B$42,2,0),"")</f>
        <v>工业循环水</v>
      </c>
      <c r="E133" s="2" t="s">
        <v>137</v>
      </c>
      <c r="F133" s="1" t="str">
        <f>VLOOKUP(E133,'Sector &amp; Policy Match'!$G$1:$H$8,2,0)</f>
        <v>Cogeneration and Waste Heat Recovery</v>
      </c>
      <c r="G133" s="6">
        <v>7.1999999999999995E-2</v>
      </c>
      <c r="H133" s="34">
        <v>2022</v>
      </c>
      <c r="I133" s="2">
        <v>2024</v>
      </c>
      <c r="J133" s="6">
        <v>0.35</v>
      </c>
      <c r="K133" s="2">
        <v>0.499</v>
      </c>
      <c r="L133" s="39">
        <f t="shared" si="2"/>
        <v>1.6657266187050364</v>
      </c>
      <c r="M133" s="7">
        <v>2060</v>
      </c>
    </row>
    <row r="134" spans="1:13" x14ac:dyDescent="0.25">
      <c r="A134" s="2">
        <v>2021</v>
      </c>
      <c r="B134" s="31" t="s">
        <v>276</v>
      </c>
      <c r="C134" s="2" t="s">
        <v>234</v>
      </c>
      <c r="D134" s="29" t="str">
        <f>IFERROR(VLOOKUP(C134,'Sector &amp; Policy Match'!$A$1:$B$42,2,0),"")</f>
        <v>trans</v>
      </c>
      <c r="E134" s="2" t="s">
        <v>137</v>
      </c>
      <c r="F134" s="1" t="str">
        <f>VLOOKUP(E134,'Sector &amp; Policy Match'!$G$1:$H$8,2,0)</f>
        <v>Cogeneration and Waste Heat Recovery</v>
      </c>
      <c r="G134" s="6" t="s">
        <v>28</v>
      </c>
      <c r="H134" s="34">
        <v>2022</v>
      </c>
      <c r="I134" s="2">
        <v>2024</v>
      </c>
      <c r="J134" s="6">
        <v>0.03</v>
      </c>
      <c r="K134" s="2">
        <v>0.13300000000000001</v>
      </c>
      <c r="L134" s="39">
        <f t="shared" si="2"/>
        <v>4.4333333333333336</v>
      </c>
      <c r="M134" s="7">
        <v>2060</v>
      </c>
    </row>
    <row r="135" spans="1:13" x14ac:dyDescent="0.25">
      <c r="A135" s="2">
        <v>2021</v>
      </c>
      <c r="B135" s="31" t="s">
        <v>277</v>
      </c>
      <c r="C135" s="2" t="s">
        <v>205</v>
      </c>
      <c r="D135" s="29" t="str">
        <f>IFERROR(VLOOKUP(C135,'Sector &amp; Policy Match'!$A$1:$B$42,2,0),"")</f>
        <v>refined petroleum and coke 19</v>
      </c>
      <c r="E135" s="2" t="s">
        <v>137</v>
      </c>
      <c r="F135" s="1" t="str">
        <f>VLOOKUP(E135,'Sector &amp; Policy Match'!$G$1:$H$8,2,0)</f>
        <v>Cogeneration and Waste Heat Recovery</v>
      </c>
      <c r="G135" s="6">
        <v>0.03</v>
      </c>
      <c r="H135" s="34">
        <v>2022</v>
      </c>
      <c r="I135" s="2">
        <v>2024</v>
      </c>
      <c r="J135" s="6">
        <v>0.1</v>
      </c>
      <c r="K135" s="2">
        <v>2.5</v>
      </c>
      <c r="L135" s="39">
        <f t="shared" si="2"/>
        <v>34.642857142857139</v>
      </c>
      <c r="M135" s="7">
        <v>2060</v>
      </c>
    </row>
    <row r="136" spans="1:13" x14ac:dyDescent="0.25">
      <c r="A136" s="2">
        <v>2022</v>
      </c>
      <c r="B136" s="1" t="s">
        <v>278</v>
      </c>
      <c r="C136" s="2" t="s">
        <v>119</v>
      </c>
      <c r="D136" s="29" t="str">
        <f>IFERROR(VLOOKUP(C136,'Sector &amp; Policy Match'!$A$1:$B$42,2,0),"")</f>
        <v>iron and steel 241</v>
      </c>
      <c r="E136" s="2" t="s">
        <v>113</v>
      </c>
      <c r="F136" s="1" t="str">
        <f>VLOOKUP(E136,'Sector &amp; Policy Match'!$G$1:$H$8,2,0)</f>
        <v>Early Facility Retirement</v>
      </c>
      <c r="H136" s="2">
        <v>2023</v>
      </c>
      <c r="I136" s="2">
        <v>2027</v>
      </c>
      <c r="J136" s="6">
        <v>0.65</v>
      </c>
      <c r="K136" s="2">
        <v>67</v>
      </c>
      <c r="L136" s="39">
        <f t="shared" ref="L136:L193" si="3">(1-IF(G136="≤1%",0,G136))/(J136-IF(G136="≤1%",0,G136))*K136</f>
        <v>103.07692307692307</v>
      </c>
      <c r="M136" s="7">
        <v>2060</v>
      </c>
    </row>
    <row r="137" spans="1:13" x14ac:dyDescent="0.25">
      <c r="A137" s="2">
        <v>2022</v>
      </c>
      <c r="B137" s="1" t="s">
        <v>279</v>
      </c>
      <c r="C137" s="2" t="s">
        <v>119</v>
      </c>
      <c r="D137" s="29" t="str">
        <f>IFERROR(VLOOKUP(C137,'Sector &amp; Policy Match'!$A$1:$B$42,2,0),"")</f>
        <v>iron and steel 241</v>
      </c>
      <c r="E137" s="2" t="s">
        <v>137</v>
      </c>
      <c r="F137" s="1" t="str">
        <f>VLOOKUP(E137,'Sector &amp; Policy Match'!$G$1:$H$8,2,0)</f>
        <v>Cogeneration and Waste Heat Recovery</v>
      </c>
      <c r="H137" s="2">
        <v>2023</v>
      </c>
      <c r="I137" s="2">
        <v>2027</v>
      </c>
      <c r="J137" s="6">
        <v>0.22</v>
      </c>
      <c r="K137" s="2">
        <v>57</v>
      </c>
      <c r="L137" s="39">
        <f t="shared" si="3"/>
        <v>259.09090909090912</v>
      </c>
      <c r="M137" s="7">
        <v>2060</v>
      </c>
    </row>
    <row r="138" spans="1:13" x14ac:dyDescent="0.25">
      <c r="A138" s="2">
        <v>2022</v>
      </c>
      <c r="B138" s="1" t="s">
        <v>280</v>
      </c>
      <c r="C138" s="2" t="s">
        <v>119</v>
      </c>
      <c r="D138" s="29" t="str">
        <f>IFERROR(VLOOKUP(C138,'Sector &amp; Policy Match'!$A$1:$B$42,2,0),"")</f>
        <v>iron and steel 241</v>
      </c>
      <c r="E138" s="2" t="s">
        <v>137</v>
      </c>
      <c r="F138" s="1" t="str">
        <f>VLOOKUP(E138,'Sector &amp; Policy Match'!$G$1:$H$8,2,0)</f>
        <v>Cogeneration and Waste Heat Recovery</v>
      </c>
      <c r="H138" s="2">
        <v>2023</v>
      </c>
      <c r="I138" s="2">
        <v>2027</v>
      </c>
      <c r="J138" s="6">
        <v>0.01</v>
      </c>
      <c r="K138" s="2">
        <v>60</v>
      </c>
      <c r="L138" s="39">
        <f t="shared" si="3"/>
        <v>6000</v>
      </c>
      <c r="M138" s="7">
        <v>2060</v>
      </c>
    </row>
    <row r="139" spans="1:13" x14ac:dyDescent="0.25">
      <c r="A139" s="2">
        <v>2022</v>
      </c>
      <c r="B139" s="1" t="s">
        <v>281</v>
      </c>
      <c r="C139" s="2" t="s">
        <v>119</v>
      </c>
      <c r="D139" s="29" t="str">
        <f>IFERROR(VLOOKUP(C139,'Sector &amp; Policy Match'!$A$1:$B$42,2,0),"")</f>
        <v>iron and steel 241</v>
      </c>
      <c r="E139" s="2" t="s">
        <v>137</v>
      </c>
      <c r="F139" s="1" t="str">
        <f>VLOOKUP(E139,'Sector &amp; Policy Match'!$G$1:$H$8,2,0)</f>
        <v>Cogeneration and Waste Heat Recovery</v>
      </c>
      <c r="H139" s="2">
        <v>2023</v>
      </c>
      <c r="I139" s="2">
        <v>2027</v>
      </c>
      <c r="J139" s="6">
        <v>0.43</v>
      </c>
      <c r="K139" s="2">
        <v>55</v>
      </c>
      <c r="L139" s="39">
        <f t="shared" si="3"/>
        <v>127.90697674418605</v>
      </c>
      <c r="M139" s="7">
        <v>2060</v>
      </c>
    </row>
    <row r="140" spans="1:13" x14ac:dyDescent="0.25">
      <c r="A140" s="2">
        <v>2022</v>
      </c>
      <c r="B140" s="1" t="s">
        <v>282</v>
      </c>
      <c r="C140" s="2" t="s">
        <v>119</v>
      </c>
      <c r="D140" s="29" t="str">
        <f>IFERROR(VLOOKUP(C140,'Sector &amp; Policy Match'!$A$1:$B$42,2,0),"")</f>
        <v>iron and steel 241</v>
      </c>
      <c r="E140" s="2" t="s">
        <v>113</v>
      </c>
      <c r="F140" s="1" t="str">
        <f>VLOOKUP(E140,'Sector &amp; Policy Match'!$G$1:$H$8,2,0)</f>
        <v>Early Facility Retirement</v>
      </c>
      <c r="H140" s="2">
        <v>2023</v>
      </c>
      <c r="I140" s="2">
        <v>2027</v>
      </c>
      <c r="J140" s="6">
        <v>0.5</v>
      </c>
      <c r="K140" s="2">
        <v>10</v>
      </c>
      <c r="L140" s="39">
        <f t="shared" si="3"/>
        <v>20</v>
      </c>
      <c r="M140" s="7">
        <v>2060</v>
      </c>
    </row>
    <row r="141" spans="1:13" x14ac:dyDescent="0.25">
      <c r="A141" s="2">
        <v>2022</v>
      </c>
      <c r="B141" s="1" t="s">
        <v>283</v>
      </c>
      <c r="C141" s="2" t="s">
        <v>119</v>
      </c>
      <c r="D141" s="29" t="str">
        <f>IFERROR(VLOOKUP(C141,'Sector &amp; Policy Match'!$A$1:$B$42,2,0),"")</f>
        <v>iron and steel 241</v>
      </c>
      <c r="E141" s="2" t="s">
        <v>113</v>
      </c>
      <c r="F141" s="1" t="str">
        <f>VLOOKUP(E141,'Sector &amp; Policy Match'!$G$1:$H$8,2,0)</f>
        <v>Early Facility Retirement</v>
      </c>
      <c r="H141" s="2">
        <v>2023</v>
      </c>
      <c r="I141" s="2">
        <v>2027</v>
      </c>
      <c r="J141" s="6">
        <v>0.5</v>
      </c>
      <c r="K141" s="2">
        <v>12</v>
      </c>
      <c r="L141" s="39">
        <f t="shared" si="3"/>
        <v>24</v>
      </c>
      <c r="M141" s="7">
        <v>2060</v>
      </c>
    </row>
    <row r="142" spans="1:13" x14ac:dyDescent="0.25">
      <c r="A142" s="2">
        <v>2022</v>
      </c>
      <c r="B142" s="1" t="s">
        <v>284</v>
      </c>
      <c r="C142" s="2" t="s">
        <v>119</v>
      </c>
      <c r="D142" s="29" t="str">
        <f>IFERROR(VLOOKUP(C142,'Sector &amp; Policy Match'!$A$1:$B$42,2,0),"")</f>
        <v>iron and steel 241</v>
      </c>
      <c r="E142" s="2" t="s">
        <v>113</v>
      </c>
      <c r="F142" s="1" t="str">
        <f>VLOOKUP(E142,'Sector &amp; Policy Match'!$G$1:$H$8,2,0)</f>
        <v>Early Facility Retirement</v>
      </c>
      <c r="H142" s="2">
        <v>2023</v>
      </c>
      <c r="I142" s="2">
        <v>2027</v>
      </c>
      <c r="J142" s="6">
        <v>0.5</v>
      </c>
      <c r="K142" s="2">
        <v>16</v>
      </c>
      <c r="L142" s="39">
        <f t="shared" si="3"/>
        <v>32</v>
      </c>
      <c r="M142" s="7">
        <v>2060</v>
      </c>
    </row>
    <row r="143" spans="1:13" x14ac:dyDescent="0.25">
      <c r="A143" s="2">
        <v>2022</v>
      </c>
      <c r="B143" s="1" t="s">
        <v>285</v>
      </c>
      <c r="C143" s="2" t="s">
        <v>119</v>
      </c>
      <c r="D143" s="29" t="str">
        <f>IFERROR(VLOOKUP(C143,'Sector &amp; Policy Match'!$A$1:$B$42,2,0),"")</f>
        <v>iron and steel 241</v>
      </c>
      <c r="E143" s="2" t="s">
        <v>113</v>
      </c>
      <c r="F143" s="1" t="str">
        <f>VLOOKUP(E143,'Sector &amp; Policy Match'!$G$1:$H$8,2,0)</f>
        <v>Early Facility Retirement</v>
      </c>
      <c r="H143" s="2">
        <v>2023</v>
      </c>
      <c r="I143" s="2">
        <v>2027</v>
      </c>
      <c r="J143" s="6">
        <v>0.01</v>
      </c>
      <c r="K143" s="2">
        <v>13</v>
      </c>
      <c r="L143" s="39">
        <f t="shared" si="3"/>
        <v>1300</v>
      </c>
      <c r="M143" s="7">
        <v>2060</v>
      </c>
    </row>
    <row r="144" spans="1:13" x14ac:dyDescent="0.25">
      <c r="A144" s="2">
        <v>2022</v>
      </c>
      <c r="B144" s="1" t="s">
        <v>286</v>
      </c>
      <c r="C144" s="2" t="s">
        <v>119</v>
      </c>
      <c r="D144" s="29" t="str">
        <f>IFERROR(VLOOKUP(C144,'Sector &amp; Policy Match'!$A$1:$B$42,2,0),"")</f>
        <v>iron and steel 241</v>
      </c>
      <c r="E144" s="2" t="s">
        <v>113</v>
      </c>
      <c r="F144" s="1" t="str">
        <f>VLOOKUP(E144,'Sector &amp; Policy Match'!$G$1:$H$8,2,0)</f>
        <v>Early Facility Retirement</v>
      </c>
      <c r="H144" s="2">
        <v>2023</v>
      </c>
      <c r="I144" s="2">
        <v>2027</v>
      </c>
      <c r="J144" s="6">
        <v>0.05</v>
      </c>
      <c r="K144" s="2">
        <v>12</v>
      </c>
      <c r="L144" s="39">
        <f t="shared" si="3"/>
        <v>240</v>
      </c>
      <c r="M144" s="7">
        <v>2060</v>
      </c>
    </row>
    <row r="145" spans="1:13" x14ac:dyDescent="0.25">
      <c r="A145" s="2">
        <v>2022</v>
      </c>
      <c r="B145" s="1" t="s">
        <v>287</v>
      </c>
      <c r="C145" s="2" t="s">
        <v>119</v>
      </c>
      <c r="D145" s="29" t="str">
        <f>IFERROR(VLOOKUP(C145,'Sector &amp; Policy Match'!$A$1:$B$42,2,0),"")</f>
        <v>iron and steel 241</v>
      </c>
      <c r="E145" s="2" t="s">
        <v>113</v>
      </c>
      <c r="F145" s="1" t="str">
        <f>VLOOKUP(E145,'Sector &amp; Policy Match'!$G$1:$H$8,2,0)</f>
        <v>Early Facility Retirement</v>
      </c>
      <c r="H145" s="2">
        <v>2023</v>
      </c>
      <c r="I145" s="2">
        <v>2027</v>
      </c>
      <c r="J145" s="6">
        <v>0.4</v>
      </c>
      <c r="K145" s="2">
        <v>11</v>
      </c>
      <c r="L145" s="39">
        <f t="shared" si="3"/>
        <v>27.5</v>
      </c>
      <c r="M145" s="7">
        <v>2060</v>
      </c>
    </row>
    <row r="146" spans="1:13" x14ac:dyDescent="0.25">
      <c r="A146" s="2">
        <v>2022</v>
      </c>
      <c r="B146" s="1" t="s">
        <v>288</v>
      </c>
      <c r="C146" s="2" t="s">
        <v>119</v>
      </c>
      <c r="D146" s="29" t="str">
        <f>IFERROR(VLOOKUP(C146,'Sector &amp; Policy Match'!$A$1:$B$42,2,0),"")</f>
        <v>iron and steel 241</v>
      </c>
      <c r="E146" s="2" t="s">
        <v>137</v>
      </c>
      <c r="F146" s="1" t="str">
        <f>VLOOKUP(E146,'Sector &amp; Policy Match'!$G$1:$H$8,2,0)</f>
        <v>Cogeneration and Waste Heat Recovery</v>
      </c>
      <c r="H146" s="2">
        <v>2023</v>
      </c>
      <c r="I146" s="2">
        <v>2027</v>
      </c>
      <c r="J146" s="6">
        <v>0.35</v>
      </c>
      <c r="K146" s="2">
        <v>95</v>
      </c>
      <c r="L146" s="39">
        <f t="shared" si="3"/>
        <v>271.42857142857144</v>
      </c>
      <c r="M146" s="7">
        <v>2060</v>
      </c>
    </row>
    <row r="147" spans="1:13" x14ac:dyDescent="0.25">
      <c r="A147" s="2">
        <v>2022</v>
      </c>
      <c r="B147" s="1" t="s">
        <v>289</v>
      </c>
      <c r="C147" s="2" t="s">
        <v>119</v>
      </c>
      <c r="D147" s="29" t="str">
        <f>IFERROR(VLOOKUP(C147,'Sector &amp; Policy Match'!$A$1:$B$42,2,0),"")</f>
        <v>iron and steel 241</v>
      </c>
      <c r="E147" s="2" t="s">
        <v>137</v>
      </c>
      <c r="F147" s="1" t="str">
        <f>VLOOKUP(E147,'Sector &amp; Policy Match'!$G$1:$H$8,2,0)</f>
        <v>Cogeneration and Waste Heat Recovery</v>
      </c>
      <c r="H147" s="2">
        <v>2023</v>
      </c>
      <c r="I147" s="2">
        <v>2027</v>
      </c>
      <c r="J147" s="6">
        <v>0.2</v>
      </c>
      <c r="K147" s="2">
        <v>25</v>
      </c>
      <c r="L147" s="39">
        <f t="shared" si="3"/>
        <v>125</v>
      </c>
      <c r="M147" s="7">
        <v>2060</v>
      </c>
    </row>
    <row r="148" spans="1:13" x14ac:dyDescent="0.25">
      <c r="A148" s="2">
        <v>2022</v>
      </c>
      <c r="B148" s="1" t="s">
        <v>290</v>
      </c>
      <c r="C148" s="2" t="s">
        <v>119</v>
      </c>
      <c r="D148" s="29" t="str">
        <f>IFERROR(VLOOKUP(C148,'Sector &amp; Policy Match'!$A$1:$B$42,2,0),"")</f>
        <v>iron and steel 241</v>
      </c>
      <c r="E148" s="2" t="s">
        <v>113</v>
      </c>
      <c r="F148" s="1" t="str">
        <f>VLOOKUP(E148,'Sector &amp; Policy Match'!$G$1:$H$8,2,0)</f>
        <v>Early Facility Retirement</v>
      </c>
      <c r="H148" s="2">
        <v>2023</v>
      </c>
      <c r="I148" s="2">
        <v>2027</v>
      </c>
      <c r="J148" s="6">
        <v>0.2</v>
      </c>
      <c r="K148" s="2">
        <v>15</v>
      </c>
      <c r="L148" s="39">
        <f t="shared" si="3"/>
        <v>75</v>
      </c>
      <c r="M148" s="7">
        <v>2060</v>
      </c>
    </row>
    <row r="149" spans="1:13" x14ac:dyDescent="0.25">
      <c r="A149" s="2">
        <v>2022</v>
      </c>
      <c r="B149" s="1" t="s">
        <v>291</v>
      </c>
      <c r="C149" s="2" t="s">
        <v>119</v>
      </c>
      <c r="D149" s="29" t="str">
        <f>IFERROR(VLOOKUP(C149,'Sector &amp; Policy Match'!$A$1:$B$42,2,0),"")</f>
        <v>iron and steel 241</v>
      </c>
      <c r="E149" s="2" t="s">
        <v>137</v>
      </c>
      <c r="F149" s="1" t="str">
        <f>VLOOKUP(E149,'Sector &amp; Policy Match'!$G$1:$H$8,2,0)</f>
        <v>Cogeneration and Waste Heat Recovery</v>
      </c>
      <c r="H149" s="2">
        <v>2023</v>
      </c>
      <c r="I149" s="2">
        <v>2027</v>
      </c>
      <c r="J149" s="6">
        <v>0.7</v>
      </c>
      <c r="K149" s="2">
        <v>14</v>
      </c>
      <c r="L149" s="39">
        <f t="shared" si="3"/>
        <v>20</v>
      </c>
      <c r="M149" s="7">
        <v>2060</v>
      </c>
    </row>
    <row r="150" spans="1:13" x14ac:dyDescent="0.25">
      <c r="A150" s="2">
        <v>2022</v>
      </c>
      <c r="B150" s="1" t="s">
        <v>292</v>
      </c>
      <c r="C150" s="2" t="s">
        <v>134</v>
      </c>
      <c r="D150" s="29" t="str">
        <f>IFERROR(VLOOKUP(C150,'Sector &amp; Policy Match'!$A$1:$B$42,2,0),"")</f>
        <v>other metals 242</v>
      </c>
      <c r="E150" s="2" t="s">
        <v>113</v>
      </c>
      <c r="F150" s="1" t="str">
        <f>VLOOKUP(E150,'Sector &amp; Policy Match'!$G$1:$H$8,2,0)</f>
        <v>Early Facility Retirement</v>
      </c>
      <c r="H150" s="2">
        <v>2023</v>
      </c>
      <c r="I150" s="2">
        <v>2027</v>
      </c>
      <c r="J150" s="6">
        <v>0.24</v>
      </c>
      <c r="K150" s="2">
        <v>16</v>
      </c>
      <c r="L150" s="39">
        <f t="shared" si="3"/>
        <v>66.666666666666671</v>
      </c>
      <c r="M150" s="7">
        <v>2060</v>
      </c>
    </row>
    <row r="151" spans="1:13" x14ac:dyDescent="0.25">
      <c r="A151" s="2">
        <v>2022</v>
      </c>
      <c r="B151" s="1" t="s">
        <v>293</v>
      </c>
      <c r="C151" s="2" t="s">
        <v>134</v>
      </c>
      <c r="D151" s="29" t="str">
        <f>IFERROR(VLOOKUP(C151,'Sector &amp; Policy Match'!$A$1:$B$42,2,0),"")</f>
        <v>other metals 242</v>
      </c>
      <c r="E151" s="2" t="s">
        <v>113</v>
      </c>
      <c r="F151" s="1" t="str">
        <f>VLOOKUP(E151,'Sector &amp; Policy Match'!$G$1:$H$8,2,0)</f>
        <v>Early Facility Retirement</v>
      </c>
      <c r="H151" s="2">
        <v>2023</v>
      </c>
      <c r="I151" s="2">
        <v>2027</v>
      </c>
      <c r="J151" s="6">
        <v>0.72</v>
      </c>
      <c r="K151" s="2">
        <v>39</v>
      </c>
      <c r="L151" s="39">
        <f t="shared" si="3"/>
        <v>54.166666666666664</v>
      </c>
      <c r="M151" s="7">
        <v>2060</v>
      </c>
    </row>
    <row r="152" spans="1:13" x14ac:dyDescent="0.25">
      <c r="A152" s="2">
        <v>2022</v>
      </c>
      <c r="B152" s="1" t="s">
        <v>294</v>
      </c>
      <c r="C152" s="2" t="s">
        <v>112</v>
      </c>
      <c r="D152" s="29" t="str">
        <f>IFERROR(VLOOKUP(C152,'Sector &amp; Policy Match'!$A$1:$B$42,2,0),"")</f>
        <v>cement and other nonmetallic minerals 239</v>
      </c>
      <c r="E152" s="2" t="s">
        <v>113</v>
      </c>
      <c r="F152" s="1" t="str">
        <f>VLOOKUP(E152,'Sector &amp; Policy Match'!$G$1:$H$8,2,0)</f>
        <v>Early Facility Retirement</v>
      </c>
      <c r="H152" s="2">
        <v>2023</v>
      </c>
      <c r="I152" s="2">
        <v>2027</v>
      </c>
      <c r="J152" s="6">
        <v>0.36</v>
      </c>
      <c r="K152" s="2">
        <v>65</v>
      </c>
      <c r="L152" s="39">
        <f t="shared" si="3"/>
        <v>180.55555555555554</v>
      </c>
      <c r="M152" s="7">
        <v>2060</v>
      </c>
    </row>
    <row r="153" spans="1:13" x14ac:dyDescent="0.25">
      <c r="A153" s="2">
        <v>2022</v>
      </c>
      <c r="B153" s="1" t="s">
        <v>295</v>
      </c>
      <c r="C153" s="2" t="s">
        <v>112</v>
      </c>
      <c r="D153" s="29" t="str">
        <f>IFERROR(VLOOKUP(C153,'Sector &amp; Policy Match'!$A$1:$B$42,2,0),"")</f>
        <v>cement and other nonmetallic minerals 239</v>
      </c>
      <c r="E153" s="2" t="s">
        <v>113</v>
      </c>
      <c r="F153" s="1" t="str">
        <f>VLOOKUP(E153,'Sector &amp; Policy Match'!$G$1:$H$8,2,0)</f>
        <v>Early Facility Retirement</v>
      </c>
      <c r="H153" s="2">
        <v>2023</v>
      </c>
      <c r="I153" s="2">
        <v>2027</v>
      </c>
      <c r="J153" s="6">
        <v>0.03</v>
      </c>
      <c r="K153" s="2">
        <v>9</v>
      </c>
      <c r="L153" s="39">
        <f t="shared" si="3"/>
        <v>300</v>
      </c>
      <c r="M153" s="7">
        <v>2060</v>
      </c>
    </row>
    <row r="154" spans="1:13" x14ac:dyDescent="0.25">
      <c r="A154" s="2">
        <v>2022</v>
      </c>
      <c r="B154" s="1" t="s">
        <v>296</v>
      </c>
      <c r="C154" s="2" t="s">
        <v>112</v>
      </c>
      <c r="D154" s="29" t="str">
        <f>IFERROR(VLOOKUP(C154,'Sector &amp; Policy Match'!$A$1:$B$42,2,0),"")</f>
        <v>cement and other nonmetallic minerals 239</v>
      </c>
      <c r="E154" s="2" t="s">
        <v>113</v>
      </c>
      <c r="F154" s="1" t="str">
        <f>VLOOKUP(E154,'Sector &amp; Policy Match'!$G$1:$H$8,2,0)</f>
        <v>Early Facility Retirement</v>
      </c>
      <c r="H154" s="2">
        <v>2023</v>
      </c>
      <c r="I154" s="2">
        <v>2027</v>
      </c>
      <c r="J154" s="6">
        <v>0.33</v>
      </c>
      <c r="K154" s="2">
        <v>50</v>
      </c>
      <c r="L154" s="39">
        <f t="shared" si="3"/>
        <v>151.5151515151515</v>
      </c>
      <c r="M154" s="7">
        <v>2060</v>
      </c>
    </row>
    <row r="155" spans="1:13" x14ac:dyDescent="0.25">
      <c r="A155" s="2">
        <v>2022</v>
      </c>
      <c r="B155" s="1" t="s">
        <v>297</v>
      </c>
      <c r="C155" s="2" t="s">
        <v>112</v>
      </c>
      <c r="D155" s="29" t="str">
        <f>IFERROR(VLOOKUP(C155,'Sector &amp; Policy Match'!$A$1:$B$42,2,0),"")</f>
        <v>cement and other nonmetallic minerals 239</v>
      </c>
      <c r="E155" s="2" t="s">
        <v>113</v>
      </c>
      <c r="F155" s="1" t="str">
        <f>VLOOKUP(E155,'Sector &amp; Policy Match'!$G$1:$H$8,2,0)</f>
        <v>Early Facility Retirement</v>
      </c>
      <c r="H155" s="2">
        <v>2023</v>
      </c>
      <c r="I155" s="2">
        <v>2027</v>
      </c>
      <c r="J155" s="6">
        <v>0.05</v>
      </c>
      <c r="K155" s="2">
        <v>19</v>
      </c>
      <c r="L155" s="39">
        <f t="shared" si="3"/>
        <v>380</v>
      </c>
      <c r="M155" s="7">
        <v>2060</v>
      </c>
    </row>
    <row r="156" spans="1:13" x14ac:dyDescent="0.25">
      <c r="A156" s="2">
        <v>2022</v>
      </c>
      <c r="B156" s="1" t="s">
        <v>298</v>
      </c>
      <c r="C156" s="2" t="s">
        <v>112</v>
      </c>
      <c r="D156" s="29" t="str">
        <f>IFERROR(VLOOKUP(C156,'Sector &amp; Policy Match'!$A$1:$B$42,2,0),"")</f>
        <v>cement and other nonmetallic minerals 239</v>
      </c>
      <c r="E156" s="2" t="s">
        <v>113</v>
      </c>
      <c r="F156" s="1" t="str">
        <f>VLOOKUP(E156,'Sector &amp; Policy Match'!$G$1:$H$8,2,0)</f>
        <v>Early Facility Retirement</v>
      </c>
      <c r="H156" s="2">
        <v>2023</v>
      </c>
      <c r="I156" s="2">
        <v>2027</v>
      </c>
      <c r="J156" s="6">
        <v>0.05</v>
      </c>
      <c r="K156" s="2">
        <v>50</v>
      </c>
      <c r="L156" s="39">
        <f t="shared" si="3"/>
        <v>1000</v>
      </c>
      <c r="M156" s="7">
        <v>2060</v>
      </c>
    </row>
    <row r="157" spans="1:13" x14ac:dyDescent="0.25">
      <c r="A157" s="2">
        <v>2022</v>
      </c>
      <c r="B157" s="1" t="s">
        <v>299</v>
      </c>
      <c r="C157" s="2" t="s">
        <v>112</v>
      </c>
      <c r="D157" s="29" t="str">
        <f>IFERROR(VLOOKUP(C157,'Sector &amp; Policy Match'!$A$1:$B$42,2,0),"")</f>
        <v>cement and other nonmetallic minerals 239</v>
      </c>
      <c r="E157" s="2" t="s">
        <v>113</v>
      </c>
      <c r="F157" s="1" t="str">
        <f>VLOOKUP(E157,'Sector &amp; Policy Match'!$G$1:$H$8,2,0)</f>
        <v>Early Facility Retirement</v>
      </c>
      <c r="H157" s="2">
        <v>2023</v>
      </c>
      <c r="I157" s="2">
        <v>2027</v>
      </c>
      <c r="J157" s="6">
        <v>0.25</v>
      </c>
      <c r="K157" s="2">
        <v>43</v>
      </c>
      <c r="L157" s="39">
        <f t="shared" si="3"/>
        <v>172</v>
      </c>
      <c r="M157" s="7">
        <v>2060</v>
      </c>
    </row>
    <row r="158" spans="1:13" x14ac:dyDescent="0.25">
      <c r="A158" s="2">
        <v>2022</v>
      </c>
      <c r="B158" s="1" t="s">
        <v>300</v>
      </c>
      <c r="C158" s="2" t="s">
        <v>112</v>
      </c>
      <c r="D158" s="29" t="str">
        <f>IFERROR(VLOOKUP(C158,'Sector &amp; Policy Match'!$A$1:$B$42,2,0),"")</f>
        <v>cement and other nonmetallic minerals 239</v>
      </c>
      <c r="E158" s="2" t="s">
        <v>113</v>
      </c>
      <c r="F158" s="1" t="str">
        <f>VLOOKUP(E158,'Sector &amp; Policy Match'!$G$1:$H$8,2,0)</f>
        <v>Early Facility Retirement</v>
      </c>
      <c r="H158" s="2">
        <v>2023</v>
      </c>
      <c r="I158" s="2">
        <v>2027</v>
      </c>
      <c r="J158" s="6">
        <v>0.2</v>
      </c>
      <c r="K158" s="2">
        <v>12</v>
      </c>
      <c r="L158" s="39">
        <f t="shared" si="3"/>
        <v>60</v>
      </c>
      <c r="M158" s="7">
        <v>2060</v>
      </c>
    </row>
    <row r="159" spans="1:13" x14ac:dyDescent="0.25">
      <c r="A159" s="2">
        <v>2022</v>
      </c>
      <c r="B159" s="1" t="s">
        <v>301</v>
      </c>
      <c r="C159" s="2" t="s">
        <v>112</v>
      </c>
      <c r="D159" s="29" t="str">
        <f>IFERROR(VLOOKUP(C159,'Sector &amp; Policy Match'!$A$1:$B$42,2,0),"")</f>
        <v>cement and other nonmetallic minerals 239</v>
      </c>
      <c r="E159" s="2" t="s">
        <v>113</v>
      </c>
      <c r="F159" s="1" t="str">
        <f>VLOOKUP(E159,'Sector &amp; Policy Match'!$G$1:$H$8,2,0)</f>
        <v>Early Facility Retirement</v>
      </c>
      <c r="H159" s="2">
        <v>2023</v>
      </c>
      <c r="I159" s="2">
        <v>2027</v>
      </c>
      <c r="J159" s="6">
        <v>0.03</v>
      </c>
      <c r="K159" s="2">
        <v>98</v>
      </c>
      <c r="L159" s="39">
        <f t="shared" si="3"/>
        <v>3266.666666666667</v>
      </c>
      <c r="M159" s="7">
        <v>2060</v>
      </c>
    </row>
    <row r="160" spans="1:13" x14ac:dyDescent="0.25">
      <c r="A160" s="2">
        <v>2022</v>
      </c>
      <c r="B160" s="1" t="s">
        <v>302</v>
      </c>
      <c r="C160" s="2" t="s">
        <v>112</v>
      </c>
      <c r="D160" s="29" t="str">
        <f>IFERROR(VLOOKUP(C160,'Sector &amp; Policy Match'!$A$1:$B$42,2,0),"")</f>
        <v>cement and other nonmetallic minerals 239</v>
      </c>
      <c r="E160" s="2" t="s">
        <v>113</v>
      </c>
      <c r="F160" s="1" t="str">
        <f>VLOOKUP(E160,'Sector &amp; Policy Match'!$G$1:$H$8,2,0)</f>
        <v>Early Facility Retirement</v>
      </c>
      <c r="H160" s="2">
        <v>2023</v>
      </c>
      <c r="I160" s="2">
        <v>2027</v>
      </c>
      <c r="J160" s="6">
        <v>0.5</v>
      </c>
      <c r="K160" s="2">
        <v>17</v>
      </c>
      <c r="L160" s="39">
        <f t="shared" si="3"/>
        <v>34</v>
      </c>
      <c r="M160" s="7">
        <v>2060</v>
      </c>
    </row>
    <row r="161" spans="1:13" x14ac:dyDescent="0.25">
      <c r="A161" s="2">
        <v>2022</v>
      </c>
      <c r="B161" s="1" t="s">
        <v>303</v>
      </c>
      <c r="C161" s="2" t="s">
        <v>112</v>
      </c>
      <c r="D161" s="29" t="str">
        <f>IFERROR(VLOOKUP(C161,'Sector &amp; Policy Match'!$A$1:$B$42,2,0),"")</f>
        <v>cement and other nonmetallic minerals 239</v>
      </c>
      <c r="E161" s="2" t="s">
        <v>113</v>
      </c>
      <c r="F161" s="1" t="str">
        <f>VLOOKUP(E161,'Sector &amp; Policy Match'!$G$1:$H$8,2,0)</f>
        <v>Early Facility Retirement</v>
      </c>
      <c r="H161" s="2">
        <v>2023</v>
      </c>
      <c r="I161" s="2">
        <v>2027</v>
      </c>
      <c r="J161" s="6">
        <v>0.1</v>
      </c>
      <c r="K161" s="2">
        <v>48</v>
      </c>
      <c r="L161" s="39">
        <f t="shared" si="3"/>
        <v>480</v>
      </c>
      <c r="M161" s="7">
        <v>2060</v>
      </c>
    </row>
    <row r="162" spans="1:13" x14ac:dyDescent="0.25">
      <c r="A162" s="2">
        <v>2022</v>
      </c>
      <c r="B162" s="1" t="s">
        <v>304</v>
      </c>
      <c r="C162" s="2" t="s">
        <v>125</v>
      </c>
      <c r="D162" s="29" t="str">
        <f>IFERROR(VLOOKUP(C162,'Sector &amp; Policy Match'!$A$1:$B$42,2,0),"")</f>
        <v>chemicals 20</v>
      </c>
      <c r="E162" s="2" t="s">
        <v>113</v>
      </c>
      <c r="F162" s="1" t="str">
        <f>VLOOKUP(E162,'Sector &amp; Policy Match'!$G$1:$H$8,2,0)</f>
        <v>Early Facility Retirement</v>
      </c>
      <c r="H162" s="2">
        <v>2023</v>
      </c>
      <c r="I162" s="2">
        <v>2027</v>
      </c>
      <c r="J162" s="6">
        <v>0.49</v>
      </c>
      <c r="K162" s="2">
        <v>93</v>
      </c>
      <c r="L162" s="39">
        <f t="shared" si="3"/>
        <v>189.79591836734696</v>
      </c>
      <c r="M162" s="7">
        <v>2060</v>
      </c>
    </row>
    <row r="163" spans="1:13" x14ac:dyDescent="0.25">
      <c r="A163" s="2">
        <v>2022</v>
      </c>
      <c r="B163" s="1" t="s">
        <v>305</v>
      </c>
      <c r="C163" s="2" t="s">
        <v>125</v>
      </c>
      <c r="D163" s="29" t="str">
        <f>IFERROR(VLOOKUP(C163,'Sector &amp; Policy Match'!$A$1:$B$42,2,0),"")</f>
        <v>chemicals 20</v>
      </c>
      <c r="E163" s="2" t="s">
        <v>113</v>
      </c>
      <c r="F163" s="1" t="str">
        <f>VLOOKUP(E163,'Sector &amp; Policy Match'!$G$1:$H$8,2,0)</f>
        <v>Early Facility Retirement</v>
      </c>
      <c r="H163" s="2">
        <v>2023</v>
      </c>
      <c r="I163" s="2">
        <v>2027</v>
      </c>
      <c r="J163" s="6">
        <v>0.7</v>
      </c>
      <c r="K163" s="2">
        <v>47</v>
      </c>
      <c r="L163" s="39">
        <f t="shared" si="3"/>
        <v>67.142857142857139</v>
      </c>
      <c r="M163" s="7">
        <v>2060</v>
      </c>
    </row>
    <row r="164" spans="1:13" x14ac:dyDescent="0.25">
      <c r="A164" s="2">
        <v>2022</v>
      </c>
      <c r="B164" s="1" t="s">
        <v>306</v>
      </c>
      <c r="C164" s="2" t="s">
        <v>125</v>
      </c>
      <c r="D164" s="29" t="str">
        <f>IFERROR(VLOOKUP(C164,'Sector &amp; Policy Match'!$A$1:$B$42,2,0),"")</f>
        <v>chemicals 20</v>
      </c>
      <c r="E164" s="2" t="s">
        <v>113</v>
      </c>
      <c r="F164" s="1" t="str">
        <f>VLOOKUP(E164,'Sector &amp; Policy Match'!$G$1:$H$8,2,0)</f>
        <v>Early Facility Retirement</v>
      </c>
      <c r="H164" s="2">
        <v>2023</v>
      </c>
      <c r="I164" s="2">
        <v>2027</v>
      </c>
      <c r="J164" s="6">
        <v>0.33</v>
      </c>
      <c r="K164" s="2">
        <v>10</v>
      </c>
      <c r="L164" s="39">
        <f t="shared" si="3"/>
        <v>30.303030303030305</v>
      </c>
      <c r="M164" s="7">
        <v>2060</v>
      </c>
    </row>
    <row r="165" spans="1:13" x14ac:dyDescent="0.25">
      <c r="A165" s="2">
        <v>2022</v>
      </c>
      <c r="B165" s="1" t="s">
        <v>307</v>
      </c>
      <c r="C165" s="2" t="s">
        <v>125</v>
      </c>
      <c r="D165" s="29" t="str">
        <f>IFERROR(VLOOKUP(C165,'Sector &amp; Policy Match'!$A$1:$B$42,2,0),"")</f>
        <v>chemicals 20</v>
      </c>
      <c r="E165" s="2" t="s">
        <v>137</v>
      </c>
      <c r="F165" s="1" t="str">
        <f>VLOOKUP(E165,'Sector &amp; Policy Match'!$G$1:$H$8,2,0)</f>
        <v>Cogeneration and Waste Heat Recovery</v>
      </c>
      <c r="H165" s="2">
        <v>2023</v>
      </c>
      <c r="I165" s="2">
        <v>2027</v>
      </c>
      <c r="J165" s="6">
        <v>0.4</v>
      </c>
      <c r="K165" s="2">
        <v>53</v>
      </c>
      <c r="L165" s="39">
        <f t="shared" si="3"/>
        <v>132.5</v>
      </c>
      <c r="M165" s="7">
        <v>2060</v>
      </c>
    </row>
    <row r="166" spans="1:13" x14ac:dyDescent="0.25">
      <c r="A166" s="2">
        <v>2022</v>
      </c>
      <c r="B166" s="1" t="s">
        <v>308</v>
      </c>
      <c r="C166" s="2" t="s">
        <v>205</v>
      </c>
      <c r="D166" s="29" t="str">
        <f>IFERROR(VLOOKUP(C166,'Sector &amp; Policy Match'!$A$1:$B$42,2,0),"")</f>
        <v>refined petroleum and coke 19</v>
      </c>
      <c r="E166" s="2" t="s">
        <v>113</v>
      </c>
      <c r="F166" s="1" t="str">
        <f>VLOOKUP(E166,'Sector &amp; Policy Match'!$G$1:$H$8,2,0)</f>
        <v>Early Facility Retirement</v>
      </c>
      <c r="H166" s="2">
        <v>2023</v>
      </c>
      <c r="I166" s="2">
        <v>2027</v>
      </c>
      <c r="J166" s="6">
        <v>0.7</v>
      </c>
      <c r="K166" s="2">
        <v>20</v>
      </c>
      <c r="L166" s="39">
        <f t="shared" si="3"/>
        <v>28.571428571428573</v>
      </c>
      <c r="M166" s="7">
        <v>2060</v>
      </c>
    </row>
    <row r="167" spans="1:13" x14ac:dyDescent="0.25">
      <c r="A167" s="9">
        <v>2022</v>
      </c>
      <c r="B167" s="10" t="s">
        <v>309</v>
      </c>
      <c r="C167" s="9" t="s">
        <v>265</v>
      </c>
      <c r="D167" s="30" t="str">
        <f>IFERROR(VLOOKUP(C167,'Sector &amp; Policy Match'!$A$1:$B$42,2,0),"")</f>
        <v/>
      </c>
      <c r="E167" s="9" t="s">
        <v>113</v>
      </c>
      <c r="F167" s="10" t="str">
        <f>VLOOKUP(E167,'Sector &amp; Policy Match'!$G$1:$H$8,2,0)</f>
        <v>Early Facility Retirement</v>
      </c>
      <c r="G167" s="10"/>
      <c r="H167" s="9">
        <v>2023</v>
      </c>
      <c r="I167" s="9">
        <v>2027</v>
      </c>
      <c r="J167" s="11">
        <v>0.1</v>
      </c>
      <c r="K167" s="9">
        <v>32</v>
      </c>
      <c r="L167" s="18">
        <f t="shared" si="3"/>
        <v>320</v>
      </c>
      <c r="M167" s="13">
        <v>2060</v>
      </c>
    </row>
    <row r="168" spans="1:13" x14ac:dyDescent="0.25">
      <c r="A168" s="9">
        <v>2022</v>
      </c>
      <c r="B168" s="10" t="s">
        <v>309</v>
      </c>
      <c r="C168" s="9" t="s">
        <v>205</v>
      </c>
      <c r="D168" s="30" t="str">
        <f>IFERROR(VLOOKUP(C168,'Sector &amp; Policy Match'!$A$1:$B$42,2,0),"")</f>
        <v>refined petroleum and coke 19</v>
      </c>
      <c r="E168" s="9" t="s">
        <v>113</v>
      </c>
      <c r="F168" s="10" t="str">
        <f>VLOOKUP(E168,'Sector &amp; Policy Match'!$G$1:$H$8,2,0)</f>
        <v>Early Facility Retirement</v>
      </c>
      <c r="G168" s="10"/>
      <c r="H168" s="9">
        <v>2023</v>
      </c>
      <c r="I168" s="9">
        <v>2027</v>
      </c>
      <c r="J168" s="11">
        <v>0.1</v>
      </c>
      <c r="K168" s="16">
        <f>BIFUbC!B10/SUM(BIFUbC!B10:B11)*K167</f>
        <v>24.95060402946255</v>
      </c>
      <c r="L168" s="18">
        <f t="shared" si="3"/>
        <v>249.50604029462551</v>
      </c>
      <c r="M168" s="13">
        <v>2060</v>
      </c>
    </row>
    <row r="169" spans="1:13" x14ac:dyDescent="0.25">
      <c r="A169" s="9">
        <v>2022</v>
      </c>
      <c r="B169" s="10" t="s">
        <v>309</v>
      </c>
      <c r="C169" s="9" t="s">
        <v>125</v>
      </c>
      <c r="D169" s="30" t="str">
        <f>IFERROR(VLOOKUP(C169,'Sector &amp; Policy Match'!$A$1:$B$42,2,0),"")</f>
        <v>chemicals 20</v>
      </c>
      <c r="E169" s="9" t="s">
        <v>113</v>
      </c>
      <c r="F169" s="10" t="str">
        <f>VLOOKUP(E169,'Sector &amp; Policy Match'!$G$1:$H$8,2,0)</f>
        <v>Early Facility Retirement</v>
      </c>
      <c r="G169" s="10"/>
      <c r="H169" s="9">
        <v>2023</v>
      </c>
      <c r="I169" s="9">
        <v>2027</v>
      </c>
      <c r="J169" s="11">
        <v>0.1</v>
      </c>
      <c r="K169" s="16">
        <f>BIFUbC!B11/SUM(BIFUbC!B10:B11)*K167</f>
        <v>7.0493959705374483</v>
      </c>
      <c r="L169" s="18">
        <f t="shared" si="3"/>
        <v>70.493959705374479</v>
      </c>
      <c r="M169" s="13">
        <v>2060</v>
      </c>
    </row>
    <row r="170" spans="1:13" x14ac:dyDescent="0.25">
      <c r="A170" s="2">
        <v>2022</v>
      </c>
      <c r="B170" s="1" t="s">
        <v>310</v>
      </c>
      <c r="C170" s="2" t="s">
        <v>205</v>
      </c>
      <c r="D170" s="29" t="str">
        <f>IFERROR(VLOOKUP(C170,'Sector &amp; Policy Match'!$A$1:$B$42,2,0),"")</f>
        <v>refined petroleum and coke 19</v>
      </c>
      <c r="E170" s="2" t="s">
        <v>113</v>
      </c>
      <c r="F170" s="1" t="str">
        <f>VLOOKUP(E170,'Sector &amp; Policy Match'!$G$1:$H$8,2,0)</f>
        <v>Early Facility Retirement</v>
      </c>
      <c r="H170" s="2">
        <v>2023</v>
      </c>
      <c r="I170" s="2">
        <v>2027</v>
      </c>
      <c r="J170" s="6">
        <v>0.01</v>
      </c>
      <c r="K170" s="2">
        <v>15</v>
      </c>
      <c r="L170" s="39">
        <f t="shared" si="3"/>
        <v>1500</v>
      </c>
      <c r="M170" s="7">
        <v>2060</v>
      </c>
    </row>
    <row r="171" spans="1:13" x14ac:dyDescent="0.25">
      <c r="A171" s="2">
        <v>2022</v>
      </c>
      <c r="B171" s="1" t="s">
        <v>311</v>
      </c>
      <c r="C171" s="2" t="s">
        <v>205</v>
      </c>
      <c r="D171" s="29" t="str">
        <f>IFERROR(VLOOKUP(C171,'Sector &amp; Policy Match'!$A$1:$B$42,2,0),"")</f>
        <v>refined petroleum and coke 19</v>
      </c>
      <c r="E171" s="2" t="s">
        <v>137</v>
      </c>
      <c r="F171" s="1" t="str">
        <f>VLOOKUP(E171,'Sector &amp; Policy Match'!$G$1:$H$8,2,0)</f>
        <v>Cogeneration and Waste Heat Recovery</v>
      </c>
      <c r="H171" s="2">
        <v>2023</v>
      </c>
      <c r="I171" s="2">
        <v>2027</v>
      </c>
      <c r="J171" s="6">
        <v>0.4</v>
      </c>
      <c r="K171" s="2">
        <v>36</v>
      </c>
      <c r="L171" s="39">
        <f t="shared" si="3"/>
        <v>90</v>
      </c>
      <c r="M171" s="7">
        <v>2060</v>
      </c>
    </row>
    <row r="172" spans="1:13" x14ac:dyDescent="0.25">
      <c r="A172" s="9">
        <v>2022</v>
      </c>
      <c r="B172" s="10" t="s">
        <v>312</v>
      </c>
      <c r="C172" s="9" t="s">
        <v>265</v>
      </c>
      <c r="D172" s="30" t="str">
        <f>IFERROR(VLOOKUP(C172,'Sector &amp; Policy Match'!$A$1:$B$42,2,0),"")</f>
        <v/>
      </c>
      <c r="E172" s="9" t="s">
        <v>113</v>
      </c>
      <c r="F172" s="10" t="str">
        <f>VLOOKUP(E172,'Sector &amp; Policy Match'!$G$1:$H$8,2,0)</f>
        <v>Early Facility Retirement</v>
      </c>
      <c r="G172" s="10"/>
      <c r="H172" s="9">
        <v>2023</v>
      </c>
      <c r="I172" s="9">
        <v>2027</v>
      </c>
      <c r="J172" s="11">
        <v>0.05</v>
      </c>
      <c r="K172" s="9">
        <v>9</v>
      </c>
      <c r="L172" s="18">
        <f t="shared" si="3"/>
        <v>180</v>
      </c>
      <c r="M172" s="13">
        <v>2060</v>
      </c>
    </row>
    <row r="173" spans="1:13" x14ac:dyDescent="0.25">
      <c r="A173" s="9">
        <v>2022</v>
      </c>
      <c r="B173" s="10" t="s">
        <v>312</v>
      </c>
      <c r="C173" s="9" t="s">
        <v>205</v>
      </c>
      <c r="D173" s="30" t="str">
        <f>IFERROR(VLOOKUP(C173,'Sector &amp; Policy Match'!$A$1:$B$42,2,0),"")</f>
        <v>refined petroleum and coke 19</v>
      </c>
      <c r="E173" s="9" t="s">
        <v>113</v>
      </c>
      <c r="F173" s="10" t="str">
        <f>VLOOKUP(E173,'Sector &amp; Policy Match'!$G$1:$H$8,2,0)</f>
        <v>Early Facility Retirement</v>
      </c>
      <c r="G173" s="10"/>
      <c r="H173" s="9">
        <v>2023</v>
      </c>
      <c r="I173" s="9">
        <v>2027</v>
      </c>
      <c r="J173" s="11">
        <v>0.05</v>
      </c>
      <c r="K173" s="16">
        <f>BIFUbC!B10/SUM(BIFUbC!B10:B11)*K172</f>
        <v>7.0173573832863418</v>
      </c>
      <c r="L173" s="18">
        <f t="shared" si="3"/>
        <v>140.34714766572682</v>
      </c>
      <c r="M173" s="13">
        <v>2060</v>
      </c>
    </row>
    <row r="174" spans="1:13" x14ac:dyDescent="0.25">
      <c r="A174" s="9">
        <v>2022</v>
      </c>
      <c r="B174" s="10" t="s">
        <v>312</v>
      </c>
      <c r="C174" s="9" t="s">
        <v>125</v>
      </c>
      <c r="D174" s="30" t="str">
        <f>IFERROR(VLOOKUP(C174,'Sector &amp; Policy Match'!$A$1:$B$42,2,0),"")</f>
        <v>chemicals 20</v>
      </c>
      <c r="E174" s="9" t="s">
        <v>113</v>
      </c>
      <c r="F174" s="10" t="str">
        <f>VLOOKUP(E174,'Sector &amp; Policy Match'!$G$1:$H$8,2,0)</f>
        <v>Early Facility Retirement</v>
      </c>
      <c r="G174" s="10"/>
      <c r="H174" s="9">
        <v>2023</v>
      </c>
      <c r="I174" s="9">
        <v>2027</v>
      </c>
      <c r="J174" s="11">
        <v>0.05</v>
      </c>
      <c r="K174" s="16">
        <f>BIFUbC!B11/SUM(BIFUbC!B10:B11)*K172</f>
        <v>1.9826426167136573</v>
      </c>
      <c r="L174" s="18">
        <f t="shared" si="3"/>
        <v>39.652852334273149</v>
      </c>
      <c r="M174" s="13">
        <v>2060</v>
      </c>
    </row>
    <row r="175" spans="1:13" x14ac:dyDescent="0.25">
      <c r="A175" s="2">
        <v>2022</v>
      </c>
      <c r="B175" s="1" t="s">
        <v>313</v>
      </c>
      <c r="C175" s="2" t="s">
        <v>205</v>
      </c>
      <c r="D175" s="29" t="str">
        <f>IFERROR(VLOOKUP(C175,'Sector &amp; Policy Match'!$A$1:$B$42,2,0),"")</f>
        <v>refined petroleum and coke 19</v>
      </c>
      <c r="E175" s="2" t="s">
        <v>113</v>
      </c>
      <c r="F175" s="1" t="str">
        <f>VLOOKUP(E175,'Sector &amp; Policy Match'!$G$1:$H$8,2,0)</f>
        <v>Early Facility Retirement</v>
      </c>
      <c r="H175" s="2">
        <v>2023</v>
      </c>
      <c r="I175" s="2">
        <v>2027</v>
      </c>
      <c r="J175" s="6">
        <v>0.04</v>
      </c>
      <c r="K175" s="2">
        <v>27</v>
      </c>
      <c r="L175" s="39">
        <f t="shared" si="3"/>
        <v>675</v>
      </c>
      <c r="M175" s="7">
        <v>2060</v>
      </c>
    </row>
    <row r="176" spans="1:13" x14ac:dyDescent="0.25">
      <c r="A176" s="9">
        <v>2022</v>
      </c>
      <c r="B176" s="10" t="s">
        <v>314</v>
      </c>
      <c r="C176" s="9" t="s">
        <v>265</v>
      </c>
      <c r="D176" s="30" t="str">
        <f>IFERROR(VLOOKUP(C176,'Sector &amp; Policy Match'!$A$1:$B$42,2,0),"")</f>
        <v/>
      </c>
      <c r="E176" s="9" t="s">
        <v>113</v>
      </c>
      <c r="F176" s="10" t="str">
        <f>VLOOKUP(E176,'Sector &amp; Policy Match'!$G$1:$H$8,2,0)</f>
        <v>Early Facility Retirement</v>
      </c>
      <c r="G176" s="10"/>
      <c r="H176" s="9">
        <v>2023</v>
      </c>
      <c r="I176" s="9">
        <v>2027</v>
      </c>
      <c r="J176" s="11">
        <v>0.05</v>
      </c>
      <c r="K176" s="9">
        <v>9</v>
      </c>
      <c r="L176" s="18">
        <f t="shared" si="3"/>
        <v>180</v>
      </c>
      <c r="M176" s="13">
        <v>2060</v>
      </c>
    </row>
    <row r="177" spans="1:13" x14ac:dyDescent="0.25">
      <c r="A177" s="9">
        <v>2022</v>
      </c>
      <c r="B177" s="10" t="s">
        <v>314</v>
      </c>
      <c r="C177" s="9" t="s">
        <v>205</v>
      </c>
      <c r="D177" s="30" t="str">
        <f>IFERROR(VLOOKUP(C177,'Sector &amp; Policy Match'!$A$1:$B$42,2,0),"")</f>
        <v>refined petroleum and coke 19</v>
      </c>
      <c r="E177" s="9" t="s">
        <v>113</v>
      </c>
      <c r="F177" s="10" t="str">
        <f>VLOOKUP(E177,'Sector &amp; Policy Match'!$G$1:$H$8,2,0)</f>
        <v>Early Facility Retirement</v>
      </c>
      <c r="G177" s="10"/>
      <c r="H177" s="9">
        <v>2023</v>
      </c>
      <c r="I177" s="9">
        <v>2027</v>
      </c>
      <c r="J177" s="11">
        <v>0.05</v>
      </c>
      <c r="K177" s="16">
        <f>BIFUbC!B10/SUM(BIFUbC!B10:B11)*K176</f>
        <v>7.0173573832863418</v>
      </c>
      <c r="L177" s="18">
        <f t="shared" si="3"/>
        <v>140.34714766572682</v>
      </c>
      <c r="M177" s="13">
        <v>2060</v>
      </c>
    </row>
    <row r="178" spans="1:13" x14ac:dyDescent="0.25">
      <c r="A178" s="9">
        <v>2022</v>
      </c>
      <c r="B178" s="10" t="s">
        <v>314</v>
      </c>
      <c r="C178" s="9" t="s">
        <v>125</v>
      </c>
      <c r="D178" s="30" t="str">
        <f>IFERROR(VLOOKUP(C178,'Sector &amp; Policy Match'!$A$1:$B$42,2,0),"")</f>
        <v>chemicals 20</v>
      </c>
      <c r="E178" s="9" t="s">
        <v>113</v>
      </c>
      <c r="F178" s="10" t="str">
        <f>VLOOKUP(E178,'Sector &amp; Policy Match'!$G$1:$H$8,2,0)</f>
        <v>Early Facility Retirement</v>
      </c>
      <c r="G178" s="10"/>
      <c r="H178" s="9">
        <v>2023</v>
      </c>
      <c r="I178" s="9">
        <v>2027</v>
      </c>
      <c r="J178" s="11">
        <v>0.05</v>
      </c>
      <c r="K178" s="16">
        <f>BIFUbC!B11/SUM(BIFUbC!B10:B11)*K176</f>
        <v>1.9826426167136573</v>
      </c>
      <c r="L178" s="18">
        <f t="shared" si="3"/>
        <v>39.652852334273149</v>
      </c>
      <c r="M178" s="13">
        <v>2060</v>
      </c>
    </row>
    <row r="179" spans="1:13" x14ac:dyDescent="0.25">
      <c r="A179" s="9">
        <v>2022</v>
      </c>
      <c r="B179" s="10" t="s">
        <v>315</v>
      </c>
      <c r="C179" s="9" t="s">
        <v>265</v>
      </c>
      <c r="D179" s="30" t="str">
        <f>IFERROR(VLOOKUP(C179,'Sector &amp; Policy Match'!$A$1:$B$42,2,0),"")</f>
        <v/>
      </c>
      <c r="E179" s="9" t="s">
        <v>113</v>
      </c>
      <c r="F179" s="10" t="str">
        <f>VLOOKUP(E179,'Sector &amp; Policy Match'!$G$1:$H$8,2,0)</f>
        <v>Early Facility Retirement</v>
      </c>
      <c r="G179" s="10"/>
      <c r="H179" s="9">
        <v>2023</v>
      </c>
      <c r="I179" s="9">
        <v>2027</v>
      </c>
      <c r="J179" s="11">
        <v>0.15</v>
      </c>
      <c r="K179" s="9">
        <v>11</v>
      </c>
      <c r="L179" s="18">
        <f t="shared" si="3"/>
        <v>73.333333333333343</v>
      </c>
      <c r="M179" s="13">
        <v>2060</v>
      </c>
    </row>
    <row r="180" spans="1:13" x14ac:dyDescent="0.25">
      <c r="A180" s="9">
        <v>2022</v>
      </c>
      <c r="B180" s="10" t="s">
        <v>315</v>
      </c>
      <c r="C180" s="9" t="s">
        <v>205</v>
      </c>
      <c r="D180" s="30" t="str">
        <f>IFERROR(VLOOKUP(C180,'Sector &amp; Policy Match'!$A$1:$B$42,2,0),"")</f>
        <v>refined petroleum and coke 19</v>
      </c>
      <c r="E180" s="9" t="s">
        <v>113</v>
      </c>
      <c r="F180" s="10" t="str">
        <f>VLOOKUP(E180,'Sector &amp; Policy Match'!$G$1:$H$8,2,0)</f>
        <v>Early Facility Retirement</v>
      </c>
      <c r="G180" s="10"/>
      <c r="H180" s="9">
        <v>2023</v>
      </c>
      <c r="I180" s="9">
        <v>2027</v>
      </c>
      <c r="J180" s="11">
        <v>0.15</v>
      </c>
      <c r="K180" s="16">
        <f>BIFUbC!B10/SUM(BIFUbC!B10:B11)*K179</f>
        <v>8.5767701351277523</v>
      </c>
      <c r="L180" s="18">
        <f t="shared" si="3"/>
        <v>57.178467567518354</v>
      </c>
      <c r="M180" s="13">
        <v>2060</v>
      </c>
    </row>
    <row r="181" spans="1:13" x14ac:dyDescent="0.25">
      <c r="A181" s="9">
        <v>2022</v>
      </c>
      <c r="B181" s="10" t="s">
        <v>315</v>
      </c>
      <c r="C181" s="9" t="s">
        <v>125</v>
      </c>
      <c r="D181" s="30" t="str">
        <f>IFERROR(VLOOKUP(C181,'Sector &amp; Policy Match'!$A$1:$B$42,2,0),"")</f>
        <v>chemicals 20</v>
      </c>
      <c r="E181" s="9" t="s">
        <v>113</v>
      </c>
      <c r="F181" s="10" t="str">
        <f>VLOOKUP(E181,'Sector &amp; Policy Match'!$G$1:$H$8,2,0)</f>
        <v>Early Facility Retirement</v>
      </c>
      <c r="G181" s="10"/>
      <c r="H181" s="9">
        <v>2023</v>
      </c>
      <c r="I181" s="9">
        <v>2027</v>
      </c>
      <c r="J181" s="11">
        <v>0.15</v>
      </c>
      <c r="K181" s="16">
        <f>BIFUbC!B11/SUM(BIFUbC!B10:B11)*K179</f>
        <v>2.4232298648722477</v>
      </c>
      <c r="L181" s="18">
        <f t="shared" si="3"/>
        <v>16.154865765814986</v>
      </c>
      <c r="M181" s="13">
        <v>2060</v>
      </c>
    </row>
    <row r="182" spans="1:13" x14ac:dyDescent="0.25">
      <c r="A182" s="2">
        <v>2022</v>
      </c>
      <c r="B182" s="1" t="s">
        <v>316</v>
      </c>
      <c r="C182" s="32" t="s">
        <v>317</v>
      </c>
      <c r="D182" s="15" t="str">
        <f>IFERROR(VLOOKUP(C182,'Sector &amp; Policy Match'!$A$1:$B$42,2,0),"")</f>
        <v>机械行业</v>
      </c>
      <c r="E182" s="2" t="s">
        <v>113</v>
      </c>
      <c r="F182" s="1" t="str">
        <f>VLOOKUP(E182,'Sector &amp; Policy Match'!$G$1:$H$8,2,0)</f>
        <v>Early Facility Retirement</v>
      </c>
      <c r="H182" s="2">
        <v>2023</v>
      </c>
      <c r="I182" s="2">
        <v>2027</v>
      </c>
      <c r="J182" s="6">
        <v>0.45</v>
      </c>
      <c r="K182" s="2">
        <v>9</v>
      </c>
      <c r="L182" s="39">
        <f t="shared" si="3"/>
        <v>20</v>
      </c>
      <c r="M182" s="7">
        <v>2060</v>
      </c>
    </row>
    <row r="183" spans="1:13" x14ac:dyDescent="0.25">
      <c r="A183" s="2">
        <v>2022</v>
      </c>
      <c r="B183" s="1" t="s">
        <v>318</v>
      </c>
      <c r="C183" s="2" t="s">
        <v>317</v>
      </c>
      <c r="D183" s="15" t="str">
        <f>IFERROR(VLOOKUP(C183,'Sector &amp; Policy Match'!$A$1:$B$42,2,0),"")</f>
        <v>机械行业</v>
      </c>
      <c r="E183" s="2" t="s">
        <v>113</v>
      </c>
      <c r="F183" s="1" t="str">
        <f>VLOOKUP(E183,'Sector &amp; Policy Match'!$G$1:$H$8,2,0)</f>
        <v>Early Facility Retirement</v>
      </c>
      <c r="H183" s="2">
        <v>2023</v>
      </c>
      <c r="I183" s="2">
        <v>2027</v>
      </c>
      <c r="J183" s="6">
        <v>0.08</v>
      </c>
      <c r="K183" s="2">
        <v>26</v>
      </c>
      <c r="L183" s="39">
        <f t="shared" si="3"/>
        <v>325</v>
      </c>
      <c r="M183" s="7">
        <v>2060</v>
      </c>
    </row>
    <row r="184" spans="1:13" x14ac:dyDescent="0.25">
      <c r="A184" s="2">
        <v>2022</v>
      </c>
      <c r="B184" s="1" t="s">
        <v>319</v>
      </c>
      <c r="C184" s="2" t="s">
        <v>205</v>
      </c>
      <c r="D184" s="29" t="str">
        <f>IFERROR(VLOOKUP(C184,'Sector &amp; Policy Match'!$A$1:$B$42,2,0),"")</f>
        <v>refined petroleum and coke 19</v>
      </c>
      <c r="E184" s="2" t="s">
        <v>113</v>
      </c>
      <c r="F184" s="1" t="str">
        <f>VLOOKUP(E184,'Sector &amp; Policy Match'!$G$1:$H$8,2,0)</f>
        <v>Early Facility Retirement</v>
      </c>
      <c r="H184" s="2">
        <v>2023</v>
      </c>
      <c r="I184" s="2">
        <v>2027</v>
      </c>
      <c r="J184" s="6">
        <v>0.5</v>
      </c>
      <c r="K184" s="2">
        <v>60</v>
      </c>
      <c r="L184" s="39">
        <f t="shared" si="3"/>
        <v>120</v>
      </c>
      <c r="M184" s="7">
        <v>2060</v>
      </c>
    </row>
    <row r="185" spans="1:13" x14ac:dyDescent="0.25">
      <c r="A185" s="2">
        <v>2022</v>
      </c>
      <c r="B185" s="1" t="s">
        <v>320</v>
      </c>
      <c r="C185" s="2" t="s">
        <v>317</v>
      </c>
      <c r="D185" s="15" t="str">
        <f>IFERROR(VLOOKUP(C185,'Sector &amp; Policy Match'!$A$1:$B$42,2,0),"")</f>
        <v>机械行业</v>
      </c>
      <c r="E185" s="2" t="s">
        <v>113</v>
      </c>
      <c r="F185" s="1" t="str">
        <f>VLOOKUP(E185,'Sector &amp; Policy Match'!$G$1:$H$8,2,0)</f>
        <v>Early Facility Retirement</v>
      </c>
      <c r="H185" s="2">
        <v>2023</v>
      </c>
      <c r="I185" s="2">
        <v>2027</v>
      </c>
      <c r="J185" s="6">
        <v>0.03</v>
      </c>
      <c r="K185" s="2">
        <v>19</v>
      </c>
      <c r="L185" s="39">
        <f t="shared" si="3"/>
        <v>633.33333333333337</v>
      </c>
      <c r="M185" s="7">
        <v>2060</v>
      </c>
    </row>
    <row r="186" spans="1:13" x14ac:dyDescent="0.25">
      <c r="A186" s="2">
        <v>2022</v>
      </c>
      <c r="B186" s="1" t="s">
        <v>321</v>
      </c>
      <c r="C186" s="2" t="s">
        <v>317</v>
      </c>
      <c r="D186" s="15" t="str">
        <f>IFERROR(VLOOKUP(C186,'Sector &amp; Policy Match'!$A$1:$B$42,2,0),"")</f>
        <v>机械行业</v>
      </c>
      <c r="E186" s="2" t="s">
        <v>113</v>
      </c>
      <c r="F186" s="1" t="str">
        <f>VLOOKUP(E186,'Sector &amp; Policy Match'!$G$1:$H$8,2,0)</f>
        <v>Early Facility Retirement</v>
      </c>
      <c r="H186" s="2">
        <v>2023</v>
      </c>
      <c r="I186" s="2">
        <v>2027</v>
      </c>
      <c r="J186" s="6">
        <v>0.7</v>
      </c>
      <c r="K186" s="2">
        <v>33</v>
      </c>
      <c r="L186" s="39">
        <f t="shared" si="3"/>
        <v>47.142857142857146</v>
      </c>
      <c r="M186" s="7">
        <v>2060</v>
      </c>
    </row>
    <row r="187" spans="1:13" x14ac:dyDescent="0.25">
      <c r="A187" s="2">
        <v>2022</v>
      </c>
      <c r="B187" s="1" t="s">
        <v>322</v>
      </c>
      <c r="C187" s="2" t="s">
        <v>119</v>
      </c>
      <c r="D187" s="29" t="str">
        <f>IFERROR(VLOOKUP(C187,'Sector &amp; Policy Match'!$A$1:$B$42,2,0),"")</f>
        <v>iron and steel 241</v>
      </c>
      <c r="E187" s="2" t="s">
        <v>113</v>
      </c>
      <c r="F187" s="1" t="str">
        <f>VLOOKUP(E187,'Sector &amp; Policy Match'!$G$1:$H$8,2,0)</f>
        <v>Early Facility Retirement</v>
      </c>
      <c r="H187" s="2">
        <v>2023</v>
      </c>
      <c r="I187" s="2">
        <v>2027</v>
      </c>
      <c r="J187" s="6">
        <v>0.8</v>
      </c>
      <c r="K187" s="2">
        <v>10</v>
      </c>
      <c r="L187" s="39">
        <f t="shared" si="3"/>
        <v>12.5</v>
      </c>
      <c r="M187" s="7">
        <v>2060</v>
      </c>
    </row>
    <row r="188" spans="1:13" x14ac:dyDescent="0.25">
      <c r="A188" s="2">
        <v>2022</v>
      </c>
      <c r="B188" s="1" t="s">
        <v>323</v>
      </c>
      <c r="C188" s="2" t="s">
        <v>317</v>
      </c>
      <c r="D188" s="15" t="str">
        <f>IFERROR(VLOOKUP(C188,'Sector &amp; Policy Match'!$A$1:$B$42,2,0),"")</f>
        <v>机械行业</v>
      </c>
      <c r="E188" s="2" t="s">
        <v>113</v>
      </c>
      <c r="F188" s="1" t="str">
        <f>VLOOKUP(E188,'Sector &amp; Policy Match'!$G$1:$H$8,2,0)</f>
        <v>Early Facility Retirement</v>
      </c>
      <c r="H188" s="2">
        <v>2023</v>
      </c>
      <c r="I188" s="2">
        <v>2027</v>
      </c>
      <c r="J188" s="6">
        <v>0.3</v>
      </c>
      <c r="K188" s="2">
        <v>50</v>
      </c>
      <c r="L188" s="39">
        <f t="shared" si="3"/>
        <v>166.66666666666669</v>
      </c>
      <c r="M188" s="7">
        <v>2060</v>
      </c>
    </row>
    <row r="189" spans="1:13" x14ac:dyDescent="0.25">
      <c r="A189" s="2">
        <v>2022</v>
      </c>
      <c r="B189" s="1" t="s">
        <v>324</v>
      </c>
      <c r="C189" s="2" t="s">
        <v>119</v>
      </c>
      <c r="D189" s="29" t="str">
        <f>IFERROR(VLOOKUP(C189,'Sector &amp; Policy Match'!$A$1:$B$42,2,0),"")</f>
        <v>iron and steel 241</v>
      </c>
      <c r="E189" s="2" t="s">
        <v>113</v>
      </c>
      <c r="F189" s="1" t="str">
        <f>VLOOKUP(E189,'Sector &amp; Policy Match'!$G$1:$H$8,2,0)</f>
        <v>Early Facility Retirement</v>
      </c>
      <c r="H189" s="2">
        <v>2023</v>
      </c>
      <c r="I189" s="2">
        <v>2027</v>
      </c>
      <c r="J189" s="6">
        <v>0.01</v>
      </c>
      <c r="K189" s="2">
        <v>11</v>
      </c>
      <c r="L189" s="39">
        <f t="shared" si="3"/>
        <v>1100</v>
      </c>
      <c r="M189" s="7">
        <v>2060</v>
      </c>
    </row>
    <row r="190" spans="1:13" x14ac:dyDescent="0.25">
      <c r="A190" s="2">
        <v>2022</v>
      </c>
      <c r="B190" s="1" t="s">
        <v>325</v>
      </c>
      <c r="C190" s="2" t="s">
        <v>229</v>
      </c>
      <c r="D190" s="29" t="str">
        <f>IFERROR(VLOOKUP(C190,'Sector &amp; Policy Match'!$A$1:$B$42,2,0),"")</f>
        <v>coal mining 05</v>
      </c>
      <c r="E190" s="2" t="s">
        <v>113</v>
      </c>
      <c r="F190" s="1" t="str">
        <f>VLOOKUP(E190,'Sector &amp; Policy Match'!$G$1:$H$8,2,0)</f>
        <v>Early Facility Retirement</v>
      </c>
      <c r="H190" s="2">
        <v>2023</v>
      </c>
      <c r="I190" s="2">
        <v>2027</v>
      </c>
      <c r="J190" s="6">
        <v>0.35</v>
      </c>
      <c r="K190" s="2">
        <v>37</v>
      </c>
      <c r="L190" s="39">
        <f t="shared" si="3"/>
        <v>105.71428571428572</v>
      </c>
      <c r="M190" s="7">
        <v>2060</v>
      </c>
    </row>
    <row r="191" spans="1:13" x14ac:dyDescent="0.25">
      <c r="A191" s="2">
        <v>2022</v>
      </c>
      <c r="B191" s="1" t="s">
        <v>326</v>
      </c>
      <c r="C191" s="2" t="s">
        <v>184</v>
      </c>
      <c r="D191" s="29" t="str">
        <f>IFERROR(VLOOKUP(C191,'Sector &amp; Policy Match'!$A$1:$B$42,2,0),"")</f>
        <v>textiles apparel and leather 13T15</v>
      </c>
      <c r="E191" s="2" t="s">
        <v>113</v>
      </c>
      <c r="F191" s="1" t="str">
        <f>VLOOKUP(E191,'Sector &amp; Policy Match'!$G$1:$H$8,2,0)</f>
        <v>Early Facility Retirement</v>
      </c>
      <c r="H191" s="2">
        <v>2023</v>
      </c>
      <c r="I191" s="2">
        <v>2027</v>
      </c>
      <c r="J191" s="6">
        <v>0.3</v>
      </c>
      <c r="K191" s="2">
        <v>96</v>
      </c>
      <c r="L191" s="39">
        <f t="shared" si="3"/>
        <v>320</v>
      </c>
      <c r="M191" s="7">
        <v>2060</v>
      </c>
    </row>
    <row r="192" spans="1:13" x14ac:dyDescent="0.25">
      <c r="A192" s="2">
        <v>2022</v>
      </c>
      <c r="B192" s="1" t="s">
        <v>327</v>
      </c>
      <c r="C192" s="2" t="s">
        <v>328</v>
      </c>
      <c r="D192" s="29" t="str">
        <f>IFERROR(VLOOKUP(C192,'Sector &amp; Policy Match'!$A$1:$B$42,2,0),"")</f>
        <v>computers and electronics 26</v>
      </c>
      <c r="E192" s="2" t="s">
        <v>113</v>
      </c>
      <c r="F192" s="1" t="str">
        <f>VLOOKUP(E192,'Sector &amp; Policy Match'!$G$1:$H$8,2,0)</f>
        <v>Early Facility Retirement</v>
      </c>
      <c r="H192" s="2">
        <v>2023</v>
      </c>
      <c r="I192" s="2">
        <v>2027</v>
      </c>
      <c r="J192" s="6">
        <v>0.21</v>
      </c>
      <c r="K192" s="2">
        <v>11</v>
      </c>
      <c r="L192" s="39">
        <f t="shared" si="3"/>
        <v>52.38095238095238</v>
      </c>
      <c r="M192" s="7">
        <v>2060</v>
      </c>
    </row>
    <row r="193" spans="1:13" x14ac:dyDescent="0.25">
      <c r="A193" s="2">
        <v>2022</v>
      </c>
      <c r="B193" s="1" t="s">
        <v>329</v>
      </c>
      <c r="C193" s="2" t="s">
        <v>317</v>
      </c>
      <c r="D193" s="15" t="str">
        <f>IFERROR(VLOOKUP(C193,'Sector &amp; Policy Match'!$A$1:$B$42,2,0),"")</f>
        <v>机械行业</v>
      </c>
      <c r="E193" s="2" t="s">
        <v>113</v>
      </c>
      <c r="F193" s="1" t="str">
        <f>VLOOKUP(E193,'Sector &amp; Policy Match'!$G$1:$H$8,2,0)</f>
        <v>Early Facility Retirement</v>
      </c>
      <c r="H193" s="2">
        <v>2023</v>
      </c>
      <c r="I193" s="2">
        <v>2027</v>
      </c>
      <c r="J193" s="6">
        <v>0.8</v>
      </c>
      <c r="K193" s="2">
        <v>9</v>
      </c>
      <c r="L193" s="39">
        <f t="shared" si="3"/>
        <v>11.25</v>
      </c>
      <c r="M193" s="7">
        <v>2060</v>
      </c>
    </row>
    <row r="194" spans="1:13" x14ac:dyDescent="0.25">
      <c r="A194" s="2">
        <v>2022</v>
      </c>
      <c r="B194" s="1" t="s">
        <v>330</v>
      </c>
      <c r="C194" s="2" t="s">
        <v>317</v>
      </c>
      <c r="D194" s="15" t="str">
        <f>IFERROR(VLOOKUP(C194,'Sector &amp; Policy Match'!$A$1:$B$42,2,0),"")</f>
        <v>机械行业</v>
      </c>
      <c r="E194" s="2" t="s">
        <v>113</v>
      </c>
      <c r="F194" s="1" t="str">
        <f>VLOOKUP(E194,'Sector &amp; Policy Match'!$G$1:$H$8,2,0)</f>
        <v>Early Facility Retirement</v>
      </c>
      <c r="H194" s="2">
        <v>2023</v>
      </c>
      <c r="I194" s="2">
        <v>2027</v>
      </c>
      <c r="J194" s="6">
        <v>0.05</v>
      </c>
      <c r="K194" s="2">
        <v>11</v>
      </c>
      <c r="L194" s="39">
        <f t="shared" ref="L194:L249" si="4">(1-IF(G194="≤1%",0,G194))/(J194-IF(G194="≤1%",0,G194))*K194</f>
        <v>220</v>
      </c>
      <c r="M194" s="7">
        <v>2060</v>
      </c>
    </row>
    <row r="195" spans="1:13" x14ac:dyDescent="0.25">
      <c r="A195" s="2">
        <v>2022</v>
      </c>
      <c r="B195" s="1" t="s">
        <v>331</v>
      </c>
      <c r="C195" s="2" t="s">
        <v>328</v>
      </c>
      <c r="D195" s="29" t="str">
        <f>IFERROR(VLOOKUP(C195,'Sector &amp; Policy Match'!$A$1:$B$42,2,0),"")</f>
        <v>computers and electronics 26</v>
      </c>
      <c r="E195" s="2" t="s">
        <v>113</v>
      </c>
      <c r="F195" s="1" t="str">
        <f>VLOOKUP(E195,'Sector &amp; Policy Match'!$G$1:$H$8,2,0)</f>
        <v>Early Facility Retirement</v>
      </c>
      <c r="H195" s="2">
        <v>2023</v>
      </c>
      <c r="I195" s="2">
        <v>2027</v>
      </c>
      <c r="J195" s="6">
        <v>0.2</v>
      </c>
      <c r="K195" s="2">
        <v>30</v>
      </c>
      <c r="L195" s="39">
        <f t="shared" si="4"/>
        <v>150</v>
      </c>
      <c r="M195" s="7">
        <v>2060</v>
      </c>
    </row>
    <row r="196" spans="1:13" x14ac:dyDescent="0.25">
      <c r="A196" s="2">
        <v>2022</v>
      </c>
      <c r="B196" s="1" t="s">
        <v>332</v>
      </c>
      <c r="C196" s="2" t="s">
        <v>333</v>
      </c>
      <c r="D196" s="29" t="str">
        <f>IFERROR(VLOOKUP(C196,'Sector &amp; Policy Match'!$A$1:$B$42,2,0),"")</f>
        <v>appliances and electrical equipment 27</v>
      </c>
      <c r="E196" s="2" t="s">
        <v>113</v>
      </c>
      <c r="F196" s="1" t="str">
        <f>VLOOKUP(E196,'Sector &amp; Policy Match'!$G$1:$H$8,2,0)</f>
        <v>Early Facility Retirement</v>
      </c>
      <c r="H196" s="2">
        <v>2023</v>
      </c>
      <c r="I196" s="2">
        <v>2027</v>
      </c>
      <c r="J196" s="6">
        <v>0.9</v>
      </c>
      <c r="K196" s="2">
        <v>450</v>
      </c>
      <c r="L196" s="39">
        <f t="shared" si="4"/>
        <v>500</v>
      </c>
      <c r="M196" s="7">
        <v>2060</v>
      </c>
    </row>
    <row r="197" spans="1:13" x14ac:dyDescent="0.25">
      <c r="A197" s="2">
        <v>2022</v>
      </c>
      <c r="B197" s="1" t="s">
        <v>334</v>
      </c>
      <c r="C197" s="2" t="s">
        <v>143</v>
      </c>
      <c r="D197" s="29" t="str">
        <f>IFERROR(VLOOKUP(C197,'Sector &amp; Policy Match'!$A$1:$B$42,2,0),"")</f>
        <v>电力、热力生产</v>
      </c>
      <c r="E197" s="2" t="s">
        <v>244</v>
      </c>
      <c r="F197" s="1" t="str">
        <f>VLOOKUP(E197,'Sector &amp; Policy Match'!$G$1:$H$8,2,0)</f>
        <v>Early Facility Retirement</v>
      </c>
      <c r="H197" s="2">
        <v>2023</v>
      </c>
      <c r="I197" s="2">
        <v>2027</v>
      </c>
      <c r="J197" s="6">
        <v>0.06</v>
      </c>
      <c r="K197" s="2">
        <v>20</v>
      </c>
      <c r="L197" s="39">
        <f t="shared" si="4"/>
        <v>333.33333333333337</v>
      </c>
      <c r="M197" s="7">
        <v>2060</v>
      </c>
    </row>
    <row r="198" spans="1:13" x14ac:dyDescent="0.25">
      <c r="A198" s="2">
        <v>2022</v>
      </c>
      <c r="B198" s="1" t="s">
        <v>335</v>
      </c>
      <c r="C198" s="2" t="s">
        <v>143</v>
      </c>
      <c r="D198" s="29" t="str">
        <f>IFERROR(VLOOKUP(C198,'Sector &amp; Policy Match'!$A$1:$B$42,2,0),"")</f>
        <v>电力、热力生产</v>
      </c>
      <c r="E198" s="2" t="s">
        <v>244</v>
      </c>
      <c r="F198" s="1" t="str">
        <f>VLOOKUP(E198,'Sector &amp; Policy Match'!$G$1:$H$8,2,0)</f>
        <v>Early Facility Retirement</v>
      </c>
      <c r="H198" s="2">
        <v>2023</v>
      </c>
      <c r="I198" s="2">
        <v>2027</v>
      </c>
      <c r="J198" s="6">
        <v>0.25</v>
      </c>
      <c r="K198" s="2">
        <v>11</v>
      </c>
      <c r="L198" s="39">
        <f t="shared" si="4"/>
        <v>44</v>
      </c>
      <c r="M198" s="7">
        <v>2060</v>
      </c>
    </row>
    <row r="199" spans="1:13" x14ac:dyDescent="0.25">
      <c r="A199" s="2">
        <v>2022</v>
      </c>
      <c r="B199" s="1" t="s">
        <v>336</v>
      </c>
      <c r="C199" s="2" t="s">
        <v>143</v>
      </c>
      <c r="D199" s="29" t="str">
        <f>IFERROR(VLOOKUP(C199,'Sector &amp; Policy Match'!$A$1:$B$42,2,0),"")</f>
        <v>电力、热力生产</v>
      </c>
      <c r="E199" s="2" t="s">
        <v>244</v>
      </c>
      <c r="F199" s="1" t="str">
        <f>VLOOKUP(E199,'Sector &amp; Policy Match'!$G$1:$H$8,2,0)</f>
        <v>Early Facility Retirement</v>
      </c>
      <c r="H199" s="2">
        <v>2023</v>
      </c>
      <c r="I199" s="2">
        <v>2027</v>
      </c>
      <c r="J199" s="6">
        <v>0.08</v>
      </c>
      <c r="K199" s="2">
        <v>12</v>
      </c>
      <c r="L199" s="39">
        <f t="shared" si="4"/>
        <v>150</v>
      </c>
      <c r="M199" s="7">
        <v>2060</v>
      </c>
    </row>
    <row r="200" spans="1:13" x14ac:dyDescent="0.25">
      <c r="A200" s="2">
        <v>2022</v>
      </c>
      <c r="B200" s="1" t="s">
        <v>337</v>
      </c>
      <c r="C200" s="2" t="s">
        <v>143</v>
      </c>
      <c r="D200" s="29" t="str">
        <f>IFERROR(VLOOKUP(C200,'Sector &amp; Policy Match'!$A$1:$B$42,2,0),"")</f>
        <v>电力、热力生产</v>
      </c>
      <c r="E200" s="2" t="s">
        <v>244</v>
      </c>
      <c r="F200" s="1" t="str">
        <f>VLOOKUP(E200,'Sector &amp; Policy Match'!$G$1:$H$8,2,0)</f>
        <v>Early Facility Retirement</v>
      </c>
      <c r="H200" s="2">
        <v>2023</v>
      </c>
      <c r="I200" s="2">
        <v>2027</v>
      </c>
      <c r="J200" s="6">
        <v>0.05</v>
      </c>
      <c r="K200" s="2">
        <v>69</v>
      </c>
      <c r="L200" s="39">
        <f t="shared" si="4"/>
        <v>1380</v>
      </c>
      <c r="M200" s="7">
        <v>2060</v>
      </c>
    </row>
    <row r="201" spans="1:13" x14ac:dyDescent="0.25">
      <c r="A201" s="2">
        <v>2022</v>
      </c>
      <c r="B201" s="1" t="s">
        <v>338</v>
      </c>
      <c r="C201" s="2" t="s">
        <v>143</v>
      </c>
      <c r="D201" s="29" t="str">
        <f>IFERROR(VLOOKUP(C201,'Sector &amp; Policy Match'!$A$1:$B$42,2,0),"")</f>
        <v>电力、热力生产</v>
      </c>
      <c r="E201" s="2" t="s">
        <v>244</v>
      </c>
      <c r="F201" s="1" t="str">
        <f>VLOOKUP(E201,'Sector &amp; Policy Match'!$G$1:$H$8,2,0)</f>
        <v>Early Facility Retirement</v>
      </c>
      <c r="H201" s="2">
        <v>2023</v>
      </c>
      <c r="I201" s="2">
        <v>2027</v>
      </c>
      <c r="J201" s="6">
        <v>0.05</v>
      </c>
      <c r="K201" s="2">
        <v>10</v>
      </c>
      <c r="L201" s="39">
        <f t="shared" si="4"/>
        <v>200</v>
      </c>
      <c r="M201" s="7">
        <v>2060</v>
      </c>
    </row>
    <row r="202" spans="1:13" x14ac:dyDescent="0.25">
      <c r="A202" s="2">
        <v>2022</v>
      </c>
      <c r="B202" s="1" t="s">
        <v>339</v>
      </c>
      <c r="C202" s="2" t="s">
        <v>143</v>
      </c>
      <c r="D202" s="29" t="str">
        <f>IFERROR(VLOOKUP(C202,'Sector &amp; Policy Match'!$A$1:$B$42,2,0),"")</f>
        <v>电力、热力生产</v>
      </c>
      <c r="E202" s="2" t="s">
        <v>244</v>
      </c>
      <c r="F202" s="1" t="str">
        <f>VLOOKUP(E202,'Sector &amp; Policy Match'!$G$1:$H$8,2,0)</f>
        <v>Early Facility Retirement</v>
      </c>
      <c r="H202" s="2">
        <v>2023</v>
      </c>
      <c r="I202" s="2">
        <v>2027</v>
      </c>
      <c r="J202" s="6">
        <v>0.1</v>
      </c>
      <c r="K202" s="2">
        <v>12</v>
      </c>
      <c r="L202" s="39">
        <f t="shared" si="4"/>
        <v>120</v>
      </c>
      <c r="M202" s="7">
        <v>2060</v>
      </c>
    </row>
    <row r="203" spans="1:13" x14ac:dyDescent="0.25">
      <c r="A203" s="2">
        <v>2022</v>
      </c>
      <c r="B203" s="1" t="s">
        <v>340</v>
      </c>
      <c r="C203" s="2" t="s">
        <v>143</v>
      </c>
      <c r="D203" s="29" t="str">
        <f>IFERROR(VLOOKUP(C203,'Sector &amp; Policy Match'!$A$1:$B$42,2,0),"")</f>
        <v>电力、热力生产</v>
      </c>
      <c r="E203" s="2" t="s">
        <v>244</v>
      </c>
      <c r="F203" s="1" t="str">
        <f>VLOOKUP(E203,'Sector &amp; Policy Match'!$G$1:$H$8,2,0)</f>
        <v>Early Facility Retirement</v>
      </c>
      <c r="H203" s="2">
        <v>2023</v>
      </c>
      <c r="I203" s="2">
        <v>2027</v>
      </c>
      <c r="J203" s="6">
        <v>0.08</v>
      </c>
      <c r="K203" s="2">
        <v>85</v>
      </c>
      <c r="L203" s="39">
        <f t="shared" si="4"/>
        <v>1062.5</v>
      </c>
      <c r="M203" s="7">
        <v>2060</v>
      </c>
    </row>
    <row r="204" spans="1:13" x14ac:dyDescent="0.25">
      <c r="A204" s="2">
        <v>2022</v>
      </c>
      <c r="B204" s="1" t="s">
        <v>341</v>
      </c>
      <c r="C204" s="2" t="s">
        <v>143</v>
      </c>
      <c r="D204" s="29" t="str">
        <f>IFERROR(VLOOKUP(C204,'Sector &amp; Policy Match'!$A$1:$B$42,2,0),"")</f>
        <v>电力、热力生产</v>
      </c>
      <c r="E204" s="2" t="s">
        <v>244</v>
      </c>
      <c r="F204" s="1" t="str">
        <f>VLOOKUP(E204,'Sector &amp; Policy Match'!$G$1:$H$8,2,0)</f>
        <v>Early Facility Retirement</v>
      </c>
      <c r="H204" s="2">
        <v>2023</v>
      </c>
      <c r="I204" s="2">
        <v>2027</v>
      </c>
      <c r="J204" s="6">
        <v>0.04</v>
      </c>
      <c r="K204" s="2">
        <v>9</v>
      </c>
      <c r="L204" s="39">
        <f t="shared" si="4"/>
        <v>225</v>
      </c>
      <c r="M204" s="7">
        <v>2060</v>
      </c>
    </row>
    <row r="205" spans="1:13" x14ac:dyDescent="0.25">
      <c r="A205" s="2">
        <v>2022</v>
      </c>
      <c r="B205" s="1" t="s">
        <v>342</v>
      </c>
      <c r="C205" s="2" t="s">
        <v>143</v>
      </c>
      <c r="D205" s="29" t="str">
        <f>IFERROR(VLOOKUP(C205,'Sector &amp; Policy Match'!$A$1:$B$42,2,0),"")</f>
        <v>电力、热力生产</v>
      </c>
      <c r="E205" s="2" t="s">
        <v>244</v>
      </c>
      <c r="F205" s="1" t="str">
        <f>VLOOKUP(E205,'Sector &amp; Policy Match'!$G$1:$H$8,2,0)</f>
        <v>Early Facility Retirement</v>
      </c>
      <c r="H205" s="2">
        <v>2023</v>
      </c>
      <c r="I205" s="2">
        <v>2027</v>
      </c>
      <c r="J205" s="6">
        <v>0.02</v>
      </c>
      <c r="K205" s="2">
        <v>19</v>
      </c>
      <c r="L205" s="39">
        <f t="shared" si="4"/>
        <v>950</v>
      </c>
      <c r="M205" s="7">
        <v>2060</v>
      </c>
    </row>
    <row r="206" spans="1:13" x14ac:dyDescent="0.25">
      <c r="A206" s="2">
        <v>2022</v>
      </c>
      <c r="B206" s="1" t="s">
        <v>343</v>
      </c>
      <c r="C206" s="2" t="s">
        <v>143</v>
      </c>
      <c r="D206" s="29" t="str">
        <f>IFERROR(VLOOKUP(C206,'Sector &amp; Policy Match'!$A$1:$B$42,2,0),"")</f>
        <v>电力、热力生产</v>
      </c>
      <c r="E206" s="2" t="s">
        <v>244</v>
      </c>
      <c r="F206" s="1" t="str">
        <f>VLOOKUP(E206,'Sector &amp; Policy Match'!$G$1:$H$8,2,0)</f>
        <v>Early Facility Retirement</v>
      </c>
      <c r="H206" s="2">
        <v>2023</v>
      </c>
      <c r="I206" s="2">
        <v>2027</v>
      </c>
      <c r="J206" s="6">
        <v>0.01</v>
      </c>
      <c r="K206" s="2">
        <v>10</v>
      </c>
      <c r="L206" s="39">
        <f t="shared" si="4"/>
        <v>1000</v>
      </c>
      <c r="M206" s="7">
        <v>2060</v>
      </c>
    </row>
    <row r="207" spans="1:13" x14ac:dyDescent="0.25">
      <c r="A207" s="2">
        <v>2022</v>
      </c>
      <c r="B207" s="1" t="s">
        <v>344</v>
      </c>
      <c r="C207" s="2" t="s">
        <v>119</v>
      </c>
      <c r="D207" s="29" t="str">
        <f>IFERROR(VLOOKUP(C207,'Sector &amp; Policy Match'!$A$1:$B$42,2,0),"")</f>
        <v>iron and steel 241</v>
      </c>
      <c r="E207" s="2" t="s">
        <v>146</v>
      </c>
      <c r="F207" s="1" t="str">
        <f>VLOOKUP(E207,'Sector &amp; Policy Match'!$G$1:$H$8,2,0)</f>
        <v>Improvement in Eqpt Efficiency Standards</v>
      </c>
      <c r="H207" s="2">
        <v>2023</v>
      </c>
      <c r="I207" s="2">
        <v>2027</v>
      </c>
      <c r="J207" s="6">
        <v>0.05</v>
      </c>
      <c r="K207" s="2">
        <v>31</v>
      </c>
      <c r="L207" s="39">
        <f t="shared" si="4"/>
        <v>620</v>
      </c>
      <c r="M207" s="7">
        <v>2060</v>
      </c>
    </row>
    <row r="208" spans="1:13" x14ac:dyDescent="0.25">
      <c r="A208" s="2">
        <v>2022</v>
      </c>
      <c r="B208" s="1" t="s">
        <v>345</v>
      </c>
      <c r="C208" s="2" t="s">
        <v>153</v>
      </c>
      <c r="D208" s="15" t="str">
        <f>IFERROR(VLOOKUP(C208,'Sector &amp; Policy Match'!$A$1:$B$42,2,0),"")</f>
        <v>空调系统</v>
      </c>
      <c r="E208" s="2" t="s">
        <v>146</v>
      </c>
      <c r="F208" s="1" t="str">
        <f>VLOOKUP(E208,'Sector &amp; Policy Match'!$G$1:$H$8,2,0)</f>
        <v>Improvement in Eqpt Efficiency Standards</v>
      </c>
      <c r="H208" s="2">
        <v>2023</v>
      </c>
      <c r="I208" s="2">
        <v>2027</v>
      </c>
      <c r="J208" s="6">
        <v>0.1</v>
      </c>
      <c r="K208" s="2">
        <v>89</v>
      </c>
      <c r="L208" s="39">
        <f t="shared" si="4"/>
        <v>890</v>
      </c>
      <c r="M208" s="7">
        <v>2060</v>
      </c>
    </row>
    <row r="209" spans="1:13" x14ac:dyDescent="0.25">
      <c r="A209" s="2">
        <v>2022</v>
      </c>
      <c r="B209" s="1" t="s">
        <v>346</v>
      </c>
      <c r="C209" s="2" t="s">
        <v>213</v>
      </c>
      <c r="D209" s="15" t="str">
        <f>IFERROR(VLOOKUP(C209,'Sector &amp; Policy Match'!$A$1:$B$42,2,0),"")</f>
        <v>风机系统</v>
      </c>
      <c r="E209" s="2" t="s">
        <v>146</v>
      </c>
      <c r="F209" s="1" t="str">
        <f>VLOOKUP(E209,'Sector &amp; Policy Match'!$G$1:$H$8,2,0)</f>
        <v>Improvement in Eqpt Efficiency Standards</v>
      </c>
      <c r="H209" s="2">
        <v>2023</v>
      </c>
      <c r="I209" s="2">
        <v>2027</v>
      </c>
      <c r="J209" s="6">
        <v>0.25</v>
      </c>
      <c r="K209" s="2">
        <v>77</v>
      </c>
      <c r="L209" s="39">
        <f t="shared" si="4"/>
        <v>308</v>
      </c>
      <c r="M209" s="7">
        <v>2060</v>
      </c>
    </row>
    <row r="210" spans="1:13" x14ac:dyDescent="0.25">
      <c r="A210" s="2">
        <v>2022</v>
      </c>
      <c r="B210" s="1" t="s">
        <v>347</v>
      </c>
      <c r="C210" s="2" t="s">
        <v>143</v>
      </c>
      <c r="D210" s="29" t="str">
        <f>IFERROR(VLOOKUP(C210,'Sector &amp; Policy Match'!$A$1:$B$42,2,0),"")</f>
        <v>电力、热力生产</v>
      </c>
      <c r="E210" s="2" t="s">
        <v>146</v>
      </c>
      <c r="F210" s="1" t="str">
        <f>VLOOKUP(E210,'Sector &amp; Policy Match'!$G$1:$H$8,2,0)</f>
        <v>Improvement in Eqpt Efficiency Standards</v>
      </c>
      <c r="H210" s="2">
        <v>2023</v>
      </c>
      <c r="I210" s="2">
        <v>2027</v>
      </c>
      <c r="J210" s="6">
        <v>0.05</v>
      </c>
      <c r="K210" s="2">
        <v>11</v>
      </c>
      <c r="L210" s="39">
        <f t="shared" si="4"/>
        <v>220</v>
      </c>
      <c r="M210" s="7">
        <v>2060</v>
      </c>
    </row>
    <row r="211" spans="1:13" x14ac:dyDescent="0.25">
      <c r="A211" s="2">
        <v>2022</v>
      </c>
      <c r="B211" s="1" t="s">
        <v>348</v>
      </c>
      <c r="C211" s="2" t="s">
        <v>130</v>
      </c>
      <c r="D211" s="15" t="str">
        <f>IFERROR(VLOOKUP(C211,'Sector &amp; Policy Match'!$A$1:$B$42,2,0),"")</f>
        <v>工业锅炉</v>
      </c>
      <c r="E211" s="2" t="s">
        <v>146</v>
      </c>
      <c r="F211" s="1" t="str">
        <f>VLOOKUP(E211,'Sector &amp; Policy Match'!$G$1:$H$8,2,0)</f>
        <v>Improvement in Eqpt Efficiency Standards</v>
      </c>
      <c r="H211" s="2">
        <v>2023</v>
      </c>
      <c r="I211" s="2">
        <v>2027</v>
      </c>
      <c r="J211" s="6">
        <v>0.05</v>
      </c>
      <c r="K211" s="2">
        <v>15</v>
      </c>
      <c r="L211" s="39">
        <f t="shared" si="4"/>
        <v>300</v>
      </c>
      <c r="M211" s="7">
        <v>2060</v>
      </c>
    </row>
    <row r="212" spans="1:13" x14ac:dyDescent="0.25">
      <c r="A212" s="2">
        <v>2022</v>
      </c>
      <c r="B212" s="1" t="s">
        <v>349</v>
      </c>
      <c r="C212" s="2" t="s">
        <v>130</v>
      </c>
      <c r="D212" s="15" t="str">
        <f>IFERROR(VLOOKUP(C212,'Sector &amp; Policy Match'!$A$1:$B$42,2,0),"")</f>
        <v>工业锅炉</v>
      </c>
      <c r="E212" s="2" t="s">
        <v>146</v>
      </c>
      <c r="F212" s="1" t="str">
        <f>VLOOKUP(E212,'Sector &amp; Policy Match'!$G$1:$H$8,2,0)</f>
        <v>Improvement in Eqpt Efficiency Standards</v>
      </c>
      <c r="H212" s="2">
        <v>2023</v>
      </c>
      <c r="I212" s="2">
        <v>2027</v>
      </c>
      <c r="J212" s="6">
        <v>0.16</v>
      </c>
      <c r="K212" s="2">
        <v>11</v>
      </c>
      <c r="L212" s="39">
        <f t="shared" si="4"/>
        <v>68.75</v>
      </c>
      <c r="M212" s="7">
        <v>2060</v>
      </c>
    </row>
    <row r="213" spans="1:13" x14ac:dyDescent="0.25">
      <c r="A213" s="2">
        <v>2022</v>
      </c>
      <c r="B213" s="1" t="s">
        <v>350</v>
      </c>
      <c r="C213" s="2" t="s">
        <v>130</v>
      </c>
      <c r="D213" s="15" t="str">
        <f>IFERROR(VLOOKUP(C213,'Sector &amp; Policy Match'!$A$1:$B$42,2,0),"")</f>
        <v>工业锅炉</v>
      </c>
      <c r="E213" s="2" t="s">
        <v>137</v>
      </c>
      <c r="F213" s="1" t="str">
        <f>VLOOKUP(E213,'Sector &amp; Policy Match'!$G$1:$H$8,2,0)</f>
        <v>Cogeneration and Waste Heat Recovery</v>
      </c>
      <c r="H213" s="2">
        <v>2023</v>
      </c>
      <c r="I213" s="2">
        <v>2027</v>
      </c>
      <c r="J213" s="6">
        <v>0.3</v>
      </c>
      <c r="K213" s="2">
        <v>33</v>
      </c>
      <c r="L213" s="39">
        <f t="shared" si="4"/>
        <v>110</v>
      </c>
      <c r="M213" s="7">
        <v>2060</v>
      </c>
    </row>
    <row r="214" spans="1:13" x14ac:dyDescent="0.25">
      <c r="A214" s="2">
        <v>2022</v>
      </c>
      <c r="B214" s="1" t="s">
        <v>351</v>
      </c>
      <c r="C214" s="2" t="s">
        <v>238</v>
      </c>
      <c r="D214" s="15" t="str">
        <f>IFERROR(VLOOKUP(C214,'Sector &amp; Policy Match'!$A$1:$B$42,2,0),"")</f>
        <v>工业炉窑</v>
      </c>
      <c r="E214" s="2" t="s">
        <v>146</v>
      </c>
      <c r="F214" s="1" t="str">
        <f>VLOOKUP(E214,'Sector &amp; Policy Match'!$G$1:$H$8,2,0)</f>
        <v>Improvement in Eqpt Efficiency Standards</v>
      </c>
      <c r="H214" s="2">
        <v>2023</v>
      </c>
      <c r="I214" s="2">
        <v>2027</v>
      </c>
      <c r="J214" s="6">
        <v>0.05</v>
      </c>
      <c r="K214" s="2">
        <v>30</v>
      </c>
      <c r="L214" s="39">
        <f t="shared" si="4"/>
        <v>600</v>
      </c>
      <c r="M214" s="7">
        <v>2060</v>
      </c>
    </row>
    <row r="215" spans="1:13" x14ac:dyDescent="0.25">
      <c r="A215" s="2">
        <v>2022</v>
      </c>
      <c r="B215" s="1" t="s">
        <v>352</v>
      </c>
      <c r="C215" s="2" t="s">
        <v>150</v>
      </c>
      <c r="D215" s="15" t="str">
        <f>IFERROR(VLOOKUP(C215,'Sector &amp; Policy Match'!$A$1:$B$42,2,0),"")</f>
        <v>电动机系统</v>
      </c>
      <c r="E215" s="2" t="s">
        <v>146</v>
      </c>
      <c r="F215" s="1" t="str">
        <f>VLOOKUP(E215,'Sector &amp; Policy Match'!$G$1:$H$8,2,0)</f>
        <v>Improvement in Eqpt Efficiency Standards</v>
      </c>
      <c r="H215" s="2">
        <v>2023</v>
      </c>
      <c r="I215" s="2">
        <v>2027</v>
      </c>
      <c r="J215" s="6">
        <v>0.05</v>
      </c>
      <c r="K215" s="2">
        <v>13</v>
      </c>
      <c r="L215" s="39">
        <f t="shared" si="4"/>
        <v>260</v>
      </c>
      <c r="M215" s="7">
        <v>2060</v>
      </c>
    </row>
    <row r="216" spans="1:13" x14ac:dyDescent="0.25">
      <c r="A216" s="2">
        <v>2022</v>
      </c>
      <c r="B216" s="1" t="s">
        <v>353</v>
      </c>
      <c r="D216" s="29" t="str">
        <f>IFERROR(VLOOKUP(C216,'Sector &amp; Policy Match'!$A$1:$B$42,2,0),"")</f>
        <v/>
      </c>
      <c r="E216" s="2" t="s">
        <v>146</v>
      </c>
      <c r="F216" s="1" t="str">
        <f>VLOOKUP(E216,'Sector &amp; Policy Match'!$G$1:$H$8,2,0)</f>
        <v>Improvement in Eqpt Efficiency Standards</v>
      </c>
      <c r="H216" s="2">
        <v>2023</v>
      </c>
      <c r="I216" s="2">
        <v>2027</v>
      </c>
      <c r="J216" s="6">
        <v>0.01</v>
      </c>
      <c r="K216" s="2">
        <v>81</v>
      </c>
      <c r="L216" s="39">
        <f t="shared" si="4"/>
        <v>8100</v>
      </c>
      <c r="M216" s="7">
        <v>2060</v>
      </c>
    </row>
    <row r="217" spans="1:13" x14ac:dyDescent="0.25">
      <c r="A217" s="2">
        <v>2022</v>
      </c>
      <c r="B217" s="1" t="s">
        <v>354</v>
      </c>
      <c r="C217" s="2" t="s">
        <v>355</v>
      </c>
      <c r="D217" s="15" t="str">
        <f>IFERROR(VLOOKUP(C217,'Sector &amp; Policy Match'!$A$1:$B$42,2,0),"")</f>
        <v>工业水泵</v>
      </c>
      <c r="E217" s="2" t="s">
        <v>146</v>
      </c>
      <c r="F217" s="1" t="str">
        <f>VLOOKUP(E217,'Sector &amp; Policy Match'!$G$1:$H$8,2,0)</f>
        <v>Improvement in Eqpt Efficiency Standards</v>
      </c>
      <c r="H217" s="2">
        <v>2023</v>
      </c>
      <c r="I217" s="2">
        <v>2027</v>
      </c>
      <c r="J217" s="6">
        <v>0.15</v>
      </c>
      <c r="K217" s="2">
        <v>46</v>
      </c>
      <c r="L217" s="39">
        <f t="shared" si="4"/>
        <v>306.66666666666669</v>
      </c>
      <c r="M217" s="7">
        <v>2060</v>
      </c>
    </row>
    <row r="218" spans="1:13" x14ac:dyDescent="0.25">
      <c r="A218" s="2">
        <v>2022</v>
      </c>
      <c r="B218" s="1" t="s">
        <v>356</v>
      </c>
      <c r="C218" s="2" t="s">
        <v>150</v>
      </c>
      <c r="D218" s="15" t="str">
        <f>IFERROR(VLOOKUP(C218,'Sector &amp; Policy Match'!$A$1:$B$42,2,0),"")</f>
        <v>电动机系统</v>
      </c>
      <c r="E218" s="2" t="s">
        <v>146</v>
      </c>
      <c r="F218" s="1" t="str">
        <f>VLOOKUP(E218,'Sector &amp; Policy Match'!$G$1:$H$8,2,0)</f>
        <v>Improvement in Eqpt Efficiency Standards</v>
      </c>
      <c r="H218" s="2">
        <v>2023</v>
      </c>
      <c r="I218" s="2">
        <v>2027</v>
      </c>
      <c r="J218" s="6">
        <v>0.4</v>
      </c>
      <c r="K218" s="2">
        <v>20</v>
      </c>
      <c r="L218" s="39">
        <f t="shared" si="4"/>
        <v>50</v>
      </c>
      <c r="M218" s="7">
        <v>2060</v>
      </c>
    </row>
    <row r="219" spans="1:13" x14ac:dyDescent="0.25">
      <c r="A219" s="2">
        <v>2022</v>
      </c>
      <c r="B219" s="1" t="s">
        <v>357</v>
      </c>
      <c r="C219" s="33" t="s">
        <v>378</v>
      </c>
      <c r="D219" s="15" t="str">
        <f>IFERROR(VLOOKUP(C219,'Sector &amp; Policy Match'!$A$1:$B$42,2,0),"")</f>
        <v>压缩空气系统</v>
      </c>
      <c r="E219" s="2" t="s">
        <v>146</v>
      </c>
      <c r="F219" s="1" t="str">
        <f>VLOOKUP(E219,'Sector &amp; Policy Match'!$G$1:$H$8,2,0)</f>
        <v>Improvement in Eqpt Efficiency Standards</v>
      </c>
      <c r="H219" s="2">
        <v>2023</v>
      </c>
      <c r="I219" s="2">
        <v>2027</v>
      </c>
      <c r="J219" s="6">
        <v>0.1</v>
      </c>
      <c r="K219" s="2">
        <v>9</v>
      </c>
      <c r="L219" s="39">
        <f t="shared" si="4"/>
        <v>90</v>
      </c>
      <c r="M219" s="7">
        <v>2060</v>
      </c>
    </row>
    <row r="220" spans="1:13" x14ac:dyDescent="0.25">
      <c r="A220" s="2">
        <v>2022</v>
      </c>
      <c r="B220" s="1" t="s">
        <v>358</v>
      </c>
      <c r="C220" s="2" t="s">
        <v>205</v>
      </c>
      <c r="D220" s="29" t="str">
        <f>IFERROR(VLOOKUP(C220,'Sector &amp; Policy Match'!$A$1:$B$42,2,0),"")</f>
        <v>refined petroleum and coke 19</v>
      </c>
      <c r="E220" s="2" t="s">
        <v>146</v>
      </c>
      <c r="F220" s="1" t="str">
        <f>VLOOKUP(E220,'Sector &amp; Policy Match'!$G$1:$H$8,2,0)</f>
        <v>Improvement in Eqpt Efficiency Standards</v>
      </c>
      <c r="H220" s="2">
        <v>2023</v>
      </c>
      <c r="I220" s="2">
        <v>2027</v>
      </c>
      <c r="J220" s="6">
        <v>0.48</v>
      </c>
      <c r="K220" s="2">
        <v>15</v>
      </c>
      <c r="L220" s="39">
        <f t="shared" si="4"/>
        <v>31.250000000000004</v>
      </c>
      <c r="M220" s="7">
        <v>2060</v>
      </c>
    </row>
    <row r="221" spans="1:13" x14ac:dyDescent="0.25">
      <c r="A221" s="2">
        <v>2022</v>
      </c>
      <c r="B221" s="1" t="s">
        <v>359</v>
      </c>
      <c r="D221" s="29" t="str">
        <f>IFERROR(VLOOKUP(C221,'Sector &amp; Policy Match'!$A$1:$B$42,2,0),"")</f>
        <v/>
      </c>
      <c r="E221" s="2" t="s">
        <v>137</v>
      </c>
      <c r="F221" s="1" t="str">
        <f>VLOOKUP(E221,'Sector &amp; Policy Match'!$G$1:$H$8,2,0)</f>
        <v>Cogeneration and Waste Heat Recovery</v>
      </c>
      <c r="H221" s="2">
        <v>2023</v>
      </c>
      <c r="I221" s="2">
        <v>2027</v>
      </c>
      <c r="J221" s="6">
        <v>0.2</v>
      </c>
      <c r="K221" s="2">
        <v>67</v>
      </c>
      <c r="L221" s="39">
        <f t="shared" si="4"/>
        <v>335</v>
      </c>
      <c r="M221" s="7">
        <v>2060</v>
      </c>
    </row>
    <row r="222" spans="1:13" x14ac:dyDescent="0.25">
      <c r="A222" s="2">
        <v>2022</v>
      </c>
      <c r="B222" s="1" t="s">
        <v>360</v>
      </c>
      <c r="C222" s="2" t="s">
        <v>361</v>
      </c>
      <c r="D222" s="15" t="str">
        <f>IFERROR(VLOOKUP(C222,'Sector &amp; Policy Match'!$A$1:$B$42,2,0),"")</f>
        <v>冷却塔</v>
      </c>
      <c r="E222" s="2" t="s">
        <v>146</v>
      </c>
      <c r="F222" s="1" t="str">
        <f>VLOOKUP(E222,'Sector &amp; Policy Match'!$G$1:$H$8,2,0)</f>
        <v>Improvement in Eqpt Efficiency Standards</v>
      </c>
      <c r="H222" s="2">
        <v>2023</v>
      </c>
      <c r="I222" s="2">
        <v>2027</v>
      </c>
      <c r="J222" s="6">
        <v>0.5</v>
      </c>
      <c r="K222" s="2">
        <v>9</v>
      </c>
      <c r="L222" s="39">
        <f t="shared" si="4"/>
        <v>18</v>
      </c>
      <c r="M222" s="7">
        <v>2060</v>
      </c>
    </row>
    <row r="223" spans="1:13" x14ac:dyDescent="0.25">
      <c r="A223" s="2">
        <v>2022</v>
      </c>
      <c r="B223" s="1" t="s">
        <v>362</v>
      </c>
      <c r="C223" s="2" t="s">
        <v>150</v>
      </c>
      <c r="D223" s="15" t="str">
        <f>IFERROR(VLOOKUP(C223,'Sector &amp; Policy Match'!$A$1:$B$42,2,0),"")</f>
        <v>电动机系统</v>
      </c>
      <c r="E223" s="2" t="s">
        <v>146</v>
      </c>
      <c r="F223" s="1" t="str">
        <f>VLOOKUP(E223,'Sector &amp; Policy Match'!$G$1:$H$8,2,0)</f>
        <v>Improvement in Eqpt Efficiency Standards</v>
      </c>
      <c r="H223" s="2">
        <v>2023</v>
      </c>
      <c r="I223" s="2">
        <v>2027</v>
      </c>
      <c r="J223" s="6">
        <v>0.15</v>
      </c>
      <c r="K223" s="2">
        <v>24</v>
      </c>
      <c r="L223" s="39">
        <f t="shared" si="4"/>
        <v>160</v>
      </c>
      <c r="M223" s="7">
        <v>2060</v>
      </c>
    </row>
    <row r="224" spans="1:13" x14ac:dyDescent="0.25">
      <c r="A224" s="9">
        <v>2022</v>
      </c>
      <c r="B224" s="10" t="s">
        <v>363</v>
      </c>
      <c r="C224" s="9" t="s">
        <v>364</v>
      </c>
      <c r="D224" s="30" t="str">
        <f>IFERROR(VLOOKUP(C224,'Sector &amp; Policy Match'!$A$1:$B$42,2,0),"")</f>
        <v/>
      </c>
      <c r="E224" s="9" t="s">
        <v>146</v>
      </c>
      <c r="F224" s="10" t="str">
        <f>VLOOKUP(E224,'Sector &amp; Policy Match'!$G$1:$H$8,2,0)</f>
        <v>Improvement in Eqpt Efficiency Standards</v>
      </c>
      <c r="G224" s="10"/>
      <c r="H224" s="9">
        <v>2023</v>
      </c>
      <c r="I224" s="9">
        <v>2027</v>
      </c>
      <c r="J224" s="11">
        <v>0.3</v>
      </c>
      <c r="K224" s="9">
        <v>9</v>
      </c>
      <c r="L224" s="18">
        <f t="shared" si="4"/>
        <v>30</v>
      </c>
      <c r="M224" s="13">
        <v>2060</v>
      </c>
    </row>
    <row r="225" spans="1:13" x14ac:dyDescent="0.25">
      <c r="A225" s="9">
        <v>2022</v>
      </c>
      <c r="B225" s="10" t="s">
        <v>363</v>
      </c>
      <c r="C225" s="9" t="s">
        <v>205</v>
      </c>
      <c r="D225" s="30" t="str">
        <f>IFERROR(VLOOKUP(C225,'Sector &amp; Policy Match'!$A$1:$B$42,2,0),"")</f>
        <v>refined petroleum and coke 19</v>
      </c>
      <c r="E225" s="9" t="s">
        <v>146</v>
      </c>
      <c r="F225" s="10" t="str">
        <f>VLOOKUP(E225,'Sector &amp; Policy Match'!$G$1:$H$8,2,0)</f>
        <v>Improvement in Eqpt Efficiency Standards</v>
      </c>
      <c r="G225" s="10"/>
      <c r="H225" s="9">
        <v>2023</v>
      </c>
      <c r="I225" s="9">
        <v>2027</v>
      </c>
      <c r="J225" s="11">
        <v>0.3</v>
      </c>
      <c r="K225" s="16">
        <f>BIFUbC!B10/SUM(BIFUbC!B10:B11,BIFUbC!B15)*K224</f>
        <v>5.1422968421672151</v>
      </c>
      <c r="L225" s="18">
        <f t="shared" si="4"/>
        <v>17.140989473890716</v>
      </c>
      <c r="M225" s="13">
        <v>2060</v>
      </c>
    </row>
    <row r="226" spans="1:13" x14ac:dyDescent="0.25">
      <c r="A226" s="9">
        <v>2022</v>
      </c>
      <c r="B226" s="10" t="s">
        <v>363</v>
      </c>
      <c r="C226" s="9" t="s">
        <v>125</v>
      </c>
      <c r="D226" s="30" t="str">
        <f>IFERROR(VLOOKUP(C226,'Sector &amp; Policy Match'!$A$1:$B$42,2,0),"")</f>
        <v>chemicals 20</v>
      </c>
      <c r="E226" s="9" t="s">
        <v>146</v>
      </c>
      <c r="F226" s="10" t="str">
        <f>VLOOKUP(E226,'Sector &amp; Policy Match'!$G$1:$H$8,2,0)</f>
        <v>Improvement in Eqpt Efficiency Standards</v>
      </c>
      <c r="G226" s="10"/>
      <c r="H226" s="9">
        <v>2023</v>
      </c>
      <c r="I226" s="9">
        <v>2027</v>
      </c>
      <c r="J226" s="11">
        <v>0.3</v>
      </c>
      <c r="K226" s="16">
        <f>BIFUbC!B11/SUM(BIFUbC!B10:B11,BIFUbC!B15)*K224</f>
        <v>1.4528741106097323</v>
      </c>
      <c r="L226" s="18">
        <f t="shared" si="4"/>
        <v>4.8429137020324413</v>
      </c>
      <c r="M226" s="13">
        <v>2060</v>
      </c>
    </row>
    <row r="227" spans="1:13" x14ac:dyDescent="0.25">
      <c r="A227" s="9">
        <v>2022</v>
      </c>
      <c r="B227" s="10" t="s">
        <v>363</v>
      </c>
      <c r="C227" s="9" t="s">
        <v>119</v>
      </c>
      <c r="D227" s="30" t="str">
        <f>IFERROR(VLOOKUP(C227,'Sector &amp; Policy Match'!$A$1:$B$42,2,0),"")</f>
        <v>iron and steel 241</v>
      </c>
      <c r="E227" s="9" t="s">
        <v>146</v>
      </c>
      <c r="F227" s="10" t="str">
        <f>VLOOKUP(E227,'Sector &amp; Policy Match'!$G$1:$H$8,2,0)</f>
        <v>Improvement in Eqpt Efficiency Standards</v>
      </c>
      <c r="G227" s="10"/>
      <c r="H227" s="9">
        <v>2023</v>
      </c>
      <c r="I227" s="9">
        <v>2027</v>
      </c>
      <c r="J227" s="11">
        <v>0.3</v>
      </c>
      <c r="K227" s="16">
        <f>BIFUbC!B15/SUM(BIFUbC!B10:B11,BIFUbC!B15)*K224</f>
        <v>2.4048290472230529</v>
      </c>
      <c r="L227" s="18">
        <f t="shared" si="4"/>
        <v>8.0160968240768433</v>
      </c>
      <c r="M227" s="13">
        <v>2060</v>
      </c>
    </row>
    <row r="228" spans="1:13" x14ac:dyDescent="0.25">
      <c r="A228" s="9">
        <v>2022</v>
      </c>
      <c r="B228" s="10" t="s">
        <v>365</v>
      </c>
      <c r="C228" s="9" t="s">
        <v>366</v>
      </c>
      <c r="D228" s="30" t="str">
        <f>IFERROR(VLOOKUP(C228,'Sector &amp; Policy Match'!$A$1:$B$42,2,0),"")</f>
        <v/>
      </c>
      <c r="E228" s="9" t="s">
        <v>367</v>
      </c>
      <c r="F228" s="10" t="str">
        <f>VLOOKUP(E228,'Sector &amp; Policy Match'!$G$1:$H$8,2,0)</f>
        <v>Early Facility Retirement</v>
      </c>
      <c r="G228" s="10"/>
      <c r="H228" s="9">
        <v>2023</v>
      </c>
      <c r="I228" s="9">
        <v>2027</v>
      </c>
      <c r="J228" s="11">
        <v>0.1</v>
      </c>
      <c r="K228" s="9">
        <v>480</v>
      </c>
      <c r="L228" s="18">
        <f t="shared" si="4"/>
        <v>4800</v>
      </c>
      <c r="M228" s="13">
        <v>2060</v>
      </c>
    </row>
    <row r="229" spans="1:13" x14ac:dyDescent="0.25">
      <c r="A229" s="9">
        <v>2022</v>
      </c>
      <c r="B229" s="10" t="s">
        <v>365</v>
      </c>
      <c r="C229" s="9" t="s">
        <v>119</v>
      </c>
      <c r="D229" s="30" t="str">
        <f>IFERROR(VLOOKUP(C229,'Sector &amp; Policy Match'!$A$1:$B$42,2,0),"")</f>
        <v>iron and steel 241</v>
      </c>
      <c r="E229" s="9" t="s">
        <v>367</v>
      </c>
      <c r="F229" s="10" t="str">
        <f>VLOOKUP(E229,'Sector &amp; Policy Match'!$G$1:$H$8,2,0)</f>
        <v>Early Facility Retirement</v>
      </c>
      <c r="G229" s="10"/>
      <c r="H229" s="9">
        <v>2023</v>
      </c>
      <c r="I229" s="9">
        <v>2027</v>
      </c>
      <c r="J229" s="11">
        <v>0.1</v>
      </c>
      <c r="K229" s="18">
        <f>BIFUbC!B15/SUM(BIFUbC!B15:B16,BIFUbC!B10:B11)*K228</f>
        <v>122.66991292832316</v>
      </c>
      <c r="L229" s="18">
        <f t="shared" si="4"/>
        <v>1226.6991292832315</v>
      </c>
      <c r="M229" s="13">
        <v>2060</v>
      </c>
    </row>
    <row r="230" spans="1:13" x14ac:dyDescent="0.25">
      <c r="A230" s="9">
        <v>2022</v>
      </c>
      <c r="B230" s="10" t="s">
        <v>365</v>
      </c>
      <c r="C230" s="9" t="s">
        <v>134</v>
      </c>
      <c r="D230" s="30" t="str">
        <f>IFERROR(VLOOKUP(C230,'Sector &amp; Policy Match'!$A$1:$B$42,2,0),"")</f>
        <v>other metals 242</v>
      </c>
      <c r="E230" s="9" t="s">
        <v>367</v>
      </c>
      <c r="F230" s="10" t="str">
        <f>VLOOKUP(E230,'Sector &amp; Policy Match'!$G$1:$H$8,2,0)</f>
        <v>Early Facility Retirement</v>
      </c>
      <c r="G230" s="10"/>
      <c r="H230" s="9">
        <v>2023</v>
      </c>
      <c r="I230" s="9">
        <v>2027</v>
      </c>
      <c r="J230" s="11">
        <v>0.1</v>
      </c>
      <c r="K230" s="18">
        <f>BIFUbC!B16/SUM(BIFUbC!B15:B16,BIFUbC!B10:B11)*K228</f>
        <v>20.911559751087967</v>
      </c>
      <c r="L230" s="18">
        <f t="shared" si="4"/>
        <v>209.11559751087967</v>
      </c>
      <c r="M230" s="13">
        <v>2060</v>
      </c>
    </row>
    <row r="231" spans="1:13" x14ac:dyDescent="0.25">
      <c r="A231" s="9">
        <v>2022</v>
      </c>
      <c r="B231" s="10" t="s">
        <v>365</v>
      </c>
      <c r="C231" s="9" t="s">
        <v>205</v>
      </c>
      <c r="D231" s="30" t="str">
        <f>IFERROR(VLOOKUP(C231,'Sector &amp; Policy Match'!$A$1:$B$42,2,0),"")</f>
        <v>refined petroleum and coke 19</v>
      </c>
      <c r="E231" s="9" t="s">
        <v>367</v>
      </c>
      <c r="F231" s="10" t="str">
        <f>VLOOKUP(E231,'Sector &amp; Policy Match'!$G$1:$H$8,2,0)</f>
        <v>Early Facility Retirement</v>
      </c>
      <c r="G231" s="10"/>
      <c r="H231" s="9">
        <v>2023</v>
      </c>
      <c r="I231" s="9">
        <v>2027</v>
      </c>
      <c r="J231" s="11">
        <v>0.1</v>
      </c>
      <c r="K231" s="18">
        <f>BIFUbC!B10/SUM(BIFUbC!B15:B16,BIFUbC!B10:B11)*K228</f>
        <v>262.3076707297169</v>
      </c>
      <c r="L231" s="18">
        <f t="shared" si="4"/>
        <v>2623.0767072971689</v>
      </c>
      <c r="M231" s="13">
        <v>2060</v>
      </c>
    </row>
    <row r="232" spans="1:13" x14ac:dyDescent="0.25">
      <c r="A232" s="9">
        <v>2022</v>
      </c>
      <c r="B232" s="10" t="s">
        <v>365</v>
      </c>
      <c r="C232" s="9" t="s">
        <v>125</v>
      </c>
      <c r="D232" s="30" t="str">
        <f>IFERROR(VLOOKUP(C232,'Sector &amp; Policy Match'!$A$1:$B$42,2,0),"")</f>
        <v>chemicals 20</v>
      </c>
      <c r="E232" s="9" t="s">
        <v>367</v>
      </c>
      <c r="F232" s="10" t="str">
        <f>VLOOKUP(E232,'Sector &amp; Policy Match'!$G$1:$H$8,2,0)</f>
        <v>Early Facility Retirement</v>
      </c>
      <c r="G232" s="10"/>
      <c r="H232" s="9">
        <v>2023</v>
      </c>
      <c r="I232" s="9">
        <v>2027</v>
      </c>
      <c r="J232" s="11">
        <v>0.1</v>
      </c>
      <c r="K232" s="18">
        <f>BIFUbC!B11/SUM(BIFUbC!B15:B16,BIFUbC!B10:B11)*K228</f>
        <v>74.110856590871919</v>
      </c>
      <c r="L232" s="18">
        <f t="shared" si="4"/>
        <v>741.10856590871913</v>
      </c>
      <c r="M232" s="13">
        <v>2060</v>
      </c>
    </row>
    <row r="233" spans="1:13" x14ac:dyDescent="0.25">
      <c r="A233" s="9">
        <v>2022</v>
      </c>
      <c r="B233" s="10" t="s">
        <v>368</v>
      </c>
      <c r="C233" s="9" t="s">
        <v>369</v>
      </c>
      <c r="D233" s="30" t="str">
        <f>IFERROR(VLOOKUP(C233,'Sector &amp; Policy Match'!$A$1:$B$42,2,0),"")</f>
        <v/>
      </c>
      <c r="E233" s="9" t="s">
        <v>367</v>
      </c>
      <c r="F233" s="10" t="str">
        <f>VLOOKUP(E233,'Sector &amp; Policy Match'!$G$1:$H$8,2,0)</f>
        <v>Early Facility Retirement</v>
      </c>
      <c r="G233" s="10"/>
      <c r="H233" s="9">
        <v>2023</v>
      </c>
      <c r="I233" s="9">
        <v>2027</v>
      </c>
      <c r="J233" s="11">
        <v>0.01</v>
      </c>
      <c r="K233" s="9">
        <v>90</v>
      </c>
      <c r="L233" s="18">
        <f t="shared" si="4"/>
        <v>9000</v>
      </c>
      <c r="M233" s="13">
        <v>2060</v>
      </c>
    </row>
    <row r="234" spans="1:13" x14ac:dyDescent="0.25">
      <c r="A234" s="9">
        <v>2022</v>
      </c>
      <c r="B234" s="10" t="s">
        <v>368</v>
      </c>
      <c r="C234" s="9" t="s">
        <v>119</v>
      </c>
      <c r="D234" s="30" t="str">
        <f>IFERROR(VLOOKUP(C234,'Sector &amp; Policy Match'!$A$1:$B$42,2,0),"")</f>
        <v>iron and steel 241</v>
      </c>
      <c r="E234" s="9" t="s">
        <v>367</v>
      </c>
      <c r="F234" s="10" t="str">
        <f>VLOOKUP(E234,'Sector &amp; Policy Match'!$G$1:$H$8,2,0)</f>
        <v>Early Facility Retirement</v>
      </c>
      <c r="G234" s="10"/>
      <c r="H234" s="9">
        <v>2023</v>
      </c>
      <c r="I234" s="9">
        <v>2027</v>
      </c>
      <c r="J234" s="11">
        <v>0.01</v>
      </c>
      <c r="K234" s="12">
        <f>BIFUbC!B15/SUM(BIFUbC!B10:B11,BIFUbC!B15)*K233</f>
        <v>24.048290472230526</v>
      </c>
      <c r="L234" s="18">
        <f t="shared" si="4"/>
        <v>2404.8290472230528</v>
      </c>
      <c r="M234" s="13">
        <v>2060</v>
      </c>
    </row>
    <row r="235" spans="1:13" x14ac:dyDescent="0.25">
      <c r="A235" s="9">
        <v>2022</v>
      </c>
      <c r="B235" s="10" t="s">
        <v>368</v>
      </c>
      <c r="C235" s="9" t="s">
        <v>205</v>
      </c>
      <c r="D235" s="30" t="str">
        <f>IFERROR(VLOOKUP(C235,'Sector &amp; Policy Match'!$A$1:$B$42,2,0),"")</f>
        <v>refined petroleum and coke 19</v>
      </c>
      <c r="E235" s="9" t="s">
        <v>367</v>
      </c>
      <c r="F235" s="10" t="str">
        <f>VLOOKUP(E235,'Sector &amp; Policy Match'!$G$1:$H$8,2,0)</f>
        <v>Early Facility Retirement</v>
      </c>
      <c r="G235" s="10"/>
      <c r="H235" s="9">
        <v>2023</v>
      </c>
      <c r="I235" s="9">
        <v>2027</v>
      </c>
      <c r="J235" s="11">
        <v>0.01</v>
      </c>
      <c r="K235" s="12">
        <f>BIFUbC!B10/SUM(BIFUbC!B10:B11,BIFUbC!B15)*K233</f>
        <v>51.422968421672152</v>
      </c>
      <c r="L235" s="18">
        <f t="shared" si="4"/>
        <v>5142.2968421672149</v>
      </c>
      <c r="M235" s="13">
        <v>2060</v>
      </c>
    </row>
    <row r="236" spans="1:13" x14ac:dyDescent="0.25">
      <c r="A236" s="9">
        <v>2022</v>
      </c>
      <c r="B236" s="10" t="s">
        <v>368</v>
      </c>
      <c r="C236" s="9" t="s">
        <v>125</v>
      </c>
      <c r="D236" s="30" t="str">
        <f>IFERROR(VLOOKUP(C236,'Sector &amp; Policy Match'!$A$1:$B$42,2,0),"")</f>
        <v>chemicals 20</v>
      </c>
      <c r="E236" s="9" t="s">
        <v>367</v>
      </c>
      <c r="F236" s="10" t="str">
        <f>VLOOKUP(E236,'Sector &amp; Policy Match'!$G$1:$H$8,2,0)</f>
        <v>Early Facility Retirement</v>
      </c>
      <c r="G236" s="10"/>
      <c r="H236" s="9">
        <v>2023</v>
      </c>
      <c r="I236" s="9">
        <v>2027</v>
      </c>
      <c r="J236" s="11">
        <v>0.01</v>
      </c>
      <c r="K236" s="12">
        <f>BIFUbC!B11/SUM(BIFUbC!B10:B11,BIFUbC!B15)*K233</f>
        <v>14.528741106097323</v>
      </c>
      <c r="L236" s="18">
        <f t="shared" si="4"/>
        <v>1452.8741106097323</v>
      </c>
      <c r="M236" s="13">
        <v>2060</v>
      </c>
    </row>
    <row r="237" spans="1:13" x14ac:dyDescent="0.25">
      <c r="A237" s="2">
        <v>2022</v>
      </c>
      <c r="B237" s="1" t="s">
        <v>370</v>
      </c>
      <c r="C237" s="2" t="s">
        <v>143</v>
      </c>
      <c r="D237" s="29" t="str">
        <f>IFERROR(VLOOKUP(C237,'Sector &amp; Policy Match'!$A$1:$B$42,2,0),"")</f>
        <v>电力、热力生产</v>
      </c>
      <c r="E237" s="2" t="s">
        <v>367</v>
      </c>
      <c r="F237" s="1" t="str">
        <f>VLOOKUP(E237,'Sector &amp; Policy Match'!$G$1:$H$8,2,0)</f>
        <v>Early Facility Retirement</v>
      </c>
      <c r="H237" s="2">
        <v>2023</v>
      </c>
      <c r="I237" s="2">
        <v>2027</v>
      </c>
      <c r="J237" s="6">
        <v>0.1</v>
      </c>
      <c r="K237" s="2">
        <v>11</v>
      </c>
      <c r="L237" s="39">
        <f t="shared" si="4"/>
        <v>110</v>
      </c>
      <c r="M237" s="7">
        <v>2060</v>
      </c>
    </row>
    <row r="238" spans="1:13" x14ac:dyDescent="0.25">
      <c r="A238" s="2">
        <v>2022</v>
      </c>
      <c r="B238" s="1" t="s">
        <v>371</v>
      </c>
      <c r="C238" s="2" t="s">
        <v>229</v>
      </c>
      <c r="D238" s="29" t="str">
        <f>IFERROR(VLOOKUP(C238,'Sector &amp; Policy Match'!$A$1:$B$42,2,0),"")</f>
        <v>coal mining 05</v>
      </c>
      <c r="E238" s="2" t="s">
        <v>367</v>
      </c>
      <c r="F238" s="1" t="str">
        <f>VLOOKUP(E238,'Sector &amp; Policy Match'!$G$1:$H$8,2,0)</f>
        <v>Early Facility Retirement</v>
      </c>
      <c r="H238" s="2">
        <v>2023</v>
      </c>
      <c r="I238" s="2">
        <v>2027</v>
      </c>
      <c r="J238" s="6">
        <v>0.65</v>
      </c>
      <c r="K238" s="2">
        <v>8</v>
      </c>
      <c r="L238" s="39">
        <f t="shared" si="4"/>
        <v>12.307692307692307</v>
      </c>
      <c r="M238" s="7">
        <v>2060</v>
      </c>
    </row>
    <row r="239" spans="1:13" x14ac:dyDescent="0.25">
      <c r="A239" s="9">
        <v>2022</v>
      </c>
      <c r="B239" s="10" t="s">
        <v>372</v>
      </c>
      <c r="C239" s="9" t="s">
        <v>373</v>
      </c>
      <c r="D239" s="30" t="str">
        <f>IFERROR(VLOOKUP(C239,'Sector &amp; Policy Match'!$A$1:$B$42,2,0),"")</f>
        <v/>
      </c>
      <c r="E239" s="9" t="s">
        <v>367</v>
      </c>
      <c r="F239" s="10" t="str">
        <f>VLOOKUP(E239,'Sector &amp; Policy Match'!$G$1:$H$8,2,0)</f>
        <v>Early Facility Retirement</v>
      </c>
      <c r="G239" s="10"/>
      <c r="H239" s="9">
        <v>2023</v>
      </c>
      <c r="I239" s="9">
        <v>2027</v>
      </c>
      <c r="J239" s="11">
        <v>0.1</v>
      </c>
      <c r="K239" s="9">
        <v>35</v>
      </c>
      <c r="L239" s="18">
        <f t="shared" si="4"/>
        <v>350</v>
      </c>
      <c r="M239" s="13">
        <v>2060</v>
      </c>
    </row>
    <row r="240" spans="1:13" x14ac:dyDescent="0.25">
      <c r="A240" s="9">
        <v>2022</v>
      </c>
      <c r="B240" s="10" t="s">
        <v>372</v>
      </c>
      <c r="C240" s="9" t="s">
        <v>134</v>
      </c>
      <c r="D240" s="30" t="str">
        <f>IFERROR(VLOOKUP(C240,'Sector &amp; Policy Match'!$A$1:$B$42,2,0),"")</f>
        <v>other metals 242</v>
      </c>
      <c r="E240" s="9" t="s">
        <v>367</v>
      </c>
      <c r="F240" s="10" t="str">
        <f>VLOOKUP(E240,'Sector &amp; Policy Match'!$G$1:$H$8,2,0)</f>
        <v>Early Facility Retirement</v>
      </c>
      <c r="G240" s="10"/>
      <c r="H240" s="9">
        <v>2023</v>
      </c>
      <c r="I240" s="9">
        <v>2027</v>
      </c>
      <c r="J240" s="11">
        <v>0.1</v>
      </c>
      <c r="K240" s="18">
        <f>BIFUbC!B16/SUM(BIFUbC!B16,BIFUbC!B10:B11)*K239</f>
        <v>2.0482590684877486</v>
      </c>
      <c r="L240" s="18">
        <f t="shared" si="4"/>
        <v>20.482590684877486</v>
      </c>
      <c r="M240" s="13">
        <v>2060</v>
      </c>
    </row>
    <row r="241" spans="1:13" x14ac:dyDescent="0.25">
      <c r="A241" s="9">
        <v>2022</v>
      </c>
      <c r="B241" s="10" t="s">
        <v>372</v>
      </c>
      <c r="C241" s="9" t="s">
        <v>205</v>
      </c>
      <c r="D241" s="30" t="str">
        <f>IFERROR(VLOOKUP(C241,'Sector &amp; Policy Match'!$A$1:$B$42,2,0),"")</f>
        <v>refined petroleum and coke 19</v>
      </c>
      <c r="E241" s="9" t="s">
        <v>367</v>
      </c>
      <c r="F241" s="10" t="str">
        <f>VLOOKUP(E241,'Sector &amp; Policy Match'!$G$1:$H$8,2,0)</f>
        <v>Early Facility Retirement</v>
      </c>
      <c r="G241" s="10"/>
      <c r="H241" s="9">
        <v>2023</v>
      </c>
      <c r="I241" s="9">
        <v>2027</v>
      </c>
      <c r="J241" s="11">
        <v>0.1</v>
      </c>
      <c r="K241" s="18">
        <f>BIFUbC!B10/SUM(BIFUbC!B16,BIFUbC!B10:B11)*K239</f>
        <v>25.692682501987363</v>
      </c>
      <c r="L241" s="18">
        <f t="shared" si="4"/>
        <v>256.9268250198736</v>
      </c>
      <c r="M241" s="13">
        <v>2060</v>
      </c>
    </row>
    <row r="242" spans="1:13" x14ac:dyDescent="0.25">
      <c r="A242" s="9">
        <v>2022</v>
      </c>
      <c r="B242" s="10" t="s">
        <v>372</v>
      </c>
      <c r="C242" s="9" t="s">
        <v>125</v>
      </c>
      <c r="D242" s="30" t="str">
        <f>IFERROR(VLOOKUP(C242,'Sector &amp; Policy Match'!$A$1:$B$42,2,0),"")</f>
        <v>chemicals 20</v>
      </c>
      <c r="E242" s="9" t="s">
        <v>367</v>
      </c>
      <c r="F242" s="10" t="str">
        <f>VLOOKUP(E242,'Sector &amp; Policy Match'!$G$1:$H$8,2,0)</f>
        <v>Early Facility Retirement</v>
      </c>
      <c r="G242" s="10"/>
      <c r="H242" s="9">
        <v>2023</v>
      </c>
      <c r="I242" s="9">
        <v>2027</v>
      </c>
      <c r="J242" s="11">
        <v>0.1</v>
      </c>
      <c r="K242" s="18">
        <f>BIFUbC!B11/SUM(BIFUbC!B16,BIFUbC!B10:B11)*K239</f>
        <v>7.2590584295248872</v>
      </c>
      <c r="L242" s="18">
        <f t="shared" si="4"/>
        <v>72.590584295248874</v>
      </c>
      <c r="M242" s="13">
        <v>2060</v>
      </c>
    </row>
    <row r="243" spans="1:13" x14ac:dyDescent="0.25">
      <c r="A243" s="9">
        <v>2022</v>
      </c>
      <c r="B243" s="10" t="s">
        <v>374</v>
      </c>
      <c r="C243" s="9" t="s">
        <v>364</v>
      </c>
      <c r="D243" s="30" t="str">
        <f>IFERROR(VLOOKUP(C243,'Sector &amp; Policy Match'!$A$1:$B$42,2,0),"")</f>
        <v/>
      </c>
      <c r="E243" s="9" t="s">
        <v>367</v>
      </c>
      <c r="F243" s="10" t="str">
        <f>VLOOKUP(E243,'Sector &amp; Policy Match'!$G$1:$H$8,2,0)</f>
        <v>Early Facility Retirement</v>
      </c>
      <c r="G243" s="10"/>
      <c r="H243" s="9">
        <v>2023</v>
      </c>
      <c r="I243" s="9">
        <v>2027</v>
      </c>
      <c r="J243" s="11">
        <v>0.01</v>
      </c>
      <c r="K243" s="9">
        <v>39</v>
      </c>
      <c r="L243" s="18">
        <f t="shared" si="4"/>
        <v>3900</v>
      </c>
      <c r="M243" s="13">
        <v>2060</v>
      </c>
    </row>
    <row r="244" spans="1:13" x14ac:dyDescent="0.25">
      <c r="A244" s="9">
        <v>2022</v>
      </c>
      <c r="B244" s="10" t="s">
        <v>374</v>
      </c>
      <c r="C244" s="9" t="s">
        <v>205</v>
      </c>
      <c r="D244" s="30" t="str">
        <f>IFERROR(VLOOKUP(C244,'Sector &amp; Policy Match'!$A$1:$B$42,2,0),"")</f>
        <v>refined petroleum and coke 19</v>
      </c>
      <c r="E244" s="9" t="s">
        <v>367</v>
      </c>
      <c r="F244" s="10" t="str">
        <f>VLOOKUP(E244,'Sector &amp; Policy Match'!$G$1:$H$8,2,0)</f>
        <v>Early Facility Retirement</v>
      </c>
      <c r="G244" s="10"/>
      <c r="H244" s="9">
        <v>2023</v>
      </c>
      <c r="I244" s="9">
        <v>2027</v>
      </c>
      <c r="J244" s="11">
        <v>0.01</v>
      </c>
      <c r="K244" s="18">
        <f>BIFUbC!B10/SUM(BIFUbC!B10:B11,BIFUbC!B15)*K243</f>
        <v>22.283286316057932</v>
      </c>
      <c r="L244" s="18">
        <f t="shared" si="4"/>
        <v>2228.3286316057934</v>
      </c>
      <c r="M244" s="13">
        <v>2060</v>
      </c>
    </row>
    <row r="245" spans="1:13" x14ac:dyDescent="0.25">
      <c r="A245" s="9">
        <v>2022</v>
      </c>
      <c r="B245" s="10" t="s">
        <v>374</v>
      </c>
      <c r="C245" s="9" t="s">
        <v>125</v>
      </c>
      <c r="D245" s="30" t="str">
        <f>IFERROR(VLOOKUP(C245,'Sector &amp; Policy Match'!$A$1:$B$42,2,0),"")</f>
        <v>chemicals 20</v>
      </c>
      <c r="E245" s="9" t="s">
        <v>367</v>
      </c>
      <c r="F245" s="10" t="str">
        <f>VLOOKUP(E245,'Sector &amp; Policy Match'!$G$1:$H$8,2,0)</f>
        <v>Early Facility Retirement</v>
      </c>
      <c r="G245" s="10"/>
      <c r="H245" s="9">
        <v>2023</v>
      </c>
      <c r="I245" s="9">
        <v>2027</v>
      </c>
      <c r="J245" s="11">
        <v>0.01</v>
      </c>
      <c r="K245" s="18">
        <f>BIFUbC!B11/SUM(BIFUbC!B10:B11,BIFUbC!B15)*K243</f>
        <v>6.2957878126421729</v>
      </c>
      <c r="L245" s="18">
        <f t="shared" si="4"/>
        <v>629.57878126421724</v>
      </c>
      <c r="M245" s="13">
        <v>2060</v>
      </c>
    </row>
    <row r="246" spans="1:13" x14ac:dyDescent="0.25">
      <c r="A246" s="9">
        <v>2022</v>
      </c>
      <c r="B246" s="10" t="s">
        <v>374</v>
      </c>
      <c r="C246" s="9" t="s">
        <v>119</v>
      </c>
      <c r="D246" s="30" t="str">
        <f>IFERROR(VLOOKUP(C246,'Sector &amp; Policy Match'!$A$1:$B$42,2,0),"")</f>
        <v>iron and steel 241</v>
      </c>
      <c r="E246" s="9" t="s">
        <v>367</v>
      </c>
      <c r="F246" s="10" t="str">
        <f>VLOOKUP(E246,'Sector &amp; Policy Match'!$G$1:$H$8,2,0)</f>
        <v>Early Facility Retirement</v>
      </c>
      <c r="G246" s="10"/>
      <c r="H246" s="9">
        <v>2023</v>
      </c>
      <c r="I246" s="9">
        <v>2027</v>
      </c>
      <c r="J246" s="11">
        <v>0.01</v>
      </c>
      <c r="K246" s="18">
        <f>BIFUbC!B15/SUM(BIFUbC!B10:B11,BIFUbC!B15)*K243</f>
        <v>10.420925871299895</v>
      </c>
      <c r="L246" s="18">
        <f t="shared" si="4"/>
        <v>1042.0925871299894</v>
      </c>
      <c r="M246" s="13">
        <v>2060</v>
      </c>
    </row>
    <row r="247" spans="1:13" x14ac:dyDescent="0.25">
      <c r="A247" s="2">
        <v>2022</v>
      </c>
      <c r="B247" s="1" t="s">
        <v>375</v>
      </c>
      <c r="C247" s="2" t="s">
        <v>125</v>
      </c>
      <c r="D247" s="29" t="str">
        <f>IFERROR(VLOOKUP(C247,'Sector &amp; Policy Match'!$A$1:$B$42,2,0),"")</f>
        <v>chemicals 20</v>
      </c>
      <c r="E247" s="2" t="s">
        <v>113</v>
      </c>
      <c r="F247" s="1" t="str">
        <f>VLOOKUP(E247,'Sector &amp; Policy Match'!$G$1:$H$8,2,0)</f>
        <v>Early Facility Retirement</v>
      </c>
      <c r="H247" s="2">
        <v>2023</v>
      </c>
      <c r="I247" s="2">
        <v>2027</v>
      </c>
      <c r="J247" s="6">
        <v>0.1</v>
      </c>
      <c r="K247" s="2">
        <v>9</v>
      </c>
      <c r="L247" s="39">
        <f t="shared" si="4"/>
        <v>90</v>
      </c>
      <c r="M247" s="7">
        <v>2060</v>
      </c>
    </row>
    <row r="248" spans="1:13" x14ac:dyDescent="0.25">
      <c r="A248" s="2">
        <v>2022</v>
      </c>
      <c r="B248" s="1" t="s">
        <v>376</v>
      </c>
      <c r="C248" s="2" t="s">
        <v>143</v>
      </c>
      <c r="D248" s="29" t="str">
        <f>IFERROR(VLOOKUP(C248,'Sector &amp; Policy Match'!$A$1:$B$42,2,0),"")</f>
        <v>电力、热力生产</v>
      </c>
      <c r="E248" s="2" t="s">
        <v>113</v>
      </c>
      <c r="F248" s="1" t="str">
        <f>VLOOKUP(E248,'Sector &amp; Policy Match'!$G$1:$H$8,2,0)</f>
        <v>Early Facility Retirement</v>
      </c>
      <c r="H248" s="2">
        <v>2023</v>
      </c>
      <c r="I248" s="2">
        <v>2027</v>
      </c>
      <c r="J248" s="6">
        <v>0.5</v>
      </c>
      <c r="K248" s="2">
        <v>35</v>
      </c>
      <c r="L248" s="39">
        <f t="shared" si="4"/>
        <v>70</v>
      </c>
      <c r="M248" s="7">
        <v>2060</v>
      </c>
    </row>
    <row r="249" spans="1:13" x14ac:dyDescent="0.25">
      <c r="A249" s="2">
        <v>2022</v>
      </c>
      <c r="B249" s="1" t="s">
        <v>377</v>
      </c>
      <c r="C249" s="2" t="s">
        <v>143</v>
      </c>
      <c r="D249" s="29" t="str">
        <f>IFERROR(VLOOKUP(C249,'Sector &amp; Policy Match'!$A$1:$B$42,2,0),"")</f>
        <v>电力、热力生产</v>
      </c>
      <c r="E249" s="2" t="s">
        <v>113</v>
      </c>
      <c r="F249" s="1" t="str">
        <f>VLOOKUP(E249,'Sector &amp; Policy Match'!$G$1:$H$8,2,0)</f>
        <v>Early Facility Retirement</v>
      </c>
      <c r="H249" s="2">
        <v>2023</v>
      </c>
      <c r="I249" s="2">
        <v>2027</v>
      </c>
      <c r="J249" s="6">
        <v>0.2</v>
      </c>
      <c r="K249" s="2">
        <v>9</v>
      </c>
      <c r="L249" s="39">
        <f t="shared" si="4"/>
        <v>45</v>
      </c>
      <c r="M249" s="7">
        <v>2060</v>
      </c>
    </row>
  </sheetData>
  <autoFilter ref="A1:M249" xr:uid="{00000000-0001-0000-0000-000000000000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FBBBD-9468-4731-B53B-7A22E5C2748A}">
  <dimension ref="A1:R1225"/>
  <sheetViews>
    <sheetView topLeftCell="A7" workbookViewId="0">
      <selection activeCell="J2" sqref="J2:J115"/>
    </sheetView>
  </sheetViews>
  <sheetFormatPr defaultColWidth="9" defaultRowHeight="13.5" x14ac:dyDescent="0.15"/>
  <cols>
    <col min="1" max="1" width="10.375" style="5" customWidth="1"/>
    <col min="2" max="2" width="13.375" style="21" customWidth="1"/>
    <col min="3" max="3" width="32.375" style="5" customWidth="1"/>
    <col min="4" max="4" width="16.125" style="21" bestFit="1" customWidth="1"/>
    <col min="5" max="5" width="18.625" style="21" bestFit="1" customWidth="1"/>
    <col min="6" max="6" width="9" style="5"/>
    <col min="7" max="7" width="13" style="21" bestFit="1" customWidth="1"/>
    <col min="8" max="8" width="15.125" style="21" bestFit="1" customWidth="1"/>
    <col min="9" max="9" width="30.75" style="21" customWidth="1"/>
    <col min="10" max="10" width="14.25" style="5" customWidth="1"/>
    <col min="11" max="11" width="9.5" style="5" bestFit="1" customWidth="1"/>
    <col min="12" max="12" width="9" style="5"/>
    <col min="13" max="13" width="9" style="20"/>
    <col min="14" max="14" width="11.25" style="21" customWidth="1"/>
    <col min="15" max="15" width="32.5" style="21" customWidth="1"/>
    <col min="16" max="16" width="38.25" style="21" customWidth="1"/>
    <col min="17" max="18" width="17.875" style="21" customWidth="1"/>
    <col min="19" max="16384" width="9" style="5"/>
  </cols>
  <sheetData>
    <row r="1" spans="1:18" ht="31.5" customHeight="1" x14ac:dyDescent="0.15">
      <c r="A1" s="37" t="s">
        <v>427</v>
      </c>
      <c r="B1" s="37" t="s">
        <v>58</v>
      </c>
      <c r="C1" s="37" t="s">
        <v>32</v>
      </c>
      <c r="D1" s="38" t="s">
        <v>436</v>
      </c>
      <c r="E1" s="37" t="s">
        <v>432</v>
      </c>
      <c r="G1" s="37" t="s">
        <v>58</v>
      </c>
      <c r="H1" s="37" t="s">
        <v>11</v>
      </c>
      <c r="I1" s="37" t="s">
        <v>30</v>
      </c>
      <c r="J1" s="37" t="s">
        <v>459</v>
      </c>
      <c r="K1" s="37" t="s">
        <v>424</v>
      </c>
      <c r="M1" s="37" t="s">
        <v>427</v>
      </c>
      <c r="N1" s="37" t="s">
        <v>58</v>
      </c>
      <c r="O1" s="37" t="s">
        <v>30</v>
      </c>
      <c r="P1" s="37" t="s">
        <v>32</v>
      </c>
      <c r="Q1" s="38" t="s">
        <v>436</v>
      </c>
      <c r="R1" s="37" t="s">
        <v>432</v>
      </c>
    </row>
    <row r="2" spans="1:18" ht="14.25" x14ac:dyDescent="0.2">
      <c r="A2" s="46">
        <v>2020</v>
      </c>
      <c r="B2" s="24" t="s">
        <v>57</v>
      </c>
      <c r="C2" s="25" t="s">
        <v>103</v>
      </c>
      <c r="D2" s="46">
        <f>SUMIFS(工业节能技术装备推荐目录!K:K,工业节能技术装备推荐目录!C:C,用能设备节能分配!B2,工业节能技术装备推荐目录!F:F,用能设备节能分配!C2,工业节能技术装备推荐目录!A:A,用能设备节能分配!A2)</f>
        <v>36</v>
      </c>
      <c r="E2" s="47">
        <f>SUMIFS(工业节能技术装备推荐目录!L:L,工业节能技术装备推荐目录!C:C,用能设备节能分配!B2,工业节能技术装备推荐目录!F:F,用能设备节能分配!C2,工业节能技术装备推荐目录!A:A,用能设备节能分配!A2)</f>
        <v>153</v>
      </c>
      <c r="G2" s="26" t="s">
        <v>385</v>
      </c>
      <c r="H2" s="26" t="s">
        <v>386</v>
      </c>
      <c r="I2" s="40" t="str">
        <f>VLOOKUP(H2,'Sector &amp; Policy Match'!$A$1:$B$42,2,0)</f>
        <v>电力、热力生产</v>
      </c>
      <c r="J2" s="43">
        <f>IFERROR(VLOOKUP(I2,BIFUbC!$A$1:$C$27,3,0),0)</f>
        <v>2269430122869799.5</v>
      </c>
      <c r="K2" s="44">
        <f>J2/SUM($J$2:$J$8)</f>
        <v>2.7528251663390065E-2</v>
      </c>
      <c r="M2" s="46">
        <v>2020</v>
      </c>
      <c r="N2" s="26" t="s">
        <v>57</v>
      </c>
      <c r="O2" s="26" t="str">
        <f>I$3</f>
        <v>refined petroleum and coke 19</v>
      </c>
      <c r="P2" s="26" t="s">
        <v>103</v>
      </c>
      <c r="Q2" s="47">
        <f t="shared" ref="Q2:Q65" si="0">SUMIFS(D:D,B:B,N2,C:C,P2,A:A,M2)*SUMIFS(K:K,G:G,N2,I:I,O2)</f>
        <v>19.205310123296403</v>
      </c>
      <c r="R2" s="47">
        <f t="shared" ref="R2:R65" si="1">SUMIFS(E:E,B:B,N2,C:C,P2,A:A,M2)*SUMIFS(K:K,G:G,N2,I:I,O2)</f>
        <v>81.622568024009709</v>
      </c>
    </row>
    <row r="3" spans="1:18" ht="14.25" x14ac:dyDescent="0.2">
      <c r="A3" s="46">
        <v>2020</v>
      </c>
      <c r="B3" s="24" t="s">
        <v>57</v>
      </c>
      <c r="C3" s="25" t="s">
        <v>104</v>
      </c>
      <c r="D3" s="46">
        <f>SUMIFS(工业节能技术装备推荐目录!K:K,工业节能技术装备推荐目录!C:C,用能设备节能分配!B3,工业节能技术装备推荐目录!F:F,用能设备节能分配!C3,工业节能技术装备推荐目录!A:A,用能设备节能分配!A3)</f>
        <v>0</v>
      </c>
      <c r="E3" s="47">
        <f>SUMIFS(工业节能技术装备推荐目录!L:L,工业节能技术装备推荐目录!C:C,用能设备节能分配!B3,工业节能技术装备推荐目录!F:F,用能设备节能分配!C3,工业节能技术装备推荐目录!A:A,用能设备节能分配!A3)</f>
        <v>0</v>
      </c>
      <c r="G3" s="26" t="s">
        <v>385</v>
      </c>
      <c r="H3" s="26" t="s">
        <v>387</v>
      </c>
      <c r="I3" s="40" t="str">
        <f>VLOOKUP(H3,'Sector &amp; Policy Match'!$A$1:$B$42,2,0)</f>
        <v>refined petroleum and coke 19</v>
      </c>
      <c r="J3" s="43">
        <f>IFERROR(VLOOKUP(I3,BIFUbC!$A$1:$C$27,3,0),0)</f>
        <v>4.3980180641948744E+16</v>
      </c>
      <c r="K3" s="44">
        <f t="shared" ref="K3:K8" si="2">J3/SUM($J$2:$J$8)</f>
        <v>0.53348083675823343</v>
      </c>
      <c r="M3" s="46">
        <v>2020</v>
      </c>
      <c r="N3" s="26" t="s">
        <v>57</v>
      </c>
      <c r="O3" s="26" t="str">
        <f t="shared" ref="O3:O5" si="3">I$3</f>
        <v>refined petroleum and coke 19</v>
      </c>
      <c r="P3" s="26" t="s">
        <v>104</v>
      </c>
      <c r="Q3" s="47">
        <f t="shared" si="0"/>
        <v>0</v>
      </c>
      <c r="R3" s="47">
        <f t="shared" si="1"/>
        <v>0</v>
      </c>
    </row>
    <row r="4" spans="1:18" ht="14.25" x14ac:dyDescent="0.2">
      <c r="A4" s="46">
        <v>2020</v>
      </c>
      <c r="B4" s="24" t="s">
        <v>57</v>
      </c>
      <c r="C4" s="25" t="s">
        <v>102</v>
      </c>
      <c r="D4" s="46">
        <f>SUMIFS(工业节能技术装备推荐目录!K:K,工业节能技术装备推荐目录!C:C,用能设备节能分配!B4,工业节能技术装备推荐目录!F:F,用能设备节能分配!C4,工业节能技术装备推荐目录!A:A,用能设备节能分配!A4)</f>
        <v>66</v>
      </c>
      <c r="E4" s="47">
        <f>SUMIFS(工业节能技术装备推荐目录!L:L,工业节能技术装备推荐目录!C:C,用能设备节能分配!B4,工业节能技术装备推荐目录!F:F,用能设备节能分配!C4,工业节能技术装备推荐目录!A:A,用能设备节能分配!A4)</f>
        <v>660</v>
      </c>
      <c r="G4" s="26" t="s">
        <v>385</v>
      </c>
      <c r="H4" s="26" t="s">
        <v>388</v>
      </c>
      <c r="I4" s="40" t="str">
        <f>VLOOKUP(H4,'Sector &amp; Policy Match'!$A$1:$B$42,2,0)</f>
        <v>chemicals 20</v>
      </c>
      <c r="J4" s="43">
        <f>IFERROR(VLOOKUP(I4,BIFUbC!$A$1:$C$27,3,0),0)</f>
        <v>1.2538279702746712E+16</v>
      </c>
      <c r="K4" s="44">
        <f t="shared" si="2"/>
        <v>0.15208968789341712</v>
      </c>
      <c r="M4" s="46">
        <v>2020</v>
      </c>
      <c r="N4" s="26" t="s">
        <v>57</v>
      </c>
      <c r="O4" s="26" t="str">
        <f t="shared" si="3"/>
        <v>refined petroleum and coke 19</v>
      </c>
      <c r="P4" s="26" t="s">
        <v>102</v>
      </c>
      <c r="Q4" s="47">
        <f t="shared" si="0"/>
        <v>35.209735226043406</v>
      </c>
      <c r="R4" s="47">
        <f t="shared" si="1"/>
        <v>352.09735226043409</v>
      </c>
    </row>
    <row r="5" spans="1:18" ht="14.25" x14ac:dyDescent="0.2">
      <c r="A5" s="46">
        <v>2020</v>
      </c>
      <c r="B5" s="24" t="s">
        <v>57</v>
      </c>
      <c r="C5" s="25" t="s">
        <v>105</v>
      </c>
      <c r="D5" s="46">
        <f>SUMIFS(工业节能技术装备推荐目录!K:K,工业节能技术装备推荐目录!C:C,用能设备节能分配!B5,工业节能技术装备推荐目录!F:F,用能设备节能分配!C5,工业节能技术装备推荐目录!A:A,用能设备节能分配!A5)</f>
        <v>154.4</v>
      </c>
      <c r="E5" s="47">
        <f>SUMIFS(工业节能技术装备推荐目录!L:L,工业节能技术装备推荐目录!C:C,用能设备节能分配!B5,工业节能技术装备推荐目录!F:F,用能设备节能分配!C5,工业节能技术装备推荐目录!A:A,用能设备节能分配!A5)</f>
        <v>417.90526315789475</v>
      </c>
      <c r="G5" s="26" t="s">
        <v>385</v>
      </c>
      <c r="H5" s="26" t="s">
        <v>389</v>
      </c>
      <c r="I5" s="40" t="str">
        <f>VLOOKUP(H5,'Sector &amp; Policy Match'!$A$1:$B$42,2,0)</f>
        <v>iron and steel 241</v>
      </c>
      <c r="J5" s="43">
        <f>IFERROR(VLOOKUP(I5,BIFUbC!$A$1:$C$27,3,0),0)</f>
        <v>2.0096009373213932E+16</v>
      </c>
      <c r="K5" s="44">
        <f t="shared" si="2"/>
        <v>0.24376516284014141</v>
      </c>
      <c r="M5" s="46">
        <v>2020</v>
      </c>
      <c r="N5" s="26" t="s">
        <v>57</v>
      </c>
      <c r="O5" s="26" t="str">
        <f t="shared" si="3"/>
        <v>refined petroleum and coke 19</v>
      </c>
      <c r="P5" s="26" t="s">
        <v>105</v>
      </c>
      <c r="Q5" s="47">
        <f t="shared" si="0"/>
        <v>82.369441195471239</v>
      </c>
      <c r="R5" s="47">
        <f t="shared" si="1"/>
        <v>222.94444947514344</v>
      </c>
    </row>
    <row r="6" spans="1:18" ht="14.25" x14ac:dyDescent="0.2">
      <c r="A6" s="46">
        <v>2020</v>
      </c>
      <c r="B6" s="24" t="s">
        <v>13</v>
      </c>
      <c r="C6" s="25" t="s">
        <v>103</v>
      </c>
      <c r="D6" s="46">
        <f>SUMIFS(工业节能技术装备推荐目录!K:K,工业节能技术装备推荐目录!C:C,用能设备节能分配!B6,工业节能技术装备推荐目录!F:F,用能设备节能分配!C6,工业节能技术装备推荐目录!A:A,用能设备节能分配!A6)</f>
        <v>0</v>
      </c>
      <c r="E6" s="47">
        <f>SUMIFS(工业节能技术装备推荐目录!L:L,工业节能技术装备推荐目录!C:C,用能设备节能分配!B6,工业节能技术装备推荐目录!F:F,用能设备节能分配!C6,工业节能技术装备推荐目录!A:A,用能设备节能分配!A6)</f>
        <v>0</v>
      </c>
      <c r="G6" s="26" t="s">
        <v>385</v>
      </c>
      <c r="H6" s="26" t="s">
        <v>390</v>
      </c>
      <c r="I6" s="40" t="str">
        <f>VLOOKUP(H6,'Sector &amp; Policy Match'!$A$1:$B$42,2,0)</f>
        <v>textiles apparel and leather 13T15</v>
      </c>
      <c r="J6" s="43">
        <f>IFERROR(VLOOKUP(I6,BIFUbC!$A$1:$C$27,3,0),0)</f>
        <v>1338950123736663.3</v>
      </c>
      <c r="K6" s="44">
        <f t="shared" si="2"/>
        <v>1.6241502921597022E-2</v>
      </c>
      <c r="M6" s="46">
        <v>2020</v>
      </c>
      <c r="N6" s="26" t="s">
        <v>57</v>
      </c>
      <c r="O6" s="26" t="str">
        <f>I$4</f>
        <v>chemicals 20</v>
      </c>
      <c r="P6" s="26" t="str">
        <f>P2</f>
        <v>Early Facility Retirement</v>
      </c>
      <c r="Q6" s="47">
        <f t="shared" si="0"/>
        <v>5.475228764163016</v>
      </c>
      <c r="R6" s="47">
        <f t="shared" si="1"/>
        <v>23.269722247692819</v>
      </c>
    </row>
    <row r="7" spans="1:18" ht="14.25" x14ac:dyDescent="0.2">
      <c r="A7" s="46">
        <v>2020</v>
      </c>
      <c r="B7" s="24" t="s">
        <v>13</v>
      </c>
      <c r="C7" s="25" t="s">
        <v>104</v>
      </c>
      <c r="D7" s="46">
        <f>SUMIFS(工业节能技术装备推荐目录!K:K,工业节能技术装备推荐目录!C:C,用能设备节能分配!B7,工业节能技术装备推荐目录!F:F,用能设备节能分配!C7,工业节能技术装备推荐目录!A:A,用能设备节能分配!A7)</f>
        <v>0</v>
      </c>
      <c r="E7" s="47">
        <f>SUMIFS(工业节能技术装备推荐目录!L:L,工业节能技术装备推荐目录!C:C,用能设备节能分配!B7,工业节能技术装备推荐目录!F:F,用能设备节能分配!C7,工业节能技术装备推荐目录!A:A,用能设备节能分配!A7)</f>
        <v>0</v>
      </c>
      <c r="G7" s="26" t="s">
        <v>385</v>
      </c>
      <c r="H7" s="26" t="s">
        <v>391</v>
      </c>
      <c r="I7" s="40" t="str">
        <f>VLOOKUP(H7,'Sector &amp; Policy Match'!$A$1:$B$42,2,0)</f>
        <v>pulp paper and printing 17T18</v>
      </c>
      <c r="J7" s="43">
        <f>IFERROR(VLOOKUP(I7,BIFUbC!$A$1:$C$27,3,0),0)</f>
        <v>883986747789292</v>
      </c>
      <c r="K7" s="44">
        <f t="shared" si="2"/>
        <v>1.0722784286247646E-2</v>
      </c>
      <c r="M7" s="46">
        <v>2020</v>
      </c>
      <c r="N7" s="26" t="s">
        <v>57</v>
      </c>
      <c r="O7" s="26" t="str">
        <f t="shared" ref="O7:O9" si="4">I$4</f>
        <v>chemicals 20</v>
      </c>
      <c r="P7" s="26" t="str">
        <f t="shared" ref="P7:P70" si="5">P3</f>
        <v>Installation and System Integration</v>
      </c>
      <c r="Q7" s="47">
        <f t="shared" si="0"/>
        <v>0</v>
      </c>
      <c r="R7" s="47">
        <f t="shared" si="1"/>
        <v>0</v>
      </c>
    </row>
    <row r="8" spans="1:18" ht="14.25" x14ac:dyDescent="0.2">
      <c r="A8" s="46">
        <v>2020</v>
      </c>
      <c r="B8" s="24" t="s">
        <v>13</v>
      </c>
      <c r="C8" s="25" t="s">
        <v>102</v>
      </c>
      <c r="D8" s="46">
        <f>SUMIFS(工业节能技术装备推荐目录!K:K,工业节能技术装备推荐目录!C:C,用能设备节能分配!B8,工业节能技术装备推荐目录!F:F,用能设备节能分配!C8,工业节能技术装备推荐目录!A:A,用能设备节能分配!A8)</f>
        <v>38</v>
      </c>
      <c r="E8" s="47">
        <f>SUMIFS(工业节能技术装备推荐目录!L:L,工业节能技术装备推荐目录!C:C,用能设备节能分配!B8,工业节能技术装备推荐目录!F:F,用能设备节能分配!C8,工业节能技术装备推荐目录!A:A,用能设备节能分配!A8)</f>
        <v>253.33333333333334</v>
      </c>
      <c r="G8" s="26" t="s">
        <v>385</v>
      </c>
      <c r="H8" s="26" t="s">
        <v>392</v>
      </c>
      <c r="I8" s="40" t="str">
        <f>VLOOKUP(H8,'Sector &amp; Policy Match'!$A$1:$B$42,2,0)</f>
        <v>food beverage and tobacco 10T12</v>
      </c>
      <c r="J8" s="43">
        <f>IFERROR(VLOOKUP(I8,BIFUbC!$A$1:$C$27,3,0),0)</f>
        <v>1333201638838097.5</v>
      </c>
      <c r="K8" s="44">
        <f t="shared" si="2"/>
        <v>1.617177363697344E-2</v>
      </c>
      <c r="M8" s="46">
        <v>2020</v>
      </c>
      <c r="N8" s="26" t="s">
        <v>57</v>
      </c>
      <c r="O8" s="26" t="str">
        <f t="shared" si="4"/>
        <v>chemicals 20</v>
      </c>
      <c r="P8" s="26" t="str">
        <f t="shared" si="5"/>
        <v>Cogeneration and Waste Heat Recovery</v>
      </c>
      <c r="Q8" s="47">
        <f t="shared" si="0"/>
        <v>10.03791940096553</v>
      </c>
      <c r="R8" s="47">
        <f t="shared" si="1"/>
        <v>100.37919400965529</v>
      </c>
    </row>
    <row r="9" spans="1:18" ht="14.25" x14ac:dyDescent="0.2">
      <c r="A9" s="46">
        <v>2020</v>
      </c>
      <c r="B9" s="24" t="s">
        <v>13</v>
      </c>
      <c r="C9" s="25" t="s">
        <v>105</v>
      </c>
      <c r="D9" s="46">
        <f>SUMIFS(工业节能技术装备推荐目录!K:K,工业节能技术装备推荐目录!C:C,用能设备节能分配!B9,工业节能技术装备推荐目录!F:F,用能设备节能分配!C9,工业节能技术装备推荐目录!A:A,用能设备节能分配!A9)</f>
        <v>0</v>
      </c>
      <c r="E9" s="47">
        <f>SUMIFS(工业节能技术装备推荐目录!L:L,工业节能技术装备推荐目录!C:C,用能设备节能分配!B9,工业节能技术装备推荐目录!F:F,用能设备节能分配!C9,工业节能技术装备推荐目录!A:A,用能设备节能分配!A9)</f>
        <v>0</v>
      </c>
      <c r="G9" s="26" t="s">
        <v>394</v>
      </c>
      <c r="H9" s="26" t="s">
        <v>387</v>
      </c>
      <c r="I9" s="40" t="str">
        <f>VLOOKUP(H9,'Sector &amp; Policy Match'!$A$1:$B$42,2,0)</f>
        <v>refined petroleum and coke 19</v>
      </c>
      <c r="J9" s="43">
        <f>IFERROR(VLOOKUP(I9,BIFUbC!$A$1:$C$27,3,0),0)</f>
        <v>4.3980180641948744E+16</v>
      </c>
      <c r="K9" s="44">
        <f>J9/SUM($J$9:$J$15)</f>
        <v>0.52619743227794735</v>
      </c>
      <c r="M9" s="46">
        <v>2020</v>
      </c>
      <c r="N9" s="26" t="s">
        <v>57</v>
      </c>
      <c r="O9" s="26" t="str">
        <f t="shared" si="4"/>
        <v>chemicals 20</v>
      </c>
      <c r="P9" s="26" t="str">
        <f t="shared" si="5"/>
        <v>Improvement in Eqpt Efficiency Standards</v>
      </c>
      <c r="Q9" s="47">
        <f t="shared" si="0"/>
        <v>23.482647810743604</v>
      </c>
      <c r="R9" s="47">
        <f t="shared" si="1"/>
        <v>63.559081042700562</v>
      </c>
    </row>
    <row r="10" spans="1:18" ht="14.25" x14ac:dyDescent="0.2">
      <c r="A10" s="46">
        <v>2020</v>
      </c>
      <c r="B10" s="24" t="s">
        <v>61</v>
      </c>
      <c r="C10" s="25" t="s">
        <v>103</v>
      </c>
      <c r="D10" s="46">
        <f>SUMIFS(工业节能技术装备推荐目录!K:K,工业节能技术装备推荐目录!C:C,用能设备节能分配!B10,工业节能技术装备推荐目录!F:F,用能设备节能分配!C10,工业节能技术装备推荐目录!A:A,用能设备节能分配!A10)</f>
        <v>0</v>
      </c>
      <c r="E10" s="47">
        <f>SUMIFS(工业节能技术装备推荐目录!L:L,工业节能技术装备推荐目录!C:C,用能设备节能分配!B10,工业节能技术装备推荐目录!F:F,用能设备节能分配!C10,工业节能技术装备推荐目录!A:A,用能设备节能分配!A10)</f>
        <v>0</v>
      </c>
      <c r="G10" s="26" t="s">
        <v>394</v>
      </c>
      <c r="H10" s="26" t="s">
        <v>388</v>
      </c>
      <c r="I10" s="40" t="str">
        <f>VLOOKUP(H10,'Sector &amp; Policy Match'!$A$1:$B$42,2,0)</f>
        <v>chemicals 20</v>
      </c>
      <c r="J10" s="43">
        <f>IFERROR(VLOOKUP(I10,BIFUbC!$A$1:$C$27,3,0),0)</f>
        <v>1.2538279702746712E+16</v>
      </c>
      <c r="K10" s="44">
        <f t="shared" ref="K10:K15" si="6">J10/SUM($J$9:$J$15)</f>
        <v>0.15001326707774268</v>
      </c>
      <c r="M10" s="46">
        <v>2020</v>
      </c>
      <c r="N10" s="26" t="s">
        <v>57</v>
      </c>
      <c r="O10" s="26" t="str">
        <f>I$5</f>
        <v>iron and steel 241</v>
      </c>
      <c r="P10" s="26" t="str">
        <f t="shared" si="5"/>
        <v>Early Facility Retirement</v>
      </c>
      <c r="Q10" s="47">
        <f t="shared" si="0"/>
        <v>8.7755458622450906</v>
      </c>
      <c r="R10" s="47">
        <f t="shared" si="1"/>
        <v>37.296069914541633</v>
      </c>
    </row>
    <row r="11" spans="1:18" ht="14.25" x14ac:dyDescent="0.2">
      <c r="A11" s="46">
        <v>2020</v>
      </c>
      <c r="B11" s="24" t="s">
        <v>61</v>
      </c>
      <c r="C11" s="25" t="s">
        <v>104</v>
      </c>
      <c r="D11" s="46">
        <f>SUMIFS(工业节能技术装备推荐目录!K:K,工业节能技术装备推荐目录!C:C,用能设备节能分配!B11,工业节能技术装备推荐目录!F:F,用能设备节能分配!C11,工业节能技术装备推荐目录!A:A,用能设备节能分配!A11)</f>
        <v>0</v>
      </c>
      <c r="E11" s="47">
        <f>SUMIFS(工业节能技术装备推荐目录!L:L,工业节能技术装备推荐目录!C:C,用能设备节能分配!B11,工业节能技术装备推荐目录!F:F,用能设备节能分配!C11,工业节能技术装备推荐目录!A:A,用能设备节能分配!A11)</f>
        <v>0</v>
      </c>
      <c r="G11" s="26" t="s">
        <v>394</v>
      </c>
      <c r="H11" s="26" t="s">
        <v>389</v>
      </c>
      <c r="I11" s="40" t="str">
        <f>VLOOKUP(H11,'Sector &amp; Policy Match'!$A$1:$B$42,2,0)</f>
        <v>iron and steel 241</v>
      </c>
      <c r="J11" s="43">
        <f>IFERROR(VLOOKUP(I11,BIFUbC!$A$1:$C$27,3,0),0)</f>
        <v>2.0096009373213932E+16</v>
      </c>
      <c r="K11" s="44">
        <f t="shared" si="6"/>
        <v>0.24043713274639664</v>
      </c>
      <c r="M11" s="46">
        <v>2020</v>
      </c>
      <c r="N11" s="26" t="s">
        <v>57</v>
      </c>
      <c r="O11" s="26" t="str">
        <f t="shared" ref="O11:O13" si="7">I$5</f>
        <v>iron and steel 241</v>
      </c>
      <c r="P11" s="26" t="str">
        <f t="shared" si="5"/>
        <v>Installation and System Integration</v>
      </c>
      <c r="Q11" s="47">
        <f t="shared" si="0"/>
        <v>0</v>
      </c>
      <c r="R11" s="47">
        <f t="shared" si="1"/>
        <v>0</v>
      </c>
    </row>
    <row r="12" spans="1:18" ht="14.25" x14ac:dyDescent="0.2">
      <c r="A12" s="46">
        <v>2020</v>
      </c>
      <c r="B12" s="24" t="s">
        <v>61</v>
      </c>
      <c r="C12" s="25" t="s">
        <v>102</v>
      </c>
      <c r="D12" s="46">
        <f>SUMIFS(工业节能技术装备推荐目录!K:K,工业节能技术装备推荐目录!C:C,用能设备节能分配!B12,工业节能技术装备推荐目录!F:F,用能设备节能分配!C12,工业节能技术装备推荐目录!A:A,用能设备节能分配!A12)</f>
        <v>36</v>
      </c>
      <c r="E12" s="47">
        <f>SUMIFS(工业节能技术装备推荐目录!L:L,工业节能技术装备推荐目录!C:C,用能设备节能分配!B12,工业节能技术装备推荐目录!F:F,用能设备节能分配!C12,工业节能技术装备推荐目录!A:A,用能设备节能分配!A12)</f>
        <v>240</v>
      </c>
      <c r="G12" s="26" t="s">
        <v>394</v>
      </c>
      <c r="H12" s="26" t="s">
        <v>395</v>
      </c>
      <c r="I12" s="40" t="str">
        <f>VLOOKUP(H12,'Sector &amp; Policy Match'!$A$1:$B$42,2,0)</f>
        <v>other metals 242</v>
      </c>
      <c r="J12" s="43">
        <f>IFERROR(VLOOKUP(I12,BIFUbC!$A$1:$C$27,3,0),0)</f>
        <v>3410530606926317</v>
      </c>
      <c r="K12" s="44">
        <f t="shared" si="6"/>
        <v>4.0805026761492148E-2</v>
      </c>
      <c r="M12" s="46">
        <v>2020</v>
      </c>
      <c r="N12" s="26" t="s">
        <v>57</v>
      </c>
      <c r="O12" s="26" t="str">
        <f t="shared" si="7"/>
        <v>iron and steel 241</v>
      </c>
      <c r="P12" s="26" t="str">
        <f t="shared" si="5"/>
        <v>Cogeneration and Waste Heat Recovery</v>
      </c>
      <c r="Q12" s="47">
        <f t="shared" si="0"/>
        <v>16.088500747449334</v>
      </c>
      <c r="R12" s="47">
        <f t="shared" si="1"/>
        <v>160.88500747449334</v>
      </c>
    </row>
    <row r="13" spans="1:18" ht="14.25" x14ac:dyDescent="0.2">
      <c r="A13" s="46">
        <v>2020</v>
      </c>
      <c r="B13" s="24" t="s">
        <v>61</v>
      </c>
      <c r="C13" s="25" t="s">
        <v>105</v>
      </c>
      <c r="D13" s="46">
        <f>SUMIFS(工业节能技术装备推荐目录!K:K,工业节能技术装备推荐目录!C:C,用能设备节能分配!B13,工业节能技术装备推荐目录!F:F,用能设备节能分配!C13,工业节能技术装备推荐目录!A:A,用能设备节能分配!A13)</f>
        <v>0</v>
      </c>
      <c r="E13" s="47">
        <f>SUMIFS(工业节能技术装备推荐目录!L:L,工业节能技术装备推荐目录!C:C,用能设备节能分配!B13,工业节能技术装备推荐目录!F:F,用能设备节能分配!C13,工业节能技术装备推荐目录!A:A,用能设备节能分配!A13)</f>
        <v>0</v>
      </c>
      <c r="G13" s="26" t="s">
        <v>394</v>
      </c>
      <c r="H13" s="26" t="s">
        <v>391</v>
      </c>
      <c r="I13" s="40" t="str">
        <f>VLOOKUP(H13,'Sector &amp; Policy Match'!$A$1:$B$42,2,0)</f>
        <v>pulp paper and printing 17T18</v>
      </c>
      <c r="J13" s="43">
        <f>IFERROR(VLOOKUP(I13,BIFUbC!$A$1:$C$27,3,0),0)</f>
        <v>883986747789292</v>
      </c>
      <c r="K13" s="44">
        <f t="shared" si="6"/>
        <v>1.057639032093453E-2</v>
      </c>
      <c r="M13" s="46">
        <v>2020</v>
      </c>
      <c r="N13" s="26" t="s">
        <v>57</v>
      </c>
      <c r="O13" s="26" t="str">
        <f t="shared" si="7"/>
        <v>iron and steel 241</v>
      </c>
      <c r="P13" s="26" t="str">
        <f t="shared" si="5"/>
        <v>Improvement in Eqpt Efficiency Standards</v>
      </c>
      <c r="Q13" s="47">
        <f>SUMIFS(D:D,B:B,N13,C:C,P13,A:A,M13)*SUMIFS(K:K,G:G,N13,I:I,O13)</f>
        <v>37.637341142517833</v>
      </c>
      <c r="R13" s="47">
        <f t="shared" si="1"/>
        <v>101.87074452543636</v>
      </c>
    </row>
    <row r="14" spans="1:18" ht="14.25" x14ac:dyDescent="0.2">
      <c r="A14" s="46">
        <v>2020</v>
      </c>
      <c r="B14" s="24" t="s">
        <v>62</v>
      </c>
      <c r="C14" s="25" t="s">
        <v>103</v>
      </c>
      <c r="D14" s="46">
        <f>SUMIFS(工业节能技术装备推荐目录!K:K,工业节能技术装备推荐目录!C:C,用能设备节能分配!B14,工业节能技术装备推荐目录!F:F,用能设备节能分配!C14,工业节能技术装备推荐目录!A:A,用能设备节能分配!A14)</f>
        <v>0</v>
      </c>
      <c r="E14" s="47">
        <f>SUMIFS(工业节能技术装备推荐目录!L:L,工业节能技术装备推荐目录!C:C,用能设备节能分配!B14,工业节能技术装备推荐目录!F:F,用能设备节能分配!C14,工业节能技术装备推荐目录!A:A,用能设备节能分配!A14)</f>
        <v>0</v>
      </c>
      <c r="G14" s="26" t="s">
        <v>394</v>
      </c>
      <c r="H14" s="26" t="s">
        <v>390</v>
      </c>
      <c r="I14" s="40" t="str">
        <f>VLOOKUP(H14,'Sector &amp; Policy Match'!$A$1:$B$42,2,0)</f>
        <v>textiles apparel and leather 13T15</v>
      </c>
      <c r="J14" s="43">
        <f>IFERROR(VLOOKUP(I14,BIFUbC!$A$1:$C$27,3,0),0)</f>
        <v>1338950123736663.3</v>
      </c>
      <c r="K14" s="44">
        <f t="shared" si="6"/>
        <v>1.6019764056777502E-2</v>
      </c>
      <c r="M14" s="46">
        <v>2020</v>
      </c>
      <c r="N14" s="26" t="s">
        <v>57</v>
      </c>
      <c r="O14" s="26" t="str">
        <f>I$6</f>
        <v>textiles apparel and leather 13T15</v>
      </c>
      <c r="P14" s="26" t="str">
        <f t="shared" si="5"/>
        <v>Early Facility Retirement</v>
      </c>
      <c r="Q14" s="47">
        <f t="shared" si="0"/>
        <v>0.58469410517749276</v>
      </c>
      <c r="R14" s="47">
        <f t="shared" si="1"/>
        <v>2.4849499470043446</v>
      </c>
    </row>
    <row r="15" spans="1:18" ht="14.25" x14ac:dyDescent="0.2">
      <c r="A15" s="46">
        <v>2020</v>
      </c>
      <c r="B15" s="24" t="s">
        <v>62</v>
      </c>
      <c r="C15" s="25" t="s">
        <v>104</v>
      </c>
      <c r="D15" s="46">
        <f>SUMIFS(工业节能技术装备推荐目录!K:K,工业节能技术装备推荐目录!C:C,用能设备节能分配!B15,工业节能技术装备推荐目录!F:F,用能设备节能分配!C15,工业节能技术装备推荐目录!A:A,用能设备节能分配!A15)</f>
        <v>0</v>
      </c>
      <c r="E15" s="47">
        <f>SUMIFS(工业节能技术装备推荐目录!L:L,工业节能技术装备推荐目录!C:C,用能设备节能分配!B15,工业节能技术装备推荐目录!F:F,用能设备节能分配!C15,工业节能技术装备推荐目录!A:A,用能设备节能分配!A15)</f>
        <v>0</v>
      </c>
      <c r="G15" s="26" t="s">
        <v>394</v>
      </c>
      <c r="H15" s="26" t="s">
        <v>392</v>
      </c>
      <c r="I15" s="40" t="str">
        <f>VLOOKUP(H15,'Sector &amp; Policy Match'!$A$1:$B$42,2,0)</f>
        <v>food beverage and tobacco 10T12</v>
      </c>
      <c r="J15" s="43">
        <f>IFERROR(VLOOKUP(I15,BIFUbC!$A$1:$C$27,3,0),0)</f>
        <v>1333201638838097.5</v>
      </c>
      <c r="K15" s="44">
        <f t="shared" si="6"/>
        <v>1.5950986758709089E-2</v>
      </c>
      <c r="M15" s="46">
        <v>2020</v>
      </c>
      <c r="N15" s="26" t="s">
        <v>57</v>
      </c>
      <c r="O15" s="26" t="str">
        <f t="shared" ref="O15:O17" si="8">I$6</f>
        <v>textiles apparel and leather 13T15</v>
      </c>
      <c r="P15" s="26" t="str">
        <f t="shared" si="5"/>
        <v>Installation and System Integration</v>
      </c>
      <c r="Q15" s="47">
        <f t="shared" si="0"/>
        <v>0</v>
      </c>
      <c r="R15" s="47">
        <f t="shared" si="1"/>
        <v>0</v>
      </c>
    </row>
    <row r="16" spans="1:18" ht="14.25" x14ac:dyDescent="0.2">
      <c r="A16" s="46">
        <v>2020</v>
      </c>
      <c r="B16" s="24" t="s">
        <v>62</v>
      </c>
      <c r="C16" s="25" t="s">
        <v>102</v>
      </c>
      <c r="D16" s="46">
        <f>SUMIFS(工业节能技术装备推荐目录!K:K,工业节能技术装备推荐目录!C:C,用能设备节能分配!B16,工业节能技术装备推荐目录!F:F,用能设备节能分配!C16,工业节能技术装备推荐目录!A:A,用能设备节能分配!A16)</f>
        <v>0</v>
      </c>
      <c r="E16" s="47">
        <f>SUMIFS(工业节能技术装备推荐目录!L:L,工业节能技术装备推荐目录!C:C,用能设备节能分配!B16,工业节能技术装备推荐目录!F:F,用能设备节能分配!C16,工业节能技术装备推荐目录!A:A,用能设备节能分配!A16)</f>
        <v>0</v>
      </c>
      <c r="G16" s="26" t="s">
        <v>396</v>
      </c>
      <c r="H16" s="26" t="s">
        <v>397</v>
      </c>
      <c r="I16" s="40" t="str">
        <f>VLOOKUP(H16,'Sector &amp; Policy Match'!$A$1:$B$42,2,0)</f>
        <v>nonroad vehicles 30</v>
      </c>
      <c r="J16" s="43">
        <f>IFERROR(VLOOKUP(I16,BIFUbC!$A$1:$C$27,3,0),0)</f>
        <v>207156667738263.25</v>
      </c>
      <c r="K16" s="44">
        <f>J16/SUM($J$16:$J$17)</f>
        <v>8.3646035957173626E-2</v>
      </c>
      <c r="M16" s="46">
        <v>2020</v>
      </c>
      <c r="N16" s="26" t="s">
        <v>57</v>
      </c>
      <c r="O16" s="26" t="str">
        <f t="shared" si="8"/>
        <v>textiles apparel and leather 13T15</v>
      </c>
      <c r="P16" s="26" t="str">
        <f t="shared" si="5"/>
        <v>Cogeneration and Waste Heat Recovery</v>
      </c>
      <c r="Q16" s="47">
        <f t="shared" si="0"/>
        <v>1.0719391928254034</v>
      </c>
      <c r="R16" s="47">
        <f t="shared" si="1"/>
        <v>10.719391928254035</v>
      </c>
    </row>
    <row r="17" spans="1:18" ht="14.25" x14ac:dyDescent="0.2">
      <c r="A17" s="46">
        <v>2020</v>
      </c>
      <c r="B17" s="24" t="s">
        <v>62</v>
      </c>
      <c r="C17" s="25" t="s">
        <v>105</v>
      </c>
      <c r="D17" s="46">
        <f>SUMIFS(工业节能技术装备推荐目录!K:K,工业节能技术装备推荐目录!C:C,用能设备节能分配!B17,工业节能技术装备推荐目录!F:F,用能设备节能分配!C17,工业节能技术装备推荐目录!A:A,用能设备节能分配!A17)</f>
        <v>6.6</v>
      </c>
      <c r="E17" s="47">
        <f>SUMIFS(工业节能技术装备推荐目录!L:L,工业节能技术装备推荐目录!C:C,用能设备节能分配!B17,工业节能技术装备推荐目录!F:F,用能设备节能分配!C17,工业节能技术装备推荐目录!A:A,用能设备节能分配!A17)</f>
        <v>33</v>
      </c>
      <c r="G17" s="26" t="s">
        <v>396</v>
      </c>
      <c r="H17" s="26" t="s">
        <v>386</v>
      </c>
      <c r="I17" s="40" t="str">
        <f>VLOOKUP(H17,'Sector &amp; Policy Match'!$A$1:$B$42,2,0)</f>
        <v>电力、热力生产</v>
      </c>
      <c r="J17" s="43">
        <f>IFERROR(VLOOKUP(I17,BIFUbC!$A$1:$C$27,3,0),0)</f>
        <v>2269430122869799.5</v>
      </c>
      <c r="K17" s="44">
        <f>J17/SUM($J$16:$J$17)</f>
        <v>0.91635396404282632</v>
      </c>
      <c r="M17" s="46">
        <v>2020</v>
      </c>
      <c r="N17" s="26" t="s">
        <v>57</v>
      </c>
      <c r="O17" s="26" t="str">
        <f t="shared" si="8"/>
        <v>textiles apparel and leather 13T15</v>
      </c>
      <c r="P17" s="26" t="str">
        <f t="shared" si="5"/>
        <v>Improvement in Eqpt Efficiency Standards</v>
      </c>
      <c r="Q17" s="47">
        <f t="shared" si="0"/>
        <v>2.5076880510945805</v>
      </c>
      <c r="R17" s="47">
        <f t="shared" si="1"/>
        <v>6.78740955252972</v>
      </c>
    </row>
    <row r="18" spans="1:18" ht="14.25" x14ac:dyDescent="0.2">
      <c r="A18" s="46">
        <v>2020</v>
      </c>
      <c r="B18" s="24" t="s">
        <v>63</v>
      </c>
      <c r="C18" s="25" t="s">
        <v>103</v>
      </c>
      <c r="D18" s="46">
        <f>SUMIFS(工业节能技术装备推荐目录!K:K,工业节能技术装备推荐目录!C:C,用能设备节能分配!B18,工业节能技术装备推荐目录!F:F,用能设备节能分配!C18,工业节能技术装备推荐目录!A:A,用能设备节能分配!A18)</f>
        <v>0</v>
      </c>
      <c r="E18" s="47">
        <f>SUMIFS(工业节能技术装备推荐目录!L:L,工业节能技术装备推荐目录!C:C,用能设备节能分配!B18,工业节能技术装备推荐目录!F:F,用能设备节能分配!C18,工业节能技术装备推荐目录!A:A,用能设备节能分配!A18)</f>
        <v>0</v>
      </c>
      <c r="G18" s="26" t="s">
        <v>398</v>
      </c>
      <c r="H18" s="26" t="s">
        <v>386</v>
      </c>
      <c r="I18" s="40" t="str">
        <f>VLOOKUP(H18,'Sector &amp; Policy Match'!$A$1:$B$42,2,0)</f>
        <v>电力、热力生产</v>
      </c>
      <c r="J18" s="43">
        <f>IFERROR(VLOOKUP(I18,BIFUbC!$A$1:$C$27,3,0),0)</f>
        <v>2269430122869799.5</v>
      </c>
      <c r="K18" s="44">
        <f>J18/SUM($J$18:$J$23)</f>
        <v>5.53703188382191E-2</v>
      </c>
      <c r="M18" s="46">
        <v>2020</v>
      </c>
      <c r="N18" s="26" t="s">
        <v>57</v>
      </c>
      <c r="O18" s="26" t="str">
        <f>I$7</f>
        <v>pulp paper and printing 17T18</v>
      </c>
      <c r="P18" s="26" t="str">
        <f t="shared" si="5"/>
        <v>Early Facility Retirement</v>
      </c>
      <c r="Q18" s="47">
        <f t="shared" si="0"/>
        <v>0.38602023430491528</v>
      </c>
      <c r="R18" s="47">
        <f t="shared" si="1"/>
        <v>1.6405859957958899</v>
      </c>
    </row>
    <row r="19" spans="1:18" ht="14.25" x14ac:dyDescent="0.2">
      <c r="A19" s="46">
        <v>2020</v>
      </c>
      <c r="B19" s="24" t="s">
        <v>63</v>
      </c>
      <c r="C19" s="25" t="s">
        <v>104</v>
      </c>
      <c r="D19" s="46">
        <f>SUMIFS(工业节能技术装备推荐目录!K:K,工业节能技术装备推荐目录!C:C,用能设备节能分配!B19,工业节能技术装备推荐目录!F:F,用能设备节能分配!C19,工业节能技术装备推荐目录!A:A,用能设备节能分配!A19)</f>
        <v>0</v>
      </c>
      <c r="E19" s="47">
        <f>SUMIFS(工业节能技术装备推荐目录!L:L,工业节能技术装备推荐目录!C:C,用能设备节能分配!B19,工业节能技术装备推荐目录!F:F,用能设备节能分配!C19,工业节能技术装备推荐目录!A:A,用能设备节能分配!A19)</f>
        <v>0</v>
      </c>
      <c r="G19" s="26" t="s">
        <v>398</v>
      </c>
      <c r="H19" s="26" t="s">
        <v>390</v>
      </c>
      <c r="I19" s="40" t="str">
        <f>VLOOKUP(H19,'Sector &amp; Policy Match'!$A$1:$B$42,2,0)</f>
        <v>textiles apparel and leather 13T15</v>
      </c>
      <c r="J19" s="43">
        <f>IFERROR(VLOOKUP(I19,BIFUbC!$A$1:$C$27,3,0),0)</f>
        <v>1338950123736663.3</v>
      </c>
      <c r="K19" s="44">
        <f t="shared" ref="K19:K23" si="9">J19/SUM($J$18:$J$23)</f>
        <v>3.266815510760071E-2</v>
      </c>
      <c r="M19" s="46">
        <v>2020</v>
      </c>
      <c r="N19" s="26" t="s">
        <v>57</v>
      </c>
      <c r="O19" s="26" t="str">
        <f t="shared" ref="O19:O21" si="10">I$7</f>
        <v>pulp paper and printing 17T18</v>
      </c>
      <c r="P19" s="26" t="str">
        <f t="shared" si="5"/>
        <v>Installation and System Integration</v>
      </c>
      <c r="Q19" s="47">
        <f t="shared" si="0"/>
        <v>0</v>
      </c>
      <c r="R19" s="47">
        <f t="shared" si="1"/>
        <v>0</v>
      </c>
    </row>
    <row r="20" spans="1:18" ht="14.25" x14ac:dyDescent="0.2">
      <c r="A20" s="46">
        <v>2020</v>
      </c>
      <c r="B20" s="24" t="s">
        <v>63</v>
      </c>
      <c r="C20" s="25" t="s">
        <v>102</v>
      </c>
      <c r="D20" s="46">
        <f>SUMIFS(工业节能技术装备推荐目录!K:K,工业节能技术装备推荐目录!C:C,用能设备节能分配!B20,工业节能技术装备推荐目录!F:F,用能设备节能分配!C20,工业节能技术装备推荐目录!A:A,用能设备节能分配!A20)</f>
        <v>0</v>
      </c>
      <c r="E20" s="47">
        <f>SUMIFS(工业节能技术装备推荐目录!L:L,工业节能技术装备推荐目录!C:C,用能设备节能分配!B20,工业节能技术装备推荐目录!F:F,用能设备节能分配!C20,工业节能技术装备推荐目录!A:A,用能设备节能分配!A20)</f>
        <v>0</v>
      </c>
      <c r="G20" s="26" t="s">
        <v>398</v>
      </c>
      <c r="H20" s="26" t="s">
        <v>392</v>
      </c>
      <c r="I20" s="40" t="str">
        <f>VLOOKUP(H20,'Sector &amp; Policy Match'!$A$1:$B$42,2,0)</f>
        <v>food beverage and tobacco 10T12</v>
      </c>
      <c r="J20" s="43">
        <f>IFERROR(VLOOKUP(I20,BIFUbC!$A$1:$C$27,3,0),0)</f>
        <v>1333201638838097.5</v>
      </c>
      <c r="K20" s="44">
        <f t="shared" si="9"/>
        <v>3.2527901641119107E-2</v>
      </c>
      <c r="M20" s="46">
        <v>2020</v>
      </c>
      <c r="N20" s="26" t="s">
        <v>57</v>
      </c>
      <c r="O20" s="26" t="str">
        <f t="shared" si="10"/>
        <v>pulp paper and printing 17T18</v>
      </c>
      <c r="P20" s="26" t="str">
        <f t="shared" si="5"/>
        <v>Cogeneration and Waste Heat Recovery</v>
      </c>
      <c r="Q20" s="47">
        <f t="shared" si="0"/>
        <v>0.7077037628923446</v>
      </c>
      <c r="R20" s="47">
        <f t="shared" si="1"/>
        <v>7.0770376289234465</v>
      </c>
    </row>
    <row r="21" spans="1:18" ht="14.25" x14ac:dyDescent="0.2">
      <c r="A21" s="46">
        <v>2020</v>
      </c>
      <c r="B21" s="24" t="s">
        <v>63</v>
      </c>
      <c r="C21" s="25" t="s">
        <v>105</v>
      </c>
      <c r="D21" s="46">
        <f>SUMIFS(工业节能技术装备推荐目录!K:K,工业节能技术装备推荐目录!C:C,用能设备节能分配!B21,工业节能技术装备推荐目录!F:F,用能设备节能分配!C21,工业节能技术装备推荐目录!A:A,用能设备节能分配!A21)</f>
        <v>43.2</v>
      </c>
      <c r="E21" s="47">
        <f>SUMIFS(工业节能技术装备推荐目录!L:L,工业节能技术装备推荐目录!C:C,用能设备节能分配!B21,工业节能技术装备推荐目录!F:F,用能设备节能分配!C21,工业节能技术装备推荐目录!A:A,用能设备节能分配!A21)</f>
        <v>304.11111111111109</v>
      </c>
      <c r="G21" s="26" t="s">
        <v>398</v>
      </c>
      <c r="H21" s="26" t="s">
        <v>388</v>
      </c>
      <c r="I21" s="40" t="str">
        <f>VLOOKUP(H21,'Sector &amp; Policy Match'!$A$1:$B$42,2,0)</f>
        <v>chemicals 20</v>
      </c>
      <c r="J21" s="43">
        <f>IFERROR(VLOOKUP(I21,BIFUbC!$A$1:$C$27,3,0),0)</f>
        <v>1.2538279702746712E+16</v>
      </c>
      <c r="K21" s="44">
        <f t="shared" si="9"/>
        <v>0.30591316199943047</v>
      </c>
      <c r="M21" s="46">
        <v>2020</v>
      </c>
      <c r="N21" s="26" t="s">
        <v>57</v>
      </c>
      <c r="O21" s="26" t="str">
        <f t="shared" si="10"/>
        <v>pulp paper and printing 17T18</v>
      </c>
      <c r="P21" s="26" t="str">
        <f t="shared" si="5"/>
        <v>Improvement in Eqpt Efficiency Standards</v>
      </c>
      <c r="Q21" s="47">
        <f t="shared" si="0"/>
        <v>1.6555978937966367</v>
      </c>
      <c r="R21" s="47">
        <f t="shared" si="1"/>
        <v>4.4811079889296614</v>
      </c>
    </row>
    <row r="22" spans="1:18" ht="14.25" x14ac:dyDescent="0.2">
      <c r="A22" s="46">
        <v>2020</v>
      </c>
      <c r="B22" s="24" t="s">
        <v>18</v>
      </c>
      <c r="C22" s="25" t="s">
        <v>103</v>
      </c>
      <c r="D22" s="46">
        <f>SUMIFS(工业节能技术装备推荐目录!K:K,工业节能技术装备推荐目录!C:C,用能设备节能分配!B22,工业节能技术装备推荐目录!F:F,用能设备节能分配!C22,工业节能技术装备推荐目录!A:A,用能设备节能分配!A22)</f>
        <v>0</v>
      </c>
      <c r="E22" s="47">
        <f>SUMIFS(工业节能技术装备推荐目录!L:L,工业节能技术装备推荐目录!C:C,用能设备节能分配!B22,工业节能技术装备推荐目录!F:F,用能设备节能分配!C22,工业节能技术装备推荐目录!A:A,用能设备节能分配!A22)</f>
        <v>0</v>
      </c>
      <c r="G22" s="26" t="s">
        <v>398</v>
      </c>
      <c r="H22" s="26" t="s">
        <v>389</v>
      </c>
      <c r="I22" s="40" t="str">
        <f>VLOOKUP(H22,'Sector &amp; Policy Match'!$A$1:$B$42,2,0)</f>
        <v>iron and steel 241</v>
      </c>
      <c r="J22" s="43">
        <f>IFERROR(VLOOKUP(I22,BIFUbC!$A$1:$C$27,3,0),0)</f>
        <v>2.0096009373213932E+16</v>
      </c>
      <c r="K22" s="44">
        <f t="shared" si="9"/>
        <v>0.49030919046919402</v>
      </c>
      <c r="M22" s="46">
        <v>2020</v>
      </c>
      <c r="N22" s="26" t="s">
        <v>57</v>
      </c>
      <c r="O22" s="26" t="str">
        <f>I$8</f>
        <v>food beverage and tobacco 10T12</v>
      </c>
      <c r="P22" s="26" t="str">
        <f t="shared" si="5"/>
        <v>Early Facility Retirement</v>
      </c>
      <c r="Q22" s="47">
        <f t="shared" si="0"/>
        <v>0.58218385093104386</v>
      </c>
      <c r="R22" s="47">
        <f t="shared" si="1"/>
        <v>2.4742813664569363</v>
      </c>
    </row>
    <row r="23" spans="1:18" ht="14.25" x14ac:dyDescent="0.2">
      <c r="A23" s="46">
        <v>2020</v>
      </c>
      <c r="B23" s="24" t="s">
        <v>18</v>
      </c>
      <c r="C23" s="25" t="s">
        <v>104</v>
      </c>
      <c r="D23" s="46">
        <f>SUMIFS(工业节能技术装备推荐目录!K:K,工业节能技术装备推荐目录!C:C,用能设备节能分配!B23,工业节能技术装备推荐目录!F:F,用能设备节能分配!C23,工业节能技术装备推荐目录!A:A,用能设备节能分配!A23)</f>
        <v>67.5</v>
      </c>
      <c r="E23" s="47">
        <f>SUMIFS(工业节能技术装备推荐目录!L:L,工业节能技术装备推荐目录!C:C,用能设备节能分配!B23,工业节能技术装备推荐目录!F:F,用能设备节能分配!C23,工业节能技术装备推荐目录!A:A,用能设备节能分配!A23)</f>
        <v>422.00000000000006</v>
      </c>
      <c r="G23" s="26" t="s">
        <v>398</v>
      </c>
      <c r="H23" s="26" t="s">
        <v>395</v>
      </c>
      <c r="I23" s="40" t="str">
        <f>VLOOKUP(H23,'Sector &amp; Policy Match'!$A$1:$B$42,2,0)</f>
        <v>other metals 242</v>
      </c>
      <c r="J23" s="43">
        <f>IFERROR(VLOOKUP(I23,BIFUbC!$A$1:$C$27,3,0),0)</f>
        <v>3410530606926317</v>
      </c>
      <c r="K23" s="44">
        <f t="shared" si="9"/>
        <v>8.3211271944436602E-2</v>
      </c>
      <c r="M23" s="46">
        <v>2020</v>
      </c>
      <c r="N23" s="26" t="s">
        <v>57</v>
      </c>
      <c r="O23" s="26" t="str">
        <f t="shared" ref="O23:O24" si="11">I$8</f>
        <v>food beverage and tobacco 10T12</v>
      </c>
      <c r="P23" s="26" t="str">
        <f t="shared" si="5"/>
        <v>Installation and System Integration</v>
      </c>
      <c r="Q23" s="47">
        <f t="shared" si="0"/>
        <v>0</v>
      </c>
      <c r="R23" s="47">
        <f t="shared" si="1"/>
        <v>0</v>
      </c>
    </row>
    <row r="24" spans="1:18" ht="14.25" x14ac:dyDescent="0.2">
      <c r="A24" s="46">
        <v>2020</v>
      </c>
      <c r="B24" s="24" t="s">
        <v>18</v>
      </c>
      <c r="C24" s="25" t="s">
        <v>102</v>
      </c>
      <c r="D24" s="46">
        <f>SUMIFS(工业节能技术装备推荐目录!K:K,工业节能技术装备推荐目录!C:C,用能设备节能分配!B24,工业节能技术装备推荐目录!F:F,用能设备节能分配!C24,工业节能技术装备推荐目录!A:A,用能设备节能分配!A24)</f>
        <v>0</v>
      </c>
      <c r="E24" s="47">
        <f>SUMIFS(工业节能技术装备推荐目录!L:L,工业节能技术装备推荐目录!C:C,用能设备节能分配!B24,工业节能技术装备推荐目录!F:F,用能设备节能分配!C24,工业节能技术装备推荐目录!A:A,用能设备节能分配!A24)</f>
        <v>0</v>
      </c>
      <c r="G24" s="26" t="s">
        <v>404</v>
      </c>
      <c r="H24" s="26" t="s">
        <v>405</v>
      </c>
      <c r="I24" s="40" t="str">
        <f>VLOOKUP(H24,'Sector &amp; Policy Match'!$A$1:$B$42,2,0)</f>
        <v>coal mining 05</v>
      </c>
      <c r="J24" s="43">
        <f>IFERROR(VLOOKUP(I24,BIFUbC!$A$1:$C$27,3,0),0)</f>
        <v>2088463251408978.8</v>
      </c>
      <c r="K24" s="44">
        <f>J24/SUM($J$24:$J$28)</f>
        <v>2.5792297169729805E-2</v>
      </c>
      <c r="M24" s="46">
        <v>2020</v>
      </c>
      <c r="N24" s="26" t="s">
        <v>57</v>
      </c>
      <c r="O24" s="26" t="str">
        <f t="shared" si="11"/>
        <v>food beverage and tobacco 10T12</v>
      </c>
      <c r="P24" s="26" t="str">
        <f t="shared" si="5"/>
        <v>Cogeneration and Waste Heat Recovery</v>
      </c>
      <c r="Q24" s="47">
        <f t="shared" si="0"/>
        <v>1.067337060040247</v>
      </c>
      <c r="R24" s="47">
        <f t="shared" si="1"/>
        <v>10.673370600402469</v>
      </c>
    </row>
    <row r="25" spans="1:18" ht="14.25" x14ac:dyDescent="0.2">
      <c r="A25" s="46">
        <v>2020</v>
      </c>
      <c r="B25" s="24" t="s">
        <v>18</v>
      </c>
      <c r="C25" s="25" t="s">
        <v>105</v>
      </c>
      <c r="D25" s="46">
        <f>SUMIFS(工业节能技术装备推荐目录!K:K,工业节能技术装备推荐目录!C:C,用能设备节能分配!B25,工业节能技术装备推荐目录!F:F,用能设备节能分配!C25,工业节能技术装备推荐目录!A:A,用能设备节能分配!A25)</f>
        <v>21.5</v>
      </c>
      <c r="E25" s="47">
        <f>SUMIFS(工业节能技术装备推荐目录!L:L,工业节能技术装备推荐目录!C:C,用能设备节能分配!B25,工业节能技术装备推荐目录!F:F,用能设备节能分配!C25,工业节能技术装备推荐目录!A:A,用能设备节能分配!A25)</f>
        <v>143.33333333333334</v>
      </c>
      <c r="G25" s="26" t="s">
        <v>404</v>
      </c>
      <c r="H25" s="26" t="s">
        <v>387</v>
      </c>
      <c r="I25" s="40" t="str">
        <f>VLOOKUP(H25,'Sector &amp; Policy Match'!$A$1:$B$42,2,0)</f>
        <v>refined petroleum and coke 19</v>
      </c>
      <c r="J25" s="43">
        <f>IFERROR(VLOOKUP(I25,BIFUbC!$A$1:$C$27,3,0),0)</f>
        <v>4.3980180641948744E+16</v>
      </c>
      <c r="K25" s="44">
        <f t="shared" ref="K25:K27" si="12">J25/SUM($J$24:$J$28)</f>
        <v>0.54315051410660575</v>
      </c>
      <c r="M25" s="46">
        <v>2020</v>
      </c>
      <c r="N25" s="26" t="s">
        <v>57</v>
      </c>
      <c r="O25" s="26" t="str">
        <f>I$8</f>
        <v>food beverage and tobacco 10T12</v>
      </c>
      <c r="P25" s="26" t="str">
        <f t="shared" si="5"/>
        <v>Improvement in Eqpt Efficiency Standards</v>
      </c>
      <c r="Q25" s="47">
        <f t="shared" si="0"/>
        <v>2.4969218495486993</v>
      </c>
      <c r="R25" s="47">
        <f t="shared" si="1"/>
        <v>6.7582693174892903</v>
      </c>
    </row>
    <row r="26" spans="1:18" ht="14.25" x14ac:dyDescent="0.2">
      <c r="A26" s="46">
        <v>2020</v>
      </c>
      <c r="B26" s="24" t="s">
        <v>17</v>
      </c>
      <c r="C26" s="25" t="s">
        <v>103</v>
      </c>
      <c r="D26" s="46">
        <f>SUMIFS(工业节能技术装备推荐目录!K:K,工业节能技术装备推荐目录!C:C,用能设备节能分配!B26,工业节能技术装备推荐目录!F:F,用能设备节能分配!C26,工业节能技术装备推荐目录!A:A,用能设备节能分配!A26)</f>
        <v>0</v>
      </c>
      <c r="E26" s="47">
        <f>SUMIFS(工业节能技术装备推荐目录!L:L,工业节能技术装备推荐目录!C:C,用能设备节能分配!B26,工业节能技术装备推荐目录!F:F,用能设备节能分配!C26,工业节能技术装备推荐目录!A:A,用能设备节能分配!A26)</f>
        <v>0</v>
      </c>
      <c r="G26" s="26" t="s">
        <v>404</v>
      </c>
      <c r="H26" s="26" t="s">
        <v>388</v>
      </c>
      <c r="I26" s="40" t="str">
        <f>VLOOKUP(H26,'Sector &amp; Policy Match'!$A$1:$B$42,2,0)</f>
        <v>chemicals 20</v>
      </c>
      <c r="J26" s="43">
        <f>IFERROR(VLOOKUP(I26,BIFUbC!$A$1:$C$27,3,0),0)</f>
        <v>1.2538279702746712E+16</v>
      </c>
      <c r="K26" s="44">
        <f t="shared" si="12"/>
        <v>0.15484640961350857</v>
      </c>
      <c r="M26" s="46">
        <v>2020</v>
      </c>
      <c r="N26" s="26" t="str">
        <f>G$9</f>
        <v>工业循环水</v>
      </c>
      <c r="O26" s="26" t="str">
        <f>I$9</f>
        <v>refined petroleum and coke 19</v>
      </c>
      <c r="P26" s="26" t="str">
        <f t="shared" si="5"/>
        <v>Early Facility Retirement</v>
      </c>
      <c r="Q26" s="47">
        <f t="shared" si="0"/>
        <v>0</v>
      </c>
      <c r="R26" s="47">
        <f t="shared" si="1"/>
        <v>0</v>
      </c>
    </row>
    <row r="27" spans="1:18" ht="14.25" x14ac:dyDescent="0.2">
      <c r="A27" s="46">
        <v>2020</v>
      </c>
      <c r="B27" s="24" t="s">
        <v>17</v>
      </c>
      <c r="C27" s="25" t="s">
        <v>104</v>
      </c>
      <c r="D27" s="46">
        <f>SUMIFS(工业节能技术装备推荐目录!K:K,工业节能技术装备推荐目录!C:C,用能设备节能分配!B27,工业节能技术装备推荐目录!F:F,用能设备节能分配!C27,工业节能技术装备推荐目录!A:A,用能设备节能分配!A27)</f>
        <v>84.7</v>
      </c>
      <c r="E27" s="47">
        <f>SUMIFS(工业节能技术装备推荐目录!L:L,工业节能技术装备推荐目录!C:C,用能设备节能分配!B27,工业节能技术装备推荐目录!F:F,用能设备节能分配!C27,工业节能技术装备推荐目录!A:A,用能设备节能分配!A27)</f>
        <v>861.83333333333326</v>
      </c>
      <c r="G27" s="26" t="s">
        <v>404</v>
      </c>
      <c r="H27" s="26" t="s">
        <v>389</v>
      </c>
      <c r="I27" s="40" t="str">
        <f>VLOOKUP(H27,'Sector &amp; Policy Match'!$A$1:$B$42,2,0)</f>
        <v>iron and steel 241</v>
      </c>
      <c r="J27" s="43">
        <f>IFERROR(VLOOKUP(I27,BIFUbC!$A$1:$C$27,3,0),0)</f>
        <v>2.0096009373213932E+16</v>
      </c>
      <c r="K27" s="44">
        <f t="shared" si="12"/>
        <v>0.24818356048636431</v>
      </c>
      <c r="M27" s="46">
        <v>2020</v>
      </c>
      <c r="N27" s="26" t="str">
        <f t="shared" ref="N27:N53" si="13">G$9</f>
        <v>工业循环水</v>
      </c>
      <c r="O27" s="26" t="str">
        <f t="shared" ref="O27:O29" si="14">I$9</f>
        <v>refined petroleum and coke 19</v>
      </c>
      <c r="P27" s="26" t="str">
        <f t="shared" si="5"/>
        <v>Installation and System Integration</v>
      </c>
      <c r="Q27" s="47">
        <f t="shared" si="0"/>
        <v>0</v>
      </c>
      <c r="R27" s="47">
        <f t="shared" si="1"/>
        <v>0</v>
      </c>
    </row>
    <row r="28" spans="1:18" ht="14.25" x14ac:dyDescent="0.2">
      <c r="A28" s="46">
        <v>2020</v>
      </c>
      <c r="B28" s="24" t="s">
        <v>17</v>
      </c>
      <c r="C28" s="25" t="s">
        <v>102</v>
      </c>
      <c r="D28" s="46">
        <f>SUMIFS(工业节能技术装备推荐目录!K:K,工业节能技术装备推荐目录!C:C,用能设备节能分配!B28,工业节能技术装备推荐目录!F:F,用能设备节能分配!C28,工业节能技术装备推荐目录!A:A,用能设备节能分配!A28)</f>
        <v>0</v>
      </c>
      <c r="E28" s="47">
        <f>SUMIFS(工业节能技术装备推荐目录!L:L,工业节能技术装备推荐目录!C:C,用能设备节能分配!B28,工业节能技术装备推荐目录!F:F,用能设备节能分配!C28,工业节能技术装备推荐目录!A:A,用能设备节能分配!A28)</f>
        <v>0</v>
      </c>
      <c r="G28" s="26" t="s">
        <v>404</v>
      </c>
      <c r="H28" s="26" t="s">
        <v>386</v>
      </c>
      <c r="I28" s="40" t="str">
        <f>VLOOKUP(H28,'Sector &amp; Policy Match'!$A$1:$B$42,2,0)</f>
        <v>电力、热力生产</v>
      </c>
      <c r="J28" s="43">
        <f>IFERROR(VLOOKUP(I28,BIFUbC!$A$1:$C$27,3,0),0)</f>
        <v>2269430122869799.5</v>
      </c>
      <c r="K28" s="44">
        <f>J28/SUM($J$24:$J$28)</f>
        <v>2.8027218623791698E-2</v>
      </c>
      <c r="M28" s="46">
        <v>2020</v>
      </c>
      <c r="N28" s="26" t="str">
        <f t="shared" si="13"/>
        <v>工业循环水</v>
      </c>
      <c r="O28" s="26" t="str">
        <f t="shared" si="14"/>
        <v>refined petroleum and coke 19</v>
      </c>
      <c r="P28" s="26" t="str">
        <f t="shared" si="5"/>
        <v>Cogeneration and Waste Heat Recovery</v>
      </c>
      <c r="Q28" s="47">
        <f t="shared" si="0"/>
        <v>19.995502426561998</v>
      </c>
      <c r="R28" s="47">
        <f t="shared" si="1"/>
        <v>133.30334951041334</v>
      </c>
    </row>
    <row r="29" spans="1:18" ht="14.25" x14ac:dyDescent="0.2">
      <c r="A29" s="46">
        <v>2020</v>
      </c>
      <c r="B29" s="24" t="s">
        <v>17</v>
      </c>
      <c r="C29" s="25" t="s">
        <v>105</v>
      </c>
      <c r="D29" s="46">
        <f>SUMIFS(工业节能技术装备推荐目录!K:K,工业节能技术装备推荐目录!C:C,用能设备节能分配!B29,工业节能技术装备推荐目录!F:F,用能设备节能分配!C29,工业节能技术装备推荐目录!A:A,用能设备节能分配!A29)</f>
        <v>0</v>
      </c>
      <c r="E29" s="47">
        <f>SUMIFS(工业节能技术装备推荐目录!L:L,工业节能技术装备推荐目录!C:C,用能设备节能分配!B29,工业节能技术装备推荐目录!F:F,用能设备节能分配!C29,工业节能技术装备推荐目录!A:A,用能设备节能分配!A29)</f>
        <v>0</v>
      </c>
      <c r="G29" s="26" t="s">
        <v>406</v>
      </c>
      <c r="H29" s="26" t="s">
        <v>387</v>
      </c>
      <c r="I29" s="40" t="str">
        <f>VLOOKUP(H29,'Sector &amp; Policy Match'!$A$1:$B$42,2,0)</f>
        <v>refined petroleum and coke 19</v>
      </c>
      <c r="J29" s="43">
        <f>IFERROR(VLOOKUP(I29,BIFUbC!$A$1:$C$27,3,0),0)</f>
        <v>4.3980180641948744E+16</v>
      </c>
      <c r="K29" s="44">
        <f>J29/SUM($J$29:$J$34)</f>
        <v>0.61902633462947154</v>
      </c>
      <c r="M29" s="46">
        <v>2020</v>
      </c>
      <c r="N29" s="26" t="str">
        <f t="shared" si="13"/>
        <v>工业循环水</v>
      </c>
      <c r="O29" s="26" t="str">
        <f t="shared" si="14"/>
        <v>refined petroleum and coke 19</v>
      </c>
      <c r="P29" s="26" t="str">
        <f t="shared" si="5"/>
        <v>Improvement in Eqpt Efficiency Standards</v>
      </c>
      <c r="Q29" s="47">
        <f t="shared" si="0"/>
        <v>0</v>
      </c>
      <c r="R29" s="47">
        <f t="shared" si="1"/>
        <v>0</v>
      </c>
    </row>
    <row r="30" spans="1:18" ht="14.25" x14ac:dyDescent="0.2">
      <c r="A30" s="46">
        <v>2020</v>
      </c>
      <c r="B30" s="24" t="s">
        <v>20</v>
      </c>
      <c r="C30" s="25" t="s">
        <v>103</v>
      </c>
      <c r="D30" s="46">
        <f>SUMIFS(工业节能技术装备推荐目录!K:K,工业节能技术装备推荐目录!C:C,用能设备节能分配!B30,工业节能技术装备推荐目录!F:F,用能设备节能分配!C30,工业节能技术装备推荐目录!A:A,用能设备节能分配!A30)</f>
        <v>0</v>
      </c>
      <c r="E30" s="47">
        <f>SUMIFS(工业节能技术装备推荐目录!L:L,工业节能技术装备推荐目录!C:C,用能设备节能分配!B30,工业节能技术装备推荐目录!F:F,用能设备节能分配!C30,工业节能技术装备推荐目录!A:A,用能设备节能分配!A30)</f>
        <v>0</v>
      </c>
      <c r="G30" s="26" t="s">
        <v>406</v>
      </c>
      <c r="H30" s="26" t="s">
        <v>389</v>
      </c>
      <c r="I30" s="40" t="str">
        <f>VLOOKUP(H30,'Sector &amp; Policy Match'!$A$1:$B$42,2,0)</f>
        <v>iron and steel 241</v>
      </c>
      <c r="J30" s="43">
        <f>IFERROR(VLOOKUP(I30,BIFUbC!$A$1:$C$27,3,0),0)</f>
        <v>2.0096009373213932E+16</v>
      </c>
      <c r="K30" s="44">
        <f t="shared" ref="K30:K34" si="15">J30/SUM($J$29:$J$34)</f>
        <v>0.28285375006201691</v>
      </c>
      <c r="M30" s="46">
        <v>2020</v>
      </c>
      <c r="N30" s="26" t="str">
        <f t="shared" si="13"/>
        <v>工业循环水</v>
      </c>
      <c r="O30" s="26" t="str">
        <f>I$10</f>
        <v>chemicals 20</v>
      </c>
      <c r="P30" s="26" t="str">
        <f t="shared" si="5"/>
        <v>Early Facility Retirement</v>
      </c>
      <c r="Q30" s="47">
        <f t="shared" si="0"/>
        <v>0</v>
      </c>
      <c r="R30" s="47">
        <f t="shared" si="1"/>
        <v>0</v>
      </c>
    </row>
    <row r="31" spans="1:18" ht="14.25" x14ac:dyDescent="0.2">
      <c r="A31" s="46">
        <v>2020</v>
      </c>
      <c r="B31" s="24" t="s">
        <v>20</v>
      </c>
      <c r="C31" s="25" t="s">
        <v>104</v>
      </c>
      <c r="D31" s="46">
        <f>SUMIFS(工业节能技术装备推荐目录!K:K,工业节能技术装备推荐目录!C:C,用能设备节能分配!B31,工业节能技术装备推荐目录!F:F,用能设备节能分配!C31,工业节能技术装备推荐目录!A:A,用能设备节能分配!A31)</f>
        <v>0</v>
      </c>
      <c r="E31" s="47">
        <f>SUMIFS(工业节能技术装备推荐目录!L:L,工业节能技术装备推荐目录!C:C,用能设备节能分配!B31,工业节能技术装备推荐目录!F:F,用能设备节能分配!C31,工业节能技术装备推荐目录!A:A,用能设备节能分配!A31)</f>
        <v>0</v>
      </c>
      <c r="G31" s="26" t="s">
        <v>406</v>
      </c>
      <c r="H31" s="26" t="s">
        <v>395</v>
      </c>
      <c r="I31" s="40" t="str">
        <f>VLOOKUP(H31,'Sector &amp; Policy Match'!$A$1:$B$42,2,0)</f>
        <v>other metals 242</v>
      </c>
      <c r="J31" s="43">
        <f>IFERROR(VLOOKUP(I31,BIFUbC!$A$1:$C$27,3,0),0)</f>
        <v>3410530606926317</v>
      </c>
      <c r="K31" s="44">
        <f t="shared" si="15"/>
        <v>4.8003628678449151E-2</v>
      </c>
      <c r="M31" s="46">
        <v>2020</v>
      </c>
      <c r="N31" s="26" t="str">
        <f t="shared" si="13"/>
        <v>工业循环水</v>
      </c>
      <c r="O31" s="26" t="str">
        <f t="shared" ref="O31:O33" si="16">I$10</f>
        <v>chemicals 20</v>
      </c>
      <c r="P31" s="26" t="str">
        <f t="shared" si="5"/>
        <v>Installation and System Integration</v>
      </c>
      <c r="Q31" s="47">
        <f t="shared" si="0"/>
        <v>0</v>
      </c>
      <c r="R31" s="47">
        <f t="shared" si="1"/>
        <v>0</v>
      </c>
    </row>
    <row r="32" spans="1:18" ht="14.25" x14ac:dyDescent="0.2">
      <c r="A32" s="46">
        <v>2020</v>
      </c>
      <c r="B32" s="24" t="s">
        <v>20</v>
      </c>
      <c r="C32" s="25" t="s">
        <v>102</v>
      </c>
      <c r="D32" s="46">
        <f>SUMIFS(工业节能技术装备推荐目录!K:K,工业节能技术装备推荐目录!C:C,用能设备节能分配!B32,工业节能技术装备推荐目录!F:F,用能设备节能分配!C32,工业节能技术装备推荐目录!A:A,用能设备节能分配!A32)</f>
        <v>0</v>
      </c>
      <c r="E32" s="47">
        <f>SUMIFS(工业节能技术装备推荐目录!L:L,工业节能技术装备推荐目录!C:C,用能设备节能分配!B32,工业节能技术装备推荐目录!F:F,用能设备节能分配!C32,工业节能技术装备推荐目录!A:A,用能设备节能分配!A32)</f>
        <v>0</v>
      </c>
      <c r="G32" s="26" t="s">
        <v>406</v>
      </c>
      <c r="H32" s="26" t="s">
        <v>391</v>
      </c>
      <c r="I32" s="40" t="str">
        <f>VLOOKUP(H32,'Sector &amp; Policy Match'!$A$1:$B$42,2,0)</f>
        <v>pulp paper and printing 17T18</v>
      </c>
      <c r="J32" s="43">
        <f>IFERROR(VLOOKUP(I32,BIFUbC!$A$1:$C$27,3,0),0)</f>
        <v>883986747789292</v>
      </c>
      <c r="K32" s="44">
        <f t="shared" si="15"/>
        <v>1.2442219844433677E-2</v>
      </c>
      <c r="M32" s="46">
        <v>2020</v>
      </c>
      <c r="N32" s="26" t="str">
        <f t="shared" si="13"/>
        <v>工业循环水</v>
      </c>
      <c r="O32" s="26" t="str">
        <f t="shared" si="16"/>
        <v>chemicals 20</v>
      </c>
      <c r="P32" s="26" t="str">
        <f t="shared" si="5"/>
        <v>Cogeneration and Waste Heat Recovery</v>
      </c>
      <c r="Q32" s="47">
        <f t="shared" si="0"/>
        <v>5.7005041489542219</v>
      </c>
      <c r="R32" s="47">
        <f t="shared" si="1"/>
        <v>38.003360993028146</v>
      </c>
    </row>
    <row r="33" spans="1:18" ht="14.25" x14ac:dyDescent="0.2">
      <c r="A33" s="46">
        <v>2020</v>
      </c>
      <c r="B33" s="24" t="s">
        <v>20</v>
      </c>
      <c r="C33" s="25" t="s">
        <v>105</v>
      </c>
      <c r="D33" s="46">
        <f>SUMIFS(工业节能技术装备推荐目录!K:K,工业节能技术装备推荐目录!C:C,用能设备节能分配!B33,工业节能技术装备推荐目录!F:F,用能设备节能分配!C33,工业节能技术装备推荐目录!A:A,用能设备节能分配!A33)</f>
        <v>0</v>
      </c>
      <c r="E33" s="47">
        <f>SUMIFS(工业节能技术装备推荐目录!L:L,工业节能技术装备推荐目录!C:C,用能设备节能分配!B33,工业节能技术装备推荐目录!F:F,用能设备节能分配!C33,工业节能技术装备推荐目录!A:A,用能设备节能分配!A33)</f>
        <v>0</v>
      </c>
      <c r="G33" s="26" t="s">
        <v>406</v>
      </c>
      <c r="H33" s="26" t="s">
        <v>386</v>
      </c>
      <c r="I33" s="40" t="str">
        <f>VLOOKUP(H33,'Sector &amp; Policy Match'!$A$1:$B$42,2,0)</f>
        <v>电力、热力生产</v>
      </c>
      <c r="J33" s="43">
        <f>IFERROR(VLOOKUP(I33,BIFUbC!$A$1:$C$27,3,0),0)</f>
        <v>2269430122869799.5</v>
      </c>
      <c r="K33" s="44">
        <f t="shared" si="15"/>
        <v>3.1942502057798632E-2</v>
      </c>
      <c r="M33" s="46">
        <v>2020</v>
      </c>
      <c r="N33" s="26" t="str">
        <f t="shared" si="13"/>
        <v>工业循环水</v>
      </c>
      <c r="O33" s="26" t="str">
        <f t="shared" si="16"/>
        <v>chemicals 20</v>
      </c>
      <c r="P33" s="26" t="str">
        <f t="shared" si="5"/>
        <v>Improvement in Eqpt Efficiency Standards</v>
      </c>
      <c r="Q33" s="47">
        <f t="shared" si="0"/>
        <v>0</v>
      </c>
      <c r="R33" s="47">
        <f t="shared" si="1"/>
        <v>0</v>
      </c>
    </row>
    <row r="34" spans="1:18" ht="14.25" x14ac:dyDescent="0.2">
      <c r="A34" s="46">
        <v>2020</v>
      </c>
      <c r="B34" s="24" t="s">
        <v>22</v>
      </c>
      <c r="C34" s="25" t="s">
        <v>103</v>
      </c>
      <c r="D34" s="46">
        <f>SUMIFS(工业节能技术装备推荐目录!K:K,工业节能技术装备推荐目录!C:C,用能设备节能分配!B34,工业节能技术装备推荐目录!F:F,用能设备节能分配!C34,工业节能技术装备推荐目录!A:A,用能设备节能分配!A34)</f>
        <v>0</v>
      </c>
      <c r="E34" s="47">
        <f>SUMIFS(工业节能技术装备推荐目录!L:L,工业节能技术装备推荐目录!C:C,用能设备节能分配!B34,工业节能技术装备推荐目录!F:F,用能设备节能分配!C34,工业节能技术装备推荐目录!A:A,用能设备节能分配!A34)</f>
        <v>0</v>
      </c>
      <c r="G34" s="26" t="s">
        <v>406</v>
      </c>
      <c r="H34" s="26" t="s">
        <v>407</v>
      </c>
      <c r="I34" s="40" t="str">
        <f>VLOOKUP(H34,'Sector &amp; Policy Match'!$A$1:$B$42,2,0)</f>
        <v>water and waste 36T39</v>
      </c>
      <c r="J34" s="43">
        <f>IFERROR(VLOOKUP(I34,BIFUbC!$A$1:$C$27,3,0),0)</f>
        <v>407212485139052.56</v>
      </c>
      <c r="K34" s="44">
        <f t="shared" si="15"/>
        <v>5.7315647278300148E-3</v>
      </c>
      <c r="M34" s="46">
        <v>2020</v>
      </c>
      <c r="N34" s="26" t="str">
        <f t="shared" si="13"/>
        <v>工业循环水</v>
      </c>
      <c r="O34" s="26" t="str">
        <f>I$11</f>
        <v>iron and steel 241</v>
      </c>
      <c r="P34" s="26" t="str">
        <f t="shared" si="5"/>
        <v>Early Facility Retirement</v>
      </c>
      <c r="Q34" s="47">
        <f t="shared" si="0"/>
        <v>0</v>
      </c>
      <c r="R34" s="47">
        <f t="shared" si="1"/>
        <v>0</v>
      </c>
    </row>
    <row r="35" spans="1:18" ht="14.25" x14ac:dyDescent="0.2">
      <c r="A35" s="46">
        <v>2020</v>
      </c>
      <c r="B35" s="24" t="s">
        <v>22</v>
      </c>
      <c r="C35" s="25" t="s">
        <v>104</v>
      </c>
      <c r="D35" s="46">
        <f>SUMIFS(工业节能技术装备推荐目录!K:K,工业节能技术装备推荐目录!C:C,用能设备节能分配!B35,工业节能技术装备推荐目录!F:F,用能设备节能分配!C35,工业节能技术装备推荐目录!A:A,用能设备节能分配!A35)</f>
        <v>0</v>
      </c>
      <c r="E35" s="47">
        <f>SUMIFS(工业节能技术装备推荐目录!L:L,工业节能技术装备推荐目录!C:C,用能设备节能分配!B35,工业节能技术装备推荐目录!F:F,用能设备节能分配!C35,工业节能技术装备推荐目录!A:A,用能设备节能分配!A35)</f>
        <v>0</v>
      </c>
      <c r="G35" s="26" t="s">
        <v>409</v>
      </c>
      <c r="H35" s="26" t="s">
        <v>389</v>
      </c>
      <c r="I35" s="40" t="str">
        <f>VLOOKUP(H35,'Sector &amp; Policy Match'!$A$1:$B$42,2,0)</f>
        <v>iron and steel 241</v>
      </c>
      <c r="J35" s="43">
        <f>IFERROR(VLOOKUP(I35,BIFUbC!$A$1:$C$27,3,0),0)</f>
        <v>2.0096009373213932E+16</v>
      </c>
      <c r="K35" s="44">
        <f>J35/SUM($J$35:$J$38)</f>
        <v>0.26558943381073624</v>
      </c>
      <c r="M35" s="46">
        <v>2020</v>
      </c>
      <c r="N35" s="26" t="str">
        <f t="shared" si="13"/>
        <v>工业循环水</v>
      </c>
      <c r="O35" s="26" t="str">
        <f t="shared" ref="O35:O37" si="17">I$11</f>
        <v>iron and steel 241</v>
      </c>
      <c r="P35" s="26" t="str">
        <f t="shared" si="5"/>
        <v>Installation and System Integration</v>
      </c>
      <c r="Q35" s="47">
        <f t="shared" si="0"/>
        <v>0</v>
      </c>
      <c r="R35" s="47">
        <f t="shared" si="1"/>
        <v>0</v>
      </c>
    </row>
    <row r="36" spans="1:18" ht="14.25" x14ac:dyDescent="0.2">
      <c r="A36" s="46">
        <v>2020</v>
      </c>
      <c r="B36" s="24" t="s">
        <v>22</v>
      </c>
      <c r="C36" s="25" t="s">
        <v>102</v>
      </c>
      <c r="D36" s="46">
        <f>SUMIFS(工业节能技术装备推荐目录!K:K,工业节能技术装备推荐目录!C:C,用能设备节能分配!B36,工业节能技术装备推荐目录!F:F,用能设备节能分配!C36,工业节能技术装备推荐目录!A:A,用能设备节能分配!A36)</f>
        <v>0</v>
      </c>
      <c r="E36" s="47">
        <f>SUMIFS(工业节能技术装备推荐目录!L:L,工业节能技术装备推荐目录!C:C,用能设备节能分配!B36,工业节能技术装备推荐目录!F:F,用能设备节能分配!C36,工业节能技术装备推荐目录!A:A,用能设备节能分配!A36)</f>
        <v>0</v>
      </c>
      <c r="G36" s="26" t="s">
        <v>409</v>
      </c>
      <c r="H36" s="26" t="s">
        <v>387</v>
      </c>
      <c r="I36" s="40" t="str">
        <f>VLOOKUP(H36,'Sector &amp; Policy Match'!$A$1:$B$42,2,0)</f>
        <v>refined petroleum and coke 19</v>
      </c>
      <c r="J36" s="43">
        <f>IFERROR(VLOOKUP(I36,BIFUbC!$A$1:$C$27,3,0),0)</f>
        <v>4.3980180641948744E+16</v>
      </c>
      <c r="K36" s="44">
        <f t="shared" ref="K36:K38" si="18">J36/SUM($J$35:$J$38)</f>
        <v>0.58124332342113116</v>
      </c>
      <c r="M36" s="46">
        <v>2020</v>
      </c>
      <c r="N36" s="26" t="str">
        <f t="shared" si="13"/>
        <v>工业循环水</v>
      </c>
      <c r="O36" s="26" t="str">
        <f t="shared" si="17"/>
        <v>iron and steel 241</v>
      </c>
      <c r="P36" s="26" t="str">
        <f t="shared" si="5"/>
        <v>Cogeneration and Waste Heat Recovery</v>
      </c>
      <c r="Q36" s="47">
        <f t="shared" si="0"/>
        <v>9.1366110443630717</v>
      </c>
      <c r="R36" s="47">
        <f t="shared" si="1"/>
        <v>60.910740295753818</v>
      </c>
    </row>
    <row r="37" spans="1:18" ht="14.25" x14ac:dyDescent="0.2">
      <c r="A37" s="46">
        <v>2020</v>
      </c>
      <c r="B37" s="24" t="s">
        <v>22</v>
      </c>
      <c r="C37" s="25" t="s">
        <v>105</v>
      </c>
      <c r="D37" s="46">
        <f>SUMIFS(工业节能技术装备推荐目录!K:K,工业节能技术装备推荐目录!C:C,用能设备节能分配!B37,工业节能技术装备推荐目录!F:F,用能设备节能分配!C37,工业节能技术装备推荐目录!A:A,用能设备节能分配!A37)</f>
        <v>0</v>
      </c>
      <c r="E37" s="47">
        <f>SUMIFS(工业节能技术装备推荐目录!L:L,工业节能技术装备推荐目录!C:C,用能设备节能分配!B37,工业节能技术装备推荐目录!F:F,用能设备节能分配!C37,工业节能技术装备推荐目录!A:A,用能设备节能分配!A37)</f>
        <v>0</v>
      </c>
      <c r="G37" s="26" t="s">
        <v>409</v>
      </c>
      <c r="H37" s="26" t="s">
        <v>395</v>
      </c>
      <c r="I37" s="40" t="str">
        <f>VLOOKUP(H37,'Sector &amp; Policy Match'!$A$1:$B$42,2,0)</f>
        <v>other metals 242</v>
      </c>
      <c r="J37" s="43">
        <f>IFERROR(VLOOKUP(I37,BIFUbC!$A$1:$C$27,3,0),0)</f>
        <v>3410530606926317</v>
      </c>
      <c r="K37" s="44">
        <f t="shared" si="18"/>
        <v>4.5073669904587804E-2</v>
      </c>
      <c r="M37" s="46">
        <v>2020</v>
      </c>
      <c r="N37" s="26" t="str">
        <f t="shared" si="13"/>
        <v>工业循环水</v>
      </c>
      <c r="O37" s="26" t="str">
        <f t="shared" si="17"/>
        <v>iron and steel 241</v>
      </c>
      <c r="P37" s="26" t="str">
        <f t="shared" si="5"/>
        <v>Improvement in Eqpt Efficiency Standards</v>
      </c>
      <c r="Q37" s="47">
        <f t="shared" si="0"/>
        <v>0</v>
      </c>
      <c r="R37" s="47">
        <f t="shared" si="1"/>
        <v>0</v>
      </c>
    </row>
    <row r="38" spans="1:18" ht="14.25" x14ac:dyDescent="0.2">
      <c r="A38" s="46">
        <v>2020</v>
      </c>
      <c r="B38" s="24" t="s">
        <v>78</v>
      </c>
      <c r="C38" s="25" t="s">
        <v>103</v>
      </c>
      <c r="D38" s="46">
        <f>SUMIFS(工业节能技术装备推荐目录!K:K,工业节能技术装备推荐目录!C:C,用能设备节能分配!B38,工业节能技术装备推荐目录!F:F,用能设备节能分配!C38,工业节能技术装备推荐目录!A:A,用能设备节能分配!A38)</f>
        <v>0</v>
      </c>
      <c r="E38" s="47">
        <f>SUMIFS(工业节能技术装备推荐目录!L:L,工业节能技术装备推荐目录!C:C,用能设备节能分配!B38,工业节能技术装备推荐目录!F:F,用能设备节能分配!C38,工业节能技术装备推荐目录!A:A,用能设备节能分配!A38)</f>
        <v>0</v>
      </c>
      <c r="G38" s="26" t="s">
        <v>409</v>
      </c>
      <c r="H38" s="26" t="s">
        <v>410</v>
      </c>
      <c r="I38" s="40" t="str">
        <f>VLOOKUP(H38,'Sector &amp; Policy Match'!$A$1:$B$42,2,0)</f>
        <v>cement and other nonmetallic minerals 239</v>
      </c>
      <c r="J38" s="43">
        <f>IFERROR(VLOOKUP(I38,BIFUbC!$A$1:$C$27,3,0),0)</f>
        <v>8178975429413974</v>
      </c>
      <c r="K38" s="44">
        <f t="shared" si="18"/>
        <v>0.10809357286354486</v>
      </c>
      <c r="M38" s="46">
        <v>2020</v>
      </c>
      <c r="N38" s="26" t="str">
        <f t="shared" si="13"/>
        <v>工业循环水</v>
      </c>
      <c r="O38" s="26" t="str">
        <f>I$12</f>
        <v>other metals 242</v>
      </c>
      <c r="P38" s="26" t="str">
        <f t="shared" si="5"/>
        <v>Early Facility Retirement</v>
      </c>
      <c r="Q38" s="47">
        <f t="shared" si="0"/>
        <v>0</v>
      </c>
      <c r="R38" s="47">
        <f t="shared" si="1"/>
        <v>0</v>
      </c>
    </row>
    <row r="39" spans="1:18" ht="14.25" x14ac:dyDescent="0.2">
      <c r="A39" s="46">
        <v>2020</v>
      </c>
      <c r="B39" s="24" t="s">
        <v>78</v>
      </c>
      <c r="C39" s="25" t="s">
        <v>104</v>
      </c>
      <c r="D39" s="46">
        <f>SUMIFS(工业节能技术装备推荐目录!K:K,工业节能技术装备推荐目录!C:C,用能设备节能分配!B39,工业节能技术装备推荐目录!F:F,用能设备节能分配!C39,工业节能技术装备推荐目录!A:A,用能设备节能分配!A39)</f>
        <v>0</v>
      </c>
      <c r="E39" s="47">
        <f>SUMIFS(工业节能技术装备推荐目录!L:L,工业节能技术装备推荐目录!C:C,用能设备节能分配!B39,工业节能技术装备推荐目录!F:F,用能设备节能分配!C39,工业节能技术装备推荐目录!A:A,用能设备节能分配!A39)</f>
        <v>0</v>
      </c>
      <c r="G39" s="26" t="s">
        <v>411</v>
      </c>
      <c r="H39" s="26" t="s">
        <v>405</v>
      </c>
      <c r="I39" s="40" t="str">
        <f>VLOOKUP(H39,'Sector &amp; Policy Match'!$A$1:$B$42,2,0)</f>
        <v>coal mining 05</v>
      </c>
      <c r="J39" s="43">
        <f>IFERROR(VLOOKUP(I39,BIFUbC!$A$1:$C$27,3,0),0)</f>
        <v>2088463251408978.8</v>
      </c>
      <c r="K39" s="44">
        <f>J39/SUM($J$39:$J$43)</f>
        <v>2.9069169353663236E-2</v>
      </c>
      <c r="M39" s="46">
        <v>2020</v>
      </c>
      <c r="N39" s="26" t="str">
        <f t="shared" si="13"/>
        <v>工业循环水</v>
      </c>
      <c r="O39" s="26" t="str">
        <f t="shared" ref="O39:O41" si="19">I$12</f>
        <v>other metals 242</v>
      </c>
      <c r="P39" s="26" t="str">
        <f t="shared" si="5"/>
        <v>Installation and System Integration</v>
      </c>
      <c r="Q39" s="47">
        <f t="shared" si="0"/>
        <v>0</v>
      </c>
      <c r="R39" s="47">
        <f t="shared" si="1"/>
        <v>0</v>
      </c>
    </row>
    <row r="40" spans="1:18" ht="14.25" x14ac:dyDescent="0.2">
      <c r="A40" s="46">
        <v>2020</v>
      </c>
      <c r="B40" s="24" t="s">
        <v>78</v>
      </c>
      <c r="C40" s="25" t="s">
        <v>102</v>
      </c>
      <c r="D40" s="46">
        <f>SUMIFS(工业节能技术装备推荐目录!K:K,工业节能技术装备推荐目录!C:C,用能设备节能分配!B40,工业节能技术装备推荐目录!F:F,用能设备节能分配!C40,工业节能技术装备推荐目录!A:A,用能设备节能分配!A40)</f>
        <v>0</v>
      </c>
      <c r="E40" s="47">
        <f>SUMIFS(工业节能技术装备推荐目录!L:L,工业节能技术装备推荐目录!C:C,用能设备节能分配!B40,工业节能技术装备推荐目录!F:F,用能设备节能分配!C40,工业节能技术装备推荐目录!A:A,用能设备节能分配!A40)</f>
        <v>0</v>
      </c>
      <c r="G40" s="26" t="s">
        <v>411</v>
      </c>
      <c r="H40" s="26" t="s">
        <v>389</v>
      </c>
      <c r="I40" s="40" t="str">
        <f>VLOOKUP(H40,'Sector &amp; Policy Match'!$A$1:$B$42,2,0)</f>
        <v>iron and steel 241</v>
      </c>
      <c r="J40" s="43">
        <f>IFERROR(VLOOKUP(I40,BIFUbC!$A$1:$C$27,3,0),0)</f>
        <v>2.0096009373213932E+16</v>
      </c>
      <c r="K40" s="44">
        <f t="shared" ref="K40:K43" si="20">J40/SUM($J$39:$J$43)</f>
        <v>0.27971490492286483</v>
      </c>
      <c r="M40" s="46">
        <v>2020</v>
      </c>
      <c r="N40" s="26" t="str">
        <f t="shared" si="13"/>
        <v>工业循环水</v>
      </c>
      <c r="O40" s="26" t="str">
        <f t="shared" si="19"/>
        <v>other metals 242</v>
      </c>
      <c r="P40" s="26" t="str">
        <f t="shared" si="5"/>
        <v>Cogeneration and Waste Heat Recovery</v>
      </c>
      <c r="Q40" s="47">
        <f t="shared" si="0"/>
        <v>1.5505910169367016</v>
      </c>
      <c r="R40" s="47">
        <f t="shared" si="1"/>
        <v>10.337273446244678</v>
      </c>
    </row>
    <row r="41" spans="1:18" ht="14.25" x14ac:dyDescent="0.2">
      <c r="A41" s="46">
        <v>2020</v>
      </c>
      <c r="B41" s="24" t="s">
        <v>78</v>
      </c>
      <c r="C41" s="25" t="s">
        <v>105</v>
      </c>
      <c r="D41" s="46">
        <f>SUMIFS(工业节能技术装备推荐目录!K:K,工业节能技术装备推荐目录!C:C,用能设备节能分配!B41,工业节能技术装备推荐目录!F:F,用能设备节能分配!C41,工业节能技术装备推荐目录!A:A,用能设备节能分配!A41)</f>
        <v>0</v>
      </c>
      <c r="E41" s="47">
        <f>SUMIFS(工业节能技术装备推荐目录!L:L,工业节能技术装备推荐目录!C:C,用能设备节能分配!B41,工业节能技术装备推荐目录!F:F,用能设备节能分配!C41,工业节能技术装备推荐目录!A:A,用能设备节能分配!A41)</f>
        <v>0</v>
      </c>
      <c r="G41" s="26" t="s">
        <v>411</v>
      </c>
      <c r="H41" s="26" t="s">
        <v>395</v>
      </c>
      <c r="I41" s="40" t="str">
        <f>VLOOKUP(H41,'Sector &amp; Policy Match'!$A$1:$B$42,2,0)</f>
        <v>other metals 242</v>
      </c>
      <c r="J41" s="43">
        <f>IFERROR(VLOOKUP(I41,BIFUbC!$A$1:$C$27,3,0),0)</f>
        <v>3410530606926317</v>
      </c>
      <c r="K41" s="44">
        <f t="shared" si="20"/>
        <v>4.7470929513223389E-2</v>
      </c>
      <c r="M41" s="46">
        <v>2020</v>
      </c>
      <c r="N41" s="26" t="str">
        <f t="shared" si="13"/>
        <v>工业循环水</v>
      </c>
      <c r="O41" s="26" t="str">
        <f t="shared" si="19"/>
        <v>other metals 242</v>
      </c>
      <c r="P41" s="26" t="str">
        <f t="shared" si="5"/>
        <v>Improvement in Eqpt Efficiency Standards</v>
      </c>
      <c r="Q41" s="47">
        <f t="shared" si="0"/>
        <v>0</v>
      </c>
      <c r="R41" s="47">
        <f t="shared" si="1"/>
        <v>0</v>
      </c>
    </row>
    <row r="42" spans="1:18" ht="14.25" x14ac:dyDescent="0.2">
      <c r="A42" s="46">
        <v>2020</v>
      </c>
      <c r="B42" s="24" t="s">
        <v>21</v>
      </c>
      <c r="C42" s="25" t="s">
        <v>103</v>
      </c>
      <c r="D42" s="46">
        <f>SUMIFS(工业节能技术装备推荐目录!K:K,工业节能技术装备推荐目录!C:C,用能设备节能分配!B42,工业节能技术装备推荐目录!F:F,用能设备节能分配!C42,工业节能技术装备推荐目录!A:A,用能设备节能分配!A42)</f>
        <v>0</v>
      </c>
      <c r="E42" s="47">
        <f>SUMIFS(工业节能技术装备推荐目录!L:L,工业节能技术装备推荐目录!C:C,用能设备节能分配!B42,工业节能技术装备推荐目录!F:F,用能设备节能分配!C42,工业节能技术装备推荐目录!A:A,用能设备节能分配!A42)</f>
        <v>0</v>
      </c>
      <c r="G42" s="26" t="s">
        <v>411</v>
      </c>
      <c r="H42" s="26" t="s">
        <v>387</v>
      </c>
      <c r="I42" s="40" t="str">
        <f>VLOOKUP(H42,'Sector &amp; Policy Match'!$A$1:$B$42,2,0)</f>
        <v>refined petroleum and coke 19</v>
      </c>
      <c r="J42" s="43">
        <f>IFERROR(VLOOKUP(I42,BIFUbC!$A$1:$C$27,3,0),0)</f>
        <v>4.3980180641948744E+16</v>
      </c>
      <c r="K42" s="44">
        <f t="shared" si="20"/>
        <v>0.61215696202602243</v>
      </c>
      <c r="M42" s="46">
        <v>2020</v>
      </c>
      <c r="N42" s="26" t="str">
        <f t="shared" si="13"/>
        <v>工业循环水</v>
      </c>
      <c r="O42" s="26" t="str">
        <f>I$13</f>
        <v>pulp paper and printing 17T18</v>
      </c>
      <c r="P42" s="26" t="str">
        <f t="shared" si="5"/>
        <v>Early Facility Retirement</v>
      </c>
      <c r="Q42" s="47">
        <f t="shared" si="0"/>
        <v>0</v>
      </c>
      <c r="R42" s="47">
        <f t="shared" si="1"/>
        <v>0</v>
      </c>
    </row>
    <row r="43" spans="1:18" ht="14.25" x14ac:dyDescent="0.2">
      <c r="A43" s="46">
        <v>2020</v>
      </c>
      <c r="B43" s="24" t="s">
        <v>21</v>
      </c>
      <c r="C43" s="25" t="s">
        <v>104</v>
      </c>
      <c r="D43" s="46">
        <f>SUMIFS(工业节能技术装备推荐目录!K:K,工业节能技术装备推荐目录!C:C,用能设备节能分配!B43,工业节能技术装备推荐目录!F:F,用能设备节能分配!C43,工业节能技术装备推荐目录!A:A,用能设备节能分配!A43)</f>
        <v>0</v>
      </c>
      <c r="E43" s="47">
        <f>SUMIFS(工业节能技术装备推荐目录!L:L,工业节能技术装备推荐目录!C:C,用能设备节能分配!B43,工业节能技术装备推荐目录!F:F,用能设备节能分配!C43,工业节能技术装备推荐目录!A:A,用能设备节能分配!A43)</f>
        <v>0</v>
      </c>
      <c r="G43" s="26" t="s">
        <v>411</v>
      </c>
      <c r="H43" s="26" t="s">
        <v>386</v>
      </c>
      <c r="I43" s="40" t="str">
        <f>VLOOKUP(H43,'Sector &amp; Policy Match'!$A$1:$B$42,2,0)</f>
        <v>电力、热力生产</v>
      </c>
      <c r="J43" s="43">
        <f>IFERROR(VLOOKUP(I43,BIFUbC!$A$1:$C$27,3,0),0)</f>
        <v>2269430122869799.5</v>
      </c>
      <c r="K43" s="44">
        <f t="shared" si="20"/>
        <v>3.1588034184226177E-2</v>
      </c>
      <c r="M43" s="46">
        <v>2020</v>
      </c>
      <c r="N43" s="26" t="str">
        <f t="shared" si="13"/>
        <v>工业循环水</v>
      </c>
      <c r="O43" s="26" t="str">
        <f t="shared" ref="O43:O45" si="21">I$13</f>
        <v>pulp paper and printing 17T18</v>
      </c>
      <c r="P43" s="26" t="str">
        <f t="shared" si="5"/>
        <v>Installation and System Integration</v>
      </c>
      <c r="Q43" s="47">
        <f t="shared" si="0"/>
        <v>0</v>
      </c>
      <c r="R43" s="47">
        <f t="shared" si="1"/>
        <v>0</v>
      </c>
    </row>
    <row r="44" spans="1:18" ht="14.25" x14ac:dyDescent="0.2">
      <c r="A44" s="46">
        <v>2020</v>
      </c>
      <c r="B44" s="24" t="s">
        <v>21</v>
      </c>
      <c r="C44" s="25" t="s">
        <v>102</v>
      </c>
      <c r="D44" s="46">
        <f>SUMIFS(工业节能技术装备推荐目录!K:K,工业节能技术装备推荐目录!C:C,用能设备节能分配!B44,工业节能技术装备推荐目录!F:F,用能设备节能分配!C44,工业节能技术装备推荐目录!A:A,用能设备节能分配!A44)</f>
        <v>0</v>
      </c>
      <c r="E44" s="47">
        <f>SUMIFS(工业节能技术装备推荐目录!L:L,工业节能技术装备推荐目录!C:C,用能设备节能分配!B44,工业节能技术装备推荐目录!F:F,用能设备节能分配!C44,工业节能技术装备推荐目录!A:A,用能设备节能分配!A44)</f>
        <v>0</v>
      </c>
      <c r="G44" s="26" t="s">
        <v>84</v>
      </c>
      <c r="H44" s="26" t="s">
        <v>412</v>
      </c>
      <c r="I44" s="40" t="str">
        <f>VLOOKUP(H44,'Sector &amp; Policy Match'!$A$1:$B$42,2,0)</f>
        <v>other manufacturing 31T33</v>
      </c>
      <c r="J44" s="43">
        <f>IFERROR(VLOOKUP(I44,BIFUbC!$A$1:$C$27,3,0),0)</f>
        <v>543801799049952.25</v>
      </c>
      <c r="K44" s="44">
        <f>J44/SUM($J$44:$J$48)</f>
        <v>0.36349916254302755</v>
      </c>
      <c r="M44" s="46">
        <v>2020</v>
      </c>
      <c r="N44" s="26" t="str">
        <f t="shared" si="13"/>
        <v>工业循环水</v>
      </c>
      <c r="O44" s="26" t="str">
        <f t="shared" si="21"/>
        <v>pulp paper and printing 17T18</v>
      </c>
      <c r="P44" s="26" t="str">
        <f t="shared" si="5"/>
        <v>Cogeneration and Waste Heat Recovery</v>
      </c>
      <c r="Q44" s="47">
        <f t="shared" si="0"/>
        <v>0.40190283219551215</v>
      </c>
      <c r="R44" s="47">
        <f t="shared" si="1"/>
        <v>2.6793522146367477</v>
      </c>
    </row>
    <row r="45" spans="1:18" ht="14.25" x14ac:dyDescent="0.2">
      <c r="A45" s="46">
        <v>2020</v>
      </c>
      <c r="B45" s="24" t="s">
        <v>21</v>
      </c>
      <c r="C45" s="25" t="s">
        <v>105</v>
      </c>
      <c r="D45" s="46">
        <f>SUMIFS(工业节能技术装备推荐目录!K:K,工业节能技术装备推荐目录!C:C,用能设备节能分配!B45,工业节能技术装备推荐目录!F:F,用能设备节能分配!C45,工业节能技术装备推荐目录!A:A,用能设备节能分配!A45)</f>
        <v>0</v>
      </c>
      <c r="E45" s="47">
        <f>SUMIFS(工业节能技术装备推荐目录!L:L,工业节能技术装备推荐目录!C:C,用能设备节能分配!B45,工业节能技术装备推荐目录!F:F,用能设备节能分配!C45,工业节能技术装备推荐目录!A:A,用能设备节能分配!A45)</f>
        <v>0</v>
      </c>
      <c r="G45" s="26" t="s">
        <v>84</v>
      </c>
      <c r="H45" s="26" t="s">
        <v>413</v>
      </c>
      <c r="I45" s="40" t="str">
        <f>VLOOKUP(H45,'Sector &amp; Policy Match'!$A$1:$B$42,2,0)</f>
        <v>glass and glass products 231</v>
      </c>
      <c r="J45" s="43">
        <f>IFERROR(VLOOKUP(I45,BIFUbC!$A$1:$C$27,3,0),0)</f>
        <v>221106833331857.81</v>
      </c>
      <c r="K45" s="44">
        <f t="shared" ref="K45:K48" si="22">J45/SUM($J$44:$J$48)</f>
        <v>0.14779676876590897</v>
      </c>
      <c r="M45" s="46">
        <v>2020</v>
      </c>
      <c r="N45" s="26" t="str">
        <f t="shared" si="13"/>
        <v>工业循环水</v>
      </c>
      <c r="O45" s="26" t="str">
        <f t="shared" si="21"/>
        <v>pulp paper and printing 17T18</v>
      </c>
      <c r="P45" s="26" t="str">
        <f t="shared" si="5"/>
        <v>Improvement in Eqpt Efficiency Standards</v>
      </c>
      <c r="Q45" s="47">
        <f t="shared" si="0"/>
        <v>0</v>
      </c>
      <c r="R45" s="47">
        <f t="shared" si="1"/>
        <v>0</v>
      </c>
    </row>
    <row r="46" spans="1:18" ht="14.25" x14ac:dyDescent="0.2">
      <c r="A46" s="46">
        <v>2020</v>
      </c>
      <c r="B46" s="24" t="s">
        <v>82</v>
      </c>
      <c r="C46" s="25" t="s">
        <v>103</v>
      </c>
      <c r="D46" s="46">
        <f>SUMIFS(工业节能技术装备推荐目录!K:K,工业节能技术装备推荐目录!C:C,用能设备节能分配!B46,工业节能技术装备推荐目录!F:F,用能设备节能分配!C46,工业节能技术装备推荐目录!A:A,用能设备节能分配!A46)</f>
        <v>0</v>
      </c>
      <c r="E46" s="47">
        <f>SUMIFS(工业节能技术装备推荐目录!L:L,工业节能技术装备推荐目录!C:C,用能设备节能分配!B46,工业节能技术装备推荐目录!F:F,用能设备节能分配!C46,工业节能技术装备推荐目录!A:A,用能设备节能分配!A46)</f>
        <v>0</v>
      </c>
      <c r="G46" s="26" t="s">
        <v>84</v>
      </c>
      <c r="H46" s="26" t="s">
        <v>414</v>
      </c>
      <c r="I46" s="40" t="str">
        <f>VLOOKUP(H46,'Sector &amp; Policy Match'!$A$1:$B$42,2,0)</f>
        <v>computers and electronics 27</v>
      </c>
      <c r="J46" s="43">
        <f>IFERROR(VLOOKUP(I46,BIFUbC!$A$1:$C$27,3,0),0)</f>
        <v>0</v>
      </c>
      <c r="K46" s="44">
        <f t="shared" si="22"/>
        <v>0</v>
      </c>
      <c r="M46" s="46">
        <v>2020</v>
      </c>
      <c r="N46" s="26" t="str">
        <f t="shared" si="13"/>
        <v>工业循环水</v>
      </c>
      <c r="O46" s="26" t="str">
        <f>I$14</f>
        <v>textiles apparel and leather 13T15</v>
      </c>
      <c r="P46" s="26" t="str">
        <f t="shared" si="5"/>
        <v>Early Facility Retirement</v>
      </c>
      <c r="Q46" s="47">
        <f t="shared" si="0"/>
        <v>0</v>
      </c>
      <c r="R46" s="47">
        <f t="shared" si="1"/>
        <v>0</v>
      </c>
    </row>
    <row r="47" spans="1:18" ht="14.25" x14ac:dyDescent="0.2">
      <c r="A47" s="46">
        <v>2020</v>
      </c>
      <c r="B47" s="24" t="s">
        <v>82</v>
      </c>
      <c r="C47" s="25" t="s">
        <v>104</v>
      </c>
      <c r="D47" s="46">
        <f>SUMIFS(工业节能技术装备推荐目录!K:K,工业节能技术装备推荐目录!C:C,用能设备节能分配!B47,工业节能技术装备推荐目录!F:F,用能设备节能分配!C47,工业节能技术装备推荐目录!A:A,用能设备节能分配!A47)</f>
        <v>0</v>
      </c>
      <c r="E47" s="47">
        <f>SUMIFS(工业节能技术装备推荐目录!L:L,工业节能技术装备推荐目录!C:C,用能设备节能分配!B47,工业节能技术装备推荐目录!F:F,用能设备节能分配!C47,工业节能技术装备推荐目录!A:A,用能设备节能分配!A47)</f>
        <v>0</v>
      </c>
      <c r="G47" s="26" t="s">
        <v>84</v>
      </c>
      <c r="H47" s="26" t="s">
        <v>416</v>
      </c>
      <c r="I47" s="40" t="str">
        <f>VLOOKUP(H47,'Sector &amp; Policy Match'!$A$1:$B$42,2,0)</f>
        <v>appliances and electrical equipment 27</v>
      </c>
      <c r="J47" s="43">
        <f>IFERROR(VLOOKUP(I47,BIFUbC!$A$1:$C$27,3,0),0)</f>
        <v>391851376450712.25</v>
      </c>
      <c r="K47" s="44">
        <f t="shared" si="22"/>
        <v>0.26192934159102071</v>
      </c>
      <c r="M47" s="46">
        <v>2020</v>
      </c>
      <c r="N47" s="26" t="str">
        <f t="shared" si="13"/>
        <v>工业循环水</v>
      </c>
      <c r="O47" s="26" t="str">
        <f t="shared" ref="O47:O49" si="23">I$14</f>
        <v>textiles apparel and leather 13T15</v>
      </c>
      <c r="P47" s="26" t="str">
        <f t="shared" si="5"/>
        <v>Installation and System Integration</v>
      </c>
      <c r="Q47" s="47">
        <f t="shared" si="0"/>
        <v>0</v>
      </c>
      <c r="R47" s="47">
        <f t="shared" si="1"/>
        <v>0</v>
      </c>
    </row>
    <row r="48" spans="1:18" ht="14.25" x14ac:dyDescent="0.2">
      <c r="A48" s="46">
        <v>2020</v>
      </c>
      <c r="B48" s="24" t="s">
        <v>82</v>
      </c>
      <c r="C48" s="25" t="s">
        <v>102</v>
      </c>
      <c r="D48" s="46">
        <f>SUMIFS(工业节能技术装备推荐目录!K:K,工业节能技术装备推荐目录!C:C,用能设备节能分配!B48,工业节能技术装备推荐目录!F:F,用能设备节能分配!C48,工业节能技术装备推荐目录!A:A,用能设备节能分配!A48)</f>
        <v>0</v>
      </c>
      <c r="E48" s="47">
        <f>SUMIFS(工业节能技术装备推荐目录!L:L,工业节能技术装备推荐目录!C:C,用能设备节能分配!B48,工业节能技术装备推荐目录!F:F,用能设备节能分配!C48,工业节能技术装备推荐目录!A:A,用能设备节能分配!A48)</f>
        <v>0</v>
      </c>
      <c r="G48" s="26" t="s">
        <v>84</v>
      </c>
      <c r="H48" s="26" t="s">
        <v>417</v>
      </c>
      <c r="I48" s="40" t="str">
        <f>VLOOKUP(H48,'Sector &amp; Policy Match'!$A$1:$B$42,2,0)</f>
        <v>road vehicles 29</v>
      </c>
      <c r="J48" s="43">
        <f>IFERROR(VLOOKUP(I48,BIFUbC!$A$1:$C$27,3,0),0)</f>
        <v>339259391172511.13</v>
      </c>
      <c r="K48" s="44">
        <f t="shared" si="22"/>
        <v>0.22677472710004273</v>
      </c>
      <c r="M48" s="46">
        <v>2020</v>
      </c>
      <c r="N48" s="26" t="str">
        <f t="shared" si="13"/>
        <v>工业循环水</v>
      </c>
      <c r="O48" s="26" t="str">
        <f t="shared" si="23"/>
        <v>textiles apparel and leather 13T15</v>
      </c>
      <c r="P48" s="26" t="str">
        <f t="shared" si="5"/>
        <v>Cogeneration and Waste Heat Recovery</v>
      </c>
      <c r="Q48" s="47">
        <f t="shared" si="0"/>
        <v>0.60875103415754506</v>
      </c>
      <c r="R48" s="47">
        <f t="shared" si="1"/>
        <v>4.0583402277169673</v>
      </c>
    </row>
    <row r="49" spans="1:18" ht="14.25" x14ac:dyDescent="0.2">
      <c r="A49" s="46">
        <v>2020</v>
      </c>
      <c r="B49" s="24" t="s">
        <v>82</v>
      </c>
      <c r="C49" s="25" t="s">
        <v>105</v>
      </c>
      <c r="D49" s="46">
        <f>SUMIFS(工业节能技术装备推荐目录!K:K,工业节能技术装备推荐目录!C:C,用能设备节能分配!B49,工业节能技术装备推荐目录!F:F,用能设备节能分配!C49,工业节能技术装备推荐目录!A:A,用能设备节能分配!A49)</f>
        <v>0</v>
      </c>
      <c r="E49" s="47">
        <f>SUMIFS(工业节能技术装备推荐目录!L:L,工业节能技术装备推荐目录!C:C,用能设备节能分配!B49,工业节能技术装备推荐目录!F:F,用能设备节能分配!C49,工业节能技术装备推荐目录!A:A,用能设备节能分配!A49)</f>
        <v>0</v>
      </c>
      <c r="G49" s="26" t="s">
        <v>418</v>
      </c>
      <c r="H49" s="26" t="s">
        <v>419</v>
      </c>
      <c r="I49" s="40" t="str">
        <f>VLOOKUP(H49,'Sector &amp; Policy Match'!$A$1:$B$42,2,0)</f>
        <v>agriculture and forestry 01T03</v>
      </c>
      <c r="J49" s="43">
        <f>IFERROR(VLOOKUP(I49,BIFUbC!$A$1:$C$27,3,0),0)</f>
        <v>1736651987772900</v>
      </c>
      <c r="K49" s="44">
        <f>J49/SUM($J$49:$J$56)</f>
        <v>4.2885911159644866E-2</v>
      </c>
      <c r="M49" s="46">
        <v>2020</v>
      </c>
      <c r="N49" s="26" t="str">
        <f t="shared" si="13"/>
        <v>工业循环水</v>
      </c>
      <c r="O49" s="26" t="str">
        <f t="shared" si="23"/>
        <v>textiles apparel and leather 13T15</v>
      </c>
      <c r="P49" s="26" t="str">
        <f t="shared" si="5"/>
        <v>Improvement in Eqpt Efficiency Standards</v>
      </c>
      <c r="Q49" s="47">
        <f t="shared" si="0"/>
        <v>0</v>
      </c>
      <c r="R49" s="47">
        <f t="shared" si="1"/>
        <v>0</v>
      </c>
    </row>
    <row r="50" spans="1:18" ht="14.25" x14ac:dyDescent="0.2">
      <c r="A50" s="46">
        <v>2020</v>
      </c>
      <c r="B50" s="26" t="s">
        <v>84</v>
      </c>
      <c r="C50" s="25" t="s">
        <v>103</v>
      </c>
      <c r="D50" s="46">
        <f>SUMIFS(工业节能技术装备推荐目录!K:K,工业节能技术装备推荐目录!C:C,用能设备节能分配!B50,工业节能技术装备推荐目录!F:F,用能设备节能分配!C50,工业节能技术装备推荐目录!A:A,用能设备节能分配!A50)</f>
        <v>0</v>
      </c>
      <c r="E50" s="47">
        <f>SUMIFS(工业节能技术装备推荐目录!L:L,工业节能技术装备推荐目录!C:C,用能设备节能分配!B50,工业节能技术装备推荐目录!F:F,用能设备节能分配!C50,工业节能技术装备推荐目录!A:A,用能设备节能分配!A50)</f>
        <v>0</v>
      </c>
      <c r="G50" s="26" t="s">
        <v>418</v>
      </c>
      <c r="H50" s="26" t="s">
        <v>405</v>
      </c>
      <c r="I50" s="40" t="str">
        <f>VLOOKUP(H50,'Sector &amp; Policy Match'!$A$1:$B$42,2,0)</f>
        <v>coal mining 05</v>
      </c>
      <c r="J50" s="43">
        <f>IFERROR(VLOOKUP(I50,BIFUbC!$A$1:$C$27,3,0),0)</f>
        <v>2088463251408978.8</v>
      </c>
      <c r="K50" s="44">
        <f t="shared" ref="K50:K56" si="24">J50/SUM($J$49:$J$56)</f>
        <v>5.157374654836195E-2</v>
      </c>
      <c r="M50" s="46">
        <v>2020</v>
      </c>
      <c r="N50" s="26" t="str">
        <f t="shared" si="13"/>
        <v>工业循环水</v>
      </c>
      <c r="O50" s="26" t="str">
        <f>I$15</f>
        <v>food beverage and tobacco 10T12</v>
      </c>
      <c r="P50" s="26" t="str">
        <f t="shared" si="5"/>
        <v>Early Facility Retirement</v>
      </c>
      <c r="Q50" s="47">
        <f t="shared" si="0"/>
        <v>0</v>
      </c>
      <c r="R50" s="47">
        <f t="shared" si="1"/>
        <v>0</v>
      </c>
    </row>
    <row r="51" spans="1:18" ht="14.25" x14ac:dyDescent="0.2">
      <c r="A51" s="46">
        <v>2020</v>
      </c>
      <c r="B51" s="26" t="s">
        <v>84</v>
      </c>
      <c r="C51" s="25" t="s">
        <v>104</v>
      </c>
      <c r="D51" s="46">
        <f>SUMIFS(工业节能技术装备推荐目录!K:K,工业节能技术装备推荐目录!C:C,用能设备节能分配!B51,工业节能技术装备推荐目录!F:F,用能设备节能分配!C51,工业节能技术装备推荐目录!A:A,用能设备节能分配!A51)</f>
        <v>0</v>
      </c>
      <c r="E51" s="47">
        <f>SUMIFS(工业节能技术装备推荐目录!L:L,工业节能技术装备推荐目录!C:C,用能设备节能分配!B51,工业节能技术装备推荐目录!F:F,用能设备节能分配!C51,工业节能技术装备推荐目录!A:A,用能设备节能分配!A51)</f>
        <v>0</v>
      </c>
      <c r="G51" s="26" t="s">
        <v>418</v>
      </c>
      <c r="H51" s="26" t="s">
        <v>420</v>
      </c>
      <c r="I51" s="40" t="str">
        <f>VLOOKUP(H51,'Sector &amp; Policy Match'!$A$1:$B$42,2,0)</f>
        <v>oil and gas extraction 06</v>
      </c>
      <c r="J51" s="43">
        <f>IFERROR(VLOOKUP(I51,BIFUbC!$A$1:$C$27,3,0),0)</f>
        <v>768298506206903.75</v>
      </c>
      <c r="K51" s="44">
        <f t="shared" si="24"/>
        <v>1.897281764755384E-2</v>
      </c>
      <c r="M51" s="46">
        <v>2020</v>
      </c>
      <c r="N51" s="26" t="str">
        <f t="shared" si="13"/>
        <v>工业循环水</v>
      </c>
      <c r="O51" s="26" t="str">
        <f t="shared" ref="O51:O53" si="25">I$15</f>
        <v>food beverage and tobacco 10T12</v>
      </c>
      <c r="P51" s="26" t="str">
        <f t="shared" si="5"/>
        <v>Installation and System Integration</v>
      </c>
      <c r="Q51" s="47">
        <f t="shared" si="0"/>
        <v>0</v>
      </c>
      <c r="R51" s="47">
        <f t="shared" si="1"/>
        <v>0</v>
      </c>
    </row>
    <row r="52" spans="1:18" ht="14.25" x14ac:dyDescent="0.2">
      <c r="A52" s="46">
        <v>2020</v>
      </c>
      <c r="B52" s="26" t="s">
        <v>84</v>
      </c>
      <c r="C52" s="25" t="s">
        <v>102</v>
      </c>
      <c r="D52" s="46">
        <f>SUMIFS(工业节能技术装备推荐目录!K:K,工业节能技术装备推荐目录!C:C,用能设备节能分配!B52,工业节能技术装备推荐目录!F:F,用能设备节能分配!C52,工业节能技术装备推荐目录!A:A,用能设备节能分配!A52)</f>
        <v>0</v>
      </c>
      <c r="E52" s="47">
        <f>SUMIFS(工业节能技术装备推荐目录!L:L,工业节能技术装备推荐目录!C:C,用能设备节能分配!B52,工业节能技术装备推荐目录!F:F,用能设备节能分配!C52,工业节能技术装备推荐目录!A:A,用能设备节能分配!A52)</f>
        <v>0</v>
      </c>
      <c r="G52" s="26" t="s">
        <v>418</v>
      </c>
      <c r="H52" s="26" t="s">
        <v>421</v>
      </c>
      <c r="I52" s="40" t="str">
        <f>VLOOKUP(H52,'Sector &amp; Policy Match'!$A$1:$B$42,2,0)</f>
        <v>other mining and quarrying 07T08</v>
      </c>
      <c r="J52" s="43">
        <f>IFERROR(VLOOKUP(I52,BIFUbC!$A$1:$C$27,3,0),0)</f>
        <v>590351799018880.25</v>
      </c>
      <c r="K52" s="44">
        <f t="shared" si="24"/>
        <v>1.4578496431013785E-2</v>
      </c>
      <c r="M52" s="46">
        <v>2020</v>
      </c>
      <c r="N52" s="26" t="str">
        <f t="shared" si="13"/>
        <v>工业循环水</v>
      </c>
      <c r="O52" s="26" t="str">
        <f t="shared" si="25"/>
        <v>food beverage and tobacco 10T12</v>
      </c>
      <c r="P52" s="26" t="str">
        <f t="shared" si="5"/>
        <v>Cogeneration and Waste Heat Recovery</v>
      </c>
      <c r="Q52" s="47">
        <f t="shared" si="0"/>
        <v>0.60613749683094542</v>
      </c>
      <c r="R52" s="47">
        <f t="shared" si="1"/>
        <v>4.0409166455396361</v>
      </c>
    </row>
    <row r="53" spans="1:18" ht="14.25" x14ac:dyDescent="0.2">
      <c r="A53" s="46">
        <v>2020</v>
      </c>
      <c r="B53" s="26" t="s">
        <v>84</v>
      </c>
      <c r="C53" s="25" t="s">
        <v>105</v>
      </c>
      <c r="D53" s="46">
        <f>SUMIFS(工业节能技术装备推荐目录!K:K,工业节能技术装备推荐目录!C:C,用能设备节能分配!B53,工业节能技术装备推荐目录!F:F,用能设备节能分配!C53,工业节能技术装备推荐目录!A:A,用能设备节能分配!A53)</f>
        <v>0</v>
      </c>
      <c r="E53" s="47">
        <f>SUMIFS(工业节能技术装备推荐目录!L:L,工业节能技术装备推荐目录!C:C,用能设备节能分配!B53,工业节能技术装备推荐目录!F:F,用能设备节能分配!C53,工业节能技术装备推荐目录!A:A,用能设备节能分配!A53)</f>
        <v>0</v>
      </c>
      <c r="G53" s="26" t="s">
        <v>418</v>
      </c>
      <c r="H53" s="26" t="s">
        <v>388</v>
      </c>
      <c r="I53" s="40" t="str">
        <f>VLOOKUP(H53,'Sector &amp; Policy Match'!$A$1:$B$42,2,0)</f>
        <v>chemicals 20</v>
      </c>
      <c r="J53" s="43">
        <f>IFERROR(VLOOKUP(I53,BIFUbC!$A$1:$C$27,3,0),0)</f>
        <v>1.2538279702746712E+16</v>
      </c>
      <c r="K53" s="44">
        <f t="shared" si="24"/>
        <v>0.30962769352329811</v>
      </c>
      <c r="M53" s="46">
        <v>2020</v>
      </c>
      <c r="N53" s="26" t="str">
        <f t="shared" si="13"/>
        <v>工业循环水</v>
      </c>
      <c r="O53" s="26" t="str">
        <f t="shared" si="25"/>
        <v>food beverage and tobacco 10T12</v>
      </c>
      <c r="P53" s="26" t="str">
        <f t="shared" si="5"/>
        <v>Improvement in Eqpt Efficiency Standards</v>
      </c>
      <c r="Q53" s="47">
        <f t="shared" si="0"/>
        <v>0</v>
      </c>
      <c r="R53" s="47">
        <f t="shared" si="1"/>
        <v>0</v>
      </c>
    </row>
    <row r="54" spans="1:18" ht="14.25" x14ac:dyDescent="0.2">
      <c r="A54" s="46">
        <v>2020</v>
      </c>
      <c r="B54" s="26" t="s">
        <v>24</v>
      </c>
      <c r="C54" s="25" t="s">
        <v>103</v>
      </c>
      <c r="D54" s="46">
        <f>SUMIFS(工业节能技术装备推荐目录!K:K,工业节能技术装备推荐目录!C:C,用能设备节能分配!B54,工业节能技术装备推荐目录!F:F,用能设备节能分配!C54,工业节能技术装备推荐目录!A:A,用能设备节能分配!A54)</f>
        <v>0</v>
      </c>
      <c r="E54" s="47">
        <f>SUMIFS(工业节能技术装备推荐目录!L:L,工业节能技术装备推荐目录!C:C,用能设备节能分配!B54,工业节能技术装备推荐目录!F:F,用能设备节能分配!C54,工业节能技术装备推荐目录!A:A,用能设备节能分配!A54)</f>
        <v>0</v>
      </c>
      <c r="G54" s="26" t="s">
        <v>418</v>
      </c>
      <c r="H54" s="26" t="s">
        <v>389</v>
      </c>
      <c r="I54" s="40" t="str">
        <f>VLOOKUP(H54,'Sector &amp; Policy Match'!$A$1:$B$42,2,0)</f>
        <v>iron and steel 241</v>
      </c>
      <c r="J54" s="43">
        <f>IFERROR(VLOOKUP(I54,BIFUbC!$A$1:$C$27,3,0),0)</f>
        <v>2.0096009373213932E+16</v>
      </c>
      <c r="K54" s="44">
        <f t="shared" si="24"/>
        <v>0.49626273928852604</v>
      </c>
      <c r="M54" s="46">
        <v>2020</v>
      </c>
      <c r="N54" s="26" t="str">
        <f>G$16</f>
        <v>微型燃气轮机</v>
      </c>
      <c r="O54" s="26" t="str">
        <f>I$16</f>
        <v>nonroad vehicles 30</v>
      </c>
      <c r="P54" s="26" t="str">
        <f t="shared" si="5"/>
        <v>Early Facility Retirement</v>
      </c>
      <c r="Q54" s="47">
        <f t="shared" si="0"/>
        <v>0</v>
      </c>
      <c r="R54" s="47">
        <f t="shared" si="1"/>
        <v>0</v>
      </c>
    </row>
    <row r="55" spans="1:18" ht="14.25" x14ac:dyDescent="0.2">
      <c r="A55" s="46">
        <v>2020</v>
      </c>
      <c r="B55" s="26" t="s">
        <v>24</v>
      </c>
      <c r="C55" s="25" t="s">
        <v>104</v>
      </c>
      <c r="D55" s="46">
        <f>SUMIFS(工业节能技术装备推荐目录!K:K,工业节能技术装备推荐目录!C:C,用能设备节能分配!B55,工业节能技术装备推荐目录!F:F,用能设备节能分配!C55,工业节能技术装备推荐目录!A:A,用能设备节能分配!A55)</f>
        <v>0</v>
      </c>
      <c r="E55" s="47">
        <f>SUMIFS(工业节能技术装备推荐目录!L:L,工业节能技术装备推荐目录!C:C,用能设备节能分配!B55,工业节能技术装备推荐目录!F:F,用能设备节能分配!C55,工业节能技术装备推荐目录!A:A,用能设备节能分配!A55)</f>
        <v>0</v>
      </c>
      <c r="G55" s="26" t="s">
        <v>418</v>
      </c>
      <c r="H55" s="26" t="s">
        <v>386</v>
      </c>
      <c r="I55" s="40" t="str">
        <f>VLOOKUP(H55,'Sector &amp; Policy Match'!$A$1:$B$42,2,0)</f>
        <v>电力、热力生产</v>
      </c>
      <c r="J55" s="43">
        <f>IFERROR(VLOOKUP(I55,BIFUbC!$A$1:$C$27,3,0),0)</f>
        <v>2269430122869799.5</v>
      </c>
      <c r="K55" s="44">
        <f t="shared" si="24"/>
        <v>5.60426494874363E-2</v>
      </c>
      <c r="M55" s="46">
        <v>2020</v>
      </c>
      <c r="N55" s="26" t="str">
        <f t="shared" ref="N55:N57" si="26">G$16</f>
        <v>微型燃气轮机</v>
      </c>
      <c r="O55" s="26" t="str">
        <f t="shared" ref="O55:O56" si="27">I$16</f>
        <v>nonroad vehicles 30</v>
      </c>
      <c r="P55" s="26" t="str">
        <f t="shared" si="5"/>
        <v>Installation and System Integration</v>
      </c>
      <c r="Q55" s="47">
        <f t="shared" si="0"/>
        <v>0</v>
      </c>
      <c r="R55" s="47">
        <f t="shared" si="1"/>
        <v>0</v>
      </c>
    </row>
    <row r="56" spans="1:18" ht="14.25" x14ac:dyDescent="0.2">
      <c r="A56" s="46">
        <v>2020</v>
      </c>
      <c r="B56" s="26" t="s">
        <v>24</v>
      </c>
      <c r="C56" s="25" t="s">
        <v>102</v>
      </c>
      <c r="D56" s="46">
        <f>SUMIFS(工业节能技术装备推荐目录!K:K,工业节能技术装备推荐目录!C:C,用能设备节能分配!B56,工业节能技术装备推荐目录!F:F,用能设备节能分配!C56,工业节能技术装备推荐目录!A:A,用能设备节能分配!A56)</f>
        <v>0</v>
      </c>
      <c r="E56" s="47">
        <f>SUMIFS(工业节能技术装备推荐目录!L:L,工业节能技术装备推荐目录!C:C,用能设备节能分配!B56,工业节能技术装备推荐目录!F:F,用能设备节能分配!C56,工业节能技术装备推荐目录!A:A,用能设备节能分配!A56)</f>
        <v>0</v>
      </c>
      <c r="G56" s="26" t="s">
        <v>418</v>
      </c>
      <c r="H56" s="26" t="s">
        <v>407</v>
      </c>
      <c r="I56" s="40" t="str">
        <f>VLOOKUP(H56,'Sector &amp; Policy Match'!$A$1:$B$42,2,0)</f>
        <v>water and waste 36T39</v>
      </c>
      <c r="J56" s="43">
        <f>IFERROR(VLOOKUP(I56,BIFUbC!$A$1:$C$27,3,0),0)</f>
        <v>407212485139052.56</v>
      </c>
      <c r="K56" s="44">
        <f t="shared" si="24"/>
        <v>1.0055945914165112E-2</v>
      </c>
      <c r="M56" s="46">
        <v>2020</v>
      </c>
      <c r="N56" s="26" t="str">
        <f t="shared" si="26"/>
        <v>微型燃气轮机</v>
      </c>
      <c r="O56" s="26" t="str">
        <f t="shared" si="27"/>
        <v>nonroad vehicles 30</v>
      </c>
      <c r="P56" s="26" t="str">
        <f t="shared" si="5"/>
        <v>Cogeneration and Waste Heat Recovery</v>
      </c>
      <c r="Q56" s="47">
        <f t="shared" si="0"/>
        <v>3.0112572944582503</v>
      </c>
      <c r="R56" s="47">
        <f t="shared" si="1"/>
        <v>20.075048629721671</v>
      </c>
    </row>
    <row r="57" spans="1:18" ht="14.25" x14ac:dyDescent="0.2">
      <c r="A57" s="46">
        <v>2020</v>
      </c>
      <c r="B57" s="26" t="s">
        <v>24</v>
      </c>
      <c r="C57" s="25" t="s">
        <v>105</v>
      </c>
      <c r="D57" s="46">
        <f>SUMIFS(工业节能技术装备推荐目录!K:K,工业节能技术装备推荐目录!C:C,用能设备节能分配!B57,工业节能技术装备推荐目录!F:F,用能设备节能分配!C57,工业节能技术装备推荐目录!A:A,用能设备节能分配!A57)</f>
        <v>0</v>
      </c>
      <c r="E57" s="47">
        <f>SUMIFS(工业节能技术装备推荐目录!L:L,工业节能技术装备推荐目录!C:C,用能设备节能分配!B57,工业节能技术装备推荐目录!F:F,用能设备节能分配!C57,工业节能技术装备推荐目录!A:A,用能设备节能分配!A57)</f>
        <v>0</v>
      </c>
      <c r="G57" s="26" t="s">
        <v>423</v>
      </c>
      <c r="H57" s="26" t="s">
        <v>387</v>
      </c>
      <c r="I57" s="40" t="str">
        <f>VLOOKUP(H57,'Sector &amp; Policy Match'!$A$1:$B$42,2,0)</f>
        <v>refined petroleum and coke 19</v>
      </c>
      <c r="J57" s="43">
        <f>IFERROR(VLOOKUP(I57,BIFUbC!$A$1:$C$27,3,0),0)</f>
        <v>4.3980180641948744E+16</v>
      </c>
      <c r="K57" s="44">
        <f>J57/SUM($J$57:$J$61)</f>
        <v>0.63722979503431043</v>
      </c>
      <c r="M57" s="46">
        <v>2020</v>
      </c>
      <c r="N57" s="26" t="str">
        <f t="shared" si="26"/>
        <v>微型燃气轮机</v>
      </c>
      <c r="O57" s="26" t="str">
        <f>I$16</f>
        <v>nonroad vehicles 30</v>
      </c>
      <c r="P57" s="26" t="str">
        <f t="shared" si="5"/>
        <v>Improvement in Eqpt Efficiency Standards</v>
      </c>
      <c r="Q57" s="47">
        <f t="shared" si="0"/>
        <v>0</v>
      </c>
      <c r="R57" s="47">
        <f t="shared" si="1"/>
        <v>0</v>
      </c>
    </row>
    <row r="58" spans="1:18" ht="14.25" x14ac:dyDescent="0.2">
      <c r="A58" s="46">
        <v>2020</v>
      </c>
      <c r="B58" s="26" t="s">
        <v>96</v>
      </c>
      <c r="C58" s="25" t="s">
        <v>103</v>
      </c>
      <c r="D58" s="46">
        <f>SUMIFS(工业节能技术装备推荐目录!K:K,工业节能技术装备推荐目录!C:C,用能设备节能分配!B58,工业节能技术装备推荐目录!F:F,用能设备节能分配!C58,工业节能技术装备推荐目录!A:A,用能设备节能分配!A58)</f>
        <v>0</v>
      </c>
      <c r="E58" s="47">
        <f>SUMIFS(工业节能技术装备推荐目录!L:L,工业节能技术装备推荐目录!C:C,用能设备节能分配!B58,工业节能技术装备推荐目录!F:F,用能设备节能分配!C58,工业节能技术装备推荐目录!A:A,用能设备节能分配!A58)</f>
        <v>0</v>
      </c>
      <c r="G58" s="26" t="s">
        <v>423</v>
      </c>
      <c r="H58" s="26" t="s">
        <v>386</v>
      </c>
      <c r="I58" s="40" t="str">
        <f>VLOOKUP(H58,'Sector &amp; Policy Match'!$A$1:$B$42,2,0)</f>
        <v>电力、热力生产</v>
      </c>
      <c r="J58" s="43">
        <f>IFERROR(VLOOKUP(I58,BIFUbC!$A$1:$C$27,3,0),0)</f>
        <v>2269430122869799.5</v>
      </c>
      <c r="K58" s="44">
        <f t="shared" ref="K58:K61" si="28">J58/SUM($J$57:$J$61)</f>
        <v>3.2881822469407074E-2</v>
      </c>
      <c r="M58" s="46">
        <v>2020</v>
      </c>
      <c r="N58" s="26" t="str">
        <f>G$19</f>
        <v>压缩空气系统</v>
      </c>
      <c r="O58" s="26" t="str">
        <f>I$19</f>
        <v>textiles apparel and leather 13T15</v>
      </c>
      <c r="P58" s="26" t="str">
        <f t="shared" si="5"/>
        <v>Early Facility Retirement</v>
      </c>
      <c r="Q58" s="47">
        <f t="shared" si="0"/>
        <v>0</v>
      </c>
      <c r="R58" s="47">
        <f t="shared" si="1"/>
        <v>0</v>
      </c>
    </row>
    <row r="59" spans="1:18" ht="14.25" x14ac:dyDescent="0.2">
      <c r="A59" s="46">
        <v>2020</v>
      </c>
      <c r="B59" s="26" t="s">
        <v>96</v>
      </c>
      <c r="C59" s="25" t="s">
        <v>104</v>
      </c>
      <c r="D59" s="46">
        <f>SUMIFS(工业节能技术装备推荐目录!K:K,工业节能技术装备推荐目录!C:C,用能设备节能分配!B59,工业节能技术装备推荐目录!F:F,用能设备节能分配!C59,工业节能技术装备推荐目录!A:A,用能设备节能分配!A59)</f>
        <v>0</v>
      </c>
      <c r="E59" s="47">
        <f>SUMIFS(工业节能技术装备推荐目录!L:L,工业节能技术装备推荐目录!C:C,用能设备节能分配!B59,工业节能技术装备推荐目录!F:F,用能设备节能分配!C59,工业节能技术装备推荐目录!A:A,用能设备节能分配!A59)</f>
        <v>0</v>
      </c>
      <c r="G59" s="26" t="s">
        <v>423</v>
      </c>
      <c r="H59" s="26" t="s">
        <v>389</v>
      </c>
      <c r="I59" s="40" t="str">
        <f>VLOOKUP(H59,'Sector &amp; Policy Match'!$A$1:$B$42,2,0)</f>
        <v>iron and steel 241</v>
      </c>
      <c r="J59" s="43">
        <f>IFERROR(VLOOKUP(I59,BIFUbC!$A$1:$C$27,3,0),0)</f>
        <v>2.0096009373213932E+16</v>
      </c>
      <c r="K59" s="44">
        <f t="shared" si="28"/>
        <v>0.2911715174195173</v>
      </c>
      <c r="M59" s="46">
        <v>2020</v>
      </c>
      <c r="N59" s="26" t="str">
        <f t="shared" ref="N59:N77" si="29">G$19</f>
        <v>压缩空气系统</v>
      </c>
      <c r="O59" s="26" t="str">
        <f t="shared" ref="O59:O61" si="30">I$19</f>
        <v>textiles apparel and leather 13T15</v>
      </c>
      <c r="P59" s="26" t="str">
        <f t="shared" si="5"/>
        <v>Installation and System Integration</v>
      </c>
      <c r="Q59" s="47">
        <f t="shared" si="0"/>
        <v>0</v>
      </c>
      <c r="R59" s="47">
        <f t="shared" si="1"/>
        <v>0</v>
      </c>
    </row>
    <row r="60" spans="1:18" ht="14.25" x14ac:dyDescent="0.2">
      <c r="A60" s="46">
        <v>2020</v>
      </c>
      <c r="B60" s="26" t="s">
        <v>96</v>
      </c>
      <c r="C60" s="25" t="s">
        <v>102</v>
      </c>
      <c r="D60" s="46">
        <f>SUMIFS(工业节能技术装备推荐目录!K:K,工业节能技术装备推荐目录!C:C,用能设备节能分配!B60,工业节能技术装备推荐目录!F:F,用能设备节能分配!C60,工业节能技术装备推荐目录!A:A,用能设备节能分配!A60)</f>
        <v>0</v>
      </c>
      <c r="E60" s="47">
        <f>SUMIFS(工业节能技术装备推荐目录!L:L,工业节能技术装备推荐目录!C:C,用能设备节能分配!B60,工业节能技术装备推荐目录!F:F,用能设备节能分配!C60,工业节能技术装备推荐目录!A:A,用能设备节能分配!A60)</f>
        <v>0</v>
      </c>
      <c r="G60" s="26" t="s">
        <v>423</v>
      </c>
      <c r="H60" s="26" t="s">
        <v>392</v>
      </c>
      <c r="I60" s="40" t="str">
        <f>VLOOKUP(H60,'Sector &amp; Policy Match'!$A$1:$B$42,2,0)</f>
        <v>food beverage and tobacco 10T12</v>
      </c>
      <c r="J60" s="43">
        <f>IFERROR(VLOOKUP(I60,BIFUbC!$A$1:$C$27,3,0),0)</f>
        <v>1333201638838097.5</v>
      </c>
      <c r="K60" s="44">
        <f t="shared" si="28"/>
        <v>1.9316787576945344E-2</v>
      </c>
      <c r="M60" s="46">
        <v>2020</v>
      </c>
      <c r="N60" s="26" t="str">
        <f t="shared" si="29"/>
        <v>压缩空气系统</v>
      </c>
      <c r="O60" s="26" t="str">
        <f t="shared" si="30"/>
        <v>textiles apparel and leather 13T15</v>
      </c>
      <c r="P60" s="26" t="str">
        <f t="shared" si="5"/>
        <v>Cogeneration and Waste Heat Recovery</v>
      </c>
      <c r="Q60" s="47">
        <f t="shared" si="0"/>
        <v>0</v>
      </c>
      <c r="R60" s="47">
        <f t="shared" si="1"/>
        <v>0</v>
      </c>
    </row>
    <row r="61" spans="1:18" ht="14.25" x14ac:dyDescent="0.2">
      <c r="A61" s="46">
        <v>2020</v>
      </c>
      <c r="B61" s="26" t="s">
        <v>96</v>
      </c>
      <c r="C61" s="25" t="s">
        <v>105</v>
      </c>
      <c r="D61" s="46">
        <f>SUMIFS(工业节能技术装备推荐目录!K:K,工业节能技术装备推荐目录!C:C,用能设备节能分配!B61,工业节能技术装备推荐目录!F:F,用能设备节能分配!C61,工业节能技术装备推荐目录!A:A,用能设备节能分配!A61)</f>
        <v>0</v>
      </c>
      <c r="E61" s="47">
        <f>SUMIFS(工业节能技术装备推荐目录!L:L,工业节能技术装备推荐目录!C:C,用能设备节能分配!B61,工业节能技术装备推荐目录!F:F,用能设备节能分配!C61,工业节能技术装备推荐目录!A:A,用能设备节能分配!A61)</f>
        <v>0</v>
      </c>
      <c r="G61" s="26" t="s">
        <v>423</v>
      </c>
      <c r="H61" s="26" t="s">
        <v>390</v>
      </c>
      <c r="I61" s="40" t="str">
        <f>VLOOKUP(H61,'Sector &amp; Policy Match'!$A$1:$B$42,2,0)</f>
        <v>textiles apparel and leather 13T15</v>
      </c>
      <c r="J61" s="43">
        <f>IFERROR(VLOOKUP(I61,BIFUbC!$A$1:$C$27,3,0),0)</f>
        <v>1338950123736663.3</v>
      </c>
      <c r="K61" s="44">
        <f t="shared" si="28"/>
        <v>1.9400077499819764E-2</v>
      </c>
      <c r="M61" s="46">
        <v>2020</v>
      </c>
      <c r="N61" s="26" t="str">
        <f t="shared" si="29"/>
        <v>压缩空气系统</v>
      </c>
      <c r="O61" s="26" t="str">
        <f t="shared" si="30"/>
        <v>textiles apparel and leather 13T15</v>
      </c>
      <c r="P61" s="26" t="str">
        <f t="shared" si="5"/>
        <v>Improvement in Eqpt Efficiency Standards</v>
      </c>
      <c r="Q61" s="47">
        <f t="shared" si="0"/>
        <v>0.21560982371016468</v>
      </c>
      <c r="R61" s="47">
        <f t="shared" si="1"/>
        <v>1.0780491185508234</v>
      </c>
    </row>
    <row r="62" spans="1:18" ht="14.25" x14ac:dyDescent="0.2">
      <c r="A62" s="20">
        <v>2021</v>
      </c>
      <c r="B62" s="24" t="s">
        <v>57</v>
      </c>
      <c r="C62" s="25" t="s">
        <v>103</v>
      </c>
      <c r="D62" s="46">
        <f>SUMIFS(工业节能技术装备推荐目录!K:K,工业节能技术装备推荐目录!C:C,用能设备节能分配!B62,工业节能技术装备推荐目录!F:F,用能设备节能分配!C62,工业节能技术装备推荐目录!A:A,用能设备节能分配!A62)</f>
        <v>0</v>
      </c>
      <c r="E62" s="47">
        <f>SUMIFS(工业节能技术装备推荐目录!L:L,工业节能技术装备推荐目录!C:C,用能设备节能分配!B62,工业节能技术装备推荐目录!F:F,用能设备节能分配!C62,工业节能技术装备推荐目录!A:A,用能设备节能分配!A62)</f>
        <v>0</v>
      </c>
      <c r="G62" s="48" t="s">
        <v>401</v>
      </c>
      <c r="H62" s="48" t="s">
        <v>402</v>
      </c>
      <c r="I62" s="49"/>
      <c r="J62" s="43">
        <f>IFERROR(VLOOKUP(I62,BIFUbC!$A$1:$C$27,3,0),0)</f>
        <v>0</v>
      </c>
      <c r="K62" s="23"/>
      <c r="M62" s="46">
        <v>2020</v>
      </c>
      <c r="N62" s="26" t="str">
        <f t="shared" si="29"/>
        <v>压缩空气系统</v>
      </c>
      <c r="O62" s="26" t="str">
        <f>I$20</f>
        <v>food beverage and tobacco 10T12</v>
      </c>
      <c r="P62" s="26" t="str">
        <f t="shared" si="5"/>
        <v>Early Facility Retirement</v>
      </c>
      <c r="Q62" s="47">
        <f t="shared" si="0"/>
        <v>0</v>
      </c>
      <c r="R62" s="47">
        <f t="shared" si="1"/>
        <v>0</v>
      </c>
    </row>
    <row r="63" spans="1:18" ht="14.25" x14ac:dyDescent="0.2">
      <c r="A63" s="20">
        <v>2021</v>
      </c>
      <c r="B63" s="24" t="s">
        <v>57</v>
      </c>
      <c r="C63" s="25" t="s">
        <v>104</v>
      </c>
      <c r="D63" s="46">
        <f>SUMIFS(工业节能技术装备推荐目录!K:K,工业节能技术装备推荐目录!C:C,用能设备节能分配!B63,工业节能技术装备推荐目录!F:F,用能设备节能分配!C63,工业节能技术装备推荐目录!A:A,用能设备节能分配!A63)</f>
        <v>0</v>
      </c>
      <c r="E63" s="47">
        <f>SUMIFS(工业节能技术装备推荐目录!L:L,工业节能技术装备推荐目录!C:C,用能设备节能分配!B63,工业节能技术装备推荐目录!F:F,用能设备节能分配!C63,工业节能技术装备推荐目录!A:A,用能设备节能分配!A63)</f>
        <v>0</v>
      </c>
      <c r="G63" s="48" t="s">
        <v>21</v>
      </c>
      <c r="H63" s="48" t="s">
        <v>425</v>
      </c>
      <c r="I63" s="49"/>
      <c r="J63" s="43">
        <f>IFERROR(VLOOKUP(I63,BIFUbC!$A$1:$C$27,3,0),0)</f>
        <v>0</v>
      </c>
      <c r="K63" s="23"/>
      <c r="M63" s="46">
        <v>2020</v>
      </c>
      <c r="N63" s="26" t="str">
        <f t="shared" si="29"/>
        <v>压缩空气系统</v>
      </c>
      <c r="O63" s="26" t="str">
        <f t="shared" ref="O63:O65" si="31">I$20</f>
        <v>food beverage and tobacco 10T12</v>
      </c>
      <c r="P63" s="26" t="str">
        <f t="shared" si="5"/>
        <v>Installation and System Integration</v>
      </c>
      <c r="Q63" s="47">
        <f t="shared" si="0"/>
        <v>0</v>
      </c>
      <c r="R63" s="47">
        <f t="shared" si="1"/>
        <v>0</v>
      </c>
    </row>
    <row r="64" spans="1:18" ht="14.25" x14ac:dyDescent="0.2">
      <c r="A64" s="20">
        <v>2021</v>
      </c>
      <c r="B64" s="24" t="s">
        <v>57</v>
      </c>
      <c r="C64" s="25" t="s">
        <v>102</v>
      </c>
      <c r="D64" s="46">
        <f>SUMIFS(工业节能技术装备推荐目录!K:K,工业节能技术装备推荐目录!C:C,用能设备节能分配!B64,工业节能技术装备推荐目录!F:F,用能设备节能分配!C64,工业节能技术装备推荐目录!A:A,用能设备节能分配!A64)</f>
        <v>0</v>
      </c>
      <c r="E64" s="47">
        <f>SUMIFS(工业节能技术装备推荐目录!L:L,工业节能技术装备推荐目录!C:C,用能设备节能分配!B64,工业节能技术装备推荐目录!F:F,用能设备节能分配!C64,工业节能技术装备推荐目录!A:A,用能设备节能分配!A64)</f>
        <v>0</v>
      </c>
      <c r="G64" s="41" t="s">
        <v>399</v>
      </c>
      <c r="H64" s="41" t="s">
        <v>400</v>
      </c>
      <c r="I64" s="42"/>
      <c r="J64" s="43">
        <f>IFERROR(VLOOKUP(I64,BIFUbC!$A$1:$C$27,3,0),0)</f>
        <v>0</v>
      </c>
      <c r="K64" s="23"/>
      <c r="M64" s="46">
        <v>2020</v>
      </c>
      <c r="N64" s="26" t="str">
        <f t="shared" si="29"/>
        <v>压缩空气系统</v>
      </c>
      <c r="O64" s="26" t="str">
        <f t="shared" si="31"/>
        <v>food beverage and tobacco 10T12</v>
      </c>
      <c r="P64" s="26" t="str">
        <f t="shared" si="5"/>
        <v>Cogeneration and Waste Heat Recovery</v>
      </c>
      <c r="Q64" s="47">
        <f t="shared" si="0"/>
        <v>0</v>
      </c>
      <c r="R64" s="47">
        <f t="shared" si="1"/>
        <v>0</v>
      </c>
    </row>
    <row r="65" spans="1:18" ht="14.25" x14ac:dyDescent="0.2">
      <c r="A65" s="20">
        <v>2021</v>
      </c>
      <c r="B65" s="24" t="s">
        <v>57</v>
      </c>
      <c r="C65" s="25" t="s">
        <v>105</v>
      </c>
      <c r="D65" s="46">
        <f>SUMIFS(工业节能技术装备推荐目录!K:K,工业节能技术装备推荐目录!C:C,用能设备节能分配!B65,工业节能技术装备推荐目录!F:F,用能设备节能分配!C65,工业节能技术装备推荐目录!A:A,用能设备节能分配!A65)</f>
        <v>1.94</v>
      </c>
      <c r="E65" s="47">
        <f>SUMIFS(工业节能技术装备推荐目录!L:L,工业节能技术装备推荐目录!C:C,用能设备节能分配!B65,工业节能技术装备推荐目录!F:F,用能设备节能分配!C65,工业节能技术装备推荐目录!A:A,用能设备节能分配!A65)</f>
        <v>10.993333333333334</v>
      </c>
      <c r="G65" s="41" t="s">
        <v>403</v>
      </c>
      <c r="H65" s="41" t="s">
        <v>400</v>
      </c>
      <c r="I65" s="42"/>
      <c r="J65" s="43">
        <f>IFERROR(VLOOKUP(I65,BIFUbC!$A$1:$C$27,3,0),0)</f>
        <v>0</v>
      </c>
      <c r="K65" s="23"/>
      <c r="M65" s="46">
        <v>2020</v>
      </c>
      <c r="N65" s="26" t="str">
        <f t="shared" si="29"/>
        <v>压缩空气系统</v>
      </c>
      <c r="O65" s="26" t="str">
        <f t="shared" si="31"/>
        <v>food beverage and tobacco 10T12</v>
      </c>
      <c r="P65" s="26" t="str">
        <f t="shared" si="5"/>
        <v>Improvement in Eqpt Efficiency Standards</v>
      </c>
      <c r="Q65" s="47">
        <f t="shared" si="0"/>
        <v>0.21468415083138609</v>
      </c>
      <c r="R65" s="47">
        <f t="shared" si="1"/>
        <v>1.0734207541569305</v>
      </c>
    </row>
    <row r="66" spans="1:18" ht="14.25" x14ac:dyDescent="0.2">
      <c r="A66" s="20">
        <v>2021</v>
      </c>
      <c r="B66" s="24" t="s">
        <v>13</v>
      </c>
      <c r="C66" s="25" t="s">
        <v>103</v>
      </c>
      <c r="D66" s="46">
        <f>SUMIFS(工业节能技术装备推荐目录!K:K,工业节能技术装备推荐目录!C:C,用能设备节能分配!B66,工业节能技术装备推荐目录!F:F,用能设备节能分配!C66,工业节能技术装备推荐目录!A:A,用能设备节能分配!A66)</f>
        <v>0</v>
      </c>
      <c r="E66" s="47">
        <f>SUMIFS(工业节能技术装备推荐目录!L:L,工业节能技术装备推荐目录!C:C,用能设备节能分配!B66,工业节能技术装备推荐目录!F:F,用能设备节能分配!C66,工业节能技术装备推荐目录!A:A,用能设备节能分配!A66)</f>
        <v>0</v>
      </c>
      <c r="G66" s="41" t="s">
        <v>63</v>
      </c>
      <c r="H66" s="41"/>
      <c r="I66" s="45" t="s">
        <v>99</v>
      </c>
      <c r="J66" s="43">
        <f>IFERROR(VLOOKUP(I66,BIFUbC!$A$1:$C$27,3,0),0)</f>
        <v>1736651987772900</v>
      </c>
      <c r="K66" s="44">
        <f t="shared" ref="K66:K90" si="32">J66/SUM($J$66:$J$90)</f>
        <v>1.6484699621738107E-2</v>
      </c>
      <c r="M66" s="46">
        <v>2020</v>
      </c>
      <c r="N66" s="26" t="str">
        <f t="shared" si="29"/>
        <v>压缩空气系统</v>
      </c>
      <c r="O66" s="26" t="str">
        <f>I$21</f>
        <v>chemicals 20</v>
      </c>
      <c r="P66" s="26" t="str">
        <f t="shared" si="5"/>
        <v>Early Facility Retirement</v>
      </c>
      <c r="Q66" s="47">
        <f t="shared" ref="Q66:Q129" si="33">SUMIFS(D:D,B:B,N66,C:C,P66,A:A,M66)*SUMIFS(K:K,G:G,N66,I:I,O66)</f>
        <v>0</v>
      </c>
      <c r="R66" s="47">
        <f t="shared" ref="R66:R129" si="34">SUMIFS(E:E,B:B,N66,C:C,P66,A:A,M66)*SUMIFS(K:K,G:G,N66,I:I,O66)</f>
        <v>0</v>
      </c>
    </row>
    <row r="67" spans="1:18" ht="14.25" x14ac:dyDescent="0.2">
      <c r="A67" s="20">
        <v>2021</v>
      </c>
      <c r="B67" s="24" t="s">
        <v>13</v>
      </c>
      <c r="C67" s="25" t="s">
        <v>104</v>
      </c>
      <c r="D67" s="46">
        <f>SUMIFS(工业节能技术装备推荐目录!K:K,工业节能技术装备推荐目录!C:C,用能设备节能分配!B67,工业节能技术装备推荐目录!F:F,用能设备节能分配!C67,工业节能技术装备推荐目录!A:A,用能设备节能分配!A67)</f>
        <v>0</v>
      </c>
      <c r="E67" s="47">
        <f>SUMIFS(工业节能技术装备推荐目录!L:L,工业节能技术装备推荐目录!C:C,用能设备节能分配!B67,工业节能技术装备推荐目录!F:F,用能设备节能分配!C67,工业节能技术装备推荐目录!A:A,用能设备节能分配!A67)</f>
        <v>0</v>
      </c>
      <c r="G67" s="41" t="s">
        <v>63</v>
      </c>
      <c r="H67" s="41"/>
      <c r="I67" s="45" t="s">
        <v>35</v>
      </c>
      <c r="J67" s="43">
        <f>IFERROR(VLOOKUP(I67,BIFUbC!$A$1:$C$27,3,0),0)</f>
        <v>2088463251408978.8</v>
      </c>
      <c r="K67" s="44">
        <f t="shared" si="32"/>
        <v>1.9824172956301941E-2</v>
      </c>
      <c r="M67" s="46">
        <v>2020</v>
      </c>
      <c r="N67" s="26" t="str">
        <f t="shared" si="29"/>
        <v>压缩空气系统</v>
      </c>
      <c r="O67" s="26" t="str">
        <f t="shared" ref="O67:O69" si="35">I$21</f>
        <v>chemicals 20</v>
      </c>
      <c r="P67" s="26" t="str">
        <f t="shared" si="5"/>
        <v>Installation and System Integration</v>
      </c>
      <c r="Q67" s="47">
        <f t="shared" si="33"/>
        <v>0</v>
      </c>
      <c r="R67" s="47">
        <f t="shared" si="34"/>
        <v>0</v>
      </c>
    </row>
    <row r="68" spans="1:18" ht="14.25" x14ac:dyDescent="0.2">
      <c r="A68" s="20">
        <v>2021</v>
      </c>
      <c r="B68" s="24" t="s">
        <v>13</v>
      </c>
      <c r="C68" s="25" t="s">
        <v>102</v>
      </c>
      <c r="D68" s="46">
        <f>SUMIFS(工业节能技术装备推荐目录!K:K,工业节能技术装备推荐目录!C:C,用能设备节能分配!B68,工业节能技术装备推荐目录!F:F,用能设备节能分配!C68,工业节能技术装备推荐目录!A:A,用能设备节能分配!A68)</f>
        <v>0.499</v>
      </c>
      <c r="E68" s="47">
        <f>SUMIFS(工业节能技术装备推荐目录!L:L,工业节能技术装备推荐目录!C:C,用能设备节能分配!B68,工业节能技术装备推荐目录!F:F,用能设备节能分配!C68,工业节能技术装备推荐目录!A:A,用能设备节能分配!A68)</f>
        <v>1.6657266187050364</v>
      </c>
      <c r="G68" s="41" t="s">
        <v>63</v>
      </c>
      <c r="H68" s="41"/>
      <c r="I68" s="45" t="s">
        <v>67</v>
      </c>
      <c r="J68" s="43">
        <f>IFERROR(VLOOKUP(I68,BIFUbC!$A$1:$C$27,3,0),0)</f>
        <v>768298506206903.75</v>
      </c>
      <c r="K68" s="44">
        <f t="shared" si="32"/>
        <v>7.2928659189184135E-3</v>
      </c>
      <c r="M68" s="46">
        <v>2020</v>
      </c>
      <c r="N68" s="26" t="str">
        <f t="shared" si="29"/>
        <v>压缩空气系统</v>
      </c>
      <c r="O68" s="26" t="str">
        <f t="shared" si="35"/>
        <v>chemicals 20</v>
      </c>
      <c r="P68" s="26" t="str">
        <f t="shared" si="5"/>
        <v>Cogeneration and Waste Heat Recovery</v>
      </c>
      <c r="Q68" s="47">
        <f t="shared" si="33"/>
        <v>0</v>
      </c>
      <c r="R68" s="47">
        <f t="shared" si="34"/>
        <v>0</v>
      </c>
    </row>
    <row r="69" spans="1:18" ht="14.25" x14ac:dyDescent="0.2">
      <c r="A69" s="20">
        <v>2021</v>
      </c>
      <c r="B69" s="24" t="s">
        <v>13</v>
      </c>
      <c r="C69" s="25" t="s">
        <v>105</v>
      </c>
      <c r="D69" s="46">
        <f>SUMIFS(工业节能技术装备推荐目录!K:K,工业节能技术装备推荐目录!C:C,用能设备节能分配!B69,工业节能技术装备推荐目录!F:F,用能设备节能分配!C69,工业节能技术装备推荐目录!A:A,用能设备节能分配!A69)</f>
        <v>0</v>
      </c>
      <c r="E69" s="47">
        <f>SUMIFS(工业节能技术装备推荐目录!L:L,工业节能技术装备推荐目录!C:C,用能设备节能分配!B69,工业节能技术装备推荐目录!F:F,用能设备节能分配!C69,工业节能技术装备推荐目录!A:A,用能设备节能分配!A69)</f>
        <v>0</v>
      </c>
      <c r="G69" s="41" t="s">
        <v>63</v>
      </c>
      <c r="H69" s="41"/>
      <c r="I69" s="45" t="s">
        <v>100</v>
      </c>
      <c r="J69" s="43">
        <f>IFERROR(VLOOKUP(I69,BIFUbC!$A$1:$C$27,3,0),0)</f>
        <v>590351799018880.25</v>
      </c>
      <c r="K69" s="44">
        <f t="shared" si="32"/>
        <v>5.6037548953369E-3</v>
      </c>
      <c r="M69" s="46">
        <v>2020</v>
      </c>
      <c r="N69" s="26" t="str">
        <f t="shared" si="29"/>
        <v>压缩空气系统</v>
      </c>
      <c r="O69" s="26" t="str">
        <f t="shared" si="35"/>
        <v>chemicals 20</v>
      </c>
      <c r="P69" s="26" t="str">
        <f t="shared" si="5"/>
        <v>Improvement in Eqpt Efficiency Standards</v>
      </c>
      <c r="Q69" s="47">
        <f t="shared" si="33"/>
        <v>2.019026869196241</v>
      </c>
      <c r="R69" s="47">
        <f t="shared" si="34"/>
        <v>10.095134345981206</v>
      </c>
    </row>
    <row r="70" spans="1:18" ht="14.25" x14ac:dyDescent="0.2">
      <c r="A70" s="20">
        <v>2021</v>
      </c>
      <c r="B70" s="24" t="s">
        <v>61</v>
      </c>
      <c r="C70" s="25" t="s">
        <v>103</v>
      </c>
      <c r="D70" s="46">
        <f>SUMIFS(工业节能技术装备推荐目录!K:K,工业节能技术装备推荐目录!C:C,用能设备节能分配!B70,工业节能技术装备推荐目录!F:F,用能设备节能分配!C70,工业节能技术装备推荐目录!A:A,用能设备节能分配!A70)</f>
        <v>0</v>
      </c>
      <c r="E70" s="47">
        <f>SUMIFS(工业节能技术装备推荐目录!L:L,工业节能技术装备推荐目录!C:C,用能设备节能分配!B70,工业节能技术装备推荐目录!F:F,用能设备节能分配!C70,工业节能技术装备推荐目录!A:A,用能设备节能分配!A70)</f>
        <v>0</v>
      </c>
      <c r="G70" s="41" t="s">
        <v>63</v>
      </c>
      <c r="H70" s="41"/>
      <c r="I70" s="45" t="s">
        <v>101</v>
      </c>
      <c r="J70" s="43">
        <f>IFERROR(VLOOKUP(I70,BIFUbC!$A$1:$C$27,3,0),0)</f>
        <v>1333201638838097.5</v>
      </c>
      <c r="K70" s="44">
        <f t="shared" si="32"/>
        <v>1.2655056226687701E-2</v>
      </c>
      <c r="M70" s="46">
        <v>2020</v>
      </c>
      <c r="N70" s="26" t="str">
        <f t="shared" si="29"/>
        <v>压缩空气系统</v>
      </c>
      <c r="O70" s="26" t="str">
        <f>I$22</f>
        <v>iron and steel 241</v>
      </c>
      <c r="P70" s="26" t="str">
        <f t="shared" si="5"/>
        <v>Early Facility Retirement</v>
      </c>
      <c r="Q70" s="47">
        <f t="shared" si="33"/>
        <v>0</v>
      </c>
      <c r="R70" s="47">
        <f t="shared" si="34"/>
        <v>0</v>
      </c>
    </row>
    <row r="71" spans="1:18" ht="14.25" x14ac:dyDescent="0.2">
      <c r="A71" s="20">
        <v>2021</v>
      </c>
      <c r="B71" s="24" t="s">
        <v>61</v>
      </c>
      <c r="C71" s="25" t="s">
        <v>104</v>
      </c>
      <c r="D71" s="46">
        <f>SUMIFS(工业节能技术装备推荐目录!K:K,工业节能技术装备推荐目录!C:C,用能设备节能分配!B71,工业节能技术装备推荐目录!F:F,用能设备节能分配!C71,工业节能技术装备推荐目录!A:A,用能设备节能分配!A71)</f>
        <v>0</v>
      </c>
      <c r="E71" s="47">
        <f>SUMIFS(工业节能技术装备推荐目录!L:L,工业节能技术装备推荐目录!C:C,用能设备节能分配!B71,工业节能技术装备推荐目录!F:F,用能设备节能分配!C71,工业节能技术装备推荐目录!A:A,用能设备节能分配!A71)</f>
        <v>0</v>
      </c>
      <c r="G71" s="41" t="s">
        <v>63</v>
      </c>
      <c r="H71" s="41"/>
      <c r="I71" s="45" t="s">
        <v>72</v>
      </c>
      <c r="J71" s="43">
        <f>IFERROR(VLOOKUP(I71,BIFUbC!$A$1:$C$27,3,0),0)</f>
        <v>1338950123736663.3</v>
      </c>
      <c r="K71" s="44">
        <f t="shared" si="32"/>
        <v>1.2709622165920281E-2</v>
      </c>
      <c r="M71" s="46">
        <v>2020</v>
      </c>
      <c r="N71" s="26" t="str">
        <f t="shared" si="29"/>
        <v>压缩空气系统</v>
      </c>
      <c r="O71" s="26" t="str">
        <f t="shared" ref="O71:O73" si="36">I$22</f>
        <v>iron and steel 241</v>
      </c>
      <c r="P71" s="26" t="str">
        <f t="shared" ref="P71:P134" si="37">P67</f>
        <v>Installation and System Integration</v>
      </c>
      <c r="Q71" s="47">
        <f t="shared" si="33"/>
        <v>0</v>
      </c>
      <c r="R71" s="47">
        <f t="shared" si="34"/>
        <v>0</v>
      </c>
    </row>
    <row r="72" spans="1:18" ht="14.25" x14ac:dyDescent="0.2">
      <c r="A72" s="20">
        <v>2021</v>
      </c>
      <c r="B72" s="24" t="s">
        <v>61</v>
      </c>
      <c r="C72" s="25" t="s">
        <v>102</v>
      </c>
      <c r="D72" s="46">
        <f>SUMIFS(工业节能技术装备推荐目录!K:K,工业节能技术装备推荐目录!C:C,用能设备节能分配!B72,工业节能技术装备推荐目录!F:F,用能设备节能分配!C72,工业节能技术装备推荐目录!A:A,用能设备节能分配!A72)</f>
        <v>0</v>
      </c>
      <c r="E72" s="47">
        <f>SUMIFS(工业节能技术装备推荐目录!L:L,工业节能技术装备推荐目录!C:C,用能设备节能分配!B72,工业节能技术装备推荐目录!F:F,用能设备节能分配!C72,工业节能技术装备推荐目录!A:A,用能设备节能分配!A72)</f>
        <v>0</v>
      </c>
      <c r="G72" s="41" t="s">
        <v>63</v>
      </c>
      <c r="H72" s="41"/>
      <c r="I72" s="45" t="s">
        <v>38</v>
      </c>
      <c r="J72" s="43">
        <f>IFERROR(VLOOKUP(I72,BIFUbC!$A$1:$C$27,3,0),0)</f>
        <v>237646551682524.75</v>
      </c>
      <c r="K72" s="44">
        <f t="shared" si="32"/>
        <v>2.255795662118905E-3</v>
      </c>
      <c r="M72" s="46">
        <v>2020</v>
      </c>
      <c r="N72" s="26" t="str">
        <f t="shared" si="29"/>
        <v>压缩空气系统</v>
      </c>
      <c r="O72" s="26" t="str">
        <f t="shared" si="36"/>
        <v>iron and steel 241</v>
      </c>
      <c r="P72" s="26" t="str">
        <f t="shared" si="37"/>
        <v>Cogeneration and Waste Heat Recovery</v>
      </c>
      <c r="Q72" s="47">
        <f t="shared" si="33"/>
        <v>0</v>
      </c>
      <c r="R72" s="47">
        <f t="shared" si="34"/>
        <v>0</v>
      </c>
    </row>
    <row r="73" spans="1:18" ht="14.25" x14ac:dyDescent="0.2">
      <c r="A73" s="20">
        <v>2021</v>
      </c>
      <c r="B73" s="24" t="s">
        <v>61</v>
      </c>
      <c r="C73" s="25" t="s">
        <v>105</v>
      </c>
      <c r="D73" s="46">
        <f>SUMIFS(工业节能技术装备推荐目录!K:K,工业节能技术装备推荐目录!C:C,用能设备节能分配!B73,工业节能技术装备推荐目录!F:F,用能设备节能分配!C73,工业节能技术装备推荐目录!A:A,用能设备节能分配!A73)</f>
        <v>0</v>
      </c>
      <c r="E73" s="47">
        <f>SUMIFS(工业节能技术装备推荐目录!L:L,工业节能技术装备推荐目录!C:C,用能设备节能分配!B73,工业节能技术装备推荐目录!F:F,用能设备节能分配!C73,工业节能技术装备推荐目录!A:A,用能设备节能分配!A73)</f>
        <v>0</v>
      </c>
      <c r="G73" s="41" t="s">
        <v>63</v>
      </c>
      <c r="H73" s="41"/>
      <c r="I73" s="45" t="s">
        <v>68</v>
      </c>
      <c r="J73" s="43">
        <f>IFERROR(VLOOKUP(I73,BIFUbC!$A$1:$C$27,3,0),0)</f>
        <v>883986747789292</v>
      </c>
      <c r="K73" s="44">
        <f t="shared" si="32"/>
        <v>8.3910052845943238E-3</v>
      </c>
      <c r="M73" s="46">
        <v>2020</v>
      </c>
      <c r="N73" s="26" t="str">
        <f t="shared" si="29"/>
        <v>压缩空气系统</v>
      </c>
      <c r="O73" s="26" t="str">
        <f t="shared" si="36"/>
        <v>iron and steel 241</v>
      </c>
      <c r="P73" s="26" t="str">
        <f t="shared" si="37"/>
        <v>Improvement in Eqpt Efficiency Standards</v>
      </c>
      <c r="Q73" s="47">
        <f t="shared" si="33"/>
        <v>3.2360406570966802</v>
      </c>
      <c r="R73" s="47">
        <f t="shared" si="34"/>
        <v>16.180203285483401</v>
      </c>
    </row>
    <row r="74" spans="1:18" ht="14.25" x14ac:dyDescent="0.2">
      <c r="A74" s="20">
        <v>2021</v>
      </c>
      <c r="B74" s="24" t="s">
        <v>62</v>
      </c>
      <c r="C74" s="25" t="s">
        <v>103</v>
      </c>
      <c r="D74" s="46">
        <f>SUMIFS(工业节能技术装备推荐目录!K:K,工业节能技术装备推荐目录!C:C,用能设备节能分配!B74,工业节能技术装备推荐目录!F:F,用能设备节能分配!C74,工业节能技术装备推荐目录!A:A,用能设备节能分配!A74)</f>
        <v>0</v>
      </c>
      <c r="E74" s="47">
        <f>SUMIFS(工业节能技术装备推荐目录!L:L,工业节能技术装备推荐目录!C:C,用能设备节能分配!B74,工业节能技术装备推荐目录!F:F,用能设备节能分配!C74,工业节能技术装备推荐目录!A:A,用能设备节能分配!A74)</f>
        <v>0</v>
      </c>
      <c r="G74" s="41" t="s">
        <v>63</v>
      </c>
      <c r="H74" s="41"/>
      <c r="I74" s="45" t="s">
        <v>40</v>
      </c>
      <c r="J74" s="43">
        <f>IFERROR(VLOOKUP(I74,BIFUbC!$A$1:$C$27,3,0),0)</f>
        <v>4.3980180641948744E+16</v>
      </c>
      <c r="K74" s="44">
        <f t="shared" si="32"/>
        <v>0.41746997803633273</v>
      </c>
      <c r="M74" s="46">
        <v>2020</v>
      </c>
      <c r="N74" s="26" t="str">
        <f t="shared" si="29"/>
        <v>压缩空气系统</v>
      </c>
      <c r="O74" s="26" t="str">
        <f>I$23</f>
        <v>other metals 242</v>
      </c>
      <c r="P74" s="26" t="str">
        <f t="shared" si="37"/>
        <v>Early Facility Retirement</v>
      </c>
      <c r="Q74" s="47">
        <f t="shared" si="33"/>
        <v>0</v>
      </c>
      <c r="R74" s="47">
        <f t="shared" si="34"/>
        <v>0</v>
      </c>
    </row>
    <row r="75" spans="1:18" ht="14.25" x14ac:dyDescent="0.2">
      <c r="A75" s="20">
        <v>2021</v>
      </c>
      <c r="B75" s="24" t="s">
        <v>62</v>
      </c>
      <c r="C75" s="25" t="s">
        <v>104</v>
      </c>
      <c r="D75" s="46">
        <f>SUMIFS(工业节能技术装备推荐目录!K:K,工业节能技术装备推荐目录!C:C,用能设备节能分配!B75,工业节能技术装备推荐目录!F:F,用能设备节能分配!C75,工业节能技术装备推荐目录!A:A,用能设备节能分配!A75)</f>
        <v>32.46</v>
      </c>
      <c r="E75" s="47">
        <f>SUMIFS(工业节能技术装备推荐目录!L:L,工业节能技术装备推荐目录!C:C,用能设备节能分配!B75,工业节能技术装备推荐目录!F:F,用能设备节能分配!C75,工业节能技术装备推荐目录!A:A,用能设备节能分配!A75)</f>
        <v>120.62637931034484</v>
      </c>
      <c r="G75" s="41" t="s">
        <v>63</v>
      </c>
      <c r="H75" s="41"/>
      <c r="I75" s="45" t="s">
        <v>41</v>
      </c>
      <c r="J75" s="43">
        <f>IFERROR(VLOOKUP(I75,BIFUbC!$A$1:$C$27,3,0),0)</f>
        <v>1.2538279702746712E+16</v>
      </c>
      <c r="K75" s="44">
        <f t="shared" si="32"/>
        <v>0.11901623130502754</v>
      </c>
      <c r="M75" s="46">
        <v>2020</v>
      </c>
      <c r="N75" s="26" t="str">
        <f t="shared" si="29"/>
        <v>压缩空气系统</v>
      </c>
      <c r="O75" s="26" t="str">
        <f t="shared" ref="O75:O77" si="38">I$23</f>
        <v>other metals 242</v>
      </c>
      <c r="P75" s="26" t="str">
        <f t="shared" si="37"/>
        <v>Installation and System Integration</v>
      </c>
      <c r="Q75" s="47">
        <f t="shared" si="33"/>
        <v>0</v>
      </c>
      <c r="R75" s="47">
        <f t="shared" si="34"/>
        <v>0</v>
      </c>
    </row>
    <row r="76" spans="1:18" ht="14.25" x14ac:dyDescent="0.2">
      <c r="A76" s="20">
        <v>2021</v>
      </c>
      <c r="B76" s="24" t="s">
        <v>62</v>
      </c>
      <c r="C76" s="25" t="s">
        <v>102</v>
      </c>
      <c r="D76" s="46">
        <f>SUMIFS(工业节能技术装备推荐目录!K:K,工业节能技术装备推荐目录!C:C,用能设备节能分配!B76,工业节能技术装备推荐目录!F:F,用能设备节能分配!C76,工业节能技术装备推荐目录!A:A,用能设备节能分配!A76)</f>
        <v>0</v>
      </c>
      <c r="E76" s="47">
        <f>SUMIFS(工业节能技术装备推荐目录!L:L,工业节能技术装备推荐目录!C:C,用能设备节能分配!B76,工业节能技术装备推荐目录!F:F,用能设备节能分配!C76,工业节能技术装备推荐目录!A:A,用能设备节能分配!A76)</f>
        <v>0</v>
      </c>
      <c r="G76" s="41" t="s">
        <v>63</v>
      </c>
      <c r="H76" s="41"/>
      <c r="I76" s="45" t="s">
        <v>42</v>
      </c>
      <c r="J76" s="43">
        <f>IFERROR(VLOOKUP(I76,BIFUbC!$A$1:$C$27,3,0),0)</f>
        <v>659795827134432</v>
      </c>
      <c r="K76" s="44">
        <f t="shared" si="32"/>
        <v>6.2629335632958527E-3</v>
      </c>
      <c r="M76" s="46">
        <v>2020</v>
      </c>
      <c r="N76" s="26" t="str">
        <f t="shared" si="29"/>
        <v>压缩空气系统</v>
      </c>
      <c r="O76" s="26" t="str">
        <f t="shared" si="38"/>
        <v>other metals 242</v>
      </c>
      <c r="P76" s="26" t="str">
        <f t="shared" si="37"/>
        <v>Cogeneration and Waste Heat Recovery</v>
      </c>
      <c r="Q76" s="47">
        <f t="shared" si="33"/>
        <v>0</v>
      </c>
      <c r="R76" s="47">
        <f t="shared" si="34"/>
        <v>0</v>
      </c>
    </row>
    <row r="77" spans="1:18" ht="14.25" x14ac:dyDescent="0.2">
      <c r="A77" s="20">
        <v>2021</v>
      </c>
      <c r="B77" s="24" t="s">
        <v>62</v>
      </c>
      <c r="C77" s="25" t="s">
        <v>105</v>
      </c>
      <c r="D77" s="46">
        <f>SUMIFS(工业节能技术装备推荐目录!K:K,工业节能技术装备推荐目录!C:C,用能设备节能分配!B77,工业节能技术装备推荐目录!F:F,用能设备节能分配!C77,工业节能技术装备推荐目录!A:A,用能设备节能分配!A77)</f>
        <v>5.4</v>
      </c>
      <c r="E77" s="47">
        <f>SUMIFS(工业节能技术装备推荐目录!L:L,工业节能技术装备推荐目录!C:C,用能设备节能分配!B77,工业节能技术装备推荐目录!F:F,用能设备节能分配!C77,工业节能技术装备推荐目录!A:A,用能设备节能分配!A77)</f>
        <v>120</v>
      </c>
      <c r="G77" s="41" t="s">
        <v>63</v>
      </c>
      <c r="H77" s="41"/>
      <c r="I77" s="45" t="s">
        <v>43</v>
      </c>
      <c r="J77" s="43">
        <f>IFERROR(VLOOKUP(I77,BIFUbC!$A$1:$C$27,3,0),0)</f>
        <v>221106833331857.81</v>
      </c>
      <c r="K77" s="44">
        <f t="shared" si="32"/>
        <v>2.0987968559340537E-3</v>
      </c>
      <c r="M77" s="46">
        <v>2020</v>
      </c>
      <c r="N77" s="26" t="str">
        <f t="shared" si="29"/>
        <v>压缩空气系统</v>
      </c>
      <c r="O77" s="26" t="str">
        <f t="shared" si="38"/>
        <v>other metals 242</v>
      </c>
      <c r="P77" s="26" t="str">
        <f t="shared" si="37"/>
        <v>Improvement in Eqpt Efficiency Standards</v>
      </c>
      <c r="Q77" s="47">
        <f t="shared" si="33"/>
        <v>0.54919439483328159</v>
      </c>
      <c r="R77" s="47">
        <f t="shared" si="34"/>
        <v>2.7459719741664079</v>
      </c>
    </row>
    <row r="78" spans="1:18" ht="14.25" x14ac:dyDescent="0.2">
      <c r="A78" s="20">
        <v>2021</v>
      </c>
      <c r="B78" s="24" t="s">
        <v>63</v>
      </c>
      <c r="C78" s="25" t="s">
        <v>103</v>
      </c>
      <c r="D78" s="46">
        <f>SUMIFS(工业节能技术装备推荐目录!K:K,工业节能技术装备推荐目录!C:C,用能设备节能分配!B78,工业节能技术装备推荐目录!F:F,用能设备节能分配!C78,工业节能技术装备推荐目录!A:A,用能设备节能分配!A78)</f>
        <v>0.93</v>
      </c>
      <c r="E78" s="47">
        <f>SUMIFS(工业节能技术装备推荐目录!L:L,工业节能技术装备推荐目录!C:C,用能设备节能分配!B78,工业节能技术装备推荐目录!F:F,用能设备节能分配!C78,工业节能技术装备推荐目录!A:A,用能设备节能分配!A78)</f>
        <v>4.6500000000000004</v>
      </c>
      <c r="G78" s="41" t="s">
        <v>63</v>
      </c>
      <c r="H78" s="41"/>
      <c r="I78" s="45" t="s">
        <v>56</v>
      </c>
      <c r="J78" s="43">
        <f>IFERROR(VLOOKUP(I78,BIFUbC!$A$1:$C$27,3,0),0)</f>
        <v>8178975429413974</v>
      </c>
      <c r="K78" s="44">
        <f t="shared" si="32"/>
        <v>7.7636713697814927E-2</v>
      </c>
      <c r="M78" s="46">
        <v>2020</v>
      </c>
      <c r="N78" s="26" t="str">
        <f>G$24</f>
        <v>风机系统</v>
      </c>
      <c r="O78" s="26" t="str">
        <f>I$24</f>
        <v>coal mining 05</v>
      </c>
      <c r="P78" s="26" t="str">
        <f t="shared" si="37"/>
        <v>Early Facility Retirement</v>
      </c>
      <c r="Q78" s="47">
        <f t="shared" si="33"/>
        <v>0</v>
      </c>
      <c r="R78" s="47">
        <f t="shared" si="34"/>
        <v>0</v>
      </c>
    </row>
    <row r="79" spans="1:18" ht="14.25" x14ac:dyDescent="0.2">
      <c r="A79" s="20">
        <v>2021</v>
      </c>
      <c r="B79" s="24" t="s">
        <v>63</v>
      </c>
      <c r="C79" s="25" t="s">
        <v>104</v>
      </c>
      <c r="D79" s="46">
        <f>SUMIFS(工业节能技术装备推荐目录!K:K,工业节能技术装备推荐目录!C:C,用能设备节能分配!B79,工业节能技术装备推荐目录!F:F,用能设备节能分配!C79,工业节能技术装备推荐目录!A:A,用能设备节能分配!A79)</f>
        <v>0</v>
      </c>
      <c r="E79" s="47">
        <f>SUMIFS(工业节能技术装备推荐目录!L:L,工业节能技术装备推荐目录!C:C,用能设备节能分配!B79,工业节能技术装备推荐目录!F:F,用能设备节能分配!C79,工业节能技术装备推荐目录!A:A,用能设备节能分配!A79)</f>
        <v>0</v>
      </c>
      <c r="G79" s="41" t="s">
        <v>63</v>
      </c>
      <c r="H79" s="41"/>
      <c r="I79" s="45" t="s">
        <v>45</v>
      </c>
      <c r="J79" s="43">
        <f>IFERROR(VLOOKUP(I79,BIFUbC!$A$1:$C$27,3,0),0)</f>
        <v>2.0096009373213932E+16</v>
      </c>
      <c r="K79" s="44">
        <f t="shared" si="32"/>
        <v>0.19075593754272999</v>
      </c>
      <c r="M79" s="46">
        <v>2020</v>
      </c>
      <c r="N79" s="26" t="str">
        <f t="shared" ref="N79:N93" si="39">G$24</f>
        <v>风机系统</v>
      </c>
      <c r="O79" s="26" t="str">
        <f t="shared" ref="O79:O81" si="40">I$24</f>
        <v>coal mining 05</v>
      </c>
      <c r="P79" s="26" t="str">
        <f t="shared" si="37"/>
        <v>Installation and System Integration</v>
      </c>
      <c r="Q79" s="47">
        <f t="shared" si="33"/>
        <v>0</v>
      </c>
      <c r="R79" s="47">
        <f t="shared" si="34"/>
        <v>0</v>
      </c>
    </row>
    <row r="80" spans="1:18" ht="14.25" x14ac:dyDescent="0.2">
      <c r="A80" s="20">
        <v>2021</v>
      </c>
      <c r="B80" s="24" t="s">
        <v>63</v>
      </c>
      <c r="C80" s="25" t="s">
        <v>102</v>
      </c>
      <c r="D80" s="46">
        <f>SUMIFS(工业节能技术装备推荐目录!K:K,工业节能技术装备推荐目录!C:C,用能设备节能分配!B80,工业节能技术装备推荐目录!F:F,用能设备节能分配!C80,工业节能技术装备推荐目录!A:A,用能设备节能分配!A80)</f>
        <v>0</v>
      </c>
      <c r="E80" s="47">
        <f>SUMIFS(工业节能技术装备推荐目录!L:L,工业节能技术装备推荐目录!C:C,用能设备节能分配!B80,工业节能技术装备推荐目录!F:F,用能设备节能分配!C80,工业节能技术装备推荐目录!A:A,用能设备节能分配!A80)</f>
        <v>0</v>
      </c>
      <c r="G80" s="41" t="s">
        <v>63</v>
      </c>
      <c r="H80" s="41"/>
      <c r="I80" s="45" t="s">
        <v>46</v>
      </c>
      <c r="J80" s="43">
        <f>IFERROR(VLOOKUP(I80,BIFUbC!$A$1:$C$27,3,0),0)</f>
        <v>3410530606926317</v>
      </c>
      <c r="K80" s="44">
        <f t="shared" si="32"/>
        <v>3.2373540007876657E-2</v>
      </c>
      <c r="M80" s="46">
        <v>2020</v>
      </c>
      <c r="N80" s="26" t="str">
        <f t="shared" si="39"/>
        <v>风机系统</v>
      </c>
      <c r="O80" s="26" t="str">
        <f t="shared" si="40"/>
        <v>coal mining 05</v>
      </c>
      <c r="P80" s="26" t="str">
        <f t="shared" si="37"/>
        <v>Cogeneration and Waste Heat Recovery</v>
      </c>
      <c r="Q80" s="47">
        <f t="shared" si="33"/>
        <v>0</v>
      </c>
      <c r="R80" s="47">
        <f t="shared" si="34"/>
        <v>0</v>
      </c>
    </row>
    <row r="81" spans="1:18" ht="14.25" x14ac:dyDescent="0.2">
      <c r="A81" s="20">
        <v>2021</v>
      </c>
      <c r="B81" s="24" t="s">
        <v>63</v>
      </c>
      <c r="C81" s="25" t="s">
        <v>105</v>
      </c>
      <c r="D81" s="46">
        <f>SUMIFS(工业节能技术装备推荐目录!K:K,工业节能技术装备推荐目录!C:C,用能设备节能分配!B81,工业节能技术装备推荐目录!F:F,用能设备节能分配!C81,工业节能技术装备推荐目录!A:A,用能设备节能分配!A81)</f>
        <v>282.68</v>
      </c>
      <c r="E81" s="47">
        <f>SUMIFS(工业节能技术装备推荐目录!L:L,工业节能技术装备推荐目录!C:C,用能设备节能分配!B81,工业节能技术装备推荐目录!F:F,用能设备节能分配!C81,工业节能技术装备推荐目录!A:A,用能设备节能分配!A81)</f>
        <v>2246.4766666666674</v>
      </c>
      <c r="G81" s="41" t="s">
        <v>63</v>
      </c>
      <c r="H81" s="41"/>
      <c r="I81" s="45" t="s">
        <v>47</v>
      </c>
      <c r="J81" s="43">
        <f>IFERROR(VLOOKUP(I81,BIFUbC!$A$1:$C$27,3,0),0)</f>
        <v>1274478057333611.5</v>
      </c>
      <c r="K81" s="44">
        <f t="shared" si="32"/>
        <v>1.2097638500724348E-2</v>
      </c>
      <c r="M81" s="46">
        <v>2020</v>
      </c>
      <c r="N81" s="26" t="str">
        <f t="shared" si="39"/>
        <v>风机系统</v>
      </c>
      <c r="O81" s="26" t="str">
        <f t="shared" si="40"/>
        <v>coal mining 05</v>
      </c>
      <c r="P81" s="26" t="str">
        <f t="shared" si="37"/>
        <v>Improvement in Eqpt Efficiency Standards</v>
      </c>
      <c r="Q81" s="47">
        <f t="shared" si="33"/>
        <v>0</v>
      </c>
      <c r="R81" s="47">
        <f t="shared" si="34"/>
        <v>0</v>
      </c>
    </row>
    <row r="82" spans="1:18" ht="14.25" x14ac:dyDescent="0.2">
      <c r="A82" s="20">
        <v>2021</v>
      </c>
      <c r="B82" s="24" t="s">
        <v>18</v>
      </c>
      <c r="C82" s="25" t="s">
        <v>103</v>
      </c>
      <c r="D82" s="46">
        <f>SUMIFS(工业节能技术装备推荐目录!K:K,工业节能技术装备推荐目录!C:C,用能设备节能分配!B82,工业节能技术装备推荐目录!F:F,用能设备节能分配!C82,工业节能技术装备推荐目录!A:A,用能设备节能分配!A82)</f>
        <v>0</v>
      </c>
      <c r="E82" s="47">
        <f>SUMIFS(工业节能技术装备推荐目录!L:L,工业节能技术装备推荐目录!C:C,用能设备节能分配!B82,工业节能技术装备推荐目录!F:F,用能设备节能分配!C82,工业节能技术装备推荐目录!A:A,用能设备节能分配!A82)</f>
        <v>0</v>
      </c>
      <c r="G82" s="41" t="s">
        <v>63</v>
      </c>
      <c r="H82" s="41"/>
      <c r="I82" s="45" t="s">
        <v>48</v>
      </c>
      <c r="J82" s="43">
        <f>IFERROR(VLOOKUP(I82,BIFUbC!$A$1:$C$27,3,0),0)</f>
        <v>773177021555770.13</v>
      </c>
      <c r="K82" s="44">
        <f t="shared" si="32"/>
        <v>7.33917390733078E-3</v>
      </c>
      <c r="M82" s="46">
        <v>2020</v>
      </c>
      <c r="N82" s="26" t="str">
        <f t="shared" si="39"/>
        <v>风机系统</v>
      </c>
      <c r="O82" s="26" t="str">
        <f>I$25</f>
        <v>refined petroleum and coke 19</v>
      </c>
      <c r="P82" s="26" t="str">
        <f t="shared" si="37"/>
        <v>Early Facility Retirement</v>
      </c>
      <c r="Q82" s="47">
        <f t="shared" si="33"/>
        <v>0</v>
      </c>
      <c r="R82" s="47">
        <f t="shared" si="34"/>
        <v>0</v>
      </c>
    </row>
    <row r="83" spans="1:18" ht="14.25" x14ac:dyDescent="0.2">
      <c r="A83" s="20">
        <v>2021</v>
      </c>
      <c r="B83" s="24" t="s">
        <v>18</v>
      </c>
      <c r="C83" s="25" t="s">
        <v>104</v>
      </c>
      <c r="D83" s="46">
        <f>SUMIFS(工业节能技术装备推荐目录!K:K,工业节能技术装备推荐目录!C:C,用能设备节能分配!B83,工业节能技术装备推荐目录!F:F,用能设备节能分配!C83,工业节能技术装备推荐目录!A:A,用能设备节能分配!A83)</f>
        <v>20.190000000000001</v>
      </c>
      <c r="E83" s="47">
        <f>SUMIFS(工业节能技术装备推荐目录!L:L,工业节能技术装备推荐目录!C:C,用能设备节能分配!B83,工业节能技术装备推荐目录!F:F,用能设备节能分配!C83,工业节能技术装备推荐目录!A:A,用能设备节能分配!A83)</f>
        <v>150.65</v>
      </c>
      <c r="G83" s="41" t="s">
        <v>63</v>
      </c>
      <c r="H83" s="41"/>
      <c r="I83" s="45" t="s">
        <v>49</v>
      </c>
      <c r="J83" s="43">
        <f>IFERROR(VLOOKUP(I83,BIFUbC!$A$1:$C$27,3,0),0)</f>
        <v>391851376450712.25</v>
      </c>
      <c r="K83" s="44">
        <f t="shared" si="32"/>
        <v>3.7195432836479854E-3</v>
      </c>
      <c r="M83" s="46">
        <v>2020</v>
      </c>
      <c r="N83" s="26" t="str">
        <f t="shared" si="39"/>
        <v>风机系统</v>
      </c>
      <c r="O83" s="26" t="str">
        <f t="shared" ref="O83:O85" si="41">I$25</f>
        <v>refined petroleum and coke 19</v>
      </c>
      <c r="P83" s="26" t="str">
        <f t="shared" si="37"/>
        <v>Installation and System Integration</v>
      </c>
      <c r="Q83" s="47">
        <f t="shared" si="33"/>
        <v>0</v>
      </c>
      <c r="R83" s="47">
        <f t="shared" si="34"/>
        <v>0</v>
      </c>
    </row>
    <row r="84" spans="1:18" ht="14.25" x14ac:dyDescent="0.2">
      <c r="A84" s="20">
        <v>2021</v>
      </c>
      <c r="B84" s="24" t="s">
        <v>18</v>
      </c>
      <c r="C84" s="25" t="s">
        <v>102</v>
      </c>
      <c r="D84" s="46">
        <f>SUMIFS(工业节能技术装备推荐目录!K:K,工业节能技术装备推荐目录!C:C,用能设备节能分配!B84,工业节能技术装备推荐目录!F:F,用能设备节能分配!C84,工业节能技术装备推荐目录!A:A,用能设备节能分配!A84)</f>
        <v>0</v>
      </c>
      <c r="E84" s="47">
        <f>SUMIFS(工业节能技术装备推荐目录!L:L,工业节能技术装备推荐目录!C:C,用能设备节能分配!B84,工业节能技术装备推荐目录!F:F,用能设备节能分配!C84,工业节能技术装备推荐目录!A:A,用能设备节能分配!A84)</f>
        <v>0</v>
      </c>
      <c r="G84" s="41" t="s">
        <v>63</v>
      </c>
      <c r="H84" s="41"/>
      <c r="I84" s="45" t="s">
        <v>50</v>
      </c>
      <c r="J84" s="43">
        <f>IFERROR(VLOOKUP(I84,BIFUbC!$A$1:$C$27,3,0),0)</f>
        <v>242793277946328.5</v>
      </c>
      <c r="K84" s="44">
        <f t="shared" si="32"/>
        <v>2.3046495701508291E-3</v>
      </c>
      <c r="M84" s="46">
        <v>2020</v>
      </c>
      <c r="N84" s="26" t="str">
        <f t="shared" si="39"/>
        <v>风机系统</v>
      </c>
      <c r="O84" s="26" t="str">
        <f t="shared" si="41"/>
        <v>refined petroleum and coke 19</v>
      </c>
      <c r="P84" s="26" t="str">
        <f t="shared" si="37"/>
        <v>Cogeneration and Waste Heat Recovery</v>
      </c>
      <c r="Q84" s="47">
        <f t="shared" si="33"/>
        <v>0</v>
      </c>
      <c r="R84" s="47">
        <f t="shared" si="34"/>
        <v>0</v>
      </c>
    </row>
    <row r="85" spans="1:18" ht="14.25" x14ac:dyDescent="0.2">
      <c r="A85" s="20">
        <v>2021</v>
      </c>
      <c r="B85" s="24" t="s">
        <v>18</v>
      </c>
      <c r="C85" s="25" t="s">
        <v>105</v>
      </c>
      <c r="D85" s="46">
        <f>SUMIFS(工业节能技术装备推荐目录!K:K,工业节能技术装备推荐目录!C:C,用能设备节能分配!B85,工业节能技术装备推荐目录!F:F,用能设备节能分配!C85,工业节能技术装备推荐目录!A:A,用能设备节能分配!A85)</f>
        <v>92.45</v>
      </c>
      <c r="E85" s="47">
        <f>SUMIFS(工业节能技术装备推荐目录!L:L,工业节能技术装备推荐目录!C:C,用能设备节能分配!B85,工业节能技术装备推荐目录!F:F,用能设备节能分配!C85,工业节能技术装备推荐目录!A:A,用能设备节能分配!A85)</f>
        <v>2686.15</v>
      </c>
      <c r="G85" s="41" t="s">
        <v>63</v>
      </c>
      <c r="H85" s="41"/>
      <c r="I85" s="45" t="s">
        <v>81</v>
      </c>
      <c r="J85" s="43">
        <f>IFERROR(VLOOKUP(I85,BIFUbC!$A$1:$C$27,3,0),0)</f>
        <v>339259391172511.13</v>
      </c>
      <c r="K85" s="44">
        <f t="shared" si="32"/>
        <v>3.2203280776504843E-3</v>
      </c>
      <c r="M85" s="46">
        <v>2020</v>
      </c>
      <c r="N85" s="26" t="str">
        <f t="shared" si="39"/>
        <v>风机系统</v>
      </c>
      <c r="O85" s="26" t="str">
        <f t="shared" si="41"/>
        <v>refined petroleum and coke 19</v>
      </c>
      <c r="P85" s="26" t="str">
        <f t="shared" si="37"/>
        <v>Improvement in Eqpt Efficiency Standards</v>
      </c>
      <c r="Q85" s="47">
        <f t="shared" si="33"/>
        <v>0</v>
      </c>
      <c r="R85" s="47">
        <f t="shared" si="34"/>
        <v>0</v>
      </c>
    </row>
    <row r="86" spans="1:18" ht="14.25" x14ac:dyDescent="0.2">
      <c r="A86" s="20">
        <v>2021</v>
      </c>
      <c r="B86" s="24" t="s">
        <v>17</v>
      </c>
      <c r="C86" s="25" t="s">
        <v>103</v>
      </c>
      <c r="D86" s="46">
        <f>SUMIFS(工业节能技术装备推荐目录!K:K,工业节能技术装备推荐目录!C:C,用能设备节能分配!B86,工业节能技术装备推荐目录!F:F,用能设备节能分配!C86,工业节能技术装备推荐目录!A:A,用能设备节能分配!A86)</f>
        <v>0</v>
      </c>
      <c r="E86" s="47">
        <f>SUMIFS(工业节能技术装备推荐目录!L:L,工业节能技术装备推荐目录!C:C,用能设备节能分配!B86,工业节能技术装备推荐目录!F:F,用能设备节能分配!C86,工业节能技术装备推荐目录!A:A,用能设备节能分配!A86)</f>
        <v>0</v>
      </c>
      <c r="G86" s="41" t="s">
        <v>63</v>
      </c>
      <c r="H86" s="41"/>
      <c r="I86" s="45" t="s">
        <v>71</v>
      </c>
      <c r="J86" s="43">
        <f>IFERROR(VLOOKUP(I86,BIFUbC!$A$1:$C$27,3,0),0)</f>
        <v>207156667738263.25</v>
      </c>
      <c r="K86" s="44">
        <f t="shared" si="32"/>
        <v>1.9663786794064577E-3</v>
      </c>
      <c r="M86" s="46">
        <v>2020</v>
      </c>
      <c r="N86" s="26" t="str">
        <f t="shared" si="39"/>
        <v>风机系统</v>
      </c>
      <c r="O86" s="26" t="str">
        <f>I$26</f>
        <v>chemicals 20</v>
      </c>
      <c r="P86" s="26" t="str">
        <f t="shared" si="37"/>
        <v>Early Facility Retirement</v>
      </c>
      <c r="Q86" s="47">
        <f t="shared" si="33"/>
        <v>0</v>
      </c>
      <c r="R86" s="47">
        <f t="shared" si="34"/>
        <v>0</v>
      </c>
    </row>
    <row r="87" spans="1:18" ht="14.25" x14ac:dyDescent="0.2">
      <c r="A87" s="20">
        <v>2021</v>
      </c>
      <c r="B87" s="24" t="s">
        <v>17</v>
      </c>
      <c r="C87" s="25" t="s">
        <v>104</v>
      </c>
      <c r="D87" s="46">
        <f>SUMIFS(工业节能技术装备推荐目录!K:K,工业节能技术装备推荐目录!C:C,用能设备节能分配!B87,工业节能技术装备推荐目录!F:F,用能设备节能分配!C87,工业节能技术装备推荐目录!A:A,用能设备节能分配!A87)</f>
        <v>179.21</v>
      </c>
      <c r="E87" s="47">
        <f>SUMIFS(工业节能技术装备推荐目录!L:L,工业节能技术装备推荐目录!C:C,用能设备节能分配!B87,工业节能技术装备推荐目录!F:F,用能设备节能分配!C87,工业节能技术装备推荐目录!A:A,用能设备节能分配!A87)</f>
        <v>1267.6085714285714</v>
      </c>
      <c r="G87" s="41" t="s">
        <v>63</v>
      </c>
      <c r="H87" s="41"/>
      <c r="I87" s="45" t="s">
        <v>53</v>
      </c>
      <c r="J87" s="43">
        <f>IFERROR(VLOOKUP(I87,BIFUbC!$A$1:$C$27,3,0),0)</f>
        <v>543801799049952.25</v>
      </c>
      <c r="K87" s="44">
        <f t="shared" si="32"/>
        <v>5.1618916018950347E-3</v>
      </c>
      <c r="M87" s="46">
        <v>2020</v>
      </c>
      <c r="N87" s="26" t="str">
        <f t="shared" si="39"/>
        <v>风机系统</v>
      </c>
      <c r="O87" s="26" t="str">
        <f t="shared" ref="O87:O89" si="42">I$26</f>
        <v>chemicals 20</v>
      </c>
      <c r="P87" s="26" t="str">
        <f t="shared" si="37"/>
        <v>Installation and System Integration</v>
      </c>
      <c r="Q87" s="47">
        <f t="shared" si="33"/>
        <v>0</v>
      </c>
      <c r="R87" s="47">
        <f t="shared" si="34"/>
        <v>0</v>
      </c>
    </row>
    <row r="88" spans="1:18" ht="14.25" x14ac:dyDescent="0.2">
      <c r="A88" s="20">
        <v>2021</v>
      </c>
      <c r="B88" s="24" t="s">
        <v>17</v>
      </c>
      <c r="C88" s="25" t="s">
        <v>102</v>
      </c>
      <c r="D88" s="46">
        <f>SUMIFS(工业节能技术装备推荐目录!K:K,工业节能技术装备推荐目录!C:C,用能设备节能分配!B88,工业节能技术装备推荐目录!F:F,用能设备节能分配!C88,工业节能技术装备推荐目录!A:A,用能设备节能分配!A88)</f>
        <v>0</v>
      </c>
      <c r="E88" s="47">
        <f>SUMIFS(工业节能技术装备推荐目录!L:L,工业节能技术装备推荐目录!C:C,用能设备节能分配!B88,工业节能技术装备推荐目录!F:F,用能设备节能分配!C88,工业节能技术装备推荐目录!A:A,用能设备节能分配!A88)</f>
        <v>0</v>
      </c>
      <c r="G88" s="41" t="s">
        <v>63</v>
      </c>
      <c r="H88" s="41"/>
      <c r="I88" s="45" t="s">
        <v>76</v>
      </c>
      <c r="J88" s="43">
        <f>IFERROR(VLOOKUP(I88,BIFUbC!$A$1:$C$27,3,0),0)</f>
        <v>1009897887835043</v>
      </c>
      <c r="K88" s="44">
        <f t="shared" si="32"/>
        <v>9.5861827509481825E-3</v>
      </c>
      <c r="M88" s="46">
        <v>2020</v>
      </c>
      <c r="N88" s="26" t="str">
        <f t="shared" si="39"/>
        <v>风机系统</v>
      </c>
      <c r="O88" s="26" t="str">
        <f t="shared" si="42"/>
        <v>chemicals 20</v>
      </c>
      <c r="P88" s="26" t="str">
        <f t="shared" si="37"/>
        <v>Cogeneration and Waste Heat Recovery</v>
      </c>
      <c r="Q88" s="47">
        <f t="shared" si="33"/>
        <v>0</v>
      </c>
      <c r="R88" s="47">
        <f t="shared" si="34"/>
        <v>0</v>
      </c>
    </row>
    <row r="89" spans="1:18" ht="14.25" x14ac:dyDescent="0.2">
      <c r="A89" s="20">
        <v>2021</v>
      </c>
      <c r="B89" s="24" t="s">
        <v>17</v>
      </c>
      <c r="C89" s="25" t="s">
        <v>105</v>
      </c>
      <c r="D89" s="46">
        <f>SUMIFS(工业节能技术装备推荐目录!K:K,工业节能技术装备推荐目录!C:C,用能设备节能分配!B89,工业节能技术装备推荐目录!F:F,用能设备节能分配!C89,工业节能技术装备推荐目录!A:A,用能设备节能分配!A89)</f>
        <v>0</v>
      </c>
      <c r="E89" s="47">
        <f>SUMIFS(工业节能技术装备推荐目录!L:L,工业节能技术装备推荐目录!C:C,用能设备节能分配!B89,工业节能技术装备推荐目录!F:F,用能设备节能分配!C89,工业节能技术装备推荐目录!A:A,用能设备节能分配!A89)</f>
        <v>0</v>
      </c>
      <c r="G89" s="41" t="s">
        <v>63</v>
      </c>
      <c r="H89" s="41"/>
      <c r="I89" s="45" t="s">
        <v>83</v>
      </c>
      <c r="J89" s="43">
        <f>IFERROR(VLOOKUP(I89,BIFUbC!$A$1:$C$27,3,0),0)</f>
        <v>407212485139052.56</v>
      </c>
      <c r="K89" s="44">
        <f t="shared" si="32"/>
        <v>3.8653544561609637E-3</v>
      </c>
      <c r="M89" s="46">
        <v>2020</v>
      </c>
      <c r="N89" s="26" t="str">
        <f t="shared" si="39"/>
        <v>风机系统</v>
      </c>
      <c r="O89" s="26" t="str">
        <f t="shared" si="42"/>
        <v>chemicals 20</v>
      </c>
      <c r="P89" s="26" t="str">
        <f t="shared" si="37"/>
        <v>Improvement in Eqpt Efficiency Standards</v>
      </c>
      <c r="Q89" s="47">
        <f t="shared" si="33"/>
        <v>0</v>
      </c>
      <c r="R89" s="47">
        <f t="shared" si="34"/>
        <v>0</v>
      </c>
    </row>
    <row r="90" spans="1:18" ht="14.25" x14ac:dyDescent="0.2">
      <c r="A90" s="20">
        <v>2021</v>
      </c>
      <c r="B90" s="24" t="s">
        <v>20</v>
      </c>
      <c r="C90" s="25" t="s">
        <v>103</v>
      </c>
      <c r="D90" s="46">
        <f>SUMIFS(工业节能技术装备推荐目录!K:K,工业节能技术装备推荐目录!C:C,用能设备节能分配!B90,工业节能技术装备推荐目录!F:F,用能设备节能分配!C90,工业节能技术装备推荐目录!A:A,用能设备节能分配!A90)</f>
        <v>0</v>
      </c>
      <c r="E90" s="47">
        <f>SUMIFS(工业节能技术装备推荐目录!L:L,工业节能技术装备推荐目录!C:C,用能设备节能分配!B90,工业节能技术装备推荐目录!F:F,用能设备节能分配!C90,工业节能技术装备推荐目录!A:A,用能设备节能分配!A90)</f>
        <v>0</v>
      </c>
      <c r="G90" s="41" t="s">
        <v>63</v>
      </c>
      <c r="H90" s="41"/>
      <c r="I90" s="45" t="s">
        <v>55</v>
      </c>
      <c r="J90" s="43">
        <f>IFERROR(VLOOKUP(I90,BIFUbC!$A$1:$C$27,3,0),0)</f>
        <v>2097268608798000</v>
      </c>
      <c r="K90" s="44">
        <f t="shared" si="32"/>
        <v>1.9907755431456457E-2</v>
      </c>
      <c r="M90" s="46">
        <v>2020</v>
      </c>
      <c r="N90" s="26" t="str">
        <f t="shared" si="39"/>
        <v>风机系统</v>
      </c>
      <c r="O90" s="26" t="str">
        <f>I$27</f>
        <v>iron and steel 241</v>
      </c>
      <c r="P90" s="26" t="str">
        <f t="shared" si="37"/>
        <v>Early Facility Retirement</v>
      </c>
      <c r="Q90" s="47">
        <f t="shared" si="33"/>
        <v>0</v>
      </c>
      <c r="R90" s="47">
        <f t="shared" si="34"/>
        <v>0</v>
      </c>
    </row>
    <row r="91" spans="1:18" ht="14.25" x14ac:dyDescent="0.2">
      <c r="A91" s="20">
        <v>2021</v>
      </c>
      <c r="B91" s="24" t="s">
        <v>20</v>
      </c>
      <c r="C91" s="25" t="s">
        <v>104</v>
      </c>
      <c r="D91" s="46">
        <f>SUMIFS(工业节能技术装备推荐目录!K:K,工业节能技术装备推荐目录!C:C,用能设备节能分配!B91,工业节能技术装备推荐目录!F:F,用能设备节能分配!C91,工业节能技术装备推荐目录!A:A,用能设备节能分配!A91)</f>
        <v>0</v>
      </c>
      <c r="E91" s="47">
        <f>SUMIFS(工业节能技术装备推荐目录!L:L,工业节能技术装备推荐目录!C:C,用能设备节能分配!B91,工业节能技术装备推荐目录!F:F,用能设备节能分配!C91,工业节能技术装备推荐目录!A:A,用能设备节能分配!A91)</f>
        <v>0</v>
      </c>
      <c r="G91" s="41" t="s">
        <v>17</v>
      </c>
      <c r="H91" s="41"/>
      <c r="I91" s="45" t="s">
        <v>99</v>
      </c>
      <c r="J91" s="43">
        <f>IFERROR(VLOOKUP(I91,BIFUbC!$A$1:$C$27,3,0),0)</f>
        <v>1736651987772900</v>
      </c>
      <c r="K91" s="44">
        <f t="shared" ref="K91:K115" si="43">J91/SUM($J$91:$J$115)</f>
        <v>1.6484699621738107E-2</v>
      </c>
      <c r="M91" s="46">
        <v>2020</v>
      </c>
      <c r="N91" s="26" t="str">
        <f t="shared" si="39"/>
        <v>风机系统</v>
      </c>
      <c r="O91" s="26" t="str">
        <f t="shared" ref="O91:O93" si="44">I$27</f>
        <v>iron and steel 241</v>
      </c>
      <c r="P91" s="26" t="str">
        <f t="shared" si="37"/>
        <v>Installation and System Integration</v>
      </c>
      <c r="Q91" s="47">
        <f t="shared" si="33"/>
        <v>0</v>
      </c>
      <c r="R91" s="47">
        <f t="shared" si="34"/>
        <v>0</v>
      </c>
    </row>
    <row r="92" spans="1:18" ht="14.25" x14ac:dyDescent="0.2">
      <c r="A92" s="20">
        <v>2021</v>
      </c>
      <c r="B92" s="24" t="s">
        <v>20</v>
      </c>
      <c r="C92" s="25" t="s">
        <v>102</v>
      </c>
      <c r="D92" s="46">
        <f>SUMIFS(工业节能技术装备推荐目录!K:K,工业节能技术装备推荐目录!C:C,用能设备节能分配!B92,工业节能技术装备推荐目录!F:F,用能设备节能分配!C92,工业节能技术装备推荐目录!A:A,用能设备节能分配!A92)</f>
        <v>0</v>
      </c>
      <c r="E92" s="47">
        <f>SUMIFS(工业节能技术装备推荐目录!L:L,工业节能技术装备推荐目录!C:C,用能设备节能分配!B92,工业节能技术装备推荐目录!F:F,用能设备节能分配!C92,工业节能技术装备推荐目录!A:A,用能设备节能分配!A92)</f>
        <v>0</v>
      </c>
      <c r="G92" s="41" t="s">
        <v>17</v>
      </c>
      <c r="H92" s="41"/>
      <c r="I92" s="45" t="s">
        <v>35</v>
      </c>
      <c r="J92" s="43">
        <f>IFERROR(VLOOKUP(I92,BIFUbC!$A$1:$C$27,3,0),0)</f>
        <v>2088463251408978.8</v>
      </c>
      <c r="K92" s="44">
        <f t="shared" si="43"/>
        <v>1.9824172956301941E-2</v>
      </c>
      <c r="M92" s="46">
        <v>2020</v>
      </c>
      <c r="N92" s="26" t="str">
        <f t="shared" si="39"/>
        <v>风机系统</v>
      </c>
      <c r="O92" s="26" t="str">
        <f t="shared" si="44"/>
        <v>iron and steel 241</v>
      </c>
      <c r="P92" s="26" t="str">
        <f t="shared" si="37"/>
        <v>Cogeneration and Waste Heat Recovery</v>
      </c>
      <c r="Q92" s="47">
        <f t="shared" si="33"/>
        <v>0</v>
      </c>
      <c r="R92" s="47">
        <f t="shared" si="34"/>
        <v>0</v>
      </c>
    </row>
    <row r="93" spans="1:18" ht="14.25" x14ac:dyDescent="0.2">
      <c r="A93" s="20">
        <v>2021</v>
      </c>
      <c r="B93" s="24" t="s">
        <v>20</v>
      </c>
      <c r="C93" s="25" t="s">
        <v>105</v>
      </c>
      <c r="D93" s="46">
        <f>SUMIFS(工业节能技术装备推荐目录!K:K,工业节能技术装备推荐目录!C:C,用能设备节能分配!B93,工业节能技术装备推荐目录!F:F,用能设备节能分配!C93,工业节能技术装备推荐目录!A:A,用能设备节能分配!A93)</f>
        <v>60</v>
      </c>
      <c r="E93" s="47">
        <f>SUMIFS(工业节能技术装备推荐目录!L:L,工业节能技术装备推荐目录!C:C,用能设备节能分配!B93,工业节能技术装备推荐目录!F:F,用能设备节能分配!C93,工业节能技术装备推荐目录!A:A,用能设备节能分配!A93)</f>
        <v>300</v>
      </c>
      <c r="G93" s="41" t="s">
        <v>17</v>
      </c>
      <c r="H93" s="41"/>
      <c r="I93" s="45" t="s">
        <v>67</v>
      </c>
      <c r="J93" s="43">
        <f>IFERROR(VLOOKUP(I93,BIFUbC!$A$1:$C$27,3,0),0)</f>
        <v>768298506206903.75</v>
      </c>
      <c r="K93" s="44">
        <f t="shared" si="43"/>
        <v>7.2928659189184135E-3</v>
      </c>
      <c r="M93" s="46">
        <v>2020</v>
      </c>
      <c r="N93" s="26" t="str">
        <f t="shared" si="39"/>
        <v>风机系统</v>
      </c>
      <c r="O93" s="26" t="str">
        <f t="shared" si="44"/>
        <v>iron and steel 241</v>
      </c>
      <c r="P93" s="26" t="str">
        <f t="shared" si="37"/>
        <v>Improvement in Eqpt Efficiency Standards</v>
      </c>
      <c r="Q93" s="47">
        <f t="shared" si="33"/>
        <v>0</v>
      </c>
      <c r="R93" s="47">
        <f t="shared" si="34"/>
        <v>0</v>
      </c>
    </row>
    <row r="94" spans="1:18" ht="14.25" x14ac:dyDescent="0.2">
      <c r="A94" s="20">
        <v>2021</v>
      </c>
      <c r="B94" s="24" t="s">
        <v>22</v>
      </c>
      <c r="C94" s="25" t="s">
        <v>103</v>
      </c>
      <c r="D94" s="46">
        <f>SUMIFS(工业节能技术装备推荐目录!K:K,工业节能技术装备推荐目录!C:C,用能设备节能分配!B94,工业节能技术装备推荐目录!F:F,用能设备节能分配!C94,工业节能技术装备推荐目录!A:A,用能设备节能分配!A94)</f>
        <v>0</v>
      </c>
      <c r="E94" s="47">
        <f>SUMIFS(工业节能技术装备推荐目录!L:L,工业节能技术装备推荐目录!C:C,用能设备节能分配!B94,工业节能技术装备推荐目录!F:F,用能设备节能分配!C94,工业节能技术装备推荐目录!A:A,用能设备节能分配!A94)</f>
        <v>0</v>
      </c>
      <c r="G94" s="41" t="s">
        <v>17</v>
      </c>
      <c r="H94" s="41"/>
      <c r="I94" s="45" t="s">
        <v>100</v>
      </c>
      <c r="J94" s="43">
        <f>IFERROR(VLOOKUP(I94,BIFUbC!$A$1:$C$27,3,0),0)</f>
        <v>590351799018880.25</v>
      </c>
      <c r="K94" s="44">
        <f t="shared" si="43"/>
        <v>5.6037548953369E-3</v>
      </c>
      <c r="M94" s="46">
        <v>2020</v>
      </c>
      <c r="N94" s="26" t="str">
        <f>G$29</f>
        <v>汽轮机</v>
      </c>
      <c r="O94" s="26" t="str">
        <f>I$29</f>
        <v>refined petroleum and coke 19</v>
      </c>
      <c r="P94" s="26" t="str">
        <f t="shared" si="37"/>
        <v>Early Facility Retirement</v>
      </c>
      <c r="Q94" s="47">
        <f t="shared" si="33"/>
        <v>0</v>
      </c>
      <c r="R94" s="47">
        <f t="shared" si="34"/>
        <v>0</v>
      </c>
    </row>
    <row r="95" spans="1:18" ht="14.25" x14ac:dyDescent="0.2">
      <c r="A95" s="20">
        <v>2021</v>
      </c>
      <c r="B95" s="24" t="s">
        <v>22</v>
      </c>
      <c r="C95" s="25" t="s">
        <v>104</v>
      </c>
      <c r="D95" s="46">
        <f>SUMIFS(工业节能技术装备推荐目录!K:K,工业节能技术装备推荐目录!C:C,用能设备节能分配!B95,工业节能技术装备推荐目录!F:F,用能设备节能分配!C95,工业节能技术装备推荐目录!A:A,用能设备节能分配!A95)</f>
        <v>0</v>
      </c>
      <c r="E95" s="47">
        <f>SUMIFS(工业节能技术装备推荐目录!L:L,工业节能技术装备推荐目录!C:C,用能设备节能分配!B95,工业节能技术装备推荐目录!F:F,用能设备节能分配!C95,工业节能技术装备推荐目录!A:A,用能设备节能分配!A95)</f>
        <v>0</v>
      </c>
      <c r="G95" s="41" t="s">
        <v>17</v>
      </c>
      <c r="H95" s="41"/>
      <c r="I95" s="45" t="s">
        <v>101</v>
      </c>
      <c r="J95" s="43">
        <f>IFERROR(VLOOKUP(I95,BIFUbC!$A$1:$C$27,3,0),0)</f>
        <v>1333201638838097.5</v>
      </c>
      <c r="K95" s="44">
        <f t="shared" si="43"/>
        <v>1.2655056226687701E-2</v>
      </c>
      <c r="M95" s="46">
        <v>2020</v>
      </c>
      <c r="N95" s="26" t="str">
        <f t="shared" ref="N95:N113" si="45">G$29</f>
        <v>汽轮机</v>
      </c>
      <c r="O95" s="26" t="str">
        <f t="shared" ref="O95:O97" si="46">I$29</f>
        <v>refined petroleum and coke 19</v>
      </c>
      <c r="P95" s="26" t="str">
        <f t="shared" si="37"/>
        <v>Installation and System Integration</v>
      </c>
      <c r="Q95" s="47">
        <f t="shared" si="33"/>
        <v>0</v>
      </c>
      <c r="R95" s="47">
        <f t="shared" si="34"/>
        <v>0</v>
      </c>
    </row>
    <row r="96" spans="1:18" ht="14.25" x14ac:dyDescent="0.2">
      <c r="A96" s="20">
        <v>2021</v>
      </c>
      <c r="B96" s="24" t="s">
        <v>22</v>
      </c>
      <c r="C96" s="25" t="s">
        <v>102</v>
      </c>
      <c r="D96" s="46">
        <f>SUMIFS(工业节能技术装备推荐目录!K:K,工业节能技术装备推荐目录!C:C,用能设备节能分配!B96,工业节能技术装备推荐目录!F:F,用能设备节能分配!C96,工业节能技术装备推荐目录!A:A,用能设备节能分配!A96)</f>
        <v>0</v>
      </c>
      <c r="E96" s="47">
        <f>SUMIFS(工业节能技术装备推荐目录!L:L,工业节能技术装备推荐目录!C:C,用能设备节能分配!B96,工业节能技术装备推荐目录!F:F,用能设备节能分配!C96,工业节能技术装备推荐目录!A:A,用能设备节能分配!A96)</f>
        <v>0</v>
      </c>
      <c r="G96" s="41" t="s">
        <v>17</v>
      </c>
      <c r="H96" s="41"/>
      <c r="I96" s="45" t="s">
        <v>72</v>
      </c>
      <c r="J96" s="43">
        <f>IFERROR(VLOOKUP(I96,BIFUbC!$A$1:$C$27,3,0),0)</f>
        <v>1338950123736663.3</v>
      </c>
      <c r="K96" s="44">
        <f t="shared" si="43"/>
        <v>1.2709622165920281E-2</v>
      </c>
      <c r="M96" s="46">
        <v>2020</v>
      </c>
      <c r="N96" s="26" t="str">
        <f t="shared" si="45"/>
        <v>汽轮机</v>
      </c>
      <c r="O96" s="26" t="str">
        <f t="shared" si="46"/>
        <v>refined petroleum and coke 19</v>
      </c>
      <c r="P96" s="26" t="str">
        <f t="shared" si="37"/>
        <v>Cogeneration and Waste Heat Recovery</v>
      </c>
      <c r="Q96" s="47">
        <f t="shared" si="33"/>
        <v>0</v>
      </c>
      <c r="R96" s="47">
        <f t="shared" si="34"/>
        <v>0</v>
      </c>
    </row>
    <row r="97" spans="1:18" ht="14.25" x14ac:dyDescent="0.2">
      <c r="A97" s="20">
        <v>2021</v>
      </c>
      <c r="B97" s="24" t="s">
        <v>22</v>
      </c>
      <c r="C97" s="25" t="s">
        <v>105</v>
      </c>
      <c r="D97" s="46">
        <f>SUMIFS(工业节能技术装备推荐目录!K:K,工业节能技术装备推荐目录!C:C,用能设备节能分配!B97,工业节能技术装备推荐目录!F:F,用能设备节能分配!C97,工业节能技术装备推荐目录!A:A,用能设备节能分配!A97)</f>
        <v>4.29</v>
      </c>
      <c r="E97" s="47">
        <f>SUMIFS(工业节能技术装备推荐目录!L:L,工业节能技术装备推荐目录!C:C,用能设备节能分配!B97,工业节能技术装备推荐目录!F:F,用能设备节能分配!C97,工业节能技术装备推荐目录!A:A,用能设备节能分配!A97)</f>
        <v>39.468000000000004</v>
      </c>
      <c r="G97" s="41" t="s">
        <v>17</v>
      </c>
      <c r="H97" s="41"/>
      <c r="I97" s="45" t="s">
        <v>38</v>
      </c>
      <c r="J97" s="43">
        <f>IFERROR(VLOOKUP(I97,BIFUbC!$A$1:$C$27,3,0),0)</f>
        <v>237646551682524.75</v>
      </c>
      <c r="K97" s="44">
        <f t="shared" si="43"/>
        <v>2.255795662118905E-3</v>
      </c>
      <c r="M97" s="46">
        <v>2020</v>
      </c>
      <c r="N97" s="26" t="str">
        <f t="shared" si="45"/>
        <v>汽轮机</v>
      </c>
      <c r="O97" s="26" t="str">
        <f t="shared" si="46"/>
        <v>refined petroleum and coke 19</v>
      </c>
      <c r="P97" s="26" t="str">
        <f t="shared" si="37"/>
        <v>Improvement in Eqpt Efficiency Standards</v>
      </c>
      <c r="Q97" s="47">
        <f t="shared" si="33"/>
        <v>0</v>
      </c>
      <c r="R97" s="47">
        <f t="shared" si="34"/>
        <v>0</v>
      </c>
    </row>
    <row r="98" spans="1:18" ht="14.25" x14ac:dyDescent="0.2">
      <c r="A98" s="20">
        <v>2021</v>
      </c>
      <c r="B98" s="24" t="s">
        <v>78</v>
      </c>
      <c r="C98" s="25" t="s">
        <v>103</v>
      </c>
      <c r="D98" s="46">
        <f>SUMIFS(工业节能技术装备推荐目录!K:K,工业节能技术装备推荐目录!C:C,用能设备节能分配!B98,工业节能技术装备推荐目录!F:F,用能设备节能分配!C98,工业节能技术装备推荐目录!A:A,用能设备节能分配!A98)</f>
        <v>0</v>
      </c>
      <c r="E98" s="47">
        <f>SUMIFS(工业节能技术装备推荐目录!L:L,工业节能技术装备推荐目录!C:C,用能设备节能分配!B98,工业节能技术装备推荐目录!F:F,用能设备节能分配!C98,工业节能技术装备推荐目录!A:A,用能设备节能分配!A98)</f>
        <v>0</v>
      </c>
      <c r="G98" s="41" t="s">
        <v>17</v>
      </c>
      <c r="H98" s="41"/>
      <c r="I98" s="45" t="s">
        <v>68</v>
      </c>
      <c r="J98" s="43">
        <f>IFERROR(VLOOKUP(I98,BIFUbC!$A$1:$C$27,3,0),0)</f>
        <v>883986747789292</v>
      </c>
      <c r="K98" s="44">
        <f t="shared" si="43"/>
        <v>8.3910052845943238E-3</v>
      </c>
      <c r="M98" s="46">
        <v>2020</v>
      </c>
      <c r="N98" s="26" t="str">
        <f t="shared" si="45"/>
        <v>汽轮机</v>
      </c>
      <c r="O98" s="26" t="str">
        <f>I$30</f>
        <v>iron and steel 241</v>
      </c>
      <c r="P98" s="26" t="str">
        <f t="shared" si="37"/>
        <v>Early Facility Retirement</v>
      </c>
      <c r="Q98" s="47">
        <f t="shared" si="33"/>
        <v>0</v>
      </c>
      <c r="R98" s="47">
        <f t="shared" si="34"/>
        <v>0</v>
      </c>
    </row>
    <row r="99" spans="1:18" ht="14.25" x14ac:dyDescent="0.2">
      <c r="A99" s="20">
        <v>2021</v>
      </c>
      <c r="B99" s="24" t="s">
        <v>78</v>
      </c>
      <c r="C99" s="25" t="s">
        <v>104</v>
      </c>
      <c r="D99" s="46">
        <f>SUMIFS(工业节能技术装备推荐目录!K:K,工业节能技术装备推荐目录!C:C,用能设备节能分配!B99,工业节能技术装备推荐目录!F:F,用能设备节能分配!C99,工业节能技术装备推荐目录!A:A,用能设备节能分配!A99)</f>
        <v>0</v>
      </c>
      <c r="E99" s="47">
        <f>SUMIFS(工业节能技术装备推荐目录!L:L,工业节能技术装备推荐目录!C:C,用能设备节能分配!B99,工业节能技术装备推荐目录!F:F,用能设备节能分配!C99,工业节能技术装备推荐目录!A:A,用能设备节能分配!A99)</f>
        <v>0</v>
      </c>
      <c r="G99" s="41" t="s">
        <v>17</v>
      </c>
      <c r="H99" s="41"/>
      <c r="I99" s="45" t="s">
        <v>40</v>
      </c>
      <c r="J99" s="43">
        <f>IFERROR(VLOOKUP(I99,BIFUbC!$A$1:$C$27,3,0),0)</f>
        <v>4.3980180641948744E+16</v>
      </c>
      <c r="K99" s="44">
        <f t="shared" si="43"/>
        <v>0.41746997803633273</v>
      </c>
      <c r="M99" s="46">
        <v>2020</v>
      </c>
      <c r="N99" s="26" t="str">
        <f t="shared" si="45"/>
        <v>汽轮机</v>
      </c>
      <c r="O99" s="26" t="str">
        <f t="shared" ref="O99:O101" si="47">I$30</f>
        <v>iron and steel 241</v>
      </c>
      <c r="P99" s="26" t="str">
        <f t="shared" si="37"/>
        <v>Installation and System Integration</v>
      </c>
      <c r="Q99" s="47">
        <f t="shared" si="33"/>
        <v>0</v>
      </c>
      <c r="R99" s="47">
        <f t="shared" si="34"/>
        <v>0</v>
      </c>
    </row>
    <row r="100" spans="1:18" ht="14.25" x14ac:dyDescent="0.2">
      <c r="A100" s="20">
        <v>2021</v>
      </c>
      <c r="B100" s="24" t="s">
        <v>78</v>
      </c>
      <c r="C100" s="25" t="s">
        <v>102</v>
      </c>
      <c r="D100" s="46">
        <f>SUMIFS(工业节能技术装备推荐目录!K:K,工业节能技术装备推荐目录!C:C,用能设备节能分配!B100,工业节能技术装备推荐目录!F:F,用能设备节能分配!C100,工业节能技术装备推荐目录!A:A,用能设备节能分配!A100)</f>
        <v>4.5999999999999996</v>
      </c>
      <c r="E100" s="47">
        <f>SUMIFS(工业节能技术装备推荐目录!L:L,工业节能技术装备推荐目录!C:C,用能设备节能分配!B100,工业节能技术装备推荐目录!F:F,用能设备节能分配!C100,工业节能技术装备推荐目录!A:A,用能设备节能分配!A100)</f>
        <v>32.528571428571432</v>
      </c>
      <c r="G100" s="41" t="s">
        <v>17</v>
      </c>
      <c r="H100" s="41"/>
      <c r="I100" s="45" t="s">
        <v>41</v>
      </c>
      <c r="J100" s="43">
        <f>IFERROR(VLOOKUP(I100,BIFUbC!$A$1:$C$27,3,0),0)</f>
        <v>1.2538279702746712E+16</v>
      </c>
      <c r="K100" s="44">
        <f t="shared" si="43"/>
        <v>0.11901623130502754</v>
      </c>
      <c r="M100" s="46">
        <v>2020</v>
      </c>
      <c r="N100" s="26" t="str">
        <f t="shared" si="45"/>
        <v>汽轮机</v>
      </c>
      <c r="O100" s="26" t="str">
        <f t="shared" si="47"/>
        <v>iron and steel 241</v>
      </c>
      <c r="P100" s="26" t="str">
        <f t="shared" si="37"/>
        <v>Cogeneration and Waste Heat Recovery</v>
      </c>
      <c r="Q100" s="47">
        <f t="shared" si="33"/>
        <v>0</v>
      </c>
      <c r="R100" s="47">
        <f t="shared" si="34"/>
        <v>0</v>
      </c>
    </row>
    <row r="101" spans="1:18" ht="14.25" x14ac:dyDescent="0.2">
      <c r="A101" s="20">
        <v>2021</v>
      </c>
      <c r="B101" s="24" t="s">
        <v>78</v>
      </c>
      <c r="C101" s="25" t="s">
        <v>105</v>
      </c>
      <c r="D101" s="46">
        <f>SUMIFS(工业节能技术装备推荐目录!K:K,工业节能技术装备推荐目录!C:C,用能设备节能分配!B101,工业节能技术装备推荐目录!F:F,用能设备节能分配!C101,工业节能技术装备推荐目录!A:A,用能设备节能分配!A101)</f>
        <v>12.5</v>
      </c>
      <c r="E101" s="47">
        <f>SUMIFS(工业节能技术装备推荐目录!L:L,工业节能技术装备推荐目录!C:C,用能设备节能分配!B101,工业节能技术装备推荐目录!F:F,用能设备节能分配!C101,工业节能技术装备推荐目录!A:A,用能设备节能分配!A101)</f>
        <v>106.25</v>
      </c>
      <c r="G101" s="41" t="s">
        <v>17</v>
      </c>
      <c r="H101" s="41"/>
      <c r="I101" s="45" t="s">
        <v>42</v>
      </c>
      <c r="J101" s="43">
        <f>IFERROR(VLOOKUP(I101,BIFUbC!$A$1:$C$27,3,0),0)</f>
        <v>659795827134432</v>
      </c>
      <c r="K101" s="44">
        <f t="shared" si="43"/>
        <v>6.2629335632958527E-3</v>
      </c>
      <c r="M101" s="46">
        <v>2020</v>
      </c>
      <c r="N101" s="26" t="str">
        <f t="shared" si="45"/>
        <v>汽轮机</v>
      </c>
      <c r="O101" s="26" t="str">
        <f t="shared" si="47"/>
        <v>iron and steel 241</v>
      </c>
      <c r="P101" s="26" t="str">
        <f t="shared" si="37"/>
        <v>Improvement in Eqpt Efficiency Standards</v>
      </c>
      <c r="Q101" s="47">
        <f t="shared" si="33"/>
        <v>0</v>
      </c>
      <c r="R101" s="47">
        <f t="shared" si="34"/>
        <v>0</v>
      </c>
    </row>
    <row r="102" spans="1:18" ht="14.25" x14ac:dyDescent="0.2">
      <c r="A102" s="20">
        <v>2021</v>
      </c>
      <c r="B102" s="24" t="s">
        <v>21</v>
      </c>
      <c r="C102" s="25" t="s">
        <v>103</v>
      </c>
      <c r="D102" s="46">
        <f>SUMIFS(工业节能技术装备推荐目录!K:K,工业节能技术装备推荐目录!C:C,用能设备节能分配!B102,工业节能技术装备推荐目录!F:F,用能设备节能分配!C102,工业节能技术装备推荐目录!A:A,用能设备节能分配!A102)</f>
        <v>0</v>
      </c>
      <c r="E102" s="47">
        <f>SUMIFS(工业节能技术装备推荐目录!L:L,工业节能技术装备推荐目录!C:C,用能设备节能分配!B102,工业节能技术装备推荐目录!F:F,用能设备节能分配!C102,工业节能技术装备推荐目录!A:A,用能设备节能分配!A102)</f>
        <v>0</v>
      </c>
      <c r="G102" s="41" t="s">
        <v>17</v>
      </c>
      <c r="H102" s="41"/>
      <c r="I102" s="45" t="s">
        <v>43</v>
      </c>
      <c r="J102" s="43">
        <f>IFERROR(VLOOKUP(I102,BIFUbC!$A$1:$C$27,3,0),0)</f>
        <v>221106833331857.81</v>
      </c>
      <c r="K102" s="44">
        <f t="shared" si="43"/>
        <v>2.0987968559340537E-3</v>
      </c>
      <c r="M102" s="46">
        <v>2020</v>
      </c>
      <c r="N102" s="26" t="str">
        <f t="shared" si="45"/>
        <v>汽轮机</v>
      </c>
      <c r="O102" s="26" t="str">
        <f>I$31</f>
        <v>other metals 242</v>
      </c>
      <c r="P102" s="26" t="str">
        <f t="shared" si="37"/>
        <v>Early Facility Retirement</v>
      </c>
      <c r="Q102" s="47">
        <f t="shared" si="33"/>
        <v>0</v>
      </c>
      <c r="R102" s="47">
        <f t="shared" si="34"/>
        <v>0</v>
      </c>
    </row>
    <row r="103" spans="1:18" ht="14.25" x14ac:dyDescent="0.2">
      <c r="A103" s="20">
        <v>2021</v>
      </c>
      <c r="B103" s="24" t="s">
        <v>21</v>
      </c>
      <c r="C103" s="25" t="s">
        <v>104</v>
      </c>
      <c r="D103" s="46">
        <f>SUMIFS(工业节能技术装备推荐目录!K:K,工业节能技术装备推荐目录!C:C,用能设备节能分配!B103,工业节能技术装备推荐目录!F:F,用能设备节能分配!C103,工业节能技术装备推荐目录!A:A,用能设备节能分配!A103)</f>
        <v>0</v>
      </c>
      <c r="E103" s="47">
        <f>SUMIFS(工业节能技术装备推荐目录!L:L,工业节能技术装备推荐目录!C:C,用能设备节能分配!B103,工业节能技术装备推荐目录!F:F,用能设备节能分配!C103,工业节能技术装备推荐目录!A:A,用能设备节能分配!A103)</f>
        <v>0</v>
      </c>
      <c r="G103" s="41" t="s">
        <v>17</v>
      </c>
      <c r="H103" s="41"/>
      <c r="I103" s="45" t="s">
        <v>56</v>
      </c>
      <c r="J103" s="43">
        <f>IFERROR(VLOOKUP(I103,BIFUbC!$A$1:$C$27,3,0),0)</f>
        <v>8178975429413974</v>
      </c>
      <c r="K103" s="44">
        <f t="shared" si="43"/>
        <v>7.7636713697814927E-2</v>
      </c>
      <c r="M103" s="46">
        <v>2020</v>
      </c>
      <c r="N103" s="26" t="str">
        <f t="shared" si="45"/>
        <v>汽轮机</v>
      </c>
      <c r="O103" s="26" t="str">
        <f t="shared" ref="O103:O105" si="48">I$31</f>
        <v>other metals 242</v>
      </c>
      <c r="P103" s="26" t="str">
        <f t="shared" si="37"/>
        <v>Installation and System Integration</v>
      </c>
      <c r="Q103" s="47">
        <f t="shared" si="33"/>
        <v>0</v>
      </c>
      <c r="R103" s="47">
        <f t="shared" si="34"/>
        <v>0</v>
      </c>
    </row>
    <row r="104" spans="1:18" ht="14.25" x14ac:dyDescent="0.2">
      <c r="A104" s="20">
        <v>2021</v>
      </c>
      <c r="B104" s="24" t="s">
        <v>21</v>
      </c>
      <c r="C104" s="25" t="s">
        <v>102</v>
      </c>
      <c r="D104" s="46">
        <f>SUMIFS(工业节能技术装备推荐目录!K:K,工业节能技术装备推荐目录!C:C,用能设备节能分配!B104,工业节能技术装备推荐目录!F:F,用能设备节能分配!C104,工业节能技术装备推荐目录!A:A,用能设备节能分配!A104)</f>
        <v>10</v>
      </c>
      <c r="E104" s="47">
        <f>SUMIFS(工业节能技术装备推荐目录!L:L,工业节能技术装备推荐目录!C:C,用能设备节能分配!B104,工业节能技术装备推荐目录!F:F,用能设备节能分配!C104,工业节能技术装备推荐目录!A:A,用能设备节能分配!A104)</f>
        <v>326.66666666666663</v>
      </c>
      <c r="G104" s="41" t="s">
        <v>17</v>
      </c>
      <c r="H104" s="41"/>
      <c r="I104" s="45" t="s">
        <v>45</v>
      </c>
      <c r="J104" s="43">
        <f>IFERROR(VLOOKUP(I104,BIFUbC!$A$1:$C$27,3,0),0)</f>
        <v>2.0096009373213932E+16</v>
      </c>
      <c r="K104" s="44">
        <f t="shared" si="43"/>
        <v>0.19075593754272999</v>
      </c>
      <c r="M104" s="46">
        <v>2020</v>
      </c>
      <c r="N104" s="26" t="str">
        <f t="shared" si="45"/>
        <v>汽轮机</v>
      </c>
      <c r="O104" s="26" t="str">
        <f t="shared" si="48"/>
        <v>other metals 242</v>
      </c>
      <c r="P104" s="26" t="str">
        <f t="shared" si="37"/>
        <v>Cogeneration and Waste Heat Recovery</v>
      </c>
      <c r="Q104" s="47">
        <f t="shared" si="33"/>
        <v>0</v>
      </c>
      <c r="R104" s="47">
        <f t="shared" si="34"/>
        <v>0</v>
      </c>
    </row>
    <row r="105" spans="1:18" ht="14.25" x14ac:dyDescent="0.2">
      <c r="A105" s="20">
        <v>2021</v>
      </c>
      <c r="B105" s="24" t="s">
        <v>21</v>
      </c>
      <c r="C105" s="25" t="s">
        <v>105</v>
      </c>
      <c r="D105" s="46">
        <f>SUMIFS(工业节能技术装备推荐目录!K:K,工业节能技术装备推荐目录!C:C,用能设备节能分配!B105,工业节能技术装备推荐目录!F:F,用能设备节能分配!C105,工业节能技术装备推荐目录!A:A,用能设备节能分配!A105)</f>
        <v>7.4799999999999995</v>
      </c>
      <c r="E105" s="47">
        <f>SUMIFS(工业节能技术装备推荐目录!L:L,工业节能技术装备推荐目录!C:C,用能设备节能分配!B105,工业节能技术装备推荐目录!F:F,用能设备节能分配!C105,工业节能技术装备推荐目录!A:A,用能设备节能分配!A105)</f>
        <v>40.799999999999997</v>
      </c>
      <c r="G105" s="41" t="s">
        <v>17</v>
      </c>
      <c r="H105" s="41"/>
      <c r="I105" s="45" t="s">
        <v>46</v>
      </c>
      <c r="J105" s="43">
        <f>IFERROR(VLOOKUP(I105,BIFUbC!$A$1:$C$27,3,0),0)</f>
        <v>3410530606926317</v>
      </c>
      <c r="K105" s="44">
        <f t="shared" si="43"/>
        <v>3.2373540007876657E-2</v>
      </c>
      <c r="M105" s="46">
        <v>2020</v>
      </c>
      <c r="N105" s="26" t="str">
        <f t="shared" si="45"/>
        <v>汽轮机</v>
      </c>
      <c r="O105" s="26" t="str">
        <f t="shared" si="48"/>
        <v>other metals 242</v>
      </c>
      <c r="P105" s="26" t="str">
        <f t="shared" si="37"/>
        <v>Improvement in Eqpt Efficiency Standards</v>
      </c>
      <c r="Q105" s="47">
        <f t="shared" si="33"/>
        <v>0</v>
      </c>
      <c r="R105" s="47">
        <f t="shared" si="34"/>
        <v>0</v>
      </c>
    </row>
    <row r="106" spans="1:18" ht="14.25" x14ac:dyDescent="0.2">
      <c r="A106" s="20">
        <v>2021</v>
      </c>
      <c r="B106" s="24" t="s">
        <v>82</v>
      </c>
      <c r="C106" s="25" t="s">
        <v>103</v>
      </c>
      <c r="D106" s="46">
        <f>SUMIFS(工业节能技术装备推荐目录!K:K,工业节能技术装备推荐目录!C:C,用能设备节能分配!B106,工业节能技术装备推荐目录!F:F,用能设备节能分配!C106,工业节能技术装备推荐目录!A:A,用能设备节能分配!A106)</f>
        <v>4.4000000000000004</v>
      </c>
      <c r="E106" s="47">
        <f>SUMIFS(工业节能技术装备推荐目录!L:L,工业节能技术装备推荐目录!C:C,用能设备节能分配!B106,工业节能技术装备推荐目录!F:F,用能设备节能分配!C106,工业节能技术装备推荐目录!A:A,用能设备节能分配!A106)</f>
        <v>14.299999999999997</v>
      </c>
      <c r="G106" s="41" t="s">
        <v>17</v>
      </c>
      <c r="H106" s="41"/>
      <c r="I106" s="45" t="s">
        <v>47</v>
      </c>
      <c r="J106" s="43">
        <f>IFERROR(VLOOKUP(I106,BIFUbC!$A$1:$C$27,3,0),0)</f>
        <v>1274478057333611.5</v>
      </c>
      <c r="K106" s="44">
        <f t="shared" si="43"/>
        <v>1.2097638500724348E-2</v>
      </c>
      <c r="M106" s="46">
        <v>2020</v>
      </c>
      <c r="N106" s="26" t="str">
        <f t="shared" si="45"/>
        <v>汽轮机</v>
      </c>
      <c r="O106" s="26" t="str">
        <f>I$32</f>
        <v>pulp paper and printing 17T18</v>
      </c>
      <c r="P106" s="26" t="str">
        <f t="shared" si="37"/>
        <v>Early Facility Retirement</v>
      </c>
      <c r="Q106" s="47">
        <f t="shared" si="33"/>
        <v>0</v>
      </c>
      <c r="R106" s="47">
        <f t="shared" si="34"/>
        <v>0</v>
      </c>
    </row>
    <row r="107" spans="1:18" ht="14.25" x14ac:dyDescent="0.2">
      <c r="A107" s="20">
        <v>2021</v>
      </c>
      <c r="B107" s="24" t="s">
        <v>82</v>
      </c>
      <c r="C107" s="25" t="s">
        <v>104</v>
      </c>
      <c r="D107" s="46">
        <f>SUMIFS(工业节能技术装备推荐目录!K:K,工业节能技术装备推荐目录!C:C,用能设备节能分配!B107,工业节能技术装备推荐目录!F:F,用能设备节能分配!C107,工业节能技术装备推荐目录!A:A,用能设备节能分配!A107)</f>
        <v>0</v>
      </c>
      <c r="E107" s="47">
        <f>SUMIFS(工业节能技术装备推荐目录!L:L,工业节能技术装备推荐目录!C:C,用能设备节能分配!B107,工业节能技术装备推荐目录!F:F,用能设备节能分配!C107,工业节能技术装备推荐目录!A:A,用能设备节能分配!A107)</f>
        <v>0</v>
      </c>
      <c r="G107" s="41" t="s">
        <v>17</v>
      </c>
      <c r="H107" s="41"/>
      <c r="I107" s="45" t="s">
        <v>48</v>
      </c>
      <c r="J107" s="43">
        <f>IFERROR(VLOOKUP(I107,BIFUbC!$A$1:$C$27,3,0),0)</f>
        <v>773177021555770.13</v>
      </c>
      <c r="K107" s="44">
        <f t="shared" si="43"/>
        <v>7.33917390733078E-3</v>
      </c>
      <c r="M107" s="46">
        <v>2020</v>
      </c>
      <c r="N107" s="26" t="str">
        <f t="shared" si="45"/>
        <v>汽轮机</v>
      </c>
      <c r="O107" s="26" t="str">
        <f t="shared" ref="O107:O109" si="49">I$32</f>
        <v>pulp paper and printing 17T18</v>
      </c>
      <c r="P107" s="26" t="str">
        <f t="shared" si="37"/>
        <v>Installation and System Integration</v>
      </c>
      <c r="Q107" s="47">
        <f t="shared" si="33"/>
        <v>0</v>
      </c>
      <c r="R107" s="47">
        <f t="shared" si="34"/>
        <v>0</v>
      </c>
    </row>
    <row r="108" spans="1:18" ht="14.25" x14ac:dyDescent="0.2">
      <c r="A108" s="20">
        <v>2021</v>
      </c>
      <c r="B108" s="24" t="s">
        <v>82</v>
      </c>
      <c r="C108" s="25" t="s">
        <v>102</v>
      </c>
      <c r="D108" s="46">
        <f>SUMIFS(工业节能技术装备推荐目录!K:K,工业节能技术装备推荐目录!C:C,用能设备节能分配!B108,工业节能技术装备推荐目录!F:F,用能设备节能分配!C108,工业节能技术装备推荐目录!A:A,用能设备节能分配!A108)</f>
        <v>0</v>
      </c>
      <c r="E108" s="47">
        <f>SUMIFS(工业节能技术装备推荐目录!L:L,工业节能技术装备推荐目录!C:C,用能设备节能分配!B108,工业节能技术装备推荐目录!F:F,用能设备节能分配!C108,工业节能技术装备推荐目录!A:A,用能设备节能分配!A108)</f>
        <v>0</v>
      </c>
      <c r="G108" s="41" t="s">
        <v>17</v>
      </c>
      <c r="H108" s="41"/>
      <c r="I108" s="45" t="s">
        <v>49</v>
      </c>
      <c r="J108" s="43">
        <f>IFERROR(VLOOKUP(I108,BIFUbC!$A$1:$C$27,3,0),0)</f>
        <v>391851376450712.25</v>
      </c>
      <c r="K108" s="44">
        <f t="shared" si="43"/>
        <v>3.7195432836479854E-3</v>
      </c>
      <c r="M108" s="46">
        <v>2020</v>
      </c>
      <c r="N108" s="26" t="str">
        <f t="shared" si="45"/>
        <v>汽轮机</v>
      </c>
      <c r="O108" s="26" t="str">
        <f t="shared" si="49"/>
        <v>pulp paper and printing 17T18</v>
      </c>
      <c r="P108" s="26" t="str">
        <f t="shared" si="37"/>
        <v>Cogeneration and Waste Heat Recovery</v>
      </c>
      <c r="Q108" s="47">
        <f t="shared" si="33"/>
        <v>0</v>
      </c>
      <c r="R108" s="47">
        <f t="shared" si="34"/>
        <v>0</v>
      </c>
    </row>
    <row r="109" spans="1:18" ht="14.25" x14ac:dyDescent="0.2">
      <c r="A109" s="20">
        <v>2021</v>
      </c>
      <c r="B109" s="24" t="s">
        <v>82</v>
      </c>
      <c r="C109" s="25" t="s">
        <v>105</v>
      </c>
      <c r="D109" s="46">
        <f>SUMIFS(工业节能技术装备推荐目录!K:K,工业节能技术装备推荐目录!C:C,用能设备节能分配!B109,工业节能技术装备推荐目录!F:F,用能设备节能分配!C109,工业节能技术装备推荐目录!A:A,用能设备节能分配!A109)</f>
        <v>0</v>
      </c>
      <c r="E109" s="47">
        <f>SUMIFS(工业节能技术装备推荐目录!L:L,工业节能技术装备推荐目录!C:C,用能设备节能分配!B109,工业节能技术装备推荐目录!F:F,用能设备节能分配!C109,工业节能技术装备推荐目录!A:A,用能设备节能分配!A109)</f>
        <v>0</v>
      </c>
      <c r="G109" s="41" t="s">
        <v>17</v>
      </c>
      <c r="H109" s="41"/>
      <c r="I109" s="45" t="s">
        <v>50</v>
      </c>
      <c r="J109" s="43">
        <f>IFERROR(VLOOKUP(I109,BIFUbC!$A$1:$C$27,3,0),0)</f>
        <v>242793277946328.5</v>
      </c>
      <c r="K109" s="44">
        <f t="shared" si="43"/>
        <v>2.3046495701508291E-3</v>
      </c>
      <c r="M109" s="46">
        <v>2020</v>
      </c>
      <c r="N109" s="26" t="str">
        <f t="shared" si="45"/>
        <v>汽轮机</v>
      </c>
      <c r="O109" s="26" t="str">
        <f t="shared" si="49"/>
        <v>pulp paper and printing 17T18</v>
      </c>
      <c r="P109" s="26" t="str">
        <f t="shared" si="37"/>
        <v>Improvement in Eqpt Efficiency Standards</v>
      </c>
      <c r="Q109" s="47">
        <f t="shared" si="33"/>
        <v>0</v>
      </c>
      <c r="R109" s="47">
        <f t="shared" si="34"/>
        <v>0</v>
      </c>
    </row>
    <row r="110" spans="1:18" ht="14.25" x14ac:dyDescent="0.2">
      <c r="A110" s="20">
        <v>2021</v>
      </c>
      <c r="B110" s="26" t="s">
        <v>84</v>
      </c>
      <c r="C110" s="25" t="s">
        <v>103</v>
      </c>
      <c r="D110" s="46">
        <f>SUMIFS(工业节能技术装备推荐目录!K:K,工业节能技术装备推荐目录!C:C,用能设备节能分配!B110,工业节能技术装备推荐目录!F:F,用能设备节能分配!C110,工业节能技术装备推荐目录!A:A,用能设备节能分配!A110)</f>
        <v>0</v>
      </c>
      <c r="E110" s="47">
        <f>SUMIFS(工业节能技术装备推荐目录!L:L,工业节能技术装备推荐目录!C:C,用能设备节能分配!B110,工业节能技术装备推荐目录!F:F,用能设备节能分配!C110,工业节能技术装备推荐目录!A:A,用能设备节能分配!A110)</f>
        <v>0</v>
      </c>
      <c r="G110" s="41" t="s">
        <v>17</v>
      </c>
      <c r="H110" s="41"/>
      <c r="I110" s="45" t="s">
        <v>81</v>
      </c>
      <c r="J110" s="43">
        <f>IFERROR(VLOOKUP(I110,BIFUbC!$A$1:$C$27,3,0),0)</f>
        <v>339259391172511.13</v>
      </c>
      <c r="K110" s="44">
        <f t="shared" si="43"/>
        <v>3.2203280776504843E-3</v>
      </c>
      <c r="M110" s="46">
        <v>2020</v>
      </c>
      <c r="N110" s="26" t="str">
        <f t="shared" si="45"/>
        <v>汽轮机</v>
      </c>
      <c r="O110" s="26" t="str">
        <f>I$34</f>
        <v>water and waste 36T39</v>
      </c>
      <c r="P110" s="26" t="str">
        <f t="shared" si="37"/>
        <v>Early Facility Retirement</v>
      </c>
      <c r="Q110" s="47">
        <f t="shared" si="33"/>
        <v>0</v>
      </c>
      <c r="R110" s="47">
        <f t="shared" si="34"/>
        <v>0</v>
      </c>
    </row>
    <row r="111" spans="1:18" ht="14.25" x14ac:dyDescent="0.2">
      <c r="A111" s="20">
        <v>2021</v>
      </c>
      <c r="B111" s="26" t="s">
        <v>84</v>
      </c>
      <c r="C111" s="25" t="s">
        <v>104</v>
      </c>
      <c r="D111" s="46">
        <f>SUMIFS(工业节能技术装备推荐目录!K:K,工业节能技术装备推荐目录!C:C,用能设备节能分配!B111,工业节能技术装备推荐目录!F:F,用能设备节能分配!C111,工业节能技术装备推荐目录!A:A,用能设备节能分配!A111)</f>
        <v>0</v>
      </c>
      <c r="E111" s="47">
        <f>SUMIFS(工业节能技术装备推荐目录!L:L,工业节能技术装备推荐目录!C:C,用能设备节能分配!B111,工业节能技术装备推荐目录!F:F,用能设备节能分配!C111,工业节能技术装备推荐目录!A:A,用能设备节能分配!A111)</f>
        <v>0</v>
      </c>
      <c r="G111" s="41" t="s">
        <v>17</v>
      </c>
      <c r="H111" s="41"/>
      <c r="I111" s="45" t="s">
        <v>71</v>
      </c>
      <c r="J111" s="43">
        <f>IFERROR(VLOOKUP(I111,BIFUbC!$A$1:$C$27,3,0),0)</f>
        <v>207156667738263.25</v>
      </c>
      <c r="K111" s="44">
        <f t="shared" si="43"/>
        <v>1.9663786794064577E-3</v>
      </c>
      <c r="M111" s="46">
        <v>2020</v>
      </c>
      <c r="N111" s="26" t="str">
        <f t="shared" si="45"/>
        <v>汽轮机</v>
      </c>
      <c r="O111" s="26" t="str">
        <f t="shared" ref="O111:O113" si="50">I$34</f>
        <v>water and waste 36T39</v>
      </c>
      <c r="P111" s="26" t="str">
        <f t="shared" si="37"/>
        <v>Installation and System Integration</v>
      </c>
      <c r="Q111" s="47">
        <f t="shared" si="33"/>
        <v>0</v>
      </c>
      <c r="R111" s="47">
        <f t="shared" si="34"/>
        <v>0</v>
      </c>
    </row>
    <row r="112" spans="1:18" ht="14.25" x14ac:dyDescent="0.2">
      <c r="A112" s="20">
        <v>2021</v>
      </c>
      <c r="B112" s="26" t="s">
        <v>84</v>
      </c>
      <c r="C112" s="25" t="s">
        <v>102</v>
      </c>
      <c r="D112" s="46">
        <f>SUMIFS(工业节能技术装备推荐目录!K:K,工业节能技术装备推荐目录!C:C,用能设备节能分配!B112,工业节能技术装备推荐目录!F:F,用能设备节能分配!C112,工业节能技术装备推荐目录!A:A,用能设备节能分配!A112)</f>
        <v>0</v>
      </c>
      <c r="E112" s="47">
        <f>SUMIFS(工业节能技术装备推荐目录!L:L,工业节能技术装备推荐目录!C:C,用能设备节能分配!B112,工业节能技术装备推荐目录!F:F,用能设备节能分配!C112,工业节能技术装备推荐目录!A:A,用能设备节能分配!A112)</f>
        <v>0</v>
      </c>
      <c r="G112" s="41" t="s">
        <v>17</v>
      </c>
      <c r="H112" s="41"/>
      <c r="I112" s="45" t="s">
        <v>53</v>
      </c>
      <c r="J112" s="43">
        <f>IFERROR(VLOOKUP(I112,BIFUbC!$A$1:$C$27,3,0),0)</f>
        <v>543801799049952.25</v>
      </c>
      <c r="K112" s="44">
        <f t="shared" si="43"/>
        <v>5.1618916018950347E-3</v>
      </c>
      <c r="M112" s="46">
        <v>2020</v>
      </c>
      <c r="N112" s="26" t="str">
        <f t="shared" si="45"/>
        <v>汽轮机</v>
      </c>
      <c r="O112" s="26" t="str">
        <f t="shared" si="50"/>
        <v>water and waste 36T39</v>
      </c>
      <c r="P112" s="26" t="str">
        <f t="shared" si="37"/>
        <v>Cogeneration and Waste Heat Recovery</v>
      </c>
      <c r="Q112" s="47">
        <f t="shared" si="33"/>
        <v>0</v>
      </c>
      <c r="R112" s="47">
        <f t="shared" si="34"/>
        <v>0</v>
      </c>
    </row>
    <row r="113" spans="1:18" ht="14.25" x14ac:dyDescent="0.2">
      <c r="A113" s="20">
        <v>2021</v>
      </c>
      <c r="B113" s="26" t="s">
        <v>84</v>
      </c>
      <c r="C113" s="25" t="s">
        <v>105</v>
      </c>
      <c r="D113" s="46">
        <f>SUMIFS(工业节能技术装备推荐目录!K:K,工业节能技术装备推荐目录!C:C,用能设备节能分配!B113,工业节能技术装备推荐目录!F:F,用能设备节能分配!C113,工业节能技术装备推荐目录!A:A,用能设备节能分配!A113)</f>
        <v>0</v>
      </c>
      <c r="E113" s="47">
        <f>SUMIFS(工业节能技术装备推荐目录!L:L,工业节能技术装备推荐目录!C:C,用能设备节能分配!B113,工业节能技术装备推荐目录!F:F,用能设备节能分配!C113,工业节能技术装备推荐目录!A:A,用能设备节能分配!A113)</f>
        <v>0</v>
      </c>
      <c r="G113" s="41" t="s">
        <v>17</v>
      </c>
      <c r="H113" s="41"/>
      <c r="I113" s="45" t="s">
        <v>76</v>
      </c>
      <c r="J113" s="43">
        <f>IFERROR(VLOOKUP(I113,BIFUbC!$A$1:$C$27,3,0),0)</f>
        <v>1009897887835043</v>
      </c>
      <c r="K113" s="44">
        <f t="shared" si="43"/>
        <v>9.5861827509481825E-3</v>
      </c>
      <c r="M113" s="46">
        <v>2020</v>
      </c>
      <c r="N113" s="26" t="str">
        <f t="shared" si="45"/>
        <v>汽轮机</v>
      </c>
      <c r="O113" s="26" t="str">
        <f t="shared" si="50"/>
        <v>water and waste 36T39</v>
      </c>
      <c r="P113" s="26" t="str">
        <f t="shared" si="37"/>
        <v>Improvement in Eqpt Efficiency Standards</v>
      </c>
      <c r="Q113" s="47">
        <f t="shared" si="33"/>
        <v>0</v>
      </c>
      <c r="R113" s="47">
        <f t="shared" si="34"/>
        <v>0</v>
      </c>
    </row>
    <row r="114" spans="1:18" ht="14.25" x14ac:dyDescent="0.2">
      <c r="A114" s="20">
        <v>2021</v>
      </c>
      <c r="B114" s="26" t="s">
        <v>24</v>
      </c>
      <c r="C114" s="25" t="s">
        <v>103</v>
      </c>
      <c r="D114" s="46">
        <f>SUMIFS(工业节能技术装备推荐目录!K:K,工业节能技术装备推荐目录!C:C,用能设备节能分配!B114,工业节能技术装备推荐目录!F:F,用能设备节能分配!C114,工业节能技术装备推荐目录!A:A,用能设备节能分配!A114)</f>
        <v>0</v>
      </c>
      <c r="E114" s="47">
        <f>SUMIFS(工业节能技术装备推荐目录!L:L,工业节能技术装备推荐目录!C:C,用能设备节能分配!B114,工业节能技术装备推荐目录!F:F,用能设备节能分配!C114,工业节能技术装备推荐目录!A:A,用能设备节能分配!A114)</f>
        <v>0</v>
      </c>
      <c r="G114" s="41" t="s">
        <v>17</v>
      </c>
      <c r="H114" s="41"/>
      <c r="I114" s="45" t="s">
        <v>83</v>
      </c>
      <c r="J114" s="43">
        <f>IFERROR(VLOOKUP(I114,BIFUbC!$A$1:$C$27,3,0),0)</f>
        <v>407212485139052.56</v>
      </c>
      <c r="K114" s="44">
        <f t="shared" si="43"/>
        <v>3.8653544561609637E-3</v>
      </c>
      <c r="M114" s="46">
        <v>2020</v>
      </c>
      <c r="N114" s="26" t="str">
        <f>G$35</f>
        <v>工业炉窑</v>
      </c>
      <c r="O114" s="26" t="str">
        <f>I$35</f>
        <v>iron and steel 241</v>
      </c>
      <c r="P114" s="26" t="str">
        <f t="shared" si="37"/>
        <v>Early Facility Retirement</v>
      </c>
      <c r="Q114" s="47">
        <f t="shared" si="33"/>
        <v>0</v>
      </c>
      <c r="R114" s="47">
        <f t="shared" si="34"/>
        <v>0</v>
      </c>
    </row>
    <row r="115" spans="1:18" ht="14.25" x14ac:dyDescent="0.2">
      <c r="A115" s="20">
        <v>2021</v>
      </c>
      <c r="B115" s="26" t="s">
        <v>24</v>
      </c>
      <c r="C115" s="25" t="s">
        <v>104</v>
      </c>
      <c r="D115" s="46">
        <f>SUMIFS(工业节能技术装备推荐目录!K:K,工业节能技术装备推荐目录!C:C,用能设备节能分配!B115,工业节能技术装备推荐目录!F:F,用能设备节能分配!C115,工业节能技术装备推荐目录!A:A,用能设备节能分配!A115)</f>
        <v>0</v>
      </c>
      <c r="E115" s="47">
        <f>SUMIFS(工业节能技术装备推荐目录!L:L,工业节能技术装备推荐目录!C:C,用能设备节能分配!B115,工业节能技术装备推荐目录!F:F,用能设备节能分配!C115,工业节能技术装备推荐目录!A:A,用能设备节能分配!A115)</f>
        <v>0</v>
      </c>
      <c r="G115" s="41" t="s">
        <v>17</v>
      </c>
      <c r="H115" s="41"/>
      <c r="I115" s="45" t="s">
        <v>55</v>
      </c>
      <c r="J115" s="43">
        <f>IFERROR(VLOOKUP(I115,BIFUbC!$A$1:$C$27,3,0),0)</f>
        <v>2097268608798000</v>
      </c>
      <c r="K115" s="44">
        <f t="shared" si="43"/>
        <v>1.9907755431456457E-2</v>
      </c>
      <c r="M115" s="46">
        <v>2020</v>
      </c>
      <c r="N115" s="26" t="str">
        <f t="shared" ref="N115:N129" si="51">G$35</f>
        <v>工业炉窑</v>
      </c>
      <c r="O115" s="26" t="str">
        <f t="shared" ref="O115:O117" si="52">I$35</f>
        <v>iron and steel 241</v>
      </c>
      <c r="P115" s="26" t="str">
        <f t="shared" si="37"/>
        <v>Installation and System Integration</v>
      </c>
      <c r="Q115" s="47">
        <f t="shared" si="33"/>
        <v>0</v>
      </c>
      <c r="R115" s="47">
        <f t="shared" si="34"/>
        <v>0</v>
      </c>
    </row>
    <row r="116" spans="1:18" ht="14.25" x14ac:dyDescent="0.2">
      <c r="A116" s="20">
        <v>2021</v>
      </c>
      <c r="B116" s="26" t="s">
        <v>24</v>
      </c>
      <c r="C116" s="25" t="s">
        <v>102</v>
      </c>
      <c r="D116" s="46">
        <f>SUMIFS(工业节能技术装备推荐目录!K:K,工业节能技术装备推荐目录!C:C,用能设备节能分配!B116,工业节能技术装备推荐目录!F:F,用能设备节能分配!C116,工业节能技术装备推荐目录!A:A,用能设备节能分配!A116)</f>
        <v>0</v>
      </c>
      <c r="E116" s="47">
        <f>SUMIFS(工业节能技术装备推荐目录!L:L,工业节能技术装备推荐目录!C:C,用能设备节能分配!B116,工业节能技术装备推荐目录!F:F,用能设备节能分配!C116,工业节能技术装备推荐目录!A:A,用能设备节能分配!A116)</f>
        <v>0</v>
      </c>
      <c r="M116" s="46">
        <v>2020</v>
      </c>
      <c r="N116" s="26" t="str">
        <f t="shared" si="51"/>
        <v>工业炉窑</v>
      </c>
      <c r="O116" s="26" t="str">
        <f t="shared" si="52"/>
        <v>iron and steel 241</v>
      </c>
      <c r="P116" s="26" t="str">
        <f t="shared" si="37"/>
        <v>Cogeneration and Waste Heat Recovery</v>
      </c>
      <c r="Q116" s="47">
        <f t="shared" si="33"/>
        <v>0</v>
      </c>
      <c r="R116" s="47">
        <f t="shared" si="34"/>
        <v>0</v>
      </c>
    </row>
    <row r="117" spans="1:18" ht="14.25" x14ac:dyDescent="0.2">
      <c r="A117" s="20">
        <v>2021</v>
      </c>
      <c r="B117" s="26" t="s">
        <v>24</v>
      </c>
      <c r="C117" s="25" t="s">
        <v>105</v>
      </c>
      <c r="D117" s="46">
        <f>SUMIFS(工业节能技术装备推荐目录!K:K,工业节能技术装备推荐目录!C:C,用能设备节能分配!B117,工业节能技术装备推荐目录!F:F,用能设备节能分配!C117,工业节能技术装备推荐目录!A:A,用能设备节能分配!A117)</f>
        <v>0</v>
      </c>
      <c r="E117" s="47">
        <f>SUMIFS(工业节能技术装备推荐目录!L:L,工业节能技术装备推荐目录!C:C,用能设备节能分配!B117,工业节能技术装备推荐目录!F:F,用能设备节能分配!C117,工业节能技术装备推荐目录!A:A,用能设备节能分配!A117)</f>
        <v>0</v>
      </c>
      <c r="M117" s="46">
        <v>2020</v>
      </c>
      <c r="N117" s="26" t="str">
        <f t="shared" si="51"/>
        <v>工业炉窑</v>
      </c>
      <c r="O117" s="26" t="str">
        <f t="shared" si="52"/>
        <v>iron and steel 241</v>
      </c>
      <c r="P117" s="26" t="str">
        <f t="shared" si="37"/>
        <v>Improvement in Eqpt Efficiency Standards</v>
      </c>
      <c r="Q117" s="47">
        <f t="shared" si="33"/>
        <v>0</v>
      </c>
      <c r="R117" s="47">
        <f t="shared" si="34"/>
        <v>0</v>
      </c>
    </row>
    <row r="118" spans="1:18" ht="14.25" x14ac:dyDescent="0.2">
      <c r="A118" s="20">
        <v>2021</v>
      </c>
      <c r="B118" s="26" t="s">
        <v>96</v>
      </c>
      <c r="C118" s="25" t="s">
        <v>103</v>
      </c>
      <c r="D118" s="46">
        <f>SUMIFS(工业节能技术装备推荐目录!K:K,工业节能技术装备推荐目录!C:C,用能设备节能分配!B118,工业节能技术装备推荐目录!F:F,用能设备节能分配!C118,工业节能技术装备推荐目录!A:A,用能设备节能分配!A118)</f>
        <v>0</v>
      </c>
      <c r="E118" s="47">
        <f>SUMIFS(工业节能技术装备推荐目录!L:L,工业节能技术装备推荐目录!C:C,用能设备节能分配!B118,工业节能技术装备推荐目录!F:F,用能设备节能分配!C118,工业节能技术装备推荐目录!A:A,用能设备节能分配!A118)</f>
        <v>0</v>
      </c>
      <c r="M118" s="46">
        <v>2020</v>
      </c>
      <c r="N118" s="26" t="str">
        <f t="shared" si="51"/>
        <v>工业炉窑</v>
      </c>
      <c r="O118" s="26" t="str">
        <f>I$36</f>
        <v>refined petroleum and coke 19</v>
      </c>
      <c r="P118" s="26" t="str">
        <f t="shared" si="37"/>
        <v>Early Facility Retirement</v>
      </c>
      <c r="Q118" s="47">
        <f t="shared" si="33"/>
        <v>0</v>
      </c>
      <c r="R118" s="47">
        <f t="shared" si="34"/>
        <v>0</v>
      </c>
    </row>
    <row r="119" spans="1:18" ht="14.25" x14ac:dyDescent="0.2">
      <c r="A119" s="20">
        <v>2021</v>
      </c>
      <c r="B119" s="26" t="s">
        <v>96</v>
      </c>
      <c r="C119" s="25" t="s">
        <v>104</v>
      </c>
      <c r="D119" s="46">
        <f>SUMIFS(工业节能技术装备推荐目录!K:K,工业节能技术装备推荐目录!C:C,用能设备节能分配!B119,工业节能技术装备推荐目录!F:F,用能设备节能分配!C119,工业节能技术装备推荐目录!A:A,用能设备节能分配!A119)</f>
        <v>0</v>
      </c>
      <c r="E119" s="47">
        <f>SUMIFS(工业节能技术装备推荐目录!L:L,工业节能技术装备推荐目录!C:C,用能设备节能分配!B119,工业节能技术装备推荐目录!F:F,用能设备节能分配!C119,工业节能技术装备推荐目录!A:A,用能设备节能分配!A119)</f>
        <v>0</v>
      </c>
      <c r="M119" s="46">
        <v>2020</v>
      </c>
      <c r="N119" s="26" t="str">
        <f t="shared" si="51"/>
        <v>工业炉窑</v>
      </c>
      <c r="O119" s="26" t="str">
        <f t="shared" ref="O119:O121" si="53">I$36</f>
        <v>refined petroleum and coke 19</v>
      </c>
      <c r="P119" s="26" t="str">
        <f t="shared" si="37"/>
        <v>Installation and System Integration</v>
      </c>
      <c r="Q119" s="47">
        <f t="shared" si="33"/>
        <v>0</v>
      </c>
      <c r="R119" s="47">
        <f t="shared" si="34"/>
        <v>0</v>
      </c>
    </row>
    <row r="120" spans="1:18" ht="14.25" x14ac:dyDescent="0.2">
      <c r="A120" s="20">
        <v>2021</v>
      </c>
      <c r="B120" s="26" t="s">
        <v>96</v>
      </c>
      <c r="C120" s="25" t="s">
        <v>102</v>
      </c>
      <c r="D120" s="46">
        <f>SUMIFS(工业节能技术装备推荐目录!K:K,工业节能技术装备推荐目录!C:C,用能设备节能分配!B120,工业节能技术装备推荐目录!F:F,用能设备节能分配!C120,工业节能技术装备推荐目录!A:A,用能设备节能分配!A120)</f>
        <v>0</v>
      </c>
      <c r="E120" s="47">
        <f>SUMIFS(工业节能技术装备推荐目录!L:L,工业节能技术装备推荐目录!C:C,用能设备节能分配!B120,工业节能技术装备推荐目录!F:F,用能设备节能分配!C120,工业节能技术装备推荐目录!A:A,用能设备节能分配!A120)</f>
        <v>0</v>
      </c>
      <c r="M120" s="46">
        <v>2020</v>
      </c>
      <c r="N120" s="26" t="str">
        <f t="shared" si="51"/>
        <v>工业炉窑</v>
      </c>
      <c r="O120" s="26" t="str">
        <f t="shared" si="53"/>
        <v>refined petroleum and coke 19</v>
      </c>
      <c r="P120" s="26" t="str">
        <f t="shared" si="37"/>
        <v>Cogeneration and Waste Heat Recovery</v>
      </c>
      <c r="Q120" s="47">
        <f t="shared" si="33"/>
        <v>0</v>
      </c>
      <c r="R120" s="47">
        <f t="shared" si="34"/>
        <v>0</v>
      </c>
    </row>
    <row r="121" spans="1:18" ht="14.25" x14ac:dyDescent="0.2">
      <c r="A121" s="20">
        <v>2021</v>
      </c>
      <c r="B121" s="26" t="s">
        <v>96</v>
      </c>
      <c r="C121" s="25" t="s">
        <v>105</v>
      </c>
      <c r="D121" s="46">
        <f>SUMIFS(工业节能技术装备推荐目录!K:K,工业节能技术装备推荐目录!C:C,用能设备节能分配!B121,工业节能技术装备推荐目录!F:F,用能设备节能分配!C121,工业节能技术装备推荐目录!A:A,用能设备节能分配!A121)</f>
        <v>0</v>
      </c>
      <c r="E121" s="47">
        <f>SUMIFS(工业节能技术装备推荐目录!L:L,工业节能技术装备推荐目录!C:C,用能设备节能分配!B121,工业节能技术装备推荐目录!F:F,用能设备节能分配!C121,工业节能技术装备推荐目录!A:A,用能设备节能分配!A121)</f>
        <v>0</v>
      </c>
      <c r="M121" s="46">
        <v>2020</v>
      </c>
      <c r="N121" s="26" t="str">
        <f t="shared" si="51"/>
        <v>工业炉窑</v>
      </c>
      <c r="O121" s="26" t="str">
        <f t="shared" si="53"/>
        <v>refined petroleum and coke 19</v>
      </c>
      <c r="P121" s="26" t="str">
        <f t="shared" si="37"/>
        <v>Improvement in Eqpt Efficiency Standards</v>
      </c>
      <c r="Q121" s="47">
        <f t="shared" si="33"/>
        <v>0</v>
      </c>
      <c r="R121" s="47">
        <f t="shared" si="34"/>
        <v>0</v>
      </c>
    </row>
    <row r="122" spans="1:18" ht="14.25" x14ac:dyDescent="0.2">
      <c r="A122" s="20">
        <v>2022</v>
      </c>
      <c r="B122" s="24" t="s">
        <v>57</v>
      </c>
      <c r="C122" s="25" t="s">
        <v>103</v>
      </c>
      <c r="D122" s="46">
        <f>SUMIFS(工业节能技术装备推荐目录!K:K,工业节能技术装备推荐目录!C:C,用能设备节能分配!B122,工业节能技术装备推荐目录!F:F,用能设备节能分配!C122,工业节能技术装备推荐目录!A:A,用能设备节能分配!A122)</f>
        <v>0</v>
      </c>
      <c r="E122" s="47">
        <f>SUMIFS(工业节能技术装备推荐目录!L:L,工业节能技术装备推荐目录!C:C,用能设备节能分配!B122,工业节能技术装备推荐目录!F:F,用能设备节能分配!C122,工业节能技术装备推荐目录!A:A,用能设备节能分配!A122)</f>
        <v>0</v>
      </c>
      <c r="M122" s="46">
        <v>2020</v>
      </c>
      <c r="N122" s="26" t="str">
        <f t="shared" si="51"/>
        <v>工业炉窑</v>
      </c>
      <c r="O122" s="26" t="str">
        <f>I$37</f>
        <v>other metals 242</v>
      </c>
      <c r="P122" s="26" t="str">
        <f t="shared" si="37"/>
        <v>Early Facility Retirement</v>
      </c>
      <c r="Q122" s="47">
        <f t="shared" si="33"/>
        <v>0</v>
      </c>
      <c r="R122" s="47">
        <f t="shared" si="34"/>
        <v>0</v>
      </c>
    </row>
    <row r="123" spans="1:18" ht="14.25" x14ac:dyDescent="0.2">
      <c r="A123" s="20">
        <v>2022</v>
      </c>
      <c r="B123" s="24" t="s">
        <v>57</v>
      </c>
      <c r="C123" s="25" t="s">
        <v>104</v>
      </c>
      <c r="D123" s="46">
        <f>SUMIFS(工业节能技术装备推荐目录!K:K,工业节能技术装备推荐目录!C:C,用能设备节能分配!B123,工业节能技术装备推荐目录!F:F,用能设备节能分配!C123,工业节能技术装备推荐目录!A:A,用能设备节能分配!A123)</f>
        <v>0</v>
      </c>
      <c r="E123" s="47">
        <f>SUMIFS(工业节能技术装备推荐目录!L:L,工业节能技术装备推荐目录!C:C,用能设备节能分配!B123,工业节能技术装备推荐目录!F:F,用能设备节能分配!C123,工业节能技术装备推荐目录!A:A,用能设备节能分配!A123)</f>
        <v>0</v>
      </c>
      <c r="M123" s="46">
        <v>2020</v>
      </c>
      <c r="N123" s="26" t="str">
        <f t="shared" si="51"/>
        <v>工业炉窑</v>
      </c>
      <c r="O123" s="26" t="str">
        <f t="shared" ref="O123:O125" si="54">I$37</f>
        <v>other metals 242</v>
      </c>
      <c r="P123" s="26" t="str">
        <f t="shared" si="37"/>
        <v>Installation and System Integration</v>
      </c>
      <c r="Q123" s="47">
        <f t="shared" si="33"/>
        <v>0</v>
      </c>
      <c r="R123" s="47">
        <f t="shared" si="34"/>
        <v>0</v>
      </c>
    </row>
    <row r="124" spans="1:18" ht="14.25" x14ac:dyDescent="0.2">
      <c r="A124" s="20">
        <v>2022</v>
      </c>
      <c r="B124" s="24" t="s">
        <v>57</v>
      </c>
      <c r="C124" s="25" t="s">
        <v>102</v>
      </c>
      <c r="D124" s="46">
        <f>SUMIFS(工业节能技术装备推荐目录!K:K,工业节能技术装备推荐目录!C:C,用能设备节能分配!B124,工业节能技术装备推荐目录!F:F,用能设备节能分配!C124,工业节能技术装备推荐目录!A:A,用能设备节能分配!A124)</f>
        <v>33</v>
      </c>
      <c r="E124" s="47">
        <f>SUMIFS(工业节能技术装备推荐目录!L:L,工业节能技术装备推荐目录!C:C,用能设备节能分配!B124,工业节能技术装备推荐目录!F:F,用能设备节能分配!C124,工业节能技术装备推荐目录!A:A,用能设备节能分配!A124)</f>
        <v>110</v>
      </c>
      <c r="M124" s="46">
        <v>2020</v>
      </c>
      <c r="N124" s="26" t="str">
        <f t="shared" si="51"/>
        <v>工业炉窑</v>
      </c>
      <c r="O124" s="26" t="str">
        <f t="shared" si="54"/>
        <v>other metals 242</v>
      </c>
      <c r="P124" s="26" t="str">
        <f t="shared" si="37"/>
        <v>Cogeneration and Waste Heat Recovery</v>
      </c>
      <c r="Q124" s="47">
        <f t="shared" si="33"/>
        <v>0</v>
      </c>
      <c r="R124" s="47">
        <f t="shared" si="34"/>
        <v>0</v>
      </c>
    </row>
    <row r="125" spans="1:18" ht="14.25" x14ac:dyDescent="0.2">
      <c r="A125" s="20">
        <v>2022</v>
      </c>
      <c r="B125" s="24" t="s">
        <v>57</v>
      </c>
      <c r="C125" s="25" t="s">
        <v>105</v>
      </c>
      <c r="D125" s="46">
        <f>SUMIFS(工业节能技术装备推荐目录!K:K,工业节能技术装备推荐目录!C:C,用能设备节能分配!B125,工业节能技术装备推荐目录!F:F,用能设备节能分配!C125,工业节能技术装备推荐目录!A:A,用能设备节能分配!A125)</f>
        <v>26</v>
      </c>
      <c r="E125" s="47">
        <f>SUMIFS(工业节能技术装备推荐目录!L:L,工业节能技术装备推荐目录!C:C,用能设备节能分配!B125,工业节能技术装备推荐目录!F:F,用能设备节能分配!C125,工业节能技术装备推荐目录!A:A,用能设备节能分配!A125)</f>
        <v>368.75</v>
      </c>
      <c r="M125" s="46">
        <v>2020</v>
      </c>
      <c r="N125" s="26" t="str">
        <f t="shared" si="51"/>
        <v>工业炉窑</v>
      </c>
      <c r="O125" s="26" t="str">
        <f t="shared" si="54"/>
        <v>other metals 242</v>
      </c>
      <c r="P125" s="26" t="str">
        <f t="shared" si="37"/>
        <v>Improvement in Eqpt Efficiency Standards</v>
      </c>
      <c r="Q125" s="47">
        <f t="shared" si="33"/>
        <v>0</v>
      </c>
      <c r="R125" s="47">
        <f t="shared" si="34"/>
        <v>0</v>
      </c>
    </row>
    <row r="126" spans="1:18" ht="14.25" x14ac:dyDescent="0.2">
      <c r="A126" s="20">
        <v>2022</v>
      </c>
      <c r="B126" s="24" t="s">
        <v>13</v>
      </c>
      <c r="C126" s="25" t="s">
        <v>103</v>
      </c>
      <c r="D126" s="46">
        <f>SUMIFS(工业节能技术装备推荐目录!K:K,工业节能技术装备推荐目录!C:C,用能设备节能分配!B126,工业节能技术装备推荐目录!F:F,用能设备节能分配!C126,工业节能技术装备推荐目录!A:A,用能设备节能分配!A126)</f>
        <v>0</v>
      </c>
      <c r="E126" s="47">
        <f>SUMIFS(工业节能技术装备推荐目录!L:L,工业节能技术装备推荐目录!C:C,用能设备节能分配!B126,工业节能技术装备推荐目录!F:F,用能设备节能分配!C126,工业节能技术装备推荐目录!A:A,用能设备节能分配!A126)</f>
        <v>0</v>
      </c>
      <c r="M126" s="46">
        <v>2020</v>
      </c>
      <c r="N126" s="26" t="str">
        <f t="shared" si="51"/>
        <v>工业炉窑</v>
      </c>
      <c r="O126" s="26" t="str">
        <f>I$38</f>
        <v>cement and other nonmetallic minerals 239</v>
      </c>
      <c r="P126" s="26" t="str">
        <f t="shared" si="37"/>
        <v>Early Facility Retirement</v>
      </c>
      <c r="Q126" s="47">
        <f t="shared" si="33"/>
        <v>0</v>
      </c>
      <c r="R126" s="47">
        <f t="shared" si="34"/>
        <v>0</v>
      </c>
    </row>
    <row r="127" spans="1:18" ht="14.25" x14ac:dyDescent="0.2">
      <c r="A127" s="20">
        <v>2022</v>
      </c>
      <c r="B127" s="24" t="s">
        <v>13</v>
      </c>
      <c r="C127" s="25" t="s">
        <v>104</v>
      </c>
      <c r="D127" s="46">
        <f>SUMIFS(工业节能技术装备推荐目录!K:K,工业节能技术装备推荐目录!C:C,用能设备节能分配!B127,工业节能技术装备推荐目录!F:F,用能设备节能分配!C127,工业节能技术装备推荐目录!A:A,用能设备节能分配!A127)</f>
        <v>0</v>
      </c>
      <c r="E127" s="47">
        <f>SUMIFS(工业节能技术装备推荐目录!L:L,工业节能技术装备推荐目录!C:C,用能设备节能分配!B127,工业节能技术装备推荐目录!F:F,用能设备节能分配!C127,工业节能技术装备推荐目录!A:A,用能设备节能分配!A127)</f>
        <v>0</v>
      </c>
      <c r="M127" s="46">
        <v>2020</v>
      </c>
      <c r="N127" s="26" t="str">
        <f t="shared" si="51"/>
        <v>工业炉窑</v>
      </c>
      <c r="O127" s="26" t="str">
        <f t="shared" ref="O127:O129" si="55">I$38</f>
        <v>cement and other nonmetallic minerals 239</v>
      </c>
      <c r="P127" s="26" t="str">
        <f t="shared" si="37"/>
        <v>Installation and System Integration</v>
      </c>
      <c r="Q127" s="47">
        <f t="shared" si="33"/>
        <v>0</v>
      </c>
      <c r="R127" s="47">
        <f t="shared" si="34"/>
        <v>0</v>
      </c>
    </row>
    <row r="128" spans="1:18" ht="14.25" x14ac:dyDescent="0.2">
      <c r="A128" s="20">
        <v>2022</v>
      </c>
      <c r="B128" s="24" t="s">
        <v>13</v>
      </c>
      <c r="C128" s="25" t="s">
        <v>102</v>
      </c>
      <c r="D128" s="46">
        <f>SUMIFS(工业节能技术装备推荐目录!K:K,工业节能技术装备推荐目录!C:C,用能设备节能分配!B128,工业节能技术装备推荐目录!F:F,用能设备节能分配!C128,工业节能技术装备推荐目录!A:A,用能设备节能分配!A128)</f>
        <v>0</v>
      </c>
      <c r="E128" s="47">
        <f>SUMIFS(工业节能技术装备推荐目录!L:L,工业节能技术装备推荐目录!C:C,用能设备节能分配!B128,工业节能技术装备推荐目录!F:F,用能设备节能分配!C128,工业节能技术装备推荐目录!A:A,用能设备节能分配!A128)</f>
        <v>0</v>
      </c>
      <c r="M128" s="46">
        <v>2020</v>
      </c>
      <c r="N128" s="26" t="str">
        <f t="shared" si="51"/>
        <v>工业炉窑</v>
      </c>
      <c r="O128" s="26" t="str">
        <f t="shared" si="55"/>
        <v>cement and other nonmetallic minerals 239</v>
      </c>
      <c r="P128" s="26" t="str">
        <f t="shared" si="37"/>
        <v>Cogeneration and Waste Heat Recovery</v>
      </c>
      <c r="Q128" s="47">
        <f t="shared" si="33"/>
        <v>0</v>
      </c>
      <c r="R128" s="47">
        <f t="shared" si="34"/>
        <v>0</v>
      </c>
    </row>
    <row r="129" spans="1:18" ht="14.25" x14ac:dyDescent="0.2">
      <c r="A129" s="20">
        <v>2022</v>
      </c>
      <c r="B129" s="24" t="s">
        <v>13</v>
      </c>
      <c r="C129" s="25" t="s">
        <v>105</v>
      </c>
      <c r="D129" s="46">
        <f>SUMIFS(工业节能技术装备推荐目录!K:K,工业节能技术装备推荐目录!C:C,用能设备节能分配!B129,工业节能技术装备推荐目录!F:F,用能设备节能分配!C129,工业节能技术装备推荐目录!A:A,用能设备节能分配!A129)</f>
        <v>0</v>
      </c>
      <c r="E129" s="47">
        <f>SUMIFS(工业节能技术装备推荐目录!L:L,工业节能技术装备推荐目录!C:C,用能设备节能分配!B129,工业节能技术装备推荐目录!F:F,用能设备节能分配!C129,工业节能技术装备推荐目录!A:A,用能设备节能分配!A129)</f>
        <v>0</v>
      </c>
      <c r="M129" s="46">
        <v>2020</v>
      </c>
      <c r="N129" s="26" t="str">
        <f t="shared" si="51"/>
        <v>工业炉窑</v>
      </c>
      <c r="O129" s="26" t="str">
        <f t="shared" si="55"/>
        <v>cement and other nonmetallic minerals 239</v>
      </c>
      <c r="P129" s="26" t="str">
        <f t="shared" si="37"/>
        <v>Improvement in Eqpt Efficiency Standards</v>
      </c>
      <c r="Q129" s="47">
        <f t="shared" si="33"/>
        <v>0</v>
      </c>
      <c r="R129" s="47">
        <f t="shared" si="34"/>
        <v>0</v>
      </c>
    </row>
    <row r="130" spans="1:18" ht="14.25" x14ac:dyDescent="0.2">
      <c r="A130" s="20">
        <v>2022</v>
      </c>
      <c r="B130" s="24" t="s">
        <v>61</v>
      </c>
      <c r="C130" s="25" t="s">
        <v>103</v>
      </c>
      <c r="D130" s="46">
        <f>SUMIFS(工业节能技术装备推荐目录!K:K,工业节能技术装备推荐目录!C:C,用能设备节能分配!B130,工业节能技术装备推荐目录!F:F,用能设备节能分配!C130,工业节能技术装备推荐目录!A:A,用能设备节能分配!A130)</f>
        <v>0</v>
      </c>
      <c r="E130" s="47">
        <f>SUMIFS(工业节能技术装备推荐目录!L:L,工业节能技术装备推荐目录!C:C,用能设备节能分配!B130,工业节能技术装备推荐目录!F:F,用能设备节能分配!C130,工业节能技术装备推荐目录!A:A,用能设备节能分配!A130)</f>
        <v>0</v>
      </c>
      <c r="M130" s="46">
        <v>2020</v>
      </c>
      <c r="N130" s="26" t="str">
        <f>G$39</f>
        <v>除尘器</v>
      </c>
      <c r="O130" s="26" t="str">
        <f>I$39</f>
        <v>coal mining 05</v>
      </c>
      <c r="P130" s="26" t="str">
        <f t="shared" si="37"/>
        <v>Early Facility Retirement</v>
      </c>
      <c r="Q130" s="47">
        <f t="shared" ref="Q130:Q193" si="56">SUMIFS(D:D,B:B,N130,C:C,P130,A:A,M130)*SUMIFS(K:K,G:G,N130,I:I,O130)</f>
        <v>0</v>
      </c>
      <c r="R130" s="47">
        <f t="shared" ref="R130:R193" si="57">SUMIFS(E:E,B:B,N130,C:C,P130,A:A,M130)*SUMIFS(K:K,G:G,N130,I:I,O130)</f>
        <v>0</v>
      </c>
    </row>
    <row r="131" spans="1:18" ht="14.25" x14ac:dyDescent="0.2">
      <c r="A131" s="20">
        <v>2022</v>
      </c>
      <c r="B131" s="24" t="s">
        <v>61</v>
      </c>
      <c r="C131" s="25" t="s">
        <v>104</v>
      </c>
      <c r="D131" s="46">
        <f>SUMIFS(工业节能技术装备推荐目录!K:K,工业节能技术装备推荐目录!C:C,用能设备节能分配!B131,工业节能技术装备推荐目录!F:F,用能设备节能分配!C131,工业节能技术装备推荐目录!A:A,用能设备节能分配!A131)</f>
        <v>0</v>
      </c>
      <c r="E131" s="47">
        <f>SUMIFS(工业节能技术装备推荐目录!L:L,工业节能技术装备推荐目录!C:C,用能设备节能分配!B131,工业节能技术装备推荐目录!F:F,用能设备节能分配!C131,工业节能技术装备推荐目录!A:A,用能设备节能分配!A131)</f>
        <v>0</v>
      </c>
      <c r="M131" s="46">
        <v>2020</v>
      </c>
      <c r="N131" s="26" t="str">
        <f t="shared" ref="N131:N145" si="58">G$39</f>
        <v>除尘器</v>
      </c>
      <c r="O131" s="26" t="str">
        <f t="shared" ref="O131:O133" si="59">I$39</f>
        <v>coal mining 05</v>
      </c>
      <c r="P131" s="26" t="str">
        <f t="shared" si="37"/>
        <v>Installation and System Integration</v>
      </c>
      <c r="Q131" s="47">
        <f t="shared" si="56"/>
        <v>0</v>
      </c>
      <c r="R131" s="47">
        <f t="shared" si="57"/>
        <v>0</v>
      </c>
    </row>
    <row r="132" spans="1:18" ht="14.25" x14ac:dyDescent="0.2">
      <c r="A132" s="20">
        <v>2022</v>
      </c>
      <c r="B132" s="24" t="s">
        <v>61</v>
      </c>
      <c r="C132" s="25" t="s">
        <v>102</v>
      </c>
      <c r="D132" s="46">
        <f>SUMIFS(工业节能技术装备推荐目录!K:K,工业节能技术装备推荐目录!C:C,用能设备节能分配!B132,工业节能技术装备推荐目录!F:F,用能设备节能分配!C132,工业节能技术装备推荐目录!A:A,用能设备节能分配!A132)</f>
        <v>0</v>
      </c>
      <c r="E132" s="47">
        <f>SUMIFS(工业节能技术装备推荐目录!L:L,工业节能技术装备推荐目录!C:C,用能设备节能分配!B132,工业节能技术装备推荐目录!F:F,用能设备节能分配!C132,工业节能技术装备推荐目录!A:A,用能设备节能分配!A132)</f>
        <v>0</v>
      </c>
      <c r="M132" s="46">
        <v>2020</v>
      </c>
      <c r="N132" s="26" t="str">
        <f t="shared" si="58"/>
        <v>除尘器</v>
      </c>
      <c r="O132" s="26" t="str">
        <f t="shared" si="59"/>
        <v>coal mining 05</v>
      </c>
      <c r="P132" s="26" t="str">
        <f t="shared" si="37"/>
        <v>Cogeneration and Waste Heat Recovery</v>
      </c>
      <c r="Q132" s="47">
        <f t="shared" si="56"/>
        <v>0</v>
      </c>
      <c r="R132" s="47">
        <f t="shared" si="57"/>
        <v>0</v>
      </c>
    </row>
    <row r="133" spans="1:18" ht="14.25" x14ac:dyDescent="0.2">
      <c r="A133" s="20">
        <v>2022</v>
      </c>
      <c r="B133" s="24" t="s">
        <v>61</v>
      </c>
      <c r="C133" s="25" t="s">
        <v>105</v>
      </c>
      <c r="D133" s="46">
        <f>SUMIFS(工业节能技术装备推荐目录!K:K,工业节能技术装备推荐目录!C:C,用能设备节能分配!B133,工业节能技术装备推荐目录!F:F,用能设备节能分配!C133,工业节能技术装备推荐目录!A:A,用能设备节能分配!A133)</f>
        <v>0</v>
      </c>
      <c r="E133" s="47">
        <f>SUMIFS(工业节能技术装备推荐目录!L:L,工业节能技术装备推荐目录!C:C,用能设备节能分配!B133,工业节能技术装备推荐目录!F:F,用能设备节能分配!C133,工业节能技术装备推荐目录!A:A,用能设备节能分配!A133)</f>
        <v>0</v>
      </c>
      <c r="M133" s="46">
        <v>2020</v>
      </c>
      <c r="N133" s="26" t="str">
        <f t="shared" si="58"/>
        <v>除尘器</v>
      </c>
      <c r="O133" s="26" t="str">
        <f t="shared" si="59"/>
        <v>coal mining 05</v>
      </c>
      <c r="P133" s="26" t="str">
        <f t="shared" si="37"/>
        <v>Improvement in Eqpt Efficiency Standards</v>
      </c>
      <c r="Q133" s="47">
        <f t="shared" si="56"/>
        <v>0</v>
      </c>
      <c r="R133" s="47">
        <f t="shared" si="57"/>
        <v>0</v>
      </c>
    </row>
    <row r="134" spans="1:18" ht="14.25" x14ac:dyDescent="0.2">
      <c r="A134" s="20">
        <v>2022</v>
      </c>
      <c r="B134" s="24" t="s">
        <v>62</v>
      </c>
      <c r="C134" s="25" t="s">
        <v>103</v>
      </c>
      <c r="D134" s="46">
        <f>SUMIFS(工业节能技术装备推荐目录!K:K,工业节能技术装备推荐目录!C:C,用能设备节能分配!B134,工业节能技术装备推荐目录!F:F,用能设备节能分配!C134,工业节能技术装备推荐目录!A:A,用能设备节能分配!A134)</f>
        <v>0</v>
      </c>
      <c r="E134" s="47">
        <f>SUMIFS(工业节能技术装备推荐目录!L:L,工业节能技术装备推荐目录!C:C,用能设备节能分配!B134,工业节能技术装备推荐目录!F:F,用能设备节能分配!C134,工业节能技术装备推荐目录!A:A,用能设备节能分配!A134)</f>
        <v>0</v>
      </c>
      <c r="M134" s="46">
        <v>2020</v>
      </c>
      <c r="N134" s="26" t="str">
        <f t="shared" si="58"/>
        <v>除尘器</v>
      </c>
      <c r="O134" s="26" t="str">
        <f>I$40</f>
        <v>iron and steel 241</v>
      </c>
      <c r="P134" s="26" t="str">
        <f t="shared" si="37"/>
        <v>Early Facility Retirement</v>
      </c>
      <c r="Q134" s="47">
        <f t="shared" si="56"/>
        <v>0</v>
      </c>
      <c r="R134" s="47">
        <f t="shared" si="57"/>
        <v>0</v>
      </c>
    </row>
    <row r="135" spans="1:18" ht="14.25" x14ac:dyDescent="0.2">
      <c r="A135" s="20">
        <v>2022</v>
      </c>
      <c r="B135" s="24" t="s">
        <v>62</v>
      </c>
      <c r="C135" s="25" t="s">
        <v>104</v>
      </c>
      <c r="D135" s="46">
        <f>SUMIFS(工业节能技术装备推荐目录!K:K,工业节能技术装备推荐目录!C:C,用能设备节能分配!B135,工业节能技术装备推荐目录!F:F,用能设备节能分配!C135,工业节能技术装备推荐目录!A:A,用能设备节能分配!A135)</f>
        <v>0</v>
      </c>
      <c r="E135" s="47">
        <f>SUMIFS(工业节能技术装备推荐目录!L:L,工业节能技术装备推荐目录!C:C,用能设备节能分配!B135,工业节能技术装备推荐目录!F:F,用能设备节能分配!C135,工业节能技术装备推荐目录!A:A,用能设备节能分配!A135)</f>
        <v>0</v>
      </c>
      <c r="M135" s="46">
        <v>2020</v>
      </c>
      <c r="N135" s="26" t="str">
        <f t="shared" si="58"/>
        <v>除尘器</v>
      </c>
      <c r="O135" s="26" t="str">
        <f t="shared" ref="O135:O137" si="60">I$40</f>
        <v>iron and steel 241</v>
      </c>
      <c r="P135" s="26" t="str">
        <f t="shared" ref="P135:P198" si="61">P131</f>
        <v>Installation and System Integration</v>
      </c>
      <c r="Q135" s="47">
        <f t="shared" si="56"/>
        <v>0</v>
      </c>
      <c r="R135" s="47">
        <f t="shared" si="57"/>
        <v>0</v>
      </c>
    </row>
    <row r="136" spans="1:18" ht="14.25" x14ac:dyDescent="0.2">
      <c r="A136" s="20">
        <v>2022</v>
      </c>
      <c r="B136" s="24" t="s">
        <v>62</v>
      </c>
      <c r="C136" s="25" t="s">
        <v>102</v>
      </c>
      <c r="D136" s="46">
        <f>SUMIFS(工业节能技术装备推荐目录!K:K,工业节能技术装备推荐目录!C:C,用能设备节能分配!B136,工业节能技术装备推荐目录!F:F,用能设备节能分配!C136,工业节能技术装备推荐目录!A:A,用能设备节能分配!A136)</f>
        <v>0</v>
      </c>
      <c r="E136" s="47">
        <f>SUMIFS(工业节能技术装备推荐目录!L:L,工业节能技术装备推荐目录!C:C,用能设备节能分配!B136,工业节能技术装备推荐目录!F:F,用能设备节能分配!C136,工业节能技术装备推荐目录!A:A,用能设备节能分配!A136)</f>
        <v>0</v>
      </c>
      <c r="M136" s="46">
        <v>2020</v>
      </c>
      <c r="N136" s="26" t="str">
        <f t="shared" si="58"/>
        <v>除尘器</v>
      </c>
      <c r="O136" s="26" t="str">
        <f t="shared" si="60"/>
        <v>iron and steel 241</v>
      </c>
      <c r="P136" s="26" t="str">
        <f t="shared" si="61"/>
        <v>Cogeneration and Waste Heat Recovery</v>
      </c>
      <c r="Q136" s="47">
        <f t="shared" si="56"/>
        <v>0</v>
      </c>
      <c r="R136" s="47">
        <f t="shared" si="57"/>
        <v>0</v>
      </c>
    </row>
    <row r="137" spans="1:18" ht="14.25" x14ac:dyDescent="0.2">
      <c r="A137" s="20">
        <v>2022</v>
      </c>
      <c r="B137" s="24" t="s">
        <v>62</v>
      </c>
      <c r="C137" s="25" t="s">
        <v>105</v>
      </c>
      <c r="D137" s="46">
        <f>SUMIFS(工业节能技术装备推荐目录!K:K,工业节能技术装备推荐目录!C:C,用能设备节能分配!B137,工业节能技术装备推荐目录!F:F,用能设备节能分配!C137,工业节能技术装备推荐目录!A:A,用能设备节能分配!A137)</f>
        <v>9</v>
      </c>
      <c r="E137" s="47">
        <f>SUMIFS(工业节能技术装备推荐目录!L:L,工业节能技术装备推荐目录!C:C,用能设备节能分配!B137,工业节能技术装备推荐目录!F:F,用能设备节能分配!C137,工业节能技术装备推荐目录!A:A,用能设备节能分配!A137)</f>
        <v>90</v>
      </c>
      <c r="M137" s="46">
        <v>2020</v>
      </c>
      <c r="N137" s="26" t="str">
        <f t="shared" si="58"/>
        <v>除尘器</v>
      </c>
      <c r="O137" s="26" t="str">
        <f t="shared" si="60"/>
        <v>iron and steel 241</v>
      </c>
      <c r="P137" s="26" t="str">
        <f t="shared" si="61"/>
        <v>Improvement in Eqpt Efficiency Standards</v>
      </c>
      <c r="Q137" s="47">
        <f t="shared" si="56"/>
        <v>0</v>
      </c>
      <c r="R137" s="47">
        <f t="shared" si="57"/>
        <v>0</v>
      </c>
    </row>
    <row r="138" spans="1:18" ht="14.25" x14ac:dyDescent="0.2">
      <c r="A138" s="20">
        <v>2022</v>
      </c>
      <c r="B138" s="24" t="s">
        <v>63</v>
      </c>
      <c r="C138" s="25" t="s">
        <v>103</v>
      </c>
      <c r="D138" s="46">
        <f>SUMIFS(工业节能技术装备推荐目录!K:K,工业节能技术装备推荐目录!C:C,用能设备节能分配!B138,工业节能技术装备推荐目录!F:F,用能设备节能分配!C138,工业节能技术装备推荐目录!A:A,用能设备节能分配!A138)</f>
        <v>0</v>
      </c>
      <c r="E138" s="47">
        <f>SUMIFS(工业节能技术装备推荐目录!L:L,工业节能技术装备推荐目录!C:C,用能设备节能分配!B138,工业节能技术装备推荐目录!F:F,用能设备节能分配!C138,工业节能技术装备推荐目录!A:A,用能设备节能分配!A138)</f>
        <v>0</v>
      </c>
      <c r="M138" s="46">
        <v>2020</v>
      </c>
      <c r="N138" s="26" t="str">
        <f t="shared" si="58"/>
        <v>除尘器</v>
      </c>
      <c r="O138" s="26" t="str">
        <f>I$41</f>
        <v>other metals 242</v>
      </c>
      <c r="P138" s="26" t="str">
        <f t="shared" si="61"/>
        <v>Early Facility Retirement</v>
      </c>
      <c r="Q138" s="47">
        <f t="shared" si="56"/>
        <v>0</v>
      </c>
      <c r="R138" s="47">
        <f t="shared" si="57"/>
        <v>0</v>
      </c>
    </row>
    <row r="139" spans="1:18" ht="14.25" x14ac:dyDescent="0.2">
      <c r="A139" s="20">
        <v>2022</v>
      </c>
      <c r="B139" s="24" t="s">
        <v>63</v>
      </c>
      <c r="C139" s="25" t="s">
        <v>104</v>
      </c>
      <c r="D139" s="46">
        <f>SUMIFS(工业节能技术装备推荐目录!K:K,工业节能技术装备推荐目录!C:C,用能设备节能分配!B139,工业节能技术装备推荐目录!F:F,用能设备节能分配!C139,工业节能技术装备推荐目录!A:A,用能设备节能分配!A139)</f>
        <v>0</v>
      </c>
      <c r="E139" s="47">
        <f>SUMIFS(工业节能技术装备推荐目录!L:L,工业节能技术装备推荐目录!C:C,用能设备节能分配!B139,工业节能技术装备推荐目录!F:F,用能设备节能分配!C139,工业节能技术装备推荐目录!A:A,用能设备节能分配!A139)</f>
        <v>0</v>
      </c>
      <c r="M139" s="46">
        <v>2020</v>
      </c>
      <c r="N139" s="26" t="str">
        <f t="shared" si="58"/>
        <v>除尘器</v>
      </c>
      <c r="O139" s="26" t="str">
        <f t="shared" ref="O139:O141" si="62">I$41</f>
        <v>other metals 242</v>
      </c>
      <c r="P139" s="26" t="str">
        <f t="shared" si="61"/>
        <v>Installation and System Integration</v>
      </c>
      <c r="Q139" s="47">
        <f t="shared" si="56"/>
        <v>0</v>
      </c>
      <c r="R139" s="47">
        <f t="shared" si="57"/>
        <v>0</v>
      </c>
    </row>
    <row r="140" spans="1:18" ht="14.25" x14ac:dyDescent="0.2">
      <c r="A140" s="20">
        <v>2022</v>
      </c>
      <c r="B140" s="24" t="s">
        <v>63</v>
      </c>
      <c r="C140" s="25" t="s">
        <v>102</v>
      </c>
      <c r="D140" s="46">
        <f>SUMIFS(工业节能技术装备推荐目录!K:K,工业节能技术装备推荐目录!C:C,用能设备节能分配!B140,工业节能技术装备推荐目录!F:F,用能设备节能分配!C140,工业节能技术装备推荐目录!A:A,用能设备节能分配!A140)</f>
        <v>0</v>
      </c>
      <c r="E140" s="47">
        <f>SUMIFS(工业节能技术装备推荐目录!L:L,工业节能技术装备推荐目录!C:C,用能设备节能分配!B140,工业节能技术装备推荐目录!F:F,用能设备节能分配!C140,工业节能技术装备推荐目录!A:A,用能设备节能分配!A140)</f>
        <v>0</v>
      </c>
      <c r="M140" s="46">
        <v>2020</v>
      </c>
      <c r="N140" s="26" t="str">
        <f t="shared" si="58"/>
        <v>除尘器</v>
      </c>
      <c r="O140" s="26" t="str">
        <f t="shared" si="62"/>
        <v>other metals 242</v>
      </c>
      <c r="P140" s="26" t="str">
        <f t="shared" si="61"/>
        <v>Cogeneration and Waste Heat Recovery</v>
      </c>
      <c r="Q140" s="47">
        <f t="shared" si="56"/>
        <v>0</v>
      </c>
      <c r="R140" s="47">
        <f t="shared" si="57"/>
        <v>0</v>
      </c>
    </row>
    <row r="141" spans="1:18" ht="14.25" x14ac:dyDescent="0.2">
      <c r="A141" s="20">
        <v>2022</v>
      </c>
      <c r="B141" s="24" t="s">
        <v>63</v>
      </c>
      <c r="C141" s="25" t="s">
        <v>105</v>
      </c>
      <c r="D141" s="46">
        <f>SUMIFS(工业节能技术装备推荐目录!K:K,工业节能技术装备推荐目录!C:C,用能设备节能分配!B141,工业节能技术装备推荐目录!F:F,用能设备节能分配!C141,工业节能技术装备推荐目录!A:A,用能设备节能分配!A141)</f>
        <v>57</v>
      </c>
      <c r="E141" s="47">
        <f>SUMIFS(工业节能技术装备推荐目录!L:L,工业节能技术装备推荐目录!C:C,用能设备节能分配!B141,工业节能技术装备推荐目录!F:F,用能设备节能分配!C141,工业节能技术装备推荐目录!A:A,用能设备节能分配!A141)</f>
        <v>470</v>
      </c>
      <c r="M141" s="46">
        <v>2020</v>
      </c>
      <c r="N141" s="26" t="str">
        <f t="shared" si="58"/>
        <v>除尘器</v>
      </c>
      <c r="O141" s="26" t="str">
        <f t="shared" si="62"/>
        <v>other metals 242</v>
      </c>
      <c r="P141" s="26" t="str">
        <f t="shared" si="61"/>
        <v>Improvement in Eqpt Efficiency Standards</v>
      </c>
      <c r="Q141" s="47">
        <f t="shared" si="56"/>
        <v>0</v>
      </c>
      <c r="R141" s="47">
        <f t="shared" si="57"/>
        <v>0</v>
      </c>
    </row>
    <row r="142" spans="1:18" ht="14.25" x14ac:dyDescent="0.2">
      <c r="A142" s="20">
        <v>2022</v>
      </c>
      <c r="B142" s="24" t="s">
        <v>18</v>
      </c>
      <c r="C142" s="25" t="s">
        <v>103</v>
      </c>
      <c r="D142" s="46">
        <f>SUMIFS(工业节能技术装备推荐目录!K:K,工业节能技术装备推荐目录!C:C,用能设备节能分配!B142,工业节能技术装备推荐目录!F:F,用能设备节能分配!C142,工业节能技术装备推荐目录!A:A,用能设备节能分配!A142)</f>
        <v>0</v>
      </c>
      <c r="E142" s="47">
        <f>SUMIFS(工业节能技术装备推荐目录!L:L,工业节能技术装备推荐目录!C:C,用能设备节能分配!B142,工业节能技术装备推荐目录!F:F,用能设备节能分配!C142,工业节能技术装备推荐目录!A:A,用能设备节能分配!A142)</f>
        <v>0</v>
      </c>
      <c r="M142" s="46">
        <v>2020</v>
      </c>
      <c r="N142" s="26" t="str">
        <f t="shared" si="58"/>
        <v>除尘器</v>
      </c>
      <c r="O142" s="26" t="str">
        <f>I$42</f>
        <v>refined petroleum and coke 19</v>
      </c>
      <c r="P142" s="26" t="str">
        <f t="shared" si="61"/>
        <v>Early Facility Retirement</v>
      </c>
      <c r="Q142" s="47">
        <f t="shared" si="56"/>
        <v>0</v>
      </c>
      <c r="R142" s="47">
        <f t="shared" si="57"/>
        <v>0</v>
      </c>
    </row>
    <row r="143" spans="1:18" ht="14.25" x14ac:dyDescent="0.2">
      <c r="A143" s="20">
        <v>2022</v>
      </c>
      <c r="B143" s="24" t="s">
        <v>18</v>
      </c>
      <c r="C143" s="25" t="s">
        <v>104</v>
      </c>
      <c r="D143" s="46">
        <f>SUMIFS(工业节能技术装备推荐目录!K:K,工业节能技术装备推荐目录!C:C,用能设备节能分配!B143,工业节能技术装备推荐目录!F:F,用能设备节能分配!C143,工业节能技术装备推荐目录!A:A,用能设备节能分配!A143)</f>
        <v>0</v>
      </c>
      <c r="E143" s="47">
        <f>SUMIFS(工业节能技术装备推荐目录!L:L,工业节能技术装备推荐目录!C:C,用能设备节能分配!B143,工业节能技术装备推荐目录!F:F,用能设备节能分配!C143,工业节能技术装备推荐目录!A:A,用能设备节能分配!A143)</f>
        <v>0</v>
      </c>
      <c r="M143" s="46">
        <v>2020</v>
      </c>
      <c r="N143" s="26" t="str">
        <f t="shared" si="58"/>
        <v>除尘器</v>
      </c>
      <c r="O143" s="26" t="str">
        <f t="shared" ref="O143:O145" si="63">I$42</f>
        <v>refined petroleum and coke 19</v>
      </c>
      <c r="P143" s="26" t="str">
        <f t="shared" si="61"/>
        <v>Installation and System Integration</v>
      </c>
      <c r="Q143" s="47">
        <f t="shared" si="56"/>
        <v>0</v>
      </c>
      <c r="R143" s="47">
        <f t="shared" si="57"/>
        <v>0</v>
      </c>
    </row>
    <row r="144" spans="1:18" ht="14.25" x14ac:dyDescent="0.2">
      <c r="A144" s="20">
        <v>2022</v>
      </c>
      <c r="B144" s="24" t="s">
        <v>18</v>
      </c>
      <c r="C144" s="25" t="s">
        <v>102</v>
      </c>
      <c r="D144" s="46">
        <f>SUMIFS(工业节能技术装备推荐目录!K:K,工业节能技术装备推荐目录!C:C,用能设备节能分配!B144,工业节能技术装备推荐目录!F:F,用能设备节能分配!C144,工业节能技术装备推荐目录!A:A,用能设备节能分配!A144)</f>
        <v>0</v>
      </c>
      <c r="E144" s="47">
        <f>SUMIFS(工业节能技术装备推荐目录!L:L,工业节能技术装备推荐目录!C:C,用能设备节能分配!B144,工业节能技术装备推荐目录!F:F,用能设备节能分配!C144,工业节能技术装备推荐目录!A:A,用能设备节能分配!A144)</f>
        <v>0</v>
      </c>
      <c r="M144" s="46">
        <v>2020</v>
      </c>
      <c r="N144" s="26" t="str">
        <f t="shared" si="58"/>
        <v>除尘器</v>
      </c>
      <c r="O144" s="26" t="str">
        <f t="shared" si="63"/>
        <v>refined petroleum and coke 19</v>
      </c>
      <c r="P144" s="26" t="str">
        <f t="shared" si="61"/>
        <v>Cogeneration and Waste Heat Recovery</v>
      </c>
      <c r="Q144" s="47">
        <f t="shared" si="56"/>
        <v>0</v>
      </c>
      <c r="R144" s="47">
        <f t="shared" si="57"/>
        <v>0</v>
      </c>
    </row>
    <row r="145" spans="1:18" ht="14.25" x14ac:dyDescent="0.2">
      <c r="A145" s="20">
        <v>2022</v>
      </c>
      <c r="B145" s="24" t="s">
        <v>18</v>
      </c>
      <c r="C145" s="25" t="s">
        <v>105</v>
      </c>
      <c r="D145" s="46">
        <f>SUMIFS(工业节能技术装备推荐目录!K:K,工业节能技术装备推荐目录!C:C,用能设备节能分配!B145,工业节能技术装备推荐目录!F:F,用能设备节能分配!C145,工业节能技术装备推荐目录!A:A,用能设备节能分配!A145)</f>
        <v>89</v>
      </c>
      <c r="E145" s="47">
        <f>SUMIFS(工业节能技术装备推荐目录!L:L,工业节能技术装备推荐目录!C:C,用能设备节能分配!B145,工业节能技术装备推荐目录!F:F,用能设备节能分配!C145,工业节能技术装备推荐目录!A:A,用能设备节能分配!A145)</f>
        <v>890</v>
      </c>
      <c r="M145" s="46">
        <v>2020</v>
      </c>
      <c r="N145" s="26" t="str">
        <f t="shared" si="58"/>
        <v>除尘器</v>
      </c>
      <c r="O145" s="26" t="str">
        <f t="shared" si="63"/>
        <v>refined petroleum and coke 19</v>
      </c>
      <c r="P145" s="26" t="str">
        <f t="shared" si="61"/>
        <v>Improvement in Eqpt Efficiency Standards</v>
      </c>
      <c r="Q145" s="47">
        <f t="shared" si="56"/>
        <v>0</v>
      </c>
      <c r="R145" s="47">
        <f t="shared" si="57"/>
        <v>0</v>
      </c>
    </row>
    <row r="146" spans="1:18" ht="14.25" x14ac:dyDescent="0.2">
      <c r="A146" s="20">
        <v>2022</v>
      </c>
      <c r="B146" s="24" t="s">
        <v>17</v>
      </c>
      <c r="C146" s="25" t="s">
        <v>103</v>
      </c>
      <c r="D146" s="46">
        <f>SUMIFS(工业节能技术装备推荐目录!K:K,工业节能技术装备推荐目录!C:C,用能设备节能分配!B146,工业节能技术装备推荐目录!F:F,用能设备节能分配!C146,工业节能技术装备推荐目录!A:A,用能设备节能分配!A146)</f>
        <v>0</v>
      </c>
      <c r="E146" s="47">
        <f>SUMIFS(工业节能技术装备推荐目录!L:L,工业节能技术装备推荐目录!C:C,用能设备节能分配!B146,工业节能技术装备推荐目录!F:F,用能设备节能分配!C146,工业节能技术装备推荐目录!A:A,用能设备节能分配!A146)</f>
        <v>0</v>
      </c>
      <c r="M146" s="46">
        <v>2020</v>
      </c>
      <c r="N146" s="26" t="str">
        <f>G$44</f>
        <v>机械行业</v>
      </c>
      <c r="O146" s="26" t="str">
        <f>I$44</f>
        <v>other manufacturing 31T33</v>
      </c>
      <c r="P146" s="26" t="str">
        <f t="shared" si="61"/>
        <v>Early Facility Retirement</v>
      </c>
      <c r="Q146" s="47">
        <f t="shared" si="56"/>
        <v>0</v>
      </c>
      <c r="R146" s="47">
        <f t="shared" si="57"/>
        <v>0</v>
      </c>
    </row>
    <row r="147" spans="1:18" ht="14.25" x14ac:dyDescent="0.2">
      <c r="A147" s="20">
        <v>2022</v>
      </c>
      <c r="B147" s="24" t="s">
        <v>17</v>
      </c>
      <c r="C147" s="25" t="s">
        <v>104</v>
      </c>
      <c r="D147" s="46">
        <f>SUMIFS(工业节能技术装备推荐目录!K:K,工业节能技术装备推荐目录!C:C,用能设备节能分配!B147,工业节能技术装备推荐目录!F:F,用能设备节能分配!C147,工业节能技术装备推荐目录!A:A,用能设备节能分配!A147)</f>
        <v>0</v>
      </c>
      <c r="E147" s="47">
        <f>SUMIFS(工业节能技术装备推荐目录!L:L,工业节能技术装备推荐目录!C:C,用能设备节能分配!B147,工业节能技术装备推荐目录!F:F,用能设备节能分配!C147,工业节能技术装备推荐目录!A:A,用能设备节能分配!A147)</f>
        <v>0</v>
      </c>
      <c r="M147" s="46">
        <v>2020</v>
      </c>
      <c r="N147" s="26" t="str">
        <f t="shared" ref="N147:N165" si="64">G$44</f>
        <v>机械行业</v>
      </c>
      <c r="O147" s="26" t="str">
        <f t="shared" ref="O147:O149" si="65">I$44</f>
        <v>other manufacturing 31T33</v>
      </c>
      <c r="P147" s="26" t="str">
        <f t="shared" si="61"/>
        <v>Installation and System Integration</v>
      </c>
      <c r="Q147" s="47">
        <f t="shared" si="56"/>
        <v>0</v>
      </c>
      <c r="R147" s="47">
        <f t="shared" si="57"/>
        <v>0</v>
      </c>
    </row>
    <row r="148" spans="1:18" ht="14.25" x14ac:dyDescent="0.2">
      <c r="A148" s="20">
        <v>2022</v>
      </c>
      <c r="B148" s="24" t="s">
        <v>17</v>
      </c>
      <c r="C148" s="25" t="s">
        <v>102</v>
      </c>
      <c r="D148" s="46">
        <f>SUMIFS(工业节能技术装备推荐目录!K:K,工业节能技术装备推荐目录!C:C,用能设备节能分配!B148,工业节能技术装备推荐目录!F:F,用能设备节能分配!C148,工业节能技术装备推荐目录!A:A,用能设备节能分配!A148)</f>
        <v>0</v>
      </c>
      <c r="E148" s="47">
        <f>SUMIFS(工业节能技术装备推荐目录!L:L,工业节能技术装备推荐目录!C:C,用能设备节能分配!B148,工业节能技术装备推荐目录!F:F,用能设备节能分配!C148,工业节能技术装备推荐目录!A:A,用能设备节能分配!A148)</f>
        <v>0</v>
      </c>
      <c r="M148" s="46">
        <v>2020</v>
      </c>
      <c r="N148" s="26" t="str">
        <f t="shared" si="64"/>
        <v>机械行业</v>
      </c>
      <c r="O148" s="26" t="str">
        <f t="shared" si="65"/>
        <v>other manufacturing 31T33</v>
      </c>
      <c r="P148" s="26" t="str">
        <f t="shared" si="61"/>
        <v>Cogeneration and Waste Heat Recovery</v>
      </c>
      <c r="Q148" s="47">
        <f t="shared" si="56"/>
        <v>0</v>
      </c>
      <c r="R148" s="47">
        <f t="shared" si="57"/>
        <v>0</v>
      </c>
    </row>
    <row r="149" spans="1:18" ht="14.25" x14ac:dyDescent="0.2">
      <c r="A149" s="20">
        <v>2022</v>
      </c>
      <c r="B149" s="24" t="s">
        <v>17</v>
      </c>
      <c r="C149" s="25" t="s">
        <v>105</v>
      </c>
      <c r="D149" s="46">
        <f>SUMIFS(工业节能技术装备推荐目录!K:K,工业节能技术装备推荐目录!C:C,用能设备节能分配!B149,工业节能技术装备推荐目录!F:F,用能设备节能分配!C149,工业节能技术装备推荐目录!A:A,用能设备节能分配!A149)</f>
        <v>0</v>
      </c>
      <c r="E149" s="47">
        <f>SUMIFS(工业节能技术装备推荐目录!L:L,工业节能技术装备推荐目录!C:C,用能设备节能分配!B149,工业节能技术装备推荐目录!F:F,用能设备节能分配!C149,工业节能技术装备推荐目录!A:A,用能设备节能分配!A149)</f>
        <v>0</v>
      </c>
      <c r="M149" s="46">
        <v>2020</v>
      </c>
      <c r="N149" s="26" t="str">
        <f t="shared" si="64"/>
        <v>机械行业</v>
      </c>
      <c r="O149" s="26" t="str">
        <f t="shared" si="65"/>
        <v>other manufacturing 31T33</v>
      </c>
      <c r="P149" s="26" t="str">
        <f t="shared" si="61"/>
        <v>Improvement in Eqpt Efficiency Standards</v>
      </c>
      <c r="Q149" s="47">
        <f t="shared" si="56"/>
        <v>0</v>
      </c>
      <c r="R149" s="47">
        <f t="shared" si="57"/>
        <v>0</v>
      </c>
    </row>
    <row r="150" spans="1:18" ht="14.25" x14ac:dyDescent="0.2">
      <c r="A150" s="20">
        <v>2022</v>
      </c>
      <c r="B150" s="24" t="s">
        <v>20</v>
      </c>
      <c r="C150" s="25" t="s">
        <v>103</v>
      </c>
      <c r="D150" s="46">
        <f>SUMIFS(工业节能技术装备推荐目录!K:K,工业节能技术装备推荐目录!C:C,用能设备节能分配!B150,工业节能技术装备推荐目录!F:F,用能设备节能分配!C150,工业节能技术装备推荐目录!A:A,用能设备节能分配!A150)</f>
        <v>0</v>
      </c>
      <c r="E150" s="47">
        <f>SUMIFS(工业节能技术装备推荐目录!L:L,工业节能技术装备推荐目录!C:C,用能设备节能分配!B150,工业节能技术装备推荐目录!F:F,用能设备节能分配!C150,工业节能技术装备推荐目录!A:A,用能设备节能分配!A150)</f>
        <v>0</v>
      </c>
      <c r="M150" s="46">
        <v>2020</v>
      </c>
      <c r="N150" s="26" t="str">
        <f t="shared" si="64"/>
        <v>机械行业</v>
      </c>
      <c r="O150" s="26" t="str">
        <f>I$45</f>
        <v>glass and glass products 231</v>
      </c>
      <c r="P150" s="26" t="str">
        <f t="shared" si="61"/>
        <v>Early Facility Retirement</v>
      </c>
      <c r="Q150" s="47">
        <f t="shared" si="56"/>
        <v>0</v>
      </c>
      <c r="R150" s="47">
        <f t="shared" si="57"/>
        <v>0</v>
      </c>
    </row>
    <row r="151" spans="1:18" ht="14.25" x14ac:dyDescent="0.2">
      <c r="A151" s="20">
        <v>2022</v>
      </c>
      <c r="B151" s="24" t="s">
        <v>20</v>
      </c>
      <c r="C151" s="25" t="s">
        <v>104</v>
      </c>
      <c r="D151" s="46">
        <f>SUMIFS(工业节能技术装备推荐目录!K:K,工业节能技术装备推荐目录!C:C,用能设备节能分配!B151,工业节能技术装备推荐目录!F:F,用能设备节能分配!C151,工业节能技术装备推荐目录!A:A,用能设备节能分配!A151)</f>
        <v>0</v>
      </c>
      <c r="E151" s="47">
        <f>SUMIFS(工业节能技术装备推荐目录!L:L,工业节能技术装备推荐目录!C:C,用能设备节能分配!B151,工业节能技术装备推荐目录!F:F,用能设备节能分配!C151,工业节能技术装备推荐目录!A:A,用能设备节能分配!A151)</f>
        <v>0</v>
      </c>
      <c r="M151" s="46">
        <v>2020</v>
      </c>
      <c r="N151" s="26" t="str">
        <f t="shared" si="64"/>
        <v>机械行业</v>
      </c>
      <c r="O151" s="26" t="str">
        <f t="shared" ref="O151:O153" si="66">I$45</f>
        <v>glass and glass products 231</v>
      </c>
      <c r="P151" s="26" t="str">
        <f t="shared" si="61"/>
        <v>Installation and System Integration</v>
      </c>
      <c r="Q151" s="47">
        <f t="shared" si="56"/>
        <v>0</v>
      </c>
      <c r="R151" s="47">
        <f t="shared" si="57"/>
        <v>0</v>
      </c>
    </row>
    <row r="152" spans="1:18" ht="14.25" x14ac:dyDescent="0.2">
      <c r="A152" s="20">
        <v>2022</v>
      </c>
      <c r="B152" s="24" t="s">
        <v>20</v>
      </c>
      <c r="C152" s="25" t="s">
        <v>102</v>
      </c>
      <c r="D152" s="46">
        <f>SUMIFS(工业节能技术装备推荐目录!K:K,工业节能技术装备推荐目录!C:C,用能设备节能分配!B152,工业节能技术装备推荐目录!F:F,用能设备节能分配!C152,工业节能技术装备推荐目录!A:A,用能设备节能分配!A152)</f>
        <v>0</v>
      </c>
      <c r="E152" s="47">
        <f>SUMIFS(工业节能技术装备推荐目录!L:L,工业节能技术装备推荐目录!C:C,用能设备节能分配!B152,工业节能技术装备推荐目录!F:F,用能设备节能分配!C152,工业节能技术装备推荐目录!A:A,用能设备节能分配!A152)</f>
        <v>0</v>
      </c>
      <c r="M152" s="46">
        <v>2020</v>
      </c>
      <c r="N152" s="26" t="str">
        <f t="shared" si="64"/>
        <v>机械行业</v>
      </c>
      <c r="O152" s="26" t="str">
        <f t="shared" si="66"/>
        <v>glass and glass products 231</v>
      </c>
      <c r="P152" s="26" t="str">
        <f t="shared" si="61"/>
        <v>Cogeneration and Waste Heat Recovery</v>
      </c>
      <c r="Q152" s="47">
        <f t="shared" si="56"/>
        <v>0</v>
      </c>
      <c r="R152" s="47">
        <f t="shared" si="57"/>
        <v>0</v>
      </c>
    </row>
    <row r="153" spans="1:18" ht="14.25" x14ac:dyDescent="0.2">
      <c r="A153" s="20">
        <v>2022</v>
      </c>
      <c r="B153" s="24" t="s">
        <v>20</v>
      </c>
      <c r="C153" s="25" t="s">
        <v>105</v>
      </c>
      <c r="D153" s="46">
        <f>SUMIFS(工业节能技术装备推荐目录!K:K,工业节能技术装备推荐目录!C:C,用能设备节能分配!B153,工业节能技术装备推荐目录!F:F,用能设备节能分配!C153,工业节能技术装备推荐目录!A:A,用能设备节能分配!A153)</f>
        <v>77</v>
      </c>
      <c r="E153" s="47">
        <f>SUMIFS(工业节能技术装备推荐目录!L:L,工业节能技术装备推荐目录!C:C,用能设备节能分配!B153,工业节能技术装备推荐目录!F:F,用能设备节能分配!C153,工业节能技术装备推荐目录!A:A,用能设备节能分配!A153)</f>
        <v>308</v>
      </c>
      <c r="M153" s="46">
        <v>2020</v>
      </c>
      <c r="N153" s="26" t="str">
        <f t="shared" si="64"/>
        <v>机械行业</v>
      </c>
      <c r="O153" s="26" t="str">
        <f t="shared" si="66"/>
        <v>glass and glass products 231</v>
      </c>
      <c r="P153" s="26" t="str">
        <f t="shared" si="61"/>
        <v>Improvement in Eqpt Efficiency Standards</v>
      </c>
      <c r="Q153" s="47">
        <f t="shared" si="56"/>
        <v>0</v>
      </c>
      <c r="R153" s="47">
        <f t="shared" si="57"/>
        <v>0</v>
      </c>
    </row>
    <row r="154" spans="1:18" ht="14.25" x14ac:dyDescent="0.2">
      <c r="A154" s="20">
        <v>2022</v>
      </c>
      <c r="B154" s="24" t="s">
        <v>22</v>
      </c>
      <c r="C154" s="25" t="s">
        <v>103</v>
      </c>
      <c r="D154" s="46">
        <f>SUMIFS(工业节能技术装备推荐目录!K:K,工业节能技术装备推荐目录!C:C,用能设备节能分配!B154,工业节能技术装备推荐目录!F:F,用能设备节能分配!C154,工业节能技术装备推荐目录!A:A,用能设备节能分配!A154)</f>
        <v>0</v>
      </c>
      <c r="E154" s="47">
        <f>SUMIFS(工业节能技术装备推荐目录!L:L,工业节能技术装备推荐目录!C:C,用能设备节能分配!B154,工业节能技术装备推荐目录!F:F,用能设备节能分配!C154,工业节能技术装备推荐目录!A:A,用能设备节能分配!A154)</f>
        <v>0</v>
      </c>
      <c r="M154" s="46">
        <v>2020</v>
      </c>
      <c r="N154" s="26" t="str">
        <f t="shared" si="64"/>
        <v>机械行业</v>
      </c>
      <c r="O154" s="26" t="str">
        <f>I$46</f>
        <v>computers and electronics 27</v>
      </c>
      <c r="P154" s="26" t="str">
        <f t="shared" si="61"/>
        <v>Early Facility Retirement</v>
      </c>
      <c r="Q154" s="47">
        <f t="shared" si="56"/>
        <v>0</v>
      </c>
      <c r="R154" s="47">
        <f t="shared" si="57"/>
        <v>0</v>
      </c>
    </row>
    <row r="155" spans="1:18" ht="14.25" x14ac:dyDescent="0.2">
      <c r="A155" s="20">
        <v>2022</v>
      </c>
      <c r="B155" s="24" t="s">
        <v>22</v>
      </c>
      <c r="C155" s="25" t="s">
        <v>104</v>
      </c>
      <c r="D155" s="46">
        <f>SUMIFS(工业节能技术装备推荐目录!K:K,工业节能技术装备推荐目录!C:C,用能设备节能分配!B155,工业节能技术装备推荐目录!F:F,用能设备节能分配!C155,工业节能技术装备推荐目录!A:A,用能设备节能分配!A155)</f>
        <v>0</v>
      </c>
      <c r="E155" s="47">
        <f>SUMIFS(工业节能技术装备推荐目录!L:L,工业节能技术装备推荐目录!C:C,用能设备节能分配!B155,工业节能技术装备推荐目录!F:F,用能设备节能分配!C155,工业节能技术装备推荐目录!A:A,用能设备节能分配!A155)</f>
        <v>0</v>
      </c>
      <c r="M155" s="46">
        <v>2020</v>
      </c>
      <c r="N155" s="26" t="str">
        <f t="shared" si="64"/>
        <v>机械行业</v>
      </c>
      <c r="O155" s="26" t="str">
        <f t="shared" ref="O155:O157" si="67">I$46</f>
        <v>computers and electronics 27</v>
      </c>
      <c r="P155" s="26" t="str">
        <f t="shared" si="61"/>
        <v>Installation and System Integration</v>
      </c>
      <c r="Q155" s="47">
        <f t="shared" si="56"/>
        <v>0</v>
      </c>
      <c r="R155" s="47">
        <f t="shared" si="57"/>
        <v>0</v>
      </c>
    </row>
    <row r="156" spans="1:18" ht="14.25" x14ac:dyDescent="0.2">
      <c r="A156" s="20">
        <v>2022</v>
      </c>
      <c r="B156" s="24" t="s">
        <v>22</v>
      </c>
      <c r="C156" s="25" t="s">
        <v>102</v>
      </c>
      <c r="D156" s="46">
        <f>SUMIFS(工业节能技术装备推荐目录!K:K,工业节能技术装备推荐目录!C:C,用能设备节能分配!B156,工业节能技术装备推荐目录!F:F,用能设备节能分配!C156,工业节能技术装备推荐目录!A:A,用能设备节能分配!A156)</f>
        <v>0</v>
      </c>
      <c r="E156" s="47">
        <f>SUMIFS(工业节能技术装备推荐目录!L:L,工业节能技术装备推荐目录!C:C,用能设备节能分配!B156,工业节能技术装备推荐目录!F:F,用能设备节能分配!C156,工业节能技术装备推荐目录!A:A,用能设备节能分配!A156)</f>
        <v>0</v>
      </c>
      <c r="M156" s="46">
        <v>2020</v>
      </c>
      <c r="N156" s="26" t="str">
        <f t="shared" si="64"/>
        <v>机械行业</v>
      </c>
      <c r="O156" s="26" t="str">
        <f t="shared" si="67"/>
        <v>computers and electronics 27</v>
      </c>
      <c r="P156" s="26" t="str">
        <f t="shared" si="61"/>
        <v>Cogeneration and Waste Heat Recovery</v>
      </c>
      <c r="Q156" s="47">
        <f t="shared" si="56"/>
        <v>0</v>
      </c>
      <c r="R156" s="47">
        <f t="shared" si="57"/>
        <v>0</v>
      </c>
    </row>
    <row r="157" spans="1:18" ht="14.25" x14ac:dyDescent="0.2">
      <c r="A157" s="20">
        <v>2022</v>
      </c>
      <c r="B157" s="24" t="s">
        <v>22</v>
      </c>
      <c r="C157" s="25" t="s">
        <v>105</v>
      </c>
      <c r="D157" s="46">
        <f>SUMIFS(工业节能技术装备推荐目录!K:K,工业节能技术装备推荐目录!C:C,用能设备节能分配!B157,工业节能技术装备推荐目录!F:F,用能设备节能分配!C157,工业节能技术装备推荐目录!A:A,用能设备节能分配!A157)</f>
        <v>0</v>
      </c>
      <c r="E157" s="47">
        <f>SUMIFS(工业节能技术装备推荐目录!L:L,工业节能技术装备推荐目录!C:C,用能设备节能分配!B157,工业节能技术装备推荐目录!F:F,用能设备节能分配!C157,工业节能技术装备推荐目录!A:A,用能设备节能分配!A157)</f>
        <v>0</v>
      </c>
      <c r="M157" s="46">
        <v>2020</v>
      </c>
      <c r="N157" s="26" t="str">
        <f t="shared" si="64"/>
        <v>机械行业</v>
      </c>
      <c r="O157" s="26" t="str">
        <f t="shared" si="67"/>
        <v>computers and electronics 27</v>
      </c>
      <c r="P157" s="26" t="str">
        <f t="shared" si="61"/>
        <v>Improvement in Eqpt Efficiency Standards</v>
      </c>
      <c r="Q157" s="47">
        <f t="shared" si="56"/>
        <v>0</v>
      </c>
      <c r="R157" s="47">
        <f t="shared" si="57"/>
        <v>0</v>
      </c>
    </row>
    <row r="158" spans="1:18" ht="14.25" x14ac:dyDescent="0.2">
      <c r="A158" s="20">
        <v>2022</v>
      </c>
      <c r="B158" s="24" t="s">
        <v>78</v>
      </c>
      <c r="C158" s="25" t="s">
        <v>103</v>
      </c>
      <c r="D158" s="46">
        <f>SUMIFS(工业节能技术装备推荐目录!K:K,工业节能技术装备推荐目录!C:C,用能设备节能分配!B158,工业节能技术装备推荐目录!F:F,用能设备节能分配!C158,工业节能技术装备推荐目录!A:A,用能设备节能分配!A158)</f>
        <v>0</v>
      </c>
      <c r="E158" s="47">
        <f>SUMIFS(工业节能技术装备推荐目录!L:L,工业节能技术装备推荐目录!C:C,用能设备节能分配!B158,工业节能技术装备推荐目录!F:F,用能设备节能分配!C158,工业节能技术装备推荐目录!A:A,用能设备节能分配!A158)</f>
        <v>0</v>
      </c>
      <c r="M158" s="46">
        <v>2020</v>
      </c>
      <c r="N158" s="26" t="str">
        <f t="shared" si="64"/>
        <v>机械行业</v>
      </c>
      <c r="O158" s="26" t="str">
        <f>I$47</f>
        <v>appliances and electrical equipment 27</v>
      </c>
      <c r="P158" s="26" t="str">
        <f t="shared" si="61"/>
        <v>Early Facility Retirement</v>
      </c>
      <c r="Q158" s="47">
        <f t="shared" si="56"/>
        <v>0</v>
      </c>
      <c r="R158" s="47">
        <f t="shared" si="57"/>
        <v>0</v>
      </c>
    </row>
    <row r="159" spans="1:18" ht="14.25" x14ac:dyDescent="0.2">
      <c r="A159" s="20">
        <v>2022</v>
      </c>
      <c r="B159" s="24" t="s">
        <v>78</v>
      </c>
      <c r="C159" s="25" t="s">
        <v>104</v>
      </c>
      <c r="D159" s="46">
        <f>SUMIFS(工业节能技术装备推荐目录!K:K,工业节能技术装备推荐目录!C:C,用能设备节能分配!B159,工业节能技术装备推荐目录!F:F,用能设备节能分配!C159,工业节能技术装备推荐目录!A:A,用能设备节能分配!A159)</f>
        <v>0</v>
      </c>
      <c r="E159" s="47">
        <f>SUMIFS(工业节能技术装备推荐目录!L:L,工业节能技术装备推荐目录!C:C,用能设备节能分配!B159,工业节能技术装备推荐目录!F:F,用能设备节能分配!C159,工业节能技术装备推荐目录!A:A,用能设备节能分配!A159)</f>
        <v>0</v>
      </c>
      <c r="M159" s="46">
        <v>2020</v>
      </c>
      <c r="N159" s="26" t="str">
        <f t="shared" si="64"/>
        <v>机械行业</v>
      </c>
      <c r="O159" s="26" t="str">
        <f t="shared" ref="O159:O161" si="68">I$47</f>
        <v>appliances and electrical equipment 27</v>
      </c>
      <c r="P159" s="26" t="str">
        <f t="shared" si="61"/>
        <v>Installation and System Integration</v>
      </c>
      <c r="Q159" s="47">
        <f t="shared" si="56"/>
        <v>0</v>
      </c>
      <c r="R159" s="47">
        <f t="shared" si="57"/>
        <v>0</v>
      </c>
    </row>
    <row r="160" spans="1:18" ht="14.25" x14ac:dyDescent="0.2">
      <c r="A160" s="20">
        <v>2022</v>
      </c>
      <c r="B160" s="24" t="s">
        <v>78</v>
      </c>
      <c r="C160" s="25" t="s">
        <v>102</v>
      </c>
      <c r="D160" s="46">
        <f>SUMIFS(工业节能技术装备推荐目录!K:K,工业节能技术装备推荐目录!C:C,用能设备节能分配!B160,工业节能技术装备推荐目录!F:F,用能设备节能分配!C160,工业节能技术装备推荐目录!A:A,用能设备节能分配!A160)</f>
        <v>0</v>
      </c>
      <c r="E160" s="47">
        <f>SUMIFS(工业节能技术装备推荐目录!L:L,工业节能技术装备推荐目录!C:C,用能设备节能分配!B160,工业节能技术装备推荐目录!F:F,用能设备节能分配!C160,工业节能技术装备推荐目录!A:A,用能设备节能分配!A160)</f>
        <v>0</v>
      </c>
      <c r="M160" s="46">
        <v>2020</v>
      </c>
      <c r="N160" s="26" t="str">
        <f t="shared" si="64"/>
        <v>机械行业</v>
      </c>
      <c r="O160" s="26" t="str">
        <f t="shared" si="68"/>
        <v>appliances and electrical equipment 27</v>
      </c>
      <c r="P160" s="26" t="str">
        <f t="shared" si="61"/>
        <v>Cogeneration and Waste Heat Recovery</v>
      </c>
      <c r="Q160" s="47">
        <f t="shared" si="56"/>
        <v>0</v>
      </c>
      <c r="R160" s="47">
        <f t="shared" si="57"/>
        <v>0</v>
      </c>
    </row>
    <row r="161" spans="1:18" ht="14.25" x14ac:dyDescent="0.2">
      <c r="A161" s="20">
        <v>2022</v>
      </c>
      <c r="B161" s="24" t="s">
        <v>78</v>
      </c>
      <c r="C161" s="25" t="s">
        <v>105</v>
      </c>
      <c r="D161" s="46">
        <f>SUMIFS(工业节能技术装备推荐目录!K:K,工业节能技术装备推荐目录!C:C,用能设备节能分配!B161,工业节能技术装备推荐目录!F:F,用能设备节能分配!C161,工业节能技术装备推荐目录!A:A,用能设备节能分配!A161)</f>
        <v>30</v>
      </c>
      <c r="E161" s="47">
        <f>SUMIFS(工业节能技术装备推荐目录!L:L,工业节能技术装备推荐目录!C:C,用能设备节能分配!B161,工业节能技术装备推荐目录!F:F,用能设备节能分配!C161,工业节能技术装备推荐目录!A:A,用能设备节能分配!A161)</f>
        <v>600</v>
      </c>
      <c r="M161" s="46">
        <v>2020</v>
      </c>
      <c r="N161" s="26" t="str">
        <f t="shared" si="64"/>
        <v>机械行业</v>
      </c>
      <c r="O161" s="26" t="str">
        <f t="shared" si="68"/>
        <v>appliances and electrical equipment 27</v>
      </c>
      <c r="P161" s="26" t="str">
        <f t="shared" si="61"/>
        <v>Improvement in Eqpt Efficiency Standards</v>
      </c>
      <c r="Q161" s="47">
        <f t="shared" si="56"/>
        <v>0</v>
      </c>
      <c r="R161" s="47">
        <f t="shared" si="57"/>
        <v>0</v>
      </c>
    </row>
    <row r="162" spans="1:18" ht="14.25" x14ac:dyDescent="0.2">
      <c r="A162" s="20">
        <v>2022</v>
      </c>
      <c r="B162" s="24" t="s">
        <v>21</v>
      </c>
      <c r="C162" s="25" t="s">
        <v>103</v>
      </c>
      <c r="D162" s="46">
        <f>SUMIFS(工业节能技术装备推荐目录!K:K,工业节能技术装备推荐目录!C:C,用能设备节能分配!B162,工业节能技术装备推荐目录!F:F,用能设备节能分配!C162,工业节能技术装备推荐目录!A:A,用能设备节能分配!A162)</f>
        <v>0</v>
      </c>
      <c r="E162" s="47">
        <f>SUMIFS(工业节能技术装备推荐目录!L:L,工业节能技术装备推荐目录!C:C,用能设备节能分配!B162,工业节能技术装备推荐目录!F:F,用能设备节能分配!C162,工业节能技术装备推荐目录!A:A,用能设备节能分配!A162)</f>
        <v>0</v>
      </c>
      <c r="M162" s="46">
        <v>2020</v>
      </c>
      <c r="N162" s="26" t="str">
        <f t="shared" si="64"/>
        <v>机械行业</v>
      </c>
      <c r="O162" s="26" t="str">
        <f>I$48</f>
        <v>road vehicles 29</v>
      </c>
      <c r="P162" s="26" t="str">
        <f t="shared" si="61"/>
        <v>Early Facility Retirement</v>
      </c>
      <c r="Q162" s="47">
        <f t="shared" si="56"/>
        <v>0</v>
      </c>
      <c r="R162" s="47">
        <f t="shared" si="57"/>
        <v>0</v>
      </c>
    </row>
    <row r="163" spans="1:18" ht="14.25" x14ac:dyDescent="0.2">
      <c r="A163" s="20">
        <v>2022</v>
      </c>
      <c r="B163" s="24" t="s">
        <v>21</v>
      </c>
      <c r="C163" s="25" t="s">
        <v>104</v>
      </c>
      <c r="D163" s="46">
        <f>SUMIFS(工业节能技术装备推荐目录!K:K,工业节能技术装备推荐目录!C:C,用能设备节能分配!B163,工业节能技术装备推荐目录!F:F,用能设备节能分配!C163,工业节能技术装备推荐目录!A:A,用能设备节能分配!A163)</f>
        <v>0</v>
      </c>
      <c r="E163" s="47">
        <f>SUMIFS(工业节能技术装备推荐目录!L:L,工业节能技术装备推荐目录!C:C,用能设备节能分配!B163,工业节能技术装备推荐目录!F:F,用能设备节能分配!C163,工业节能技术装备推荐目录!A:A,用能设备节能分配!A163)</f>
        <v>0</v>
      </c>
      <c r="M163" s="46">
        <v>2020</v>
      </c>
      <c r="N163" s="26" t="str">
        <f t="shared" si="64"/>
        <v>机械行业</v>
      </c>
      <c r="O163" s="26" t="str">
        <f t="shared" ref="O163:O165" si="69">I$48</f>
        <v>road vehicles 29</v>
      </c>
      <c r="P163" s="26" t="str">
        <f t="shared" si="61"/>
        <v>Installation and System Integration</v>
      </c>
      <c r="Q163" s="47">
        <f t="shared" si="56"/>
        <v>0</v>
      </c>
      <c r="R163" s="47">
        <f t="shared" si="57"/>
        <v>0</v>
      </c>
    </row>
    <row r="164" spans="1:18" ht="14.25" x14ac:dyDescent="0.2">
      <c r="A164" s="20">
        <v>2022</v>
      </c>
      <c r="B164" s="24" t="s">
        <v>21</v>
      </c>
      <c r="C164" s="25" t="s">
        <v>102</v>
      </c>
      <c r="D164" s="46">
        <f>SUMIFS(工业节能技术装备推荐目录!K:K,工业节能技术装备推荐目录!C:C,用能设备节能分配!B164,工业节能技术装备推荐目录!F:F,用能设备节能分配!C164,工业节能技术装备推荐目录!A:A,用能设备节能分配!A164)</f>
        <v>0</v>
      </c>
      <c r="E164" s="47">
        <f>SUMIFS(工业节能技术装备推荐目录!L:L,工业节能技术装备推荐目录!C:C,用能设备节能分配!B164,工业节能技术装备推荐目录!F:F,用能设备节能分配!C164,工业节能技术装备推荐目录!A:A,用能设备节能分配!A164)</f>
        <v>0</v>
      </c>
      <c r="M164" s="46">
        <v>2020</v>
      </c>
      <c r="N164" s="26" t="str">
        <f t="shared" si="64"/>
        <v>机械行业</v>
      </c>
      <c r="O164" s="26" t="str">
        <f t="shared" si="69"/>
        <v>road vehicles 29</v>
      </c>
      <c r="P164" s="26" t="str">
        <f t="shared" si="61"/>
        <v>Cogeneration and Waste Heat Recovery</v>
      </c>
      <c r="Q164" s="47">
        <f t="shared" si="56"/>
        <v>0</v>
      </c>
      <c r="R164" s="47">
        <f t="shared" si="57"/>
        <v>0</v>
      </c>
    </row>
    <row r="165" spans="1:18" ht="14.25" x14ac:dyDescent="0.2">
      <c r="A165" s="20">
        <v>2022</v>
      </c>
      <c r="B165" s="24" t="s">
        <v>21</v>
      </c>
      <c r="C165" s="25" t="s">
        <v>105</v>
      </c>
      <c r="D165" s="46">
        <f>SUMIFS(工业节能技术装备推荐目录!K:K,工业节能技术装备推荐目录!C:C,用能设备节能分配!B165,工业节能技术装备推荐目录!F:F,用能设备节能分配!C165,工业节能技术装备推荐目录!A:A,用能设备节能分配!A165)</f>
        <v>0</v>
      </c>
      <c r="E165" s="47">
        <f>SUMIFS(工业节能技术装备推荐目录!L:L,工业节能技术装备推荐目录!C:C,用能设备节能分配!B165,工业节能技术装备推荐目录!F:F,用能设备节能分配!C165,工业节能技术装备推荐目录!A:A,用能设备节能分配!A165)</f>
        <v>0</v>
      </c>
      <c r="M165" s="46">
        <v>2020</v>
      </c>
      <c r="N165" s="26" t="str">
        <f t="shared" si="64"/>
        <v>机械行业</v>
      </c>
      <c r="O165" s="26" t="str">
        <f t="shared" si="69"/>
        <v>road vehicles 29</v>
      </c>
      <c r="P165" s="26" t="str">
        <f t="shared" si="61"/>
        <v>Improvement in Eqpt Efficiency Standards</v>
      </c>
      <c r="Q165" s="47">
        <f t="shared" si="56"/>
        <v>0</v>
      </c>
      <c r="R165" s="47">
        <f t="shared" si="57"/>
        <v>0</v>
      </c>
    </row>
    <row r="166" spans="1:18" ht="14.25" x14ac:dyDescent="0.2">
      <c r="A166" s="20">
        <v>2022</v>
      </c>
      <c r="B166" s="24" t="s">
        <v>82</v>
      </c>
      <c r="C166" s="25" t="s">
        <v>103</v>
      </c>
      <c r="D166" s="46">
        <f>SUMIFS(工业节能技术装备推荐目录!K:K,工业节能技术装备推荐目录!C:C,用能设备节能分配!B166,工业节能技术装备推荐目录!F:F,用能设备节能分配!C166,工业节能技术装备推荐目录!A:A,用能设备节能分配!A166)</f>
        <v>0</v>
      </c>
      <c r="E166" s="47">
        <f>SUMIFS(工业节能技术装备推荐目录!L:L,工业节能技术装备推荐目录!C:C,用能设备节能分配!B166,工业节能技术装备推荐目录!F:F,用能设备节能分配!C166,工业节能技术装备推荐目录!A:A,用能设备节能分配!A166)</f>
        <v>0</v>
      </c>
      <c r="M166" s="46">
        <v>2020</v>
      </c>
      <c r="N166" s="26" t="str">
        <f>G$49</f>
        <v>工业水泵</v>
      </c>
      <c r="O166" s="26" t="str">
        <f>I$49</f>
        <v>agriculture and forestry 01T03</v>
      </c>
      <c r="P166" s="26" t="str">
        <f t="shared" si="61"/>
        <v>Early Facility Retirement</v>
      </c>
      <c r="Q166" s="47">
        <f t="shared" si="56"/>
        <v>0</v>
      </c>
      <c r="R166" s="47">
        <f t="shared" si="57"/>
        <v>0</v>
      </c>
    </row>
    <row r="167" spans="1:18" ht="14.25" x14ac:dyDescent="0.2">
      <c r="A167" s="20">
        <v>2022</v>
      </c>
      <c r="B167" s="24" t="s">
        <v>82</v>
      </c>
      <c r="C167" s="25" t="s">
        <v>104</v>
      </c>
      <c r="D167" s="46">
        <f>SUMIFS(工业节能技术装备推荐目录!K:K,工业节能技术装备推荐目录!C:C,用能设备节能分配!B167,工业节能技术装备推荐目录!F:F,用能设备节能分配!C167,工业节能技术装备推荐目录!A:A,用能设备节能分配!A167)</f>
        <v>0</v>
      </c>
      <c r="E167" s="47">
        <f>SUMIFS(工业节能技术装备推荐目录!L:L,工业节能技术装备推荐目录!C:C,用能设备节能分配!B167,工业节能技术装备推荐目录!F:F,用能设备节能分配!C167,工业节能技术装备推荐目录!A:A,用能设备节能分配!A167)</f>
        <v>0</v>
      </c>
      <c r="M167" s="46">
        <v>2020</v>
      </c>
      <c r="N167" s="26" t="str">
        <f t="shared" ref="N167:N193" si="70">G$49</f>
        <v>工业水泵</v>
      </c>
      <c r="O167" s="26" t="str">
        <f t="shared" ref="O167:O169" si="71">I$49</f>
        <v>agriculture and forestry 01T03</v>
      </c>
      <c r="P167" s="26" t="str">
        <f t="shared" si="61"/>
        <v>Installation and System Integration</v>
      </c>
      <c r="Q167" s="47">
        <f t="shared" si="56"/>
        <v>0</v>
      </c>
      <c r="R167" s="47">
        <f t="shared" si="57"/>
        <v>0</v>
      </c>
    </row>
    <row r="168" spans="1:18" ht="14.25" x14ac:dyDescent="0.2">
      <c r="A168" s="20">
        <v>2022</v>
      </c>
      <c r="B168" s="24" t="s">
        <v>82</v>
      </c>
      <c r="C168" s="25" t="s">
        <v>102</v>
      </c>
      <c r="D168" s="46">
        <f>SUMIFS(工业节能技术装备推荐目录!K:K,工业节能技术装备推荐目录!C:C,用能设备节能分配!B168,工业节能技术装备推荐目录!F:F,用能设备节能分配!C168,工业节能技术装备推荐目录!A:A,用能设备节能分配!A168)</f>
        <v>0</v>
      </c>
      <c r="E168" s="47">
        <f>SUMIFS(工业节能技术装备推荐目录!L:L,工业节能技术装备推荐目录!C:C,用能设备节能分配!B168,工业节能技术装备推荐目录!F:F,用能设备节能分配!C168,工业节能技术装备推荐目录!A:A,用能设备节能分配!A168)</f>
        <v>0</v>
      </c>
      <c r="M168" s="46">
        <v>2020</v>
      </c>
      <c r="N168" s="26" t="str">
        <f t="shared" si="70"/>
        <v>工业水泵</v>
      </c>
      <c r="O168" s="26" t="str">
        <f t="shared" si="71"/>
        <v>agriculture and forestry 01T03</v>
      </c>
      <c r="P168" s="26" t="str">
        <f t="shared" si="61"/>
        <v>Cogeneration and Waste Heat Recovery</v>
      </c>
      <c r="Q168" s="47">
        <f t="shared" si="56"/>
        <v>0</v>
      </c>
      <c r="R168" s="47">
        <f t="shared" si="57"/>
        <v>0</v>
      </c>
    </row>
    <row r="169" spans="1:18" ht="14.25" x14ac:dyDescent="0.2">
      <c r="A169" s="20">
        <v>2022</v>
      </c>
      <c r="B169" s="24" t="s">
        <v>82</v>
      </c>
      <c r="C169" s="25" t="s">
        <v>105</v>
      </c>
      <c r="D169" s="46">
        <f>SUMIFS(工业节能技术装备推荐目录!K:K,工业节能技术装备推荐目录!C:C,用能设备节能分配!B169,工业节能技术装备推荐目录!F:F,用能设备节能分配!C169,工业节能技术装备推荐目录!A:A,用能设备节能分配!A169)</f>
        <v>0</v>
      </c>
      <c r="E169" s="47">
        <f>SUMIFS(工业节能技术装备推荐目录!L:L,工业节能技术装备推荐目录!C:C,用能设备节能分配!B169,工业节能技术装备推荐目录!F:F,用能设备节能分配!C169,工业节能技术装备推荐目录!A:A,用能设备节能分配!A169)</f>
        <v>0</v>
      </c>
      <c r="M169" s="46">
        <v>2020</v>
      </c>
      <c r="N169" s="26" t="str">
        <f t="shared" si="70"/>
        <v>工业水泵</v>
      </c>
      <c r="O169" s="26" t="str">
        <f t="shared" si="71"/>
        <v>agriculture and forestry 01T03</v>
      </c>
      <c r="P169" s="26" t="str">
        <f t="shared" si="61"/>
        <v>Improvement in Eqpt Efficiency Standards</v>
      </c>
      <c r="Q169" s="47">
        <f t="shared" si="56"/>
        <v>0</v>
      </c>
      <c r="R169" s="47">
        <f t="shared" si="57"/>
        <v>0</v>
      </c>
    </row>
    <row r="170" spans="1:18" ht="14.25" x14ac:dyDescent="0.2">
      <c r="A170" s="20">
        <v>2022</v>
      </c>
      <c r="B170" s="26" t="s">
        <v>84</v>
      </c>
      <c r="C170" s="25" t="s">
        <v>103</v>
      </c>
      <c r="D170" s="46">
        <f>SUMIFS(工业节能技术装备推荐目录!K:K,工业节能技术装备推荐目录!C:C,用能设备节能分配!B170,工业节能技术装备推荐目录!F:F,用能设备节能分配!C170,工业节能技术装备推荐目录!A:A,用能设备节能分配!A170)</f>
        <v>157</v>
      </c>
      <c r="E170" s="47">
        <f>SUMIFS(工业节能技术装备推荐目录!L:L,工业节能技术装备推荐目录!C:C,用能设备节能分配!B170,工业节能技术装备推荐目录!F:F,用能设备节能分配!C170,工业节能技术装备推荐目录!A:A,用能设备节能分配!A170)</f>
        <v>1423.3928571428573</v>
      </c>
      <c r="M170" s="46">
        <v>2020</v>
      </c>
      <c r="N170" s="26" t="str">
        <f t="shared" si="70"/>
        <v>工业水泵</v>
      </c>
      <c r="O170" s="26" t="str">
        <f>I$50</f>
        <v>coal mining 05</v>
      </c>
      <c r="P170" s="26" t="str">
        <f t="shared" si="61"/>
        <v>Early Facility Retirement</v>
      </c>
      <c r="Q170" s="47">
        <f t="shared" si="56"/>
        <v>0</v>
      </c>
      <c r="R170" s="47">
        <f t="shared" si="57"/>
        <v>0</v>
      </c>
    </row>
    <row r="171" spans="1:18" ht="14.25" x14ac:dyDescent="0.2">
      <c r="A171" s="20">
        <v>2022</v>
      </c>
      <c r="B171" s="26" t="s">
        <v>84</v>
      </c>
      <c r="C171" s="25" t="s">
        <v>104</v>
      </c>
      <c r="D171" s="46">
        <f>SUMIFS(工业节能技术装备推荐目录!K:K,工业节能技术装备推荐目录!C:C,用能设备节能分配!B171,工业节能技术装备推荐目录!F:F,用能设备节能分配!C171,工业节能技术装备推荐目录!A:A,用能设备节能分配!A171)</f>
        <v>0</v>
      </c>
      <c r="E171" s="47">
        <f>SUMIFS(工业节能技术装备推荐目录!L:L,工业节能技术装备推荐目录!C:C,用能设备节能分配!B171,工业节能技术装备推荐目录!F:F,用能设备节能分配!C171,工业节能技术装备推荐目录!A:A,用能设备节能分配!A171)</f>
        <v>0</v>
      </c>
      <c r="M171" s="46">
        <v>2020</v>
      </c>
      <c r="N171" s="26" t="str">
        <f t="shared" si="70"/>
        <v>工业水泵</v>
      </c>
      <c r="O171" s="26" t="str">
        <f t="shared" ref="O171:O173" si="72">I$50</f>
        <v>coal mining 05</v>
      </c>
      <c r="P171" s="26" t="str">
        <f t="shared" si="61"/>
        <v>Installation and System Integration</v>
      </c>
      <c r="Q171" s="47">
        <f t="shared" si="56"/>
        <v>0</v>
      </c>
      <c r="R171" s="47">
        <f t="shared" si="57"/>
        <v>0</v>
      </c>
    </row>
    <row r="172" spans="1:18" ht="14.25" x14ac:dyDescent="0.2">
      <c r="A172" s="20">
        <v>2022</v>
      </c>
      <c r="B172" s="26" t="s">
        <v>84</v>
      </c>
      <c r="C172" s="25" t="s">
        <v>102</v>
      </c>
      <c r="D172" s="46">
        <f>SUMIFS(工业节能技术装备推荐目录!K:K,工业节能技术装备推荐目录!C:C,用能设备节能分配!B172,工业节能技术装备推荐目录!F:F,用能设备节能分配!C172,工业节能技术装备推荐目录!A:A,用能设备节能分配!A172)</f>
        <v>0</v>
      </c>
      <c r="E172" s="47">
        <f>SUMIFS(工业节能技术装备推荐目录!L:L,工业节能技术装备推荐目录!C:C,用能设备节能分配!B172,工业节能技术装备推荐目录!F:F,用能设备节能分配!C172,工业节能技术装备推荐目录!A:A,用能设备节能分配!A172)</f>
        <v>0</v>
      </c>
      <c r="M172" s="46">
        <v>2020</v>
      </c>
      <c r="N172" s="26" t="str">
        <f t="shared" si="70"/>
        <v>工业水泵</v>
      </c>
      <c r="O172" s="26" t="str">
        <f t="shared" si="72"/>
        <v>coal mining 05</v>
      </c>
      <c r="P172" s="26" t="str">
        <f t="shared" si="61"/>
        <v>Cogeneration and Waste Heat Recovery</v>
      </c>
      <c r="Q172" s="47">
        <f t="shared" si="56"/>
        <v>0</v>
      </c>
      <c r="R172" s="47">
        <f t="shared" si="57"/>
        <v>0</v>
      </c>
    </row>
    <row r="173" spans="1:18" ht="14.25" x14ac:dyDescent="0.2">
      <c r="A173" s="20">
        <v>2022</v>
      </c>
      <c r="B173" s="26" t="s">
        <v>84</v>
      </c>
      <c r="C173" s="25" t="s">
        <v>105</v>
      </c>
      <c r="D173" s="46">
        <f>SUMIFS(工业节能技术装备推荐目录!K:K,工业节能技术装备推荐目录!C:C,用能设备节能分配!B173,工业节能技术装备推荐目录!F:F,用能设备节能分配!C173,工业节能技术装备推荐目录!A:A,用能设备节能分配!A173)</f>
        <v>0</v>
      </c>
      <c r="E173" s="47">
        <f>SUMIFS(工业节能技术装备推荐目录!L:L,工业节能技术装备推荐目录!C:C,用能设备节能分配!B173,工业节能技术装备推荐目录!F:F,用能设备节能分配!C173,工业节能技术装备推荐目录!A:A,用能设备节能分配!A173)</f>
        <v>0</v>
      </c>
      <c r="M173" s="46">
        <v>2020</v>
      </c>
      <c r="N173" s="26" t="str">
        <f t="shared" si="70"/>
        <v>工业水泵</v>
      </c>
      <c r="O173" s="26" t="str">
        <f t="shared" si="72"/>
        <v>coal mining 05</v>
      </c>
      <c r="P173" s="26" t="str">
        <f t="shared" si="61"/>
        <v>Improvement in Eqpt Efficiency Standards</v>
      </c>
      <c r="Q173" s="47">
        <f t="shared" si="56"/>
        <v>0</v>
      </c>
      <c r="R173" s="47">
        <f t="shared" si="57"/>
        <v>0</v>
      </c>
    </row>
    <row r="174" spans="1:18" ht="14.25" x14ac:dyDescent="0.2">
      <c r="A174" s="20">
        <v>2022</v>
      </c>
      <c r="B174" s="26" t="s">
        <v>24</v>
      </c>
      <c r="C174" s="25" t="s">
        <v>103</v>
      </c>
      <c r="D174" s="46">
        <f>SUMIFS(工业节能技术装备推荐目录!K:K,工业节能技术装备推荐目录!C:C,用能设备节能分配!B174,工业节能技术装备推荐目录!F:F,用能设备节能分配!C174,工业节能技术装备推荐目录!A:A,用能设备节能分配!A174)</f>
        <v>0</v>
      </c>
      <c r="E174" s="47">
        <f>SUMIFS(工业节能技术装备推荐目录!L:L,工业节能技术装备推荐目录!C:C,用能设备节能分配!B174,工业节能技术装备推荐目录!F:F,用能设备节能分配!C174,工业节能技术装备推荐目录!A:A,用能设备节能分配!A174)</f>
        <v>0</v>
      </c>
      <c r="M174" s="46">
        <v>2020</v>
      </c>
      <c r="N174" s="26" t="str">
        <f t="shared" si="70"/>
        <v>工业水泵</v>
      </c>
      <c r="O174" s="26" t="str">
        <f>I$51</f>
        <v>oil and gas extraction 06</v>
      </c>
      <c r="P174" s="26" t="str">
        <f t="shared" si="61"/>
        <v>Early Facility Retirement</v>
      </c>
      <c r="Q174" s="47">
        <f t="shared" si="56"/>
        <v>0</v>
      </c>
      <c r="R174" s="47">
        <f t="shared" si="57"/>
        <v>0</v>
      </c>
    </row>
    <row r="175" spans="1:18" ht="14.25" x14ac:dyDescent="0.2">
      <c r="A175" s="20">
        <v>2022</v>
      </c>
      <c r="B175" s="26" t="s">
        <v>24</v>
      </c>
      <c r="C175" s="25" t="s">
        <v>104</v>
      </c>
      <c r="D175" s="46">
        <f>SUMIFS(工业节能技术装备推荐目录!K:K,工业节能技术装备推荐目录!C:C,用能设备节能分配!B175,工业节能技术装备推荐目录!F:F,用能设备节能分配!C175,工业节能技术装备推荐目录!A:A,用能设备节能分配!A175)</f>
        <v>0</v>
      </c>
      <c r="E175" s="47">
        <f>SUMIFS(工业节能技术装备推荐目录!L:L,工业节能技术装备推荐目录!C:C,用能设备节能分配!B175,工业节能技术装备推荐目录!F:F,用能设备节能分配!C175,工业节能技术装备推荐目录!A:A,用能设备节能分配!A175)</f>
        <v>0</v>
      </c>
      <c r="M175" s="46">
        <v>2020</v>
      </c>
      <c r="N175" s="26" t="str">
        <f t="shared" si="70"/>
        <v>工业水泵</v>
      </c>
      <c r="O175" s="26" t="str">
        <f t="shared" ref="O175:O177" si="73">I$51</f>
        <v>oil and gas extraction 06</v>
      </c>
      <c r="P175" s="26" t="str">
        <f t="shared" si="61"/>
        <v>Installation and System Integration</v>
      </c>
      <c r="Q175" s="47">
        <f t="shared" si="56"/>
        <v>0</v>
      </c>
      <c r="R175" s="47">
        <f t="shared" si="57"/>
        <v>0</v>
      </c>
    </row>
    <row r="176" spans="1:18" ht="14.25" x14ac:dyDescent="0.2">
      <c r="A176" s="20">
        <v>2022</v>
      </c>
      <c r="B176" s="26" t="s">
        <v>24</v>
      </c>
      <c r="C176" s="25" t="s">
        <v>102</v>
      </c>
      <c r="D176" s="46">
        <f>SUMIFS(工业节能技术装备推荐目录!K:K,工业节能技术装备推荐目录!C:C,用能设备节能分配!B176,工业节能技术装备推荐目录!F:F,用能设备节能分配!C176,工业节能技术装备推荐目录!A:A,用能设备节能分配!A176)</f>
        <v>0</v>
      </c>
      <c r="E176" s="47">
        <f>SUMIFS(工业节能技术装备推荐目录!L:L,工业节能技术装备推荐目录!C:C,用能设备节能分配!B176,工业节能技术装备推荐目录!F:F,用能设备节能分配!C176,工业节能技术装备推荐目录!A:A,用能设备节能分配!A176)</f>
        <v>0</v>
      </c>
      <c r="M176" s="46">
        <v>2020</v>
      </c>
      <c r="N176" s="26" t="str">
        <f t="shared" si="70"/>
        <v>工业水泵</v>
      </c>
      <c r="O176" s="26" t="str">
        <f t="shared" si="73"/>
        <v>oil and gas extraction 06</v>
      </c>
      <c r="P176" s="26" t="str">
        <f t="shared" si="61"/>
        <v>Cogeneration and Waste Heat Recovery</v>
      </c>
      <c r="Q176" s="47">
        <f t="shared" si="56"/>
        <v>0</v>
      </c>
      <c r="R176" s="47">
        <f t="shared" si="57"/>
        <v>0</v>
      </c>
    </row>
    <row r="177" spans="1:18" ht="14.25" x14ac:dyDescent="0.2">
      <c r="A177" s="20">
        <v>2022</v>
      </c>
      <c r="B177" s="26" t="s">
        <v>24</v>
      </c>
      <c r="C177" s="25" t="s">
        <v>105</v>
      </c>
      <c r="D177" s="46">
        <f>SUMIFS(工业节能技术装备推荐目录!K:K,工业节能技术装备推荐目录!C:C,用能设备节能分配!B177,工业节能技术装备推荐目录!F:F,用能设备节能分配!C177,工业节能技术装备推荐目录!A:A,用能设备节能分配!A177)</f>
        <v>9</v>
      </c>
      <c r="E177" s="47">
        <f>SUMIFS(工业节能技术装备推荐目录!L:L,工业节能技术装备推荐目录!C:C,用能设备节能分配!B177,工业节能技术装备推荐目录!F:F,用能设备节能分配!C177,工业节能技术装备推荐目录!A:A,用能设备节能分配!A177)</f>
        <v>18</v>
      </c>
      <c r="M177" s="46">
        <v>2020</v>
      </c>
      <c r="N177" s="26" t="str">
        <f t="shared" si="70"/>
        <v>工业水泵</v>
      </c>
      <c r="O177" s="26" t="str">
        <f t="shared" si="73"/>
        <v>oil and gas extraction 06</v>
      </c>
      <c r="P177" s="26" t="str">
        <f t="shared" si="61"/>
        <v>Improvement in Eqpt Efficiency Standards</v>
      </c>
      <c r="Q177" s="47">
        <f t="shared" si="56"/>
        <v>0</v>
      </c>
      <c r="R177" s="47">
        <f t="shared" si="57"/>
        <v>0</v>
      </c>
    </row>
    <row r="178" spans="1:18" ht="14.25" x14ac:dyDescent="0.2">
      <c r="A178" s="20">
        <v>2022</v>
      </c>
      <c r="B178" s="26" t="s">
        <v>96</v>
      </c>
      <c r="C178" s="25" t="s">
        <v>103</v>
      </c>
      <c r="D178" s="46">
        <f>SUMIFS(工业节能技术装备推荐目录!K:K,工业节能技术装备推荐目录!C:C,用能设备节能分配!B178,工业节能技术装备推荐目录!F:F,用能设备节能分配!C178,工业节能技术装备推荐目录!A:A,用能设备节能分配!A178)</f>
        <v>0</v>
      </c>
      <c r="E178" s="47">
        <f>SUMIFS(工业节能技术装备推荐目录!L:L,工业节能技术装备推荐目录!C:C,用能设备节能分配!B178,工业节能技术装备推荐目录!F:F,用能设备节能分配!C178,工业节能技术装备推荐目录!A:A,用能设备节能分配!A178)</f>
        <v>0</v>
      </c>
      <c r="M178" s="46">
        <v>2020</v>
      </c>
      <c r="N178" s="26" t="str">
        <f t="shared" si="70"/>
        <v>工业水泵</v>
      </c>
      <c r="O178" s="26" t="str">
        <f>I$52</f>
        <v>other mining and quarrying 07T08</v>
      </c>
      <c r="P178" s="26" t="str">
        <f t="shared" si="61"/>
        <v>Early Facility Retirement</v>
      </c>
      <c r="Q178" s="47">
        <f t="shared" si="56"/>
        <v>0</v>
      </c>
      <c r="R178" s="47">
        <f t="shared" si="57"/>
        <v>0</v>
      </c>
    </row>
    <row r="179" spans="1:18" ht="14.25" x14ac:dyDescent="0.2">
      <c r="A179" s="20">
        <v>2022</v>
      </c>
      <c r="B179" s="26" t="s">
        <v>96</v>
      </c>
      <c r="C179" s="25" t="s">
        <v>104</v>
      </c>
      <c r="D179" s="46">
        <f>SUMIFS(工业节能技术装备推荐目录!K:K,工业节能技术装备推荐目录!C:C,用能设备节能分配!B179,工业节能技术装备推荐目录!F:F,用能设备节能分配!C179,工业节能技术装备推荐目录!A:A,用能设备节能分配!A179)</f>
        <v>0</v>
      </c>
      <c r="E179" s="47">
        <f>SUMIFS(工业节能技术装备推荐目录!L:L,工业节能技术装备推荐目录!C:C,用能设备节能分配!B179,工业节能技术装备推荐目录!F:F,用能设备节能分配!C179,工业节能技术装备推荐目录!A:A,用能设备节能分配!A179)</f>
        <v>0</v>
      </c>
      <c r="M179" s="46">
        <v>2020</v>
      </c>
      <c r="N179" s="26" t="str">
        <f t="shared" si="70"/>
        <v>工业水泵</v>
      </c>
      <c r="O179" s="26" t="str">
        <f t="shared" ref="O179:O181" si="74">I$52</f>
        <v>other mining and quarrying 07T08</v>
      </c>
      <c r="P179" s="26" t="str">
        <f t="shared" si="61"/>
        <v>Installation and System Integration</v>
      </c>
      <c r="Q179" s="47">
        <f t="shared" si="56"/>
        <v>0</v>
      </c>
      <c r="R179" s="47">
        <f t="shared" si="57"/>
        <v>0</v>
      </c>
    </row>
    <row r="180" spans="1:18" ht="14.25" x14ac:dyDescent="0.2">
      <c r="A180" s="20">
        <v>2022</v>
      </c>
      <c r="B180" s="26" t="s">
        <v>96</v>
      </c>
      <c r="C180" s="25" t="s">
        <v>102</v>
      </c>
      <c r="D180" s="46">
        <f>SUMIFS(工业节能技术装备推荐目录!K:K,工业节能技术装备推荐目录!C:C,用能设备节能分配!B180,工业节能技术装备推荐目录!F:F,用能设备节能分配!C180,工业节能技术装备推荐目录!A:A,用能设备节能分配!A180)</f>
        <v>0</v>
      </c>
      <c r="E180" s="47">
        <f>SUMIFS(工业节能技术装备推荐目录!L:L,工业节能技术装备推荐目录!C:C,用能设备节能分配!B180,工业节能技术装备推荐目录!F:F,用能设备节能分配!C180,工业节能技术装备推荐目录!A:A,用能设备节能分配!A180)</f>
        <v>0</v>
      </c>
      <c r="M180" s="46">
        <v>2020</v>
      </c>
      <c r="N180" s="26" t="str">
        <f t="shared" si="70"/>
        <v>工业水泵</v>
      </c>
      <c r="O180" s="26" t="str">
        <f t="shared" si="74"/>
        <v>other mining and quarrying 07T08</v>
      </c>
      <c r="P180" s="26" t="str">
        <f t="shared" si="61"/>
        <v>Cogeneration and Waste Heat Recovery</v>
      </c>
      <c r="Q180" s="47">
        <f t="shared" si="56"/>
        <v>0</v>
      </c>
      <c r="R180" s="47">
        <f t="shared" si="57"/>
        <v>0</v>
      </c>
    </row>
    <row r="181" spans="1:18" ht="14.25" x14ac:dyDescent="0.2">
      <c r="A181" s="20">
        <v>2022</v>
      </c>
      <c r="B181" s="26" t="s">
        <v>96</v>
      </c>
      <c r="C181" s="25" t="s">
        <v>105</v>
      </c>
      <c r="D181" s="46">
        <f>SUMIFS(工业节能技术装备推荐目录!K:K,工业节能技术装备推荐目录!C:C,用能设备节能分配!B181,工业节能技术装备推荐目录!F:F,用能设备节能分配!C181,工业节能技术装备推荐目录!A:A,用能设备节能分配!A181)</f>
        <v>46</v>
      </c>
      <c r="E181" s="47">
        <f>SUMIFS(工业节能技术装备推荐目录!L:L,工业节能技术装备推荐目录!C:C,用能设备节能分配!B181,工业节能技术装备推荐目录!F:F,用能设备节能分配!C181,工业节能技术装备推荐目录!A:A,用能设备节能分配!A181)</f>
        <v>306.66666666666669</v>
      </c>
      <c r="M181" s="46">
        <v>2020</v>
      </c>
      <c r="N181" s="26" t="str">
        <f t="shared" si="70"/>
        <v>工业水泵</v>
      </c>
      <c r="O181" s="26" t="str">
        <f t="shared" si="74"/>
        <v>other mining and quarrying 07T08</v>
      </c>
      <c r="P181" s="26" t="str">
        <f t="shared" si="61"/>
        <v>Improvement in Eqpt Efficiency Standards</v>
      </c>
      <c r="Q181" s="47">
        <f t="shared" si="56"/>
        <v>0</v>
      </c>
      <c r="R181" s="47">
        <f t="shared" si="57"/>
        <v>0</v>
      </c>
    </row>
    <row r="182" spans="1:18" x14ac:dyDescent="0.15">
      <c r="M182" s="46">
        <v>2020</v>
      </c>
      <c r="N182" s="26" t="str">
        <f t="shared" si="70"/>
        <v>工业水泵</v>
      </c>
      <c r="O182" s="26" t="str">
        <f>I$53</f>
        <v>chemicals 20</v>
      </c>
      <c r="P182" s="26" t="str">
        <f t="shared" si="61"/>
        <v>Early Facility Retirement</v>
      </c>
      <c r="Q182" s="47">
        <f t="shared" si="56"/>
        <v>0</v>
      </c>
      <c r="R182" s="47">
        <f t="shared" si="57"/>
        <v>0</v>
      </c>
    </row>
    <row r="183" spans="1:18" x14ac:dyDescent="0.15">
      <c r="M183" s="46">
        <v>2020</v>
      </c>
      <c r="N183" s="26" t="str">
        <f t="shared" si="70"/>
        <v>工业水泵</v>
      </c>
      <c r="O183" s="26" t="str">
        <f t="shared" ref="O183:O185" si="75">I$53</f>
        <v>chemicals 20</v>
      </c>
      <c r="P183" s="26" t="str">
        <f t="shared" si="61"/>
        <v>Installation and System Integration</v>
      </c>
      <c r="Q183" s="47">
        <f t="shared" si="56"/>
        <v>0</v>
      </c>
      <c r="R183" s="47">
        <f t="shared" si="57"/>
        <v>0</v>
      </c>
    </row>
    <row r="184" spans="1:18" x14ac:dyDescent="0.15">
      <c r="M184" s="46">
        <v>2020</v>
      </c>
      <c r="N184" s="26" t="str">
        <f t="shared" si="70"/>
        <v>工业水泵</v>
      </c>
      <c r="O184" s="26" t="str">
        <f t="shared" si="75"/>
        <v>chemicals 20</v>
      </c>
      <c r="P184" s="26" t="str">
        <f t="shared" si="61"/>
        <v>Cogeneration and Waste Heat Recovery</v>
      </c>
      <c r="Q184" s="47">
        <f t="shared" si="56"/>
        <v>0</v>
      </c>
      <c r="R184" s="47">
        <f t="shared" si="57"/>
        <v>0</v>
      </c>
    </row>
    <row r="185" spans="1:18" x14ac:dyDescent="0.15">
      <c r="M185" s="46">
        <v>2020</v>
      </c>
      <c r="N185" s="26" t="str">
        <f t="shared" si="70"/>
        <v>工业水泵</v>
      </c>
      <c r="O185" s="26" t="str">
        <f t="shared" si="75"/>
        <v>chemicals 20</v>
      </c>
      <c r="P185" s="26" t="str">
        <f t="shared" si="61"/>
        <v>Improvement in Eqpt Efficiency Standards</v>
      </c>
      <c r="Q185" s="47">
        <f t="shared" si="56"/>
        <v>0</v>
      </c>
      <c r="R185" s="47">
        <f t="shared" si="57"/>
        <v>0</v>
      </c>
    </row>
    <row r="186" spans="1:18" x14ac:dyDescent="0.15">
      <c r="M186" s="46">
        <v>2020</v>
      </c>
      <c r="N186" s="26" t="str">
        <f t="shared" si="70"/>
        <v>工业水泵</v>
      </c>
      <c r="O186" s="26" t="str">
        <f>I$54</f>
        <v>iron and steel 241</v>
      </c>
      <c r="P186" s="26" t="str">
        <f t="shared" si="61"/>
        <v>Early Facility Retirement</v>
      </c>
      <c r="Q186" s="47">
        <f t="shared" si="56"/>
        <v>0</v>
      </c>
      <c r="R186" s="47">
        <f t="shared" si="57"/>
        <v>0</v>
      </c>
    </row>
    <row r="187" spans="1:18" x14ac:dyDescent="0.15">
      <c r="M187" s="46">
        <v>2020</v>
      </c>
      <c r="N187" s="26" t="str">
        <f t="shared" si="70"/>
        <v>工业水泵</v>
      </c>
      <c r="O187" s="26" t="str">
        <f t="shared" ref="O187:O189" si="76">I$54</f>
        <v>iron and steel 241</v>
      </c>
      <c r="P187" s="26" t="str">
        <f t="shared" si="61"/>
        <v>Installation and System Integration</v>
      </c>
      <c r="Q187" s="47">
        <f t="shared" si="56"/>
        <v>0</v>
      </c>
      <c r="R187" s="47">
        <f t="shared" si="57"/>
        <v>0</v>
      </c>
    </row>
    <row r="188" spans="1:18" x14ac:dyDescent="0.15">
      <c r="M188" s="46">
        <v>2020</v>
      </c>
      <c r="N188" s="26" t="str">
        <f t="shared" si="70"/>
        <v>工业水泵</v>
      </c>
      <c r="O188" s="26" t="str">
        <f t="shared" si="76"/>
        <v>iron and steel 241</v>
      </c>
      <c r="P188" s="26" t="str">
        <f t="shared" si="61"/>
        <v>Cogeneration and Waste Heat Recovery</v>
      </c>
      <c r="Q188" s="47">
        <f t="shared" si="56"/>
        <v>0</v>
      </c>
      <c r="R188" s="47">
        <f t="shared" si="57"/>
        <v>0</v>
      </c>
    </row>
    <row r="189" spans="1:18" x14ac:dyDescent="0.15">
      <c r="M189" s="46">
        <v>2020</v>
      </c>
      <c r="N189" s="26" t="str">
        <f t="shared" si="70"/>
        <v>工业水泵</v>
      </c>
      <c r="O189" s="26" t="str">
        <f t="shared" si="76"/>
        <v>iron and steel 241</v>
      </c>
      <c r="P189" s="26" t="str">
        <f t="shared" si="61"/>
        <v>Improvement in Eqpt Efficiency Standards</v>
      </c>
      <c r="Q189" s="47">
        <f t="shared" si="56"/>
        <v>0</v>
      </c>
      <c r="R189" s="47">
        <f t="shared" si="57"/>
        <v>0</v>
      </c>
    </row>
    <row r="190" spans="1:18" x14ac:dyDescent="0.15">
      <c r="M190" s="46">
        <v>2020</v>
      </c>
      <c r="N190" s="26" t="str">
        <f t="shared" si="70"/>
        <v>工业水泵</v>
      </c>
      <c r="O190" s="26" t="str">
        <f>I$56</f>
        <v>water and waste 36T39</v>
      </c>
      <c r="P190" s="26" t="str">
        <f t="shared" si="61"/>
        <v>Early Facility Retirement</v>
      </c>
      <c r="Q190" s="47">
        <f t="shared" si="56"/>
        <v>0</v>
      </c>
      <c r="R190" s="47">
        <f t="shared" si="57"/>
        <v>0</v>
      </c>
    </row>
    <row r="191" spans="1:18" x14ac:dyDescent="0.15">
      <c r="M191" s="46">
        <v>2020</v>
      </c>
      <c r="N191" s="26" t="str">
        <f t="shared" si="70"/>
        <v>工业水泵</v>
      </c>
      <c r="O191" s="26" t="str">
        <f t="shared" ref="O191:O193" si="77">I$56</f>
        <v>water and waste 36T39</v>
      </c>
      <c r="P191" s="26" t="str">
        <f t="shared" si="61"/>
        <v>Installation and System Integration</v>
      </c>
      <c r="Q191" s="47">
        <f t="shared" si="56"/>
        <v>0</v>
      </c>
      <c r="R191" s="47">
        <f t="shared" si="57"/>
        <v>0</v>
      </c>
    </row>
    <row r="192" spans="1:18" x14ac:dyDescent="0.15">
      <c r="M192" s="46">
        <v>2020</v>
      </c>
      <c r="N192" s="26" t="str">
        <f t="shared" si="70"/>
        <v>工业水泵</v>
      </c>
      <c r="O192" s="26" t="str">
        <f t="shared" si="77"/>
        <v>water and waste 36T39</v>
      </c>
      <c r="P192" s="26" t="str">
        <f t="shared" si="61"/>
        <v>Cogeneration and Waste Heat Recovery</v>
      </c>
      <c r="Q192" s="47">
        <f t="shared" si="56"/>
        <v>0</v>
      </c>
      <c r="R192" s="47">
        <f t="shared" si="57"/>
        <v>0</v>
      </c>
    </row>
    <row r="193" spans="13:18" x14ac:dyDescent="0.15">
      <c r="M193" s="46">
        <v>2020</v>
      </c>
      <c r="N193" s="26" t="str">
        <f t="shared" si="70"/>
        <v>工业水泵</v>
      </c>
      <c r="O193" s="26" t="str">
        <f t="shared" si="77"/>
        <v>water and waste 36T39</v>
      </c>
      <c r="P193" s="26" t="str">
        <f t="shared" si="61"/>
        <v>Improvement in Eqpt Efficiency Standards</v>
      </c>
      <c r="Q193" s="47">
        <f t="shared" si="56"/>
        <v>0</v>
      </c>
      <c r="R193" s="47">
        <f t="shared" si="57"/>
        <v>0</v>
      </c>
    </row>
    <row r="194" spans="13:18" x14ac:dyDescent="0.15">
      <c r="M194" s="46">
        <v>2020</v>
      </c>
      <c r="N194" s="26" t="str">
        <f>G$57</f>
        <v>冷却塔</v>
      </c>
      <c r="O194" s="26" t="str">
        <f>I$57</f>
        <v>refined petroleum and coke 19</v>
      </c>
      <c r="P194" s="26" t="str">
        <f t="shared" si="61"/>
        <v>Early Facility Retirement</v>
      </c>
      <c r="Q194" s="47">
        <f t="shared" ref="Q194:Q257" si="78">SUMIFS(D:D,B:B,N194,C:C,P194,A:A,M194)*SUMIFS(K:K,G:G,N194,I:I,O194)</f>
        <v>0</v>
      </c>
      <c r="R194" s="47">
        <f t="shared" ref="R194:R257" si="79">SUMIFS(E:E,B:B,N194,C:C,P194,A:A,M194)*SUMIFS(K:K,G:G,N194,I:I,O194)</f>
        <v>0</v>
      </c>
    </row>
    <row r="195" spans="13:18" x14ac:dyDescent="0.15">
      <c r="M195" s="46">
        <v>2020</v>
      </c>
      <c r="N195" s="26" t="str">
        <f t="shared" ref="N195:N209" si="80">G$57</f>
        <v>冷却塔</v>
      </c>
      <c r="O195" s="26" t="str">
        <f t="shared" ref="O195:O197" si="81">I$57</f>
        <v>refined petroleum and coke 19</v>
      </c>
      <c r="P195" s="26" t="str">
        <f t="shared" si="61"/>
        <v>Installation and System Integration</v>
      </c>
      <c r="Q195" s="47">
        <f t="shared" si="78"/>
        <v>0</v>
      </c>
      <c r="R195" s="47">
        <f t="shared" si="79"/>
        <v>0</v>
      </c>
    </row>
    <row r="196" spans="13:18" x14ac:dyDescent="0.15">
      <c r="M196" s="46">
        <v>2020</v>
      </c>
      <c r="N196" s="26" t="str">
        <f t="shared" si="80"/>
        <v>冷却塔</v>
      </c>
      <c r="O196" s="26" t="str">
        <f t="shared" si="81"/>
        <v>refined petroleum and coke 19</v>
      </c>
      <c r="P196" s="26" t="str">
        <f t="shared" si="61"/>
        <v>Cogeneration and Waste Heat Recovery</v>
      </c>
      <c r="Q196" s="47">
        <f t="shared" si="78"/>
        <v>0</v>
      </c>
      <c r="R196" s="47">
        <f t="shared" si="79"/>
        <v>0</v>
      </c>
    </row>
    <row r="197" spans="13:18" x14ac:dyDescent="0.15">
      <c r="M197" s="46">
        <v>2020</v>
      </c>
      <c r="N197" s="26" t="str">
        <f t="shared" si="80"/>
        <v>冷却塔</v>
      </c>
      <c r="O197" s="26" t="str">
        <f t="shared" si="81"/>
        <v>refined petroleum and coke 19</v>
      </c>
      <c r="P197" s="26" t="str">
        <f t="shared" si="61"/>
        <v>Improvement in Eqpt Efficiency Standards</v>
      </c>
      <c r="Q197" s="47">
        <f t="shared" si="78"/>
        <v>0</v>
      </c>
      <c r="R197" s="47">
        <f t="shared" si="79"/>
        <v>0</v>
      </c>
    </row>
    <row r="198" spans="13:18" x14ac:dyDescent="0.15">
      <c r="M198" s="46">
        <v>2020</v>
      </c>
      <c r="N198" s="26" t="str">
        <f t="shared" si="80"/>
        <v>冷却塔</v>
      </c>
      <c r="O198" s="26" t="str">
        <f>I$59</f>
        <v>iron and steel 241</v>
      </c>
      <c r="P198" s="26" t="str">
        <f t="shared" si="61"/>
        <v>Early Facility Retirement</v>
      </c>
      <c r="Q198" s="47">
        <f t="shared" si="78"/>
        <v>0</v>
      </c>
      <c r="R198" s="47">
        <f t="shared" si="79"/>
        <v>0</v>
      </c>
    </row>
    <row r="199" spans="13:18" x14ac:dyDescent="0.15">
      <c r="M199" s="46">
        <v>2020</v>
      </c>
      <c r="N199" s="26" t="str">
        <f t="shared" si="80"/>
        <v>冷却塔</v>
      </c>
      <c r="O199" s="26" t="str">
        <f t="shared" ref="O199:O201" si="82">I$59</f>
        <v>iron and steel 241</v>
      </c>
      <c r="P199" s="26" t="str">
        <f t="shared" ref="P199:P262" si="83">P195</f>
        <v>Installation and System Integration</v>
      </c>
      <c r="Q199" s="47">
        <f t="shared" si="78"/>
        <v>0</v>
      </c>
      <c r="R199" s="47">
        <f t="shared" si="79"/>
        <v>0</v>
      </c>
    </row>
    <row r="200" spans="13:18" x14ac:dyDescent="0.15">
      <c r="M200" s="46">
        <v>2020</v>
      </c>
      <c r="N200" s="26" t="str">
        <f t="shared" si="80"/>
        <v>冷却塔</v>
      </c>
      <c r="O200" s="26" t="str">
        <f t="shared" si="82"/>
        <v>iron and steel 241</v>
      </c>
      <c r="P200" s="26" t="str">
        <f t="shared" si="83"/>
        <v>Cogeneration and Waste Heat Recovery</v>
      </c>
      <c r="Q200" s="47">
        <f t="shared" si="78"/>
        <v>0</v>
      </c>
      <c r="R200" s="47">
        <f t="shared" si="79"/>
        <v>0</v>
      </c>
    </row>
    <row r="201" spans="13:18" x14ac:dyDescent="0.15">
      <c r="M201" s="46">
        <v>2020</v>
      </c>
      <c r="N201" s="26" t="str">
        <f t="shared" si="80"/>
        <v>冷却塔</v>
      </c>
      <c r="O201" s="26" t="str">
        <f t="shared" si="82"/>
        <v>iron and steel 241</v>
      </c>
      <c r="P201" s="26" t="str">
        <f t="shared" si="83"/>
        <v>Improvement in Eqpt Efficiency Standards</v>
      </c>
      <c r="Q201" s="47">
        <f t="shared" si="78"/>
        <v>0</v>
      </c>
      <c r="R201" s="47">
        <f t="shared" si="79"/>
        <v>0</v>
      </c>
    </row>
    <row r="202" spans="13:18" x14ac:dyDescent="0.15">
      <c r="M202" s="46">
        <v>2020</v>
      </c>
      <c r="N202" s="26" t="str">
        <f t="shared" si="80"/>
        <v>冷却塔</v>
      </c>
      <c r="O202" s="26" t="str">
        <f>I$60</f>
        <v>food beverage and tobacco 10T12</v>
      </c>
      <c r="P202" s="26" t="str">
        <f t="shared" si="83"/>
        <v>Early Facility Retirement</v>
      </c>
      <c r="Q202" s="47">
        <f t="shared" si="78"/>
        <v>0</v>
      </c>
      <c r="R202" s="47">
        <f t="shared" si="79"/>
        <v>0</v>
      </c>
    </row>
    <row r="203" spans="13:18" x14ac:dyDescent="0.15">
      <c r="M203" s="46">
        <v>2020</v>
      </c>
      <c r="N203" s="26" t="str">
        <f t="shared" si="80"/>
        <v>冷却塔</v>
      </c>
      <c r="O203" s="26" t="str">
        <f t="shared" ref="O203:O205" si="84">I$60</f>
        <v>food beverage and tobacco 10T12</v>
      </c>
      <c r="P203" s="26" t="str">
        <f t="shared" si="83"/>
        <v>Installation and System Integration</v>
      </c>
      <c r="Q203" s="47">
        <f t="shared" si="78"/>
        <v>0</v>
      </c>
      <c r="R203" s="47">
        <f t="shared" si="79"/>
        <v>0</v>
      </c>
    </row>
    <row r="204" spans="13:18" x14ac:dyDescent="0.15">
      <c r="M204" s="46">
        <v>2020</v>
      </c>
      <c r="N204" s="26" t="str">
        <f t="shared" si="80"/>
        <v>冷却塔</v>
      </c>
      <c r="O204" s="26" t="str">
        <f t="shared" si="84"/>
        <v>food beverage and tobacco 10T12</v>
      </c>
      <c r="P204" s="26" t="str">
        <f t="shared" si="83"/>
        <v>Cogeneration and Waste Heat Recovery</v>
      </c>
      <c r="Q204" s="47">
        <f t="shared" si="78"/>
        <v>0</v>
      </c>
      <c r="R204" s="47">
        <f t="shared" si="79"/>
        <v>0</v>
      </c>
    </row>
    <row r="205" spans="13:18" x14ac:dyDescent="0.15">
      <c r="M205" s="46">
        <v>2020</v>
      </c>
      <c r="N205" s="26" t="str">
        <f t="shared" si="80"/>
        <v>冷却塔</v>
      </c>
      <c r="O205" s="26" t="str">
        <f t="shared" si="84"/>
        <v>food beverage and tobacco 10T12</v>
      </c>
      <c r="P205" s="26" t="str">
        <f t="shared" si="83"/>
        <v>Improvement in Eqpt Efficiency Standards</v>
      </c>
      <c r="Q205" s="47">
        <f t="shared" si="78"/>
        <v>0</v>
      </c>
      <c r="R205" s="47">
        <f t="shared" si="79"/>
        <v>0</v>
      </c>
    </row>
    <row r="206" spans="13:18" x14ac:dyDescent="0.15">
      <c r="M206" s="46">
        <v>2020</v>
      </c>
      <c r="N206" s="26" t="str">
        <f t="shared" si="80"/>
        <v>冷却塔</v>
      </c>
      <c r="O206" s="26" t="str">
        <f>I$61</f>
        <v>textiles apparel and leather 13T15</v>
      </c>
      <c r="P206" s="26" t="str">
        <f t="shared" si="83"/>
        <v>Early Facility Retirement</v>
      </c>
      <c r="Q206" s="47">
        <f t="shared" si="78"/>
        <v>0</v>
      </c>
      <c r="R206" s="47">
        <f t="shared" si="79"/>
        <v>0</v>
      </c>
    </row>
    <row r="207" spans="13:18" x14ac:dyDescent="0.15">
      <c r="M207" s="46">
        <v>2020</v>
      </c>
      <c r="N207" s="26" t="str">
        <f t="shared" si="80"/>
        <v>冷却塔</v>
      </c>
      <c r="O207" s="26" t="str">
        <f t="shared" ref="O207:O209" si="85">I$61</f>
        <v>textiles apparel and leather 13T15</v>
      </c>
      <c r="P207" s="26" t="str">
        <f t="shared" si="83"/>
        <v>Installation and System Integration</v>
      </c>
      <c r="Q207" s="47">
        <f t="shared" si="78"/>
        <v>0</v>
      </c>
      <c r="R207" s="47">
        <f t="shared" si="79"/>
        <v>0</v>
      </c>
    </row>
    <row r="208" spans="13:18" x14ac:dyDescent="0.15">
      <c r="M208" s="46">
        <v>2020</v>
      </c>
      <c r="N208" s="26" t="str">
        <f t="shared" si="80"/>
        <v>冷却塔</v>
      </c>
      <c r="O208" s="26" t="str">
        <f t="shared" si="85"/>
        <v>textiles apparel and leather 13T15</v>
      </c>
      <c r="P208" s="26" t="str">
        <f t="shared" si="83"/>
        <v>Cogeneration and Waste Heat Recovery</v>
      </c>
      <c r="Q208" s="47">
        <f t="shared" si="78"/>
        <v>0</v>
      </c>
      <c r="R208" s="47">
        <f t="shared" si="79"/>
        <v>0</v>
      </c>
    </row>
    <row r="209" spans="13:18" x14ac:dyDescent="0.15">
      <c r="M209" s="46">
        <v>2020</v>
      </c>
      <c r="N209" s="26" t="str">
        <f t="shared" si="80"/>
        <v>冷却塔</v>
      </c>
      <c r="O209" s="26" t="str">
        <f t="shared" si="85"/>
        <v>textiles apparel and leather 13T15</v>
      </c>
      <c r="P209" s="26" t="str">
        <f t="shared" si="83"/>
        <v>Improvement in Eqpt Efficiency Standards</v>
      </c>
      <c r="Q209" s="47">
        <f t="shared" si="78"/>
        <v>0</v>
      </c>
      <c r="R209" s="47">
        <f t="shared" si="79"/>
        <v>0</v>
      </c>
    </row>
    <row r="210" spans="13:18" x14ac:dyDescent="0.15">
      <c r="M210" s="46">
        <v>2020</v>
      </c>
      <c r="N210" s="26" t="s">
        <v>63</v>
      </c>
      <c r="O210" s="26" t="str">
        <f>I$66</f>
        <v>agriculture and forestry 01T03</v>
      </c>
      <c r="P210" s="26" t="str">
        <f t="shared" si="83"/>
        <v>Early Facility Retirement</v>
      </c>
      <c r="Q210" s="47">
        <f t="shared" si="78"/>
        <v>0</v>
      </c>
      <c r="R210" s="47">
        <f t="shared" si="79"/>
        <v>0</v>
      </c>
    </row>
    <row r="211" spans="13:18" x14ac:dyDescent="0.15">
      <c r="M211" s="46">
        <v>2020</v>
      </c>
      <c r="N211" s="26" t="s">
        <v>63</v>
      </c>
      <c r="O211" s="26" t="str">
        <f>I$66</f>
        <v>agriculture and forestry 01T03</v>
      </c>
      <c r="P211" s="26" t="str">
        <f t="shared" si="83"/>
        <v>Installation and System Integration</v>
      </c>
      <c r="Q211" s="47">
        <f t="shared" si="78"/>
        <v>0</v>
      </c>
      <c r="R211" s="47">
        <f t="shared" si="79"/>
        <v>0</v>
      </c>
    </row>
    <row r="212" spans="13:18" x14ac:dyDescent="0.15">
      <c r="M212" s="46">
        <v>2020</v>
      </c>
      <c r="N212" s="26" t="s">
        <v>63</v>
      </c>
      <c r="O212" s="26" t="str">
        <f>I$66</f>
        <v>agriculture and forestry 01T03</v>
      </c>
      <c r="P212" s="26" t="str">
        <f t="shared" si="83"/>
        <v>Cogeneration and Waste Heat Recovery</v>
      </c>
      <c r="Q212" s="47">
        <f t="shared" si="78"/>
        <v>0</v>
      </c>
      <c r="R212" s="47">
        <f t="shared" si="79"/>
        <v>0</v>
      </c>
    </row>
    <row r="213" spans="13:18" x14ac:dyDescent="0.15">
      <c r="M213" s="46">
        <v>2020</v>
      </c>
      <c r="N213" s="26" t="s">
        <v>63</v>
      </c>
      <c r="O213" s="26" t="str">
        <f>I$66</f>
        <v>agriculture and forestry 01T03</v>
      </c>
      <c r="P213" s="26" t="str">
        <f t="shared" si="83"/>
        <v>Improvement in Eqpt Efficiency Standards</v>
      </c>
      <c r="Q213" s="47">
        <f t="shared" si="78"/>
        <v>0.71213902365908632</v>
      </c>
      <c r="R213" s="47">
        <f t="shared" si="79"/>
        <v>5.0131803182996881</v>
      </c>
    </row>
    <row r="214" spans="13:18" x14ac:dyDescent="0.15">
      <c r="M214" s="46">
        <v>2020</v>
      </c>
      <c r="N214" s="26" t="s">
        <v>63</v>
      </c>
      <c r="O214" s="26" t="str">
        <f>I$67</f>
        <v>coal mining 05</v>
      </c>
      <c r="P214" s="26" t="str">
        <f t="shared" si="83"/>
        <v>Early Facility Retirement</v>
      </c>
      <c r="Q214" s="47">
        <f t="shared" si="78"/>
        <v>0</v>
      </c>
      <c r="R214" s="47">
        <f t="shared" si="79"/>
        <v>0</v>
      </c>
    </row>
    <row r="215" spans="13:18" x14ac:dyDescent="0.15">
      <c r="M215" s="46">
        <v>2020</v>
      </c>
      <c r="N215" s="26" t="s">
        <v>63</v>
      </c>
      <c r="O215" s="26" t="str">
        <f>I$67</f>
        <v>coal mining 05</v>
      </c>
      <c r="P215" s="26" t="str">
        <f t="shared" si="83"/>
        <v>Installation and System Integration</v>
      </c>
      <c r="Q215" s="47">
        <f t="shared" si="78"/>
        <v>0</v>
      </c>
      <c r="R215" s="47">
        <f t="shared" si="79"/>
        <v>0</v>
      </c>
    </row>
    <row r="216" spans="13:18" x14ac:dyDescent="0.15">
      <c r="M216" s="46">
        <v>2020</v>
      </c>
      <c r="N216" s="26" t="s">
        <v>63</v>
      </c>
      <c r="O216" s="26" t="str">
        <f>I$67</f>
        <v>coal mining 05</v>
      </c>
      <c r="P216" s="26" t="str">
        <f t="shared" si="83"/>
        <v>Cogeneration and Waste Heat Recovery</v>
      </c>
      <c r="Q216" s="47">
        <f t="shared" si="78"/>
        <v>0</v>
      </c>
      <c r="R216" s="47">
        <f t="shared" si="79"/>
        <v>0</v>
      </c>
    </row>
    <row r="217" spans="13:18" x14ac:dyDescent="0.15">
      <c r="M217" s="46">
        <v>2020</v>
      </c>
      <c r="N217" s="26" t="s">
        <v>63</v>
      </c>
      <c r="O217" s="26" t="str">
        <f>I$67</f>
        <v>coal mining 05</v>
      </c>
      <c r="P217" s="26" t="str">
        <f t="shared" si="83"/>
        <v>Improvement in Eqpt Efficiency Standards</v>
      </c>
      <c r="Q217" s="47">
        <f t="shared" si="78"/>
        <v>0.85640427171224398</v>
      </c>
      <c r="R217" s="47">
        <f t="shared" si="79"/>
        <v>6.0287512645998236</v>
      </c>
    </row>
    <row r="218" spans="13:18" x14ac:dyDescent="0.15">
      <c r="M218" s="46">
        <v>2020</v>
      </c>
      <c r="N218" s="26" t="s">
        <v>63</v>
      </c>
      <c r="O218" s="26" t="str">
        <f>I$68</f>
        <v>oil and gas extraction 06</v>
      </c>
      <c r="P218" s="26" t="str">
        <f t="shared" si="83"/>
        <v>Early Facility Retirement</v>
      </c>
      <c r="Q218" s="47">
        <f t="shared" si="78"/>
        <v>0</v>
      </c>
      <c r="R218" s="47">
        <f t="shared" si="79"/>
        <v>0</v>
      </c>
    </row>
    <row r="219" spans="13:18" x14ac:dyDescent="0.15">
      <c r="M219" s="46">
        <v>2020</v>
      </c>
      <c r="N219" s="26" t="s">
        <v>63</v>
      </c>
      <c r="O219" s="26" t="str">
        <f>I$68</f>
        <v>oil and gas extraction 06</v>
      </c>
      <c r="P219" s="26" t="str">
        <f t="shared" si="83"/>
        <v>Installation and System Integration</v>
      </c>
      <c r="Q219" s="47">
        <f t="shared" si="78"/>
        <v>0</v>
      </c>
      <c r="R219" s="47">
        <f t="shared" si="79"/>
        <v>0</v>
      </c>
    </row>
    <row r="220" spans="13:18" x14ac:dyDescent="0.15">
      <c r="M220" s="46">
        <v>2020</v>
      </c>
      <c r="N220" s="26" t="s">
        <v>63</v>
      </c>
      <c r="O220" s="26" t="str">
        <f>I$68</f>
        <v>oil and gas extraction 06</v>
      </c>
      <c r="P220" s="26" t="str">
        <f t="shared" si="83"/>
        <v>Cogeneration and Waste Heat Recovery</v>
      </c>
      <c r="Q220" s="47">
        <f t="shared" si="78"/>
        <v>0</v>
      </c>
      <c r="R220" s="47">
        <f t="shared" si="79"/>
        <v>0</v>
      </c>
    </row>
    <row r="221" spans="13:18" x14ac:dyDescent="0.15">
      <c r="M221" s="46">
        <v>2020</v>
      </c>
      <c r="N221" s="26" t="s">
        <v>63</v>
      </c>
      <c r="O221" s="26" t="str">
        <f>I$68</f>
        <v>oil and gas extraction 06</v>
      </c>
      <c r="P221" s="26" t="str">
        <f t="shared" si="83"/>
        <v>Improvement in Eqpt Efficiency Standards</v>
      </c>
      <c r="Q221" s="47">
        <f t="shared" si="78"/>
        <v>0.31505180769727548</v>
      </c>
      <c r="R221" s="47">
        <f t="shared" si="79"/>
        <v>2.2178415577866328</v>
      </c>
    </row>
    <row r="222" spans="13:18" x14ac:dyDescent="0.15">
      <c r="M222" s="46">
        <v>2020</v>
      </c>
      <c r="N222" s="26" t="s">
        <v>63</v>
      </c>
      <c r="O222" s="26" t="str">
        <f>I$69</f>
        <v>other mining and quarrying 07T08</v>
      </c>
      <c r="P222" s="26" t="str">
        <f t="shared" si="83"/>
        <v>Early Facility Retirement</v>
      </c>
      <c r="Q222" s="47">
        <f t="shared" si="78"/>
        <v>0</v>
      </c>
      <c r="R222" s="47">
        <f t="shared" si="79"/>
        <v>0</v>
      </c>
    </row>
    <row r="223" spans="13:18" x14ac:dyDescent="0.15">
      <c r="M223" s="46">
        <v>2020</v>
      </c>
      <c r="N223" s="26" t="s">
        <v>63</v>
      </c>
      <c r="O223" s="26" t="str">
        <f>I$69</f>
        <v>other mining and quarrying 07T08</v>
      </c>
      <c r="P223" s="26" t="str">
        <f t="shared" si="83"/>
        <v>Installation and System Integration</v>
      </c>
      <c r="Q223" s="47">
        <f t="shared" si="78"/>
        <v>0</v>
      </c>
      <c r="R223" s="47">
        <f t="shared" si="79"/>
        <v>0</v>
      </c>
    </row>
    <row r="224" spans="13:18" x14ac:dyDescent="0.15">
      <c r="M224" s="46">
        <v>2020</v>
      </c>
      <c r="N224" s="26" t="s">
        <v>63</v>
      </c>
      <c r="O224" s="26" t="str">
        <f>I$69</f>
        <v>other mining and quarrying 07T08</v>
      </c>
      <c r="P224" s="26" t="str">
        <f t="shared" si="83"/>
        <v>Cogeneration and Waste Heat Recovery</v>
      </c>
      <c r="Q224" s="47">
        <f t="shared" si="78"/>
        <v>0</v>
      </c>
      <c r="R224" s="47">
        <f t="shared" si="79"/>
        <v>0</v>
      </c>
    </row>
    <row r="225" spans="13:18" x14ac:dyDescent="0.15">
      <c r="M225" s="46">
        <v>2020</v>
      </c>
      <c r="N225" s="26" t="s">
        <v>63</v>
      </c>
      <c r="O225" s="26" t="str">
        <f>I$69</f>
        <v>other mining and quarrying 07T08</v>
      </c>
      <c r="P225" s="26" t="str">
        <f t="shared" si="83"/>
        <v>Improvement in Eqpt Efficiency Standards</v>
      </c>
      <c r="Q225" s="47">
        <f t="shared" si="78"/>
        <v>0.2420822114785541</v>
      </c>
      <c r="R225" s="47">
        <f t="shared" si="79"/>
        <v>1.7041641276152326</v>
      </c>
    </row>
    <row r="226" spans="13:18" x14ac:dyDescent="0.15">
      <c r="M226" s="46">
        <v>2020</v>
      </c>
      <c r="N226" s="26" t="s">
        <v>63</v>
      </c>
      <c r="O226" s="26" t="str">
        <f>I$70</f>
        <v>food beverage and tobacco 10T12</v>
      </c>
      <c r="P226" s="26" t="str">
        <f t="shared" si="83"/>
        <v>Early Facility Retirement</v>
      </c>
      <c r="Q226" s="47">
        <f t="shared" si="78"/>
        <v>0</v>
      </c>
      <c r="R226" s="47">
        <f t="shared" si="79"/>
        <v>0</v>
      </c>
    </row>
    <row r="227" spans="13:18" x14ac:dyDescent="0.15">
      <c r="M227" s="46">
        <v>2020</v>
      </c>
      <c r="N227" s="26" t="s">
        <v>63</v>
      </c>
      <c r="O227" s="26" t="str">
        <f>I$70</f>
        <v>food beverage and tobacco 10T12</v>
      </c>
      <c r="P227" s="26" t="str">
        <f t="shared" si="83"/>
        <v>Installation and System Integration</v>
      </c>
      <c r="Q227" s="47">
        <f t="shared" si="78"/>
        <v>0</v>
      </c>
      <c r="R227" s="47">
        <f t="shared" si="79"/>
        <v>0</v>
      </c>
    </row>
    <row r="228" spans="13:18" x14ac:dyDescent="0.15">
      <c r="M228" s="46">
        <v>2020</v>
      </c>
      <c r="N228" s="26" t="s">
        <v>63</v>
      </c>
      <c r="O228" s="26" t="str">
        <f>I$70</f>
        <v>food beverage and tobacco 10T12</v>
      </c>
      <c r="P228" s="26" t="str">
        <f t="shared" si="83"/>
        <v>Cogeneration and Waste Heat Recovery</v>
      </c>
      <c r="Q228" s="47">
        <f t="shared" si="78"/>
        <v>0</v>
      </c>
      <c r="R228" s="47">
        <f t="shared" si="79"/>
        <v>0</v>
      </c>
    </row>
    <row r="229" spans="13:18" x14ac:dyDescent="0.15">
      <c r="M229" s="46">
        <v>2020</v>
      </c>
      <c r="N229" s="26" t="s">
        <v>63</v>
      </c>
      <c r="O229" s="26" t="str">
        <f>I$70</f>
        <v>food beverage and tobacco 10T12</v>
      </c>
      <c r="P229" s="26" t="str">
        <f t="shared" si="83"/>
        <v>Improvement in Eqpt Efficiency Standards</v>
      </c>
      <c r="Q229" s="47">
        <f t="shared" si="78"/>
        <v>0.54669842899290877</v>
      </c>
      <c r="R229" s="47">
        <f t="shared" si="79"/>
        <v>3.8485432102715817</v>
      </c>
    </row>
    <row r="230" spans="13:18" x14ac:dyDescent="0.15">
      <c r="M230" s="46">
        <v>2020</v>
      </c>
      <c r="N230" s="26" t="s">
        <v>63</v>
      </c>
      <c r="O230" s="26" t="str">
        <f>I$71</f>
        <v>textiles apparel and leather 13T15</v>
      </c>
      <c r="P230" s="26" t="str">
        <f t="shared" si="83"/>
        <v>Early Facility Retirement</v>
      </c>
      <c r="Q230" s="47">
        <f t="shared" si="78"/>
        <v>0</v>
      </c>
      <c r="R230" s="47">
        <f t="shared" si="79"/>
        <v>0</v>
      </c>
    </row>
    <row r="231" spans="13:18" x14ac:dyDescent="0.15">
      <c r="M231" s="46">
        <v>2020</v>
      </c>
      <c r="N231" s="26" t="s">
        <v>63</v>
      </c>
      <c r="O231" s="26" t="str">
        <f>I$71</f>
        <v>textiles apparel and leather 13T15</v>
      </c>
      <c r="P231" s="26" t="str">
        <f t="shared" si="83"/>
        <v>Installation and System Integration</v>
      </c>
      <c r="Q231" s="47">
        <f t="shared" si="78"/>
        <v>0</v>
      </c>
      <c r="R231" s="47">
        <f t="shared" si="79"/>
        <v>0</v>
      </c>
    </row>
    <row r="232" spans="13:18" x14ac:dyDescent="0.15">
      <c r="M232" s="46">
        <v>2020</v>
      </c>
      <c r="N232" s="26" t="s">
        <v>63</v>
      </c>
      <c r="O232" s="26" t="str">
        <f>I$71</f>
        <v>textiles apparel and leather 13T15</v>
      </c>
      <c r="P232" s="26" t="str">
        <f t="shared" si="83"/>
        <v>Cogeneration and Waste Heat Recovery</v>
      </c>
      <c r="Q232" s="47">
        <f t="shared" si="78"/>
        <v>0</v>
      </c>
      <c r="R232" s="47">
        <f t="shared" si="79"/>
        <v>0</v>
      </c>
    </row>
    <row r="233" spans="13:18" x14ac:dyDescent="0.15">
      <c r="M233" s="46">
        <v>2020</v>
      </c>
      <c r="N233" s="26" t="s">
        <v>63</v>
      </c>
      <c r="O233" s="26" t="str">
        <f>I$71</f>
        <v>textiles apparel and leather 13T15</v>
      </c>
      <c r="P233" s="26" t="str">
        <f t="shared" si="83"/>
        <v>Improvement in Eqpt Efficiency Standards</v>
      </c>
      <c r="Q233" s="47">
        <f t="shared" si="78"/>
        <v>0.5490556775677562</v>
      </c>
      <c r="R233" s="47">
        <f t="shared" si="79"/>
        <v>3.8651373186804232</v>
      </c>
    </row>
    <row r="234" spans="13:18" x14ac:dyDescent="0.15">
      <c r="M234" s="46">
        <v>2020</v>
      </c>
      <c r="N234" s="26" t="s">
        <v>63</v>
      </c>
      <c r="O234" s="26" t="str">
        <f>I$72</f>
        <v>wood products 16</v>
      </c>
      <c r="P234" s="26" t="str">
        <f t="shared" si="83"/>
        <v>Early Facility Retirement</v>
      </c>
      <c r="Q234" s="47">
        <f t="shared" si="78"/>
        <v>0</v>
      </c>
      <c r="R234" s="47">
        <f t="shared" si="79"/>
        <v>0</v>
      </c>
    </row>
    <row r="235" spans="13:18" x14ac:dyDescent="0.15">
      <c r="M235" s="46">
        <v>2020</v>
      </c>
      <c r="N235" s="26" t="s">
        <v>63</v>
      </c>
      <c r="O235" s="26" t="str">
        <f>I$72</f>
        <v>wood products 16</v>
      </c>
      <c r="P235" s="26" t="str">
        <f t="shared" si="83"/>
        <v>Installation and System Integration</v>
      </c>
      <c r="Q235" s="47">
        <f t="shared" si="78"/>
        <v>0</v>
      </c>
      <c r="R235" s="47">
        <f t="shared" si="79"/>
        <v>0</v>
      </c>
    </row>
    <row r="236" spans="13:18" x14ac:dyDescent="0.15">
      <c r="M236" s="46">
        <v>2020</v>
      </c>
      <c r="N236" s="26" t="s">
        <v>63</v>
      </c>
      <c r="O236" s="26" t="str">
        <f>I$72</f>
        <v>wood products 16</v>
      </c>
      <c r="P236" s="26" t="str">
        <f t="shared" si="83"/>
        <v>Cogeneration and Waste Heat Recovery</v>
      </c>
      <c r="Q236" s="47">
        <f t="shared" si="78"/>
        <v>0</v>
      </c>
      <c r="R236" s="47">
        <f t="shared" si="79"/>
        <v>0</v>
      </c>
    </row>
    <row r="237" spans="13:18" x14ac:dyDescent="0.15">
      <c r="M237" s="46">
        <v>2020</v>
      </c>
      <c r="N237" s="26" t="s">
        <v>63</v>
      </c>
      <c r="O237" s="26" t="str">
        <f>I$72</f>
        <v>wood products 16</v>
      </c>
      <c r="P237" s="26" t="str">
        <f t="shared" si="83"/>
        <v>Improvement in Eqpt Efficiency Standards</v>
      </c>
      <c r="Q237" s="47">
        <f t="shared" si="78"/>
        <v>9.74503726035367E-2</v>
      </c>
      <c r="R237" s="47">
        <f t="shared" si="79"/>
        <v>0.68601252524660472</v>
      </c>
    </row>
    <row r="238" spans="13:18" x14ac:dyDescent="0.15">
      <c r="M238" s="46">
        <v>2020</v>
      </c>
      <c r="N238" s="26" t="s">
        <v>63</v>
      </c>
      <c r="O238" s="26" t="str">
        <f>I$73</f>
        <v>pulp paper and printing 17T18</v>
      </c>
      <c r="P238" s="26" t="str">
        <f t="shared" si="83"/>
        <v>Early Facility Retirement</v>
      </c>
      <c r="Q238" s="47">
        <f t="shared" si="78"/>
        <v>0</v>
      </c>
      <c r="R238" s="47">
        <f t="shared" si="79"/>
        <v>0</v>
      </c>
    </row>
    <row r="239" spans="13:18" x14ac:dyDescent="0.15">
      <c r="M239" s="46">
        <v>2020</v>
      </c>
      <c r="N239" s="26" t="s">
        <v>63</v>
      </c>
      <c r="O239" s="26" t="str">
        <f>I$73</f>
        <v>pulp paper and printing 17T18</v>
      </c>
      <c r="P239" s="26" t="str">
        <f t="shared" si="83"/>
        <v>Installation and System Integration</v>
      </c>
      <c r="Q239" s="47">
        <f t="shared" si="78"/>
        <v>0</v>
      </c>
      <c r="R239" s="47">
        <f t="shared" si="79"/>
        <v>0</v>
      </c>
    </row>
    <row r="240" spans="13:18" x14ac:dyDescent="0.15">
      <c r="M240" s="46">
        <v>2020</v>
      </c>
      <c r="N240" s="26" t="s">
        <v>63</v>
      </c>
      <c r="O240" s="26" t="str">
        <f>I$73</f>
        <v>pulp paper and printing 17T18</v>
      </c>
      <c r="P240" s="26" t="str">
        <f t="shared" si="83"/>
        <v>Cogeneration and Waste Heat Recovery</v>
      </c>
      <c r="Q240" s="47">
        <f t="shared" si="78"/>
        <v>0</v>
      </c>
      <c r="R240" s="47">
        <f t="shared" si="79"/>
        <v>0</v>
      </c>
    </row>
    <row r="241" spans="13:18" x14ac:dyDescent="0.15">
      <c r="M241" s="46">
        <v>2020</v>
      </c>
      <c r="N241" s="26" t="s">
        <v>63</v>
      </c>
      <c r="O241" s="26" t="str">
        <f>I$73</f>
        <v>pulp paper and printing 17T18</v>
      </c>
      <c r="P241" s="26" t="str">
        <f t="shared" si="83"/>
        <v>Improvement in Eqpt Efficiency Standards</v>
      </c>
      <c r="Q241" s="47">
        <f t="shared" si="78"/>
        <v>0.36249142829447484</v>
      </c>
      <c r="R241" s="47">
        <f t="shared" si="79"/>
        <v>2.5517979404371847</v>
      </c>
    </row>
    <row r="242" spans="13:18" x14ac:dyDescent="0.15">
      <c r="M242" s="46">
        <v>2020</v>
      </c>
      <c r="N242" s="26" t="s">
        <v>63</v>
      </c>
      <c r="O242" s="26" t="str">
        <f>I$74</f>
        <v>refined petroleum and coke 19</v>
      </c>
      <c r="P242" s="26" t="str">
        <f t="shared" si="83"/>
        <v>Early Facility Retirement</v>
      </c>
      <c r="Q242" s="47">
        <f t="shared" si="78"/>
        <v>0</v>
      </c>
      <c r="R242" s="47">
        <f t="shared" si="79"/>
        <v>0</v>
      </c>
    </row>
    <row r="243" spans="13:18" x14ac:dyDescent="0.15">
      <c r="M243" s="46">
        <v>2020</v>
      </c>
      <c r="N243" s="26" t="s">
        <v>63</v>
      </c>
      <c r="O243" s="26" t="str">
        <f>I$74</f>
        <v>refined petroleum and coke 19</v>
      </c>
      <c r="P243" s="26" t="str">
        <f t="shared" si="83"/>
        <v>Installation and System Integration</v>
      </c>
      <c r="Q243" s="47">
        <f t="shared" si="78"/>
        <v>0</v>
      </c>
      <c r="R243" s="47">
        <f t="shared" si="79"/>
        <v>0</v>
      </c>
    </row>
    <row r="244" spans="13:18" x14ac:dyDescent="0.15">
      <c r="M244" s="46">
        <v>2020</v>
      </c>
      <c r="N244" s="26" t="s">
        <v>63</v>
      </c>
      <c r="O244" s="26" t="str">
        <f>I$74</f>
        <v>refined petroleum and coke 19</v>
      </c>
      <c r="P244" s="26" t="str">
        <f t="shared" si="83"/>
        <v>Cogeneration and Waste Heat Recovery</v>
      </c>
      <c r="Q244" s="47">
        <f t="shared" si="78"/>
        <v>0</v>
      </c>
      <c r="R244" s="47">
        <f t="shared" si="79"/>
        <v>0</v>
      </c>
    </row>
    <row r="245" spans="13:18" x14ac:dyDescent="0.15">
      <c r="M245" s="46">
        <v>2020</v>
      </c>
      <c r="N245" s="26" t="s">
        <v>63</v>
      </c>
      <c r="O245" s="26" t="str">
        <f>I$74</f>
        <v>refined petroleum and coke 19</v>
      </c>
      <c r="P245" s="26" t="str">
        <f t="shared" si="83"/>
        <v>Improvement in Eqpt Efficiency Standards</v>
      </c>
      <c r="Q245" s="47">
        <f t="shared" si="78"/>
        <v>18.034703051169576</v>
      </c>
      <c r="R245" s="47">
        <f t="shared" si="79"/>
        <v>126.95725887616028</v>
      </c>
    </row>
    <row r="246" spans="13:18" x14ac:dyDescent="0.15">
      <c r="M246" s="46">
        <v>2020</v>
      </c>
      <c r="N246" s="26" t="s">
        <v>63</v>
      </c>
      <c r="O246" s="26" t="str">
        <f>I$75</f>
        <v>chemicals 20</v>
      </c>
      <c r="P246" s="26" t="str">
        <f t="shared" si="83"/>
        <v>Early Facility Retirement</v>
      </c>
      <c r="Q246" s="47">
        <f t="shared" si="78"/>
        <v>0</v>
      </c>
      <c r="R246" s="47">
        <f t="shared" si="79"/>
        <v>0</v>
      </c>
    </row>
    <row r="247" spans="13:18" x14ac:dyDescent="0.15">
      <c r="M247" s="46">
        <v>2020</v>
      </c>
      <c r="N247" s="26" t="s">
        <v>63</v>
      </c>
      <c r="O247" s="26" t="str">
        <f>I$75</f>
        <v>chemicals 20</v>
      </c>
      <c r="P247" s="26" t="str">
        <f t="shared" si="83"/>
        <v>Installation and System Integration</v>
      </c>
      <c r="Q247" s="47">
        <f t="shared" si="78"/>
        <v>0</v>
      </c>
      <c r="R247" s="47">
        <f t="shared" si="79"/>
        <v>0</v>
      </c>
    </row>
    <row r="248" spans="13:18" x14ac:dyDescent="0.15">
      <c r="M248" s="46">
        <v>2020</v>
      </c>
      <c r="N248" s="26" t="s">
        <v>63</v>
      </c>
      <c r="O248" s="26" t="str">
        <f>I$75</f>
        <v>chemicals 20</v>
      </c>
      <c r="P248" s="26" t="str">
        <f t="shared" si="83"/>
        <v>Cogeneration and Waste Heat Recovery</v>
      </c>
      <c r="Q248" s="47">
        <f t="shared" si="78"/>
        <v>0</v>
      </c>
      <c r="R248" s="47">
        <f t="shared" si="79"/>
        <v>0</v>
      </c>
    </row>
    <row r="249" spans="13:18" x14ac:dyDescent="0.15">
      <c r="M249" s="46">
        <v>2020</v>
      </c>
      <c r="N249" s="26" t="s">
        <v>63</v>
      </c>
      <c r="O249" s="26" t="str">
        <f>I$75</f>
        <v>chemicals 20</v>
      </c>
      <c r="P249" s="26" t="str">
        <f t="shared" si="83"/>
        <v>Improvement in Eqpt Efficiency Standards</v>
      </c>
      <c r="Q249" s="47">
        <f t="shared" si="78"/>
        <v>5.1415011923771905</v>
      </c>
      <c r="R249" s="47">
        <f t="shared" si="79"/>
        <v>36.194158342428928</v>
      </c>
    </row>
    <row r="250" spans="13:18" x14ac:dyDescent="0.15">
      <c r="M250" s="46">
        <v>2020</v>
      </c>
      <c r="N250" s="26" t="s">
        <v>63</v>
      </c>
      <c r="O250" s="26" t="str">
        <f>I$76</f>
        <v>rubber and plastic products 22</v>
      </c>
      <c r="P250" s="26" t="str">
        <f t="shared" si="83"/>
        <v>Early Facility Retirement</v>
      </c>
      <c r="Q250" s="47">
        <f t="shared" si="78"/>
        <v>0</v>
      </c>
      <c r="R250" s="47">
        <f t="shared" si="79"/>
        <v>0</v>
      </c>
    </row>
    <row r="251" spans="13:18" x14ac:dyDescent="0.15">
      <c r="M251" s="46">
        <v>2020</v>
      </c>
      <c r="N251" s="26" t="s">
        <v>63</v>
      </c>
      <c r="O251" s="26" t="str">
        <f>I$76</f>
        <v>rubber and plastic products 22</v>
      </c>
      <c r="P251" s="26" t="str">
        <f t="shared" si="83"/>
        <v>Installation and System Integration</v>
      </c>
      <c r="Q251" s="47">
        <f t="shared" si="78"/>
        <v>0</v>
      </c>
      <c r="R251" s="47">
        <f t="shared" si="79"/>
        <v>0</v>
      </c>
    </row>
    <row r="252" spans="13:18" x14ac:dyDescent="0.15">
      <c r="M252" s="46">
        <v>2020</v>
      </c>
      <c r="N252" s="26" t="s">
        <v>63</v>
      </c>
      <c r="O252" s="26" t="str">
        <f>I$76</f>
        <v>rubber and plastic products 22</v>
      </c>
      <c r="P252" s="26" t="str">
        <f t="shared" si="83"/>
        <v>Cogeneration and Waste Heat Recovery</v>
      </c>
      <c r="Q252" s="47">
        <f t="shared" si="78"/>
        <v>0</v>
      </c>
      <c r="R252" s="47">
        <f t="shared" si="79"/>
        <v>0</v>
      </c>
    </row>
    <row r="253" spans="13:18" x14ac:dyDescent="0.15">
      <c r="M253" s="46">
        <v>2020</v>
      </c>
      <c r="N253" s="26" t="s">
        <v>63</v>
      </c>
      <c r="O253" s="26" t="str">
        <f>I$76</f>
        <v>rubber and plastic products 22</v>
      </c>
      <c r="P253" s="26" t="str">
        <f t="shared" si="83"/>
        <v>Improvement in Eqpt Efficiency Standards</v>
      </c>
      <c r="Q253" s="47">
        <f t="shared" si="78"/>
        <v>0.27055872993438085</v>
      </c>
      <c r="R253" s="47">
        <f t="shared" si="79"/>
        <v>1.904627684748972</v>
      </c>
    </row>
    <row r="254" spans="13:18" x14ac:dyDescent="0.15">
      <c r="M254" s="46">
        <v>2020</v>
      </c>
      <c r="N254" s="26" t="s">
        <v>63</v>
      </c>
      <c r="O254" s="26" t="str">
        <f>I$77</f>
        <v>glass and glass products 231</v>
      </c>
      <c r="P254" s="26" t="str">
        <f t="shared" si="83"/>
        <v>Early Facility Retirement</v>
      </c>
      <c r="Q254" s="47">
        <f t="shared" si="78"/>
        <v>0</v>
      </c>
      <c r="R254" s="47">
        <f t="shared" si="79"/>
        <v>0</v>
      </c>
    </row>
    <row r="255" spans="13:18" x14ac:dyDescent="0.15">
      <c r="M255" s="46">
        <v>2020</v>
      </c>
      <c r="N255" s="26" t="s">
        <v>63</v>
      </c>
      <c r="O255" s="26" t="str">
        <f>I$77</f>
        <v>glass and glass products 231</v>
      </c>
      <c r="P255" s="26" t="str">
        <f t="shared" si="83"/>
        <v>Installation and System Integration</v>
      </c>
      <c r="Q255" s="47">
        <f t="shared" si="78"/>
        <v>0</v>
      </c>
      <c r="R255" s="47">
        <f t="shared" si="79"/>
        <v>0</v>
      </c>
    </row>
    <row r="256" spans="13:18" x14ac:dyDescent="0.15">
      <c r="M256" s="46">
        <v>2020</v>
      </c>
      <c r="N256" s="26" t="s">
        <v>63</v>
      </c>
      <c r="O256" s="26" t="str">
        <f>I$77</f>
        <v>glass and glass products 231</v>
      </c>
      <c r="P256" s="26" t="str">
        <f t="shared" si="83"/>
        <v>Cogeneration and Waste Heat Recovery</v>
      </c>
      <c r="Q256" s="47">
        <f t="shared" si="78"/>
        <v>0</v>
      </c>
      <c r="R256" s="47">
        <f t="shared" si="79"/>
        <v>0</v>
      </c>
    </row>
    <row r="257" spans="13:18" x14ac:dyDescent="0.15">
      <c r="M257" s="46">
        <v>2020</v>
      </c>
      <c r="N257" s="26" t="s">
        <v>63</v>
      </c>
      <c r="O257" s="26" t="str">
        <f>I$77</f>
        <v>glass and glass products 231</v>
      </c>
      <c r="P257" s="26" t="str">
        <f t="shared" si="83"/>
        <v>Improvement in Eqpt Efficiency Standards</v>
      </c>
      <c r="Q257" s="47">
        <f t="shared" si="78"/>
        <v>9.0668024176351128E-2</v>
      </c>
      <c r="R257" s="47">
        <f t="shared" si="79"/>
        <v>0.63826744385461165</v>
      </c>
    </row>
    <row r="258" spans="13:18" x14ac:dyDescent="0.15">
      <c r="M258" s="46">
        <v>2020</v>
      </c>
      <c r="N258" s="26" t="s">
        <v>63</v>
      </c>
      <c r="O258" s="26" t="str">
        <f>I$78</f>
        <v>cement and other nonmetallic minerals 239</v>
      </c>
      <c r="P258" s="26" t="str">
        <f t="shared" si="83"/>
        <v>Early Facility Retirement</v>
      </c>
      <c r="Q258" s="47">
        <f t="shared" ref="Q258:Q321" si="86">SUMIFS(D:D,B:B,N258,C:C,P258,A:A,M258)*SUMIFS(K:K,G:G,N258,I:I,O258)</f>
        <v>0</v>
      </c>
      <c r="R258" s="47">
        <f t="shared" ref="R258:R321" si="87">SUMIFS(E:E,B:B,N258,C:C,P258,A:A,M258)*SUMIFS(K:K,G:G,N258,I:I,O258)</f>
        <v>0</v>
      </c>
    </row>
    <row r="259" spans="13:18" x14ac:dyDescent="0.15">
      <c r="M259" s="46">
        <v>2020</v>
      </c>
      <c r="N259" s="26" t="s">
        <v>63</v>
      </c>
      <c r="O259" s="26" t="str">
        <f>I$78</f>
        <v>cement and other nonmetallic minerals 239</v>
      </c>
      <c r="P259" s="26" t="str">
        <f t="shared" si="83"/>
        <v>Installation and System Integration</v>
      </c>
      <c r="Q259" s="47">
        <f t="shared" si="86"/>
        <v>0</v>
      </c>
      <c r="R259" s="47">
        <f t="shared" si="87"/>
        <v>0</v>
      </c>
    </row>
    <row r="260" spans="13:18" x14ac:dyDescent="0.15">
      <c r="M260" s="46">
        <v>2020</v>
      </c>
      <c r="N260" s="26" t="s">
        <v>63</v>
      </c>
      <c r="O260" s="26" t="str">
        <f>I$78</f>
        <v>cement and other nonmetallic minerals 239</v>
      </c>
      <c r="P260" s="26" t="str">
        <f t="shared" si="83"/>
        <v>Cogeneration and Waste Heat Recovery</v>
      </c>
      <c r="Q260" s="47">
        <f t="shared" si="86"/>
        <v>0</v>
      </c>
      <c r="R260" s="47">
        <f t="shared" si="87"/>
        <v>0</v>
      </c>
    </row>
    <row r="261" spans="13:18" x14ac:dyDescent="0.15">
      <c r="M261" s="46">
        <v>2020</v>
      </c>
      <c r="N261" s="26" t="s">
        <v>63</v>
      </c>
      <c r="O261" s="26" t="str">
        <f>I$78</f>
        <v>cement and other nonmetallic minerals 239</v>
      </c>
      <c r="P261" s="26" t="str">
        <f t="shared" si="83"/>
        <v>Improvement in Eqpt Efficiency Standards</v>
      </c>
      <c r="Q261" s="47">
        <f t="shared" si="86"/>
        <v>3.3539060317456051</v>
      </c>
      <c r="R261" s="47">
        <f t="shared" si="87"/>
        <v>23.610187265657714</v>
      </c>
    </row>
    <row r="262" spans="13:18" x14ac:dyDescent="0.15">
      <c r="M262" s="46">
        <v>2020</v>
      </c>
      <c r="N262" s="26" t="s">
        <v>63</v>
      </c>
      <c r="O262" s="26" t="str">
        <f>I$79</f>
        <v>iron and steel 241</v>
      </c>
      <c r="P262" s="26" t="str">
        <f t="shared" si="83"/>
        <v>Early Facility Retirement</v>
      </c>
      <c r="Q262" s="47">
        <f t="shared" si="86"/>
        <v>0</v>
      </c>
      <c r="R262" s="47">
        <f t="shared" si="87"/>
        <v>0</v>
      </c>
    </row>
    <row r="263" spans="13:18" x14ac:dyDescent="0.15">
      <c r="M263" s="46">
        <v>2020</v>
      </c>
      <c r="N263" s="26" t="s">
        <v>63</v>
      </c>
      <c r="O263" s="26" t="str">
        <f>I$79</f>
        <v>iron and steel 241</v>
      </c>
      <c r="P263" s="26" t="str">
        <f t="shared" ref="P263:P326" si="88">P259</f>
        <v>Installation and System Integration</v>
      </c>
      <c r="Q263" s="47">
        <f t="shared" si="86"/>
        <v>0</v>
      </c>
      <c r="R263" s="47">
        <f t="shared" si="87"/>
        <v>0</v>
      </c>
    </row>
    <row r="264" spans="13:18" x14ac:dyDescent="0.15">
      <c r="M264" s="46">
        <v>2020</v>
      </c>
      <c r="N264" s="26" t="s">
        <v>63</v>
      </c>
      <c r="O264" s="26" t="str">
        <f>I$79</f>
        <v>iron and steel 241</v>
      </c>
      <c r="P264" s="26" t="str">
        <f t="shared" si="88"/>
        <v>Cogeneration and Waste Heat Recovery</v>
      </c>
      <c r="Q264" s="47">
        <f t="shared" si="86"/>
        <v>0</v>
      </c>
      <c r="R264" s="47">
        <f t="shared" si="87"/>
        <v>0</v>
      </c>
    </row>
    <row r="265" spans="13:18" x14ac:dyDescent="0.15">
      <c r="M265" s="46">
        <v>2020</v>
      </c>
      <c r="N265" s="26" t="s">
        <v>63</v>
      </c>
      <c r="O265" s="26" t="str">
        <f>I$79</f>
        <v>iron and steel 241</v>
      </c>
      <c r="P265" s="26" t="str">
        <f t="shared" si="88"/>
        <v>Improvement in Eqpt Efficiency Standards</v>
      </c>
      <c r="Q265" s="47">
        <f t="shared" si="86"/>
        <v>8.2406565018459368</v>
      </c>
      <c r="R265" s="47">
        <f t="shared" si="87"/>
        <v>58.011000117161323</v>
      </c>
    </row>
    <row r="266" spans="13:18" x14ac:dyDescent="0.15">
      <c r="M266" s="46">
        <v>2020</v>
      </c>
      <c r="N266" s="26" t="s">
        <v>63</v>
      </c>
      <c r="O266" s="26" t="str">
        <f>I$80</f>
        <v>other metals 242</v>
      </c>
      <c r="P266" s="26" t="str">
        <f t="shared" si="88"/>
        <v>Early Facility Retirement</v>
      </c>
      <c r="Q266" s="47">
        <f t="shared" si="86"/>
        <v>0</v>
      </c>
      <c r="R266" s="47">
        <f t="shared" si="87"/>
        <v>0</v>
      </c>
    </row>
    <row r="267" spans="13:18" x14ac:dyDescent="0.15">
      <c r="M267" s="46">
        <v>2020</v>
      </c>
      <c r="N267" s="26" t="s">
        <v>63</v>
      </c>
      <c r="O267" s="26" t="str">
        <f>I$80</f>
        <v>other metals 242</v>
      </c>
      <c r="P267" s="26" t="str">
        <f t="shared" si="88"/>
        <v>Installation and System Integration</v>
      </c>
      <c r="Q267" s="47">
        <f t="shared" si="86"/>
        <v>0</v>
      </c>
      <c r="R267" s="47">
        <f t="shared" si="87"/>
        <v>0</v>
      </c>
    </row>
    <row r="268" spans="13:18" x14ac:dyDescent="0.15">
      <c r="M268" s="46">
        <v>2020</v>
      </c>
      <c r="N268" s="26" t="s">
        <v>63</v>
      </c>
      <c r="O268" s="26" t="str">
        <f>I$80</f>
        <v>other metals 242</v>
      </c>
      <c r="P268" s="26" t="str">
        <f t="shared" si="88"/>
        <v>Cogeneration and Waste Heat Recovery</v>
      </c>
      <c r="Q268" s="47">
        <f t="shared" si="86"/>
        <v>0</v>
      </c>
      <c r="R268" s="47">
        <f t="shared" si="87"/>
        <v>0</v>
      </c>
    </row>
    <row r="269" spans="13:18" x14ac:dyDescent="0.15">
      <c r="M269" s="46">
        <v>2020</v>
      </c>
      <c r="N269" s="26" t="s">
        <v>63</v>
      </c>
      <c r="O269" s="26" t="str">
        <f>I$80</f>
        <v>other metals 242</v>
      </c>
      <c r="P269" s="26" t="str">
        <f t="shared" si="88"/>
        <v>Improvement in Eqpt Efficiency Standards</v>
      </c>
      <c r="Q269" s="47">
        <f t="shared" si="86"/>
        <v>1.3985369283402718</v>
      </c>
      <c r="R269" s="47">
        <f t="shared" si="87"/>
        <v>9.8451532223953784</v>
      </c>
    </row>
    <row r="270" spans="13:18" x14ac:dyDescent="0.15">
      <c r="M270" s="46">
        <v>2020</v>
      </c>
      <c r="N270" s="26" t="s">
        <v>63</v>
      </c>
      <c r="O270" s="26" t="str">
        <f>I$81</f>
        <v>metal products except machinery and vehicles 25</v>
      </c>
      <c r="P270" s="26" t="str">
        <f t="shared" si="88"/>
        <v>Early Facility Retirement</v>
      </c>
      <c r="Q270" s="47">
        <f t="shared" si="86"/>
        <v>0</v>
      </c>
      <c r="R270" s="47">
        <f t="shared" si="87"/>
        <v>0</v>
      </c>
    </row>
    <row r="271" spans="13:18" x14ac:dyDescent="0.15">
      <c r="M271" s="46">
        <v>2020</v>
      </c>
      <c r="N271" s="26" t="s">
        <v>63</v>
      </c>
      <c r="O271" s="26" t="str">
        <f>I$81</f>
        <v>metal products except machinery and vehicles 25</v>
      </c>
      <c r="P271" s="26" t="str">
        <f t="shared" si="88"/>
        <v>Installation and System Integration</v>
      </c>
      <c r="Q271" s="47">
        <f t="shared" si="86"/>
        <v>0</v>
      </c>
      <c r="R271" s="47">
        <f t="shared" si="87"/>
        <v>0</v>
      </c>
    </row>
    <row r="272" spans="13:18" x14ac:dyDescent="0.15">
      <c r="M272" s="46">
        <v>2020</v>
      </c>
      <c r="N272" s="26" t="s">
        <v>63</v>
      </c>
      <c r="O272" s="26" t="str">
        <f>I$81</f>
        <v>metal products except machinery and vehicles 25</v>
      </c>
      <c r="P272" s="26" t="str">
        <f t="shared" si="88"/>
        <v>Cogeneration and Waste Heat Recovery</v>
      </c>
      <c r="Q272" s="47">
        <f t="shared" si="86"/>
        <v>0</v>
      </c>
      <c r="R272" s="47">
        <f t="shared" si="87"/>
        <v>0</v>
      </c>
    </row>
    <row r="273" spans="13:18" x14ac:dyDescent="0.15">
      <c r="M273" s="46">
        <v>2020</v>
      </c>
      <c r="N273" s="26" t="s">
        <v>63</v>
      </c>
      <c r="O273" s="26" t="str">
        <f>I$81</f>
        <v>metal products except machinery and vehicles 25</v>
      </c>
      <c r="P273" s="26" t="str">
        <f t="shared" si="88"/>
        <v>Improvement in Eqpt Efficiency Standards</v>
      </c>
      <c r="Q273" s="47">
        <f t="shared" si="86"/>
        <v>0.52261798323129183</v>
      </c>
      <c r="R273" s="47">
        <f t="shared" si="87"/>
        <v>3.6790262862758376</v>
      </c>
    </row>
    <row r="274" spans="13:18" x14ac:dyDescent="0.15">
      <c r="M274" s="46">
        <v>2020</v>
      </c>
      <c r="N274" s="26" t="s">
        <v>63</v>
      </c>
      <c r="O274" s="26" t="str">
        <f>I$82</f>
        <v>computers and electronics 26</v>
      </c>
      <c r="P274" s="26" t="str">
        <f t="shared" si="88"/>
        <v>Early Facility Retirement</v>
      </c>
      <c r="Q274" s="47">
        <f t="shared" si="86"/>
        <v>0</v>
      </c>
      <c r="R274" s="47">
        <f t="shared" si="87"/>
        <v>0</v>
      </c>
    </row>
    <row r="275" spans="13:18" x14ac:dyDescent="0.15">
      <c r="M275" s="46">
        <v>2020</v>
      </c>
      <c r="N275" s="26" t="s">
        <v>63</v>
      </c>
      <c r="O275" s="26" t="str">
        <f>I$82</f>
        <v>computers and electronics 26</v>
      </c>
      <c r="P275" s="26" t="str">
        <f t="shared" si="88"/>
        <v>Installation and System Integration</v>
      </c>
      <c r="Q275" s="47">
        <f t="shared" si="86"/>
        <v>0</v>
      </c>
      <c r="R275" s="47">
        <f t="shared" si="87"/>
        <v>0</v>
      </c>
    </row>
    <row r="276" spans="13:18" x14ac:dyDescent="0.15">
      <c r="M276" s="46">
        <v>2020</v>
      </c>
      <c r="N276" s="26" t="s">
        <v>63</v>
      </c>
      <c r="O276" s="26" t="str">
        <f>I$82</f>
        <v>computers and electronics 26</v>
      </c>
      <c r="P276" s="26" t="str">
        <f t="shared" si="88"/>
        <v>Cogeneration and Waste Heat Recovery</v>
      </c>
      <c r="Q276" s="47">
        <f t="shared" si="86"/>
        <v>0</v>
      </c>
      <c r="R276" s="47">
        <f t="shared" si="87"/>
        <v>0</v>
      </c>
    </row>
    <row r="277" spans="13:18" x14ac:dyDescent="0.15">
      <c r="M277" s="46">
        <v>2020</v>
      </c>
      <c r="N277" s="26" t="s">
        <v>63</v>
      </c>
      <c r="O277" s="26" t="str">
        <f>I$82</f>
        <v>computers and electronics 26</v>
      </c>
      <c r="P277" s="26" t="str">
        <f t="shared" si="88"/>
        <v>Improvement in Eqpt Efficiency Standards</v>
      </c>
      <c r="Q277" s="47">
        <f t="shared" si="86"/>
        <v>0.31705231279668972</v>
      </c>
      <c r="R277" s="47">
        <f t="shared" si="87"/>
        <v>2.231924331596038</v>
      </c>
    </row>
    <row r="278" spans="13:18" x14ac:dyDescent="0.15">
      <c r="M278" s="46">
        <v>2020</v>
      </c>
      <c r="N278" s="26" t="s">
        <v>63</v>
      </c>
      <c r="O278" s="26" t="str">
        <f>I$83</f>
        <v>appliances and electrical equipment 27</v>
      </c>
      <c r="P278" s="26" t="str">
        <f t="shared" si="88"/>
        <v>Early Facility Retirement</v>
      </c>
      <c r="Q278" s="47">
        <f t="shared" si="86"/>
        <v>0</v>
      </c>
      <c r="R278" s="47">
        <f t="shared" si="87"/>
        <v>0</v>
      </c>
    </row>
    <row r="279" spans="13:18" x14ac:dyDescent="0.15">
      <c r="M279" s="46">
        <v>2020</v>
      </c>
      <c r="N279" s="26" t="s">
        <v>63</v>
      </c>
      <c r="O279" s="26" t="str">
        <f>I$83</f>
        <v>appliances and electrical equipment 27</v>
      </c>
      <c r="P279" s="26" t="str">
        <f t="shared" si="88"/>
        <v>Installation and System Integration</v>
      </c>
      <c r="Q279" s="47">
        <f t="shared" si="86"/>
        <v>0</v>
      </c>
      <c r="R279" s="47">
        <f t="shared" si="87"/>
        <v>0</v>
      </c>
    </row>
    <row r="280" spans="13:18" x14ac:dyDescent="0.15">
      <c r="M280" s="46">
        <v>2020</v>
      </c>
      <c r="N280" s="26" t="s">
        <v>63</v>
      </c>
      <c r="O280" s="26" t="str">
        <f>I$83</f>
        <v>appliances and electrical equipment 27</v>
      </c>
      <c r="P280" s="26" t="str">
        <f t="shared" si="88"/>
        <v>Cogeneration and Waste Heat Recovery</v>
      </c>
      <c r="Q280" s="47">
        <f t="shared" si="86"/>
        <v>0</v>
      </c>
      <c r="R280" s="47">
        <f t="shared" si="87"/>
        <v>0</v>
      </c>
    </row>
    <row r="281" spans="13:18" x14ac:dyDescent="0.15">
      <c r="M281" s="46">
        <v>2020</v>
      </c>
      <c r="N281" s="26" t="s">
        <v>63</v>
      </c>
      <c r="O281" s="26" t="str">
        <f>I$83</f>
        <v>appliances and electrical equipment 27</v>
      </c>
      <c r="P281" s="26" t="str">
        <f t="shared" si="88"/>
        <v>Improvement in Eqpt Efficiency Standards</v>
      </c>
      <c r="Q281" s="47">
        <f t="shared" si="86"/>
        <v>0.16068426985359299</v>
      </c>
      <c r="R281" s="47">
        <f t="shared" si="87"/>
        <v>1.1311544408160594</v>
      </c>
    </row>
    <row r="282" spans="13:18" x14ac:dyDescent="0.15">
      <c r="M282" s="46">
        <v>2020</v>
      </c>
      <c r="N282" s="26" t="s">
        <v>63</v>
      </c>
      <c r="O282" s="26" t="str">
        <f>I$84</f>
        <v>other machinery 28</v>
      </c>
      <c r="P282" s="26" t="str">
        <f t="shared" si="88"/>
        <v>Early Facility Retirement</v>
      </c>
      <c r="Q282" s="47">
        <f t="shared" si="86"/>
        <v>0</v>
      </c>
      <c r="R282" s="47">
        <f t="shared" si="87"/>
        <v>0</v>
      </c>
    </row>
    <row r="283" spans="13:18" x14ac:dyDescent="0.15">
      <c r="M283" s="46">
        <v>2020</v>
      </c>
      <c r="N283" s="26" t="s">
        <v>63</v>
      </c>
      <c r="O283" s="26" t="str">
        <f>I$84</f>
        <v>other machinery 28</v>
      </c>
      <c r="P283" s="26" t="str">
        <f t="shared" si="88"/>
        <v>Installation and System Integration</v>
      </c>
      <c r="Q283" s="47">
        <f t="shared" si="86"/>
        <v>0</v>
      </c>
      <c r="R283" s="47">
        <f t="shared" si="87"/>
        <v>0</v>
      </c>
    </row>
    <row r="284" spans="13:18" x14ac:dyDescent="0.15">
      <c r="M284" s="46">
        <v>2020</v>
      </c>
      <c r="N284" s="26" t="s">
        <v>63</v>
      </c>
      <c r="O284" s="26" t="str">
        <f>I$84</f>
        <v>other machinery 28</v>
      </c>
      <c r="P284" s="26" t="str">
        <f t="shared" si="88"/>
        <v>Cogeneration and Waste Heat Recovery</v>
      </c>
      <c r="Q284" s="47">
        <f t="shared" si="86"/>
        <v>0</v>
      </c>
      <c r="R284" s="47">
        <f t="shared" si="87"/>
        <v>0</v>
      </c>
    </row>
    <row r="285" spans="13:18" x14ac:dyDescent="0.15">
      <c r="M285" s="46">
        <v>2020</v>
      </c>
      <c r="N285" s="26" t="s">
        <v>63</v>
      </c>
      <c r="O285" s="26" t="str">
        <f>I$84</f>
        <v>other machinery 28</v>
      </c>
      <c r="P285" s="26" t="str">
        <f t="shared" si="88"/>
        <v>Improvement in Eqpt Efficiency Standards</v>
      </c>
      <c r="Q285" s="47">
        <f t="shared" si="86"/>
        <v>9.9560861430515818E-2</v>
      </c>
      <c r="R285" s="47">
        <f t="shared" si="87"/>
        <v>0.70086954150031322</v>
      </c>
    </row>
    <row r="286" spans="13:18" x14ac:dyDescent="0.15">
      <c r="M286" s="46">
        <v>2020</v>
      </c>
      <c r="N286" s="26" t="s">
        <v>63</v>
      </c>
      <c r="O286" s="26" t="str">
        <f>I$85</f>
        <v>road vehicles 29</v>
      </c>
      <c r="P286" s="26" t="str">
        <f t="shared" si="88"/>
        <v>Early Facility Retirement</v>
      </c>
      <c r="Q286" s="47">
        <f t="shared" si="86"/>
        <v>0</v>
      </c>
      <c r="R286" s="47">
        <f t="shared" si="87"/>
        <v>0</v>
      </c>
    </row>
    <row r="287" spans="13:18" x14ac:dyDescent="0.15">
      <c r="M287" s="46">
        <v>2020</v>
      </c>
      <c r="N287" s="26" t="s">
        <v>63</v>
      </c>
      <c r="O287" s="26" t="str">
        <f>I$85</f>
        <v>road vehicles 29</v>
      </c>
      <c r="P287" s="26" t="str">
        <f t="shared" si="88"/>
        <v>Installation and System Integration</v>
      </c>
      <c r="Q287" s="47">
        <f t="shared" si="86"/>
        <v>0</v>
      </c>
      <c r="R287" s="47">
        <f t="shared" si="87"/>
        <v>0</v>
      </c>
    </row>
    <row r="288" spans="13:18" x14ac:dyDescent="0.15">
      <c r="M288" s="46">
        <v>2020</v>
      </c>
      <c r="N288" s="26" t="s">
        <v>63</v>
      </c>
      <c r="O288" s="26" t="str">
        <f>I$85</f>
        <v>road vehicles 29</v>
      </c>
      <c r="P288" s="26" t="str">
        <f t="shared" si="88"/>
        <v>Cogeneration and Waste Heat Recovery</v>
      </c>
      <c r="Q288" s="47">
        <f t="shared" si="86"/>
        <v>0</v>
      </c>
      <c r="R288" s="47">
        <f t="shared" si="87"/>
        <v>0</v>
      </c>
    </row>
    <row r="289" spans="13:18" x14ac:dyDescent="0.15">
      <c r="M289" s="46">
        <v>2020</v>
      </c>
      <c r="N289" s="26" t="s">
        <v>63</v>
      </c>
      <c r="O289" s="26" t="str">
        <f>I$85</f>
        <v>road vehicles 29</v>
      </c>
      <c r="P289" s="26" t="str">
        <f t="shared" si="88"/>
        <v>Improvement in Eqpt Efficiency Standards</v>
      </c>
      <c r="Q289" s="47">
        <f t="shared" si="86"/>
        <v>0.13911817295450093</v>
      </c>
      <c r="R289" s="47">
        <f t="shared" si="87"/>
        <v>0.97933754983659715</v>
      </c>
    </row>
    <row r="290" spans="13:18" x14ac:dyDescent="0.15">
      <c r="M290" s="46">
        <v>2020</v>
      </c>
      <c r="N290" s="26" t="s">
        <v>63</v>
      </c>
      <c r="O290" s="26" t="str">
        <f>I$86</f>
        <v>nonroad vehicles 30</v>
      </c>
      <c r="P290" s="26" t="str">
        <f t="shared" si="88"/>
        <v>Early Facility Retirement</v>
      </c>
      <c r="Q290" s="47">
        <f t="shared" si="86"/>
        <v>0</v>
      </c>
      <c r="R290" s="47">
        <f t="shared" si="87"/>
        <v>0</v>
      </c>
    </row>
    <row r="291" spans="13:18" x14ac:dyDescent="0.15">
      <c r="M291" s="46">
        <v>2020</v>
      </c>
      <c r="N291" s="26" t="s">
        <v>63</v>
      </c>
      <c r="O291" s="26" t="str">
        <f>I$86</f>
        <v>nonroad vehicles 30</v>
      </c>
      <c r="P291" s="26" t="str">
        <f t="shared" si="88"/>
        <v>Installation and System Integration</v>
      </c>
      <c r="Q291" s="47">
        <f t="shared" si="86"/>
        <v>0</v>
      </c>
      <c r="R291" s="47">
        <f t="shared" si="87"/>
        <v>0</v>
      </c>
    </row>
    <row r="292" spans="13:18" x14ac:dyDescent="0.15">
      <c r="M292" s="46">
        <v>2020</v>
      </c>
      <c r="N292" s="26" t="s">
        <v>63</v>
      </c>
      <c r="O292" s="26" t="str">
        <f>I$86</f>
        <v>nonroad vehicles 30</v>
      </c>
      <c r="P292" s="26" t="str">
        <f t="shared" si="88"/>
        <v>Cogeneration and Waste Heat Recovery</v>
      </c>
      <c r="Q292" s="47">
        <f t="shared" si="86"/>
        <v>0</v>
      </c>
      <c r="R292" s="47">
        <f t="shared" si="87"/>
        <v>0</v>
      </c>
    </row>
    <row r="293" spans="13:18" x14ac:dyDescent="0.15">
      <c r="M293" s="46">
        <v>2020</v>
      </c>
      <c r="N293" s="26" t="s">
        <v>63</v>
      </c>
      <c r="O293" s="26" t="str">
        <f>I$86</f>
        <v>nonroad vehicles 30</v>
      </c>
      <c r="P293" s="26" t="str">
        <f t="shared" si="88"/>
        <v>Improvement in Eqpt Efficiency Standards</v>
      </c>
      <c r="Q293" s="47">
        <f t="shared" si="86"/>
        <v>8.4947558950358978E-2</v>
      </c>
      <c r="R293" s="47">
        <f t="shared" si="87"/>
        <v>0.59799760505949717</v>
      </c>
    </row>
    <row r="294" spans="13:18" x14ac:dyDescent="0.15">
      <c r="M294" s="46">
        <v>2020</v>
      </c>
      <c r="N294" s="26" t="s">
        <v>63</v>
      </c>
      <c r="O294" s="26" t="str">
        <f>I$87</f>
        <v>other manufacturing 31T33</v>
      </c>
      <c r="P294" s="26" t="str">
        <f t="shared" si="88"/>
        <v>Early Facility Retirement</v>
      </c>
      <c r="Q294" s="47">
        <f t="shared" si="86"/>
        <v>0</v>
      </c>
      <c r="R294" s="47">
        <f t="shared" si="87"/>
        <v>0</v>
      </c>
    </row>
    <row r="295" spans="13:18" x14ac:dyDescent="0.15">
      <c r="M295" s="46">
        <v>2020</v>
      </c>
      <c r="N295" s="26" t="s">
        <v>63</v>
      </c>
      <c r="O295" s="26" t="str">
        <f>I$87</f>
        <v>other manufacturing 31T33</v>
      </c>
      <c r="P295" s="26" t="str">
        <f t="shared" si="88"/>
        <v>Installation and System Integration</v>
      </c>
      <c r="Q295" s="47">
        <f t="shared" si="86"/>
        <v>0</v>
      </c>
      <c r="R295" s="47">
        <f t="shared" si="87"/>
        <v>0</v>
      </c>
    </row>
    <row r="296" spans="13:18" x14ac:dyDescent="0.15">
      <c r="M296" s="46">
        <v>2020</v>
      </c>
      <c r="N296" s="26" t="s">
        <v>63</v>
      </c>
      <c r="O296" s="26" t="str">
        <f>I$87</f>
        <v>other manufacturing 31T33</v>
      </c>
      <c r="P296" s="26" t="str">
        <f t="shared" si="88"/>
        <v>Cogeneration and Waste Heat Recovery</v>
      </c>
      <c r="Q296" s="47">
        <f t="shared" si="86"/>
        <v>0</v>
      </c>
      <c r="R296" s="47">
        <f t="shared" si="87"/>
        <v>0</v>
      </c>
    </row>
    <row r="297" spans="13:18" x14ac:dyDescent="0.15">
      <c r="M297" s="46">
        <v>2020</v>
      </c>
      <c r="N297" s="26" t="s">
        <v>63</v>
      </c>
      <c r="O297" s="26" t="str">
        <f>I$87</f>
        <v>other manufacturing 31T33</v>
      </c>
      <c r="P297" s="26" t="str">
        <f t="shared" si="88"/>
        <v>Improvement in Eqpt Efficiency Standards</v>
      </c>
      <c r="Q297" s="47">
        <f t="shared" si="86"/>
        <v>0.2229937172018655</v>
      </c>
      <c r="R297" s="47">
        <f t="shared" si="87"/>
        <v>1.569788590487412</v>
      </c>
    </row>
    <row r="298" spans="13:18" x14ac:dyDescent="0.15">
      <c r="M298" s="46">
        <v>2020</v>
      </c>
      <c r="N298" s="26" t="s">
        <v>63</v>
      </c>
      <c r="O298" s="26" t="str">
        <f>I$88</f>
        <v>energy pipelines and gas processing 352T353</v>
      </c>
      <c r="P298" s="26" t="str">
        <f t="shared" si="88"/>
        <v>Early Facility Retirement</v>
      </c>
      <c r="Q298" s="47">
        <f t="shared" si="86"/>
        <v>0</v>
      </c>
      <c r="R298" s="47">
        <f t="shared" si="87"/>
        <v>0</v>
      </c>
    </row>
    <row r="299" spans="13:18" x14ac:dyDescent="0.15">
      <c r="M299" s="46">
        <v>2020</v>
      </c>
      <c r="N299" s="26" t="s">
        <v>63</v>
      </c>
      <c r="O299" s="26" t="str">
        <f>I$88</f>
        <v>energy pipelines and gas processing 352T353</v>
      </c>
      <c r="P299" s="26" t="str">
        <f t="shared" si="88"/>
        <v>Installation and System Integration</v>
      </c>
      <c r="Q299" s="47">
        <f t="shared" si="86"/>
        <v>0</v>
      </c>
      <c r="R299" s="47">
        <f t="shared" si="87"/>
        <v>0</v>
      </c>
    </row>
    <row r="300" spans="13:18" x14ac:dyDescent="0.15">
      <c r="M300" s="46">
        <v>2020</v>
      </c>
      <c r="N300" s="26" t="s">
        <v>63</v>
      </c>
      <c r="O300" s="26" t="str">
        <f>I$88</f>
        <v>energy pipelines and gas processing 352T353</v>
      </c>
      <c r="P300" s="26" t="str">
        <f t="shared" si="88"/>
        <v>Cogeneration and Waste Heat Recovery</v>
      </c>
      <c r="Q300" s="47">
        <f t="shared" si="86"/>
        <v>0</v>
      </c>
      <c r="R300" s="47">
        <f t="shared" si="87"/>
        <v>0</v>
      </c>
    </row>
    <row r="301" spans="13:18" x14ac:dyDescent="0.15">
      <c r="M301" s="46">
        <v>2020</v>
      </c>
      <c r="N301" s="26" t="s">
        <v>63</v>
      </c>
      <c r="O301" s="26" t="str">
        <f>I$88</f>
        <v>energy pipelines and gas processing 352T353</v>
      </c>
      <c r="P301" s="26" t="str">
        <f t="shared" si="88"/>
        <v>Improvement in Eqpt Efficiency Standards</v>
      </c>
      <c r="Q301" s="47">
        <f t="shared" si="86"/>
        <v>0.41412309484096149</v>
      </c>
      <c r="R301" s="47">
        <f t="shared" si="87"/>
        <v>2.9152646877050192</v>
      </c>
    </row>
    <row r="302" spans="13:18" x14ac:dyDescent="0.15">
      <c r="M302" s="46">
        <v>2020</v>
      </c>
      <c r="N302" s="26" t="s">
        <v>63</v>
      </c>
      <c r="O302" s="26" t="str">
        <f>I$89</f>
        <v>water and waste 36T39</v>
      </c>
      <c r="P302" s="26" t="str">
        <f t="shared" si="88"/>
        <v>Early Facility Retirement</v>
      </c>
      <c r="Q302" s="47">
        <f t="shared" si="86"/>
        <v>0</v>
      </c>
      <c r="R302" s="47">
        <f t="shared" si="87"/>
        <v>0</v>
      </c>
    </row>
    <row r="303" spans="13:18" x14ac:dyDescent="0.15">
      <c r="M303" s="46">
        <v>2020</v>
      </c>
      <c r="N303" s="26" t="s">
        <v>63</v>
      </c>
      <c r="O303" s="26" t="str">
        <f>I$89</f>
        <v>water and waste 36T39</v>
      </c>
      <c r="P303" s="26" t="str">
        <f t="shared" si="88"/>
        <v>Installation and System Integration</v>
      </c>
      <c r="Q303" s="47">
        <f t="shared" si="86"/>
        <v>0</v>
      </c>
      <c r="R303" s="47">
        <f t="shared" si="87"/>
        <v>0</v>
      </c>
    </row>
    <row r="304" spans="13:18" x14ac:dyDescent="0.15">
      <c r="M304" s="46">
        <v>2020</v>
      </c>
      <c r="N304" s="26" t="s">
        <v>63</v>
      </c>
      <c r="O304" s="26" t="str">
        <f>I$89</f>
        <v>water and waste 36T39</v>
      </c>
      <c r="P304" s="26" t="str">
        <f t="shared" si="88"/>
        <v>Cogeneration and Waste Heat Recovery</v>
      </c>
      <c r="Q304" s="47">
        <f t="shared" si="86"/>
        <v>0</v>
      </c>
      <c r="R304" s="47">
        <f t="shared" si="87"/>
        <v>0</v>
      </c>
    </row>
    <row r="305" spans="13:18" x14ac:dyDescent="0.15">
      <c r="M305" s="46">
        <v>2020</v>
      </c>
      <c r="N305" s="26" t="s">
        <v>63</v>
      </c>
      <c r="O305" s="26" t="str">
        <f>I$89</f>
        <v>water and waste 36T39</v>
      </c>
      <c r="P305" s="26" t="str">
        <f t="shared" si="88"/>
        <v>Improvement in Eqpt Efficiency Standards</v>
      </c>
      <c r="Q305" s="47">
        <f t="shared" si="86"/>
        <v>0.16698331250615364</v>
      </c>
      <c r="R305" s="47">
        <f t="shared" si="87"/>
        <v>1.1754972385013951</v>
      </c>
    </row>
    <row r="306" spans="13:18" x14ac:dyDescent="0.15">
      <c r="M306" s="46">
        <v>2020</v>
      </c>
      <c r="N306" s="26" t="s">
        <v>63</v>
      </c>
      <c r="O306" s="26" t="str">
        <f>I$90</f>
        <v>construction 41T43</v>
      </c>
      <c r="P306" s="26" t="str">
        <f t="shared" si="88"/>
        <v>Early Facility Retirement</v>
      </c>
      <c r="Q306" s="47">
        <f t="shared" si="86"/>
        <v>0</v>
      </c>
      <c r="R306" s="47">
        <f t="shared" si="87"/>
        <v>0</v>
      </c>
    </row>
    <row r="307" spans="13:18" x14ac:dyDescent="0.15">
      <c r="M307" s="46">
        <v>2020</v>
      </c>
      <c r="N307" s="26" t="s">
        <v>63</v>
      </c>
      <c r="O307" s="26" t="str">
        <f>I$90</f>
        <v>construction 41T43</v>
      </c>
      <c r="P307" s="26" t="str">
        <f t="shared" si="88"/>
        <v>Installation and System Integration</v>
      </c>
      <c r="Q307" s="47">
        <f t="shared" si="86"/>
        <v>0</v>
      </c>
      <c r="R307" s="47">
        <f t="shared" si="87"/>
        <v>0</v>
      </c>
    </row>
    <row r="308" spans="13:18" x14ac:dyDescent="0.15">
      <c r="M308" s="46">
        <v>2020</v>
      </c>
      <c r="N308" s="26" t="s">
        <v>63</v>
      </c>
      <c r="O308" s="26" t="str">
        <f>I$90</f>
        <v>construction 41T43</v>
      </c>
      <c r="P308" s="26" t="str">
        <f t="shared" si="88"/>
        <v>Cogeneration and Waste Heat Recovery</v>
      </c>
      <c r="Q308" s="47">
        <f t="shared" si="86"/>
        <v>0</v>
      </c>
      <c r="R308" s="47">
        <f t="shared" si="87"/>
        <v>0</v>
      </c>
    </row>
    <row r="309" spans="13:18" x14ac:dyDescent="0.15">
      <c r="M309" s="46">
        <v>2020</v>
      </c>
      <c r="N309" s="26" t="s">
        <v>63</v>
      </c>
      <c r="O309" s="26" t="str">
        <f>I$90</f>
        <v>construction 41T43</v>
      </c>
      <c r="P309" s="26" t="str">
        <f t="shared" si="88"/>
        <v>Improvement in Eqpt Efficiency Standards</v>
      </c>
      <c r="Q309" s="47">
        <f t="shared" si="86"/>
        <v>0.86001503463891893</v>
      </c>
      <c r="R309" s="47">
        <f t="shared" si="87"/>
        <v>6.0541696239884795</v>
      </c>
    </row>
    <row r="310" spans="13:18" x14ac:dyDescent="0.15">
      <c r="M310" s="46">
        <v>2020</v>
      </c>
      <c r="N310" s="26" t="s">
        <v>17</v>
      </c>
      <c r="O310" s="26" t="str">
        <f>O210</f>
        <v>agriculture and forestry 01T03</v>
      </c>
      <c r="P310" s="26" t="str">
        <f t="shared" si="88"/>
        <v>Early Facility Retirement</v>
      </c>
      <c r="Q310" s="47">
        <f t="shared" si="86"/>
        <v>0</v>
      </c>
      <c r="R310" s="47">
        <f t="shared" si="87"/>
        <v>0</v>
      </c>
    </row>
    <row r="311" spans="13:18" x14ac:dyDescent="0.15">
      <c r="M311" s="46">
        <v>2020</v>
      </c>
      <c r="N311" s="26" t="s">
        <v>17</v>
      </c>
      <c r="O311" s="26" t="str">
        <f t="shared" ref="O311:O375" si="89">O211</f>
        <v>agriculture and forestry 01T03</v>
      </c>
      <c r="P311" s="26" t="str">
        <f t="shared" si="88"/>
        <v>Installation and System Integration</v>
      </c>
      <c r="Q311" s="47">
        <f t="shared" si="86"/>
        <v>1.3962540579612177</v>
      </c>
      <c r="R311" s="47">
        <f t="shared" si="87"/>
        <v>14.207063624001291</v>
      </c>
    </row>
    <row r="312" spans="13:18" x14ac:dyDescent="0.15">
      <c r="M312" s="46">
        <v>2020</v>
      </c>
      <c r="N312" s="26" t="s">
        <v>17</v>
      </c>
      <c r="O312" s="26" t="str">
        <f t="shared" si="89"/>
        <v>agriculture and forestry 01T03</v>
      </c>
      <c r="P312" s="26" t="str">
        <f t="shared" si="88"/>
        <v>Cogeneration and Waste Heat Recovery</v>
      </c>
      <c r="Q312" s="47">
        <f t="shared" si="86"/>
        <v>0</v>
      </c>
      <c r="R312" s="47">
        <f t="shared" si="87"/>
        <v>0</v>
      </c>
    </row>
    <row r="313" spans="13:18" x14ac:dyDescent="0.15">
      <c r="M313" s="46">
        <v>2020</v>
      </c>
      <c r="N313" s="26" t="s">
        <v>17</v>
      </c>
      <c r="O313" s="26" t="str">
        <f t="shared" si="89"/>
        <v>agriculture and forestry 01T03</v>
      </c>
      <c r="P313" s="26" t="str">
        <f t="shared" si="88"/>
        <v>Improvement in Eqpt Efficiency Standards</v>
      </c>
      <c r="Q313" s="47">
        <f t="shared" si="86"/>
        <v>0</v>
      </c>
      <c r="R313" s="47">
        <f t="shared" si="87"/>
        <v>0</v>
      </c>
    </row>
    <row r="314" spans="13:18" x14ac:dyDescent="0.15">
      <c r="M314" s="46">
        <v>2020</v>
      </c>
      <c r="N314" s="26" t="s">
        <v>17</v>
      </c>
      <c r="O314" s="26" t="str">
        <f t="shared" si="89"/>
        <v>coal mining 05</v>
      </c>
      <c r="P314" s="26" t="str">
        <f t="shared" si="88"/>
        <v>Early Facility Retirement</v>
      </c>
      <c r="Q314" s="47">
        <f t="shared" si="86"/>
        <v>0</v>
      </c>
      <c r="R314" s="47">
        <f t="shared" si="87"/>
        <v>0</v>
      </c>
    </row>
    <row r="315" spans="13:18" x14ac:dyDescent="0.15">
      <c r="M315" s="46">
        <v>2020</v>
      </c>
      <c r="N315" s="26" t="s">
        <v>17</v>
      </c>
      <c r="O315" s="26" t="str">
        <f t="shared" si="89"/>
        <v>coal mining 05</v>
      </c>
      <c r="P315" s="26" t="str">
        <f t="shared" si="88"/>
        <v>Installation and System Integration</v>
      </c>
      <c r="Q315" s="47">
        <f t="shared" si="86"/>
        <v>1.6791074493987745</v>
      </c>
      <c r="R315" s="47">
        <f t="shared" si="87"/>
        <v>17.085133059506223</v>
      </c>
    </row>
    <row r="316" spans="13:18" x14ac:dyDescent="0.15">
      <c r="M316" s="46">
        <v>2020</v>
      </c>
      <c r="N316" s="26" t="s">
        <v>17</v>
      </c>
      <c r="O316" s="26" t="str">
        <f t="shared" si="89"/>
        <v>coal mining 05</v>
      </c>
      <c r="P316" s="26" t="str">
        <f t="shared" si="88"/>
        <v>Cogeneration and Waste Heat Recovery</v>
      </c>
      <c r="Q316" s="47">
        <f t="shared" si="86"/>
        <v>0</v>
      </c>
      <c r="R316" s="47">
        <f t="shared" si="87"/>
        <v>0</v>
      </c>
    </row>
    <row r="317" spans="13:18" x14ac:dyDescent="0.15">
      <c r="M317" s="46">
        <v>2020</v>
      </c>
      <c r="N317" s="26" t="s">
        <v>17</v>
      </c>
      <c r="O317" s="26" t="str">
        <f t="shared" si="89"/>
        <v>coal mining 05</v>
      </c>
      <c r="P317" s="26" t="str">
        <f t="shared" si="88"/>
        <v>Improvement in Eqpt Efficiency Standards</v>
      </c>
      <c r="Q317" s="47">
        <f t="shared" si="86"/>
        <v>0</v>
      </c>
      <c r="R317" s="47">
        <f t="shared" si="87"/>
        <v>0</v>
      </c>
    </row>
    <row r="318" spans="13:18" x14ac:dyDescent="0.15">
      <c r="M318" s="46">
        <v>2020</v>
      </c>
      <c r="N318" s="26" t="s">
        <v>17</v>
      </c>
      <c r="O318" s="26" t="str">
        <f t="shared" si="89"/>
        <v>oil and gas extraction 06</v>
      </c>
      <c r="P318" s="26" t="str">
        <f t="shared" si="88"/>
        <v>Early Facility Retirement</v>
      </c>
      <c r="Q318" s="47">
        <f t="shared" si="86"/>
        <v>0</v>
      </c>
      <c r="R318" s="47">
        <f t="shared" si="87"/>
        <v>0</v>
      </c>
    </row>
    <row r="319" spans="13:18" x14ac:dyDescent="0.15">
      <c r="M319" s="46">
        <v>2020</v>
      </c>
      <c r="N319" s="26" t="s">
        <v>17</v>
      </c>
      <c r="O319" s="26" t="str">
        <f t="shared" si="89"/>
        <v>oil and gas extraction 06</v>
      </c>
      <c r="P319" s="26" t="str">
        <f t="shared" si="88"/>
        <v>Installation and System Integration</v>
      </c>
      <c r="Q319" s="47">
        <f t="shared" si="86"/>
        <v>0.6177057433323897</v>
      </c>
      <c r="R319" s="47">
        <f t="shared" si="87"/>
        <v>6.285234944454519</v>
      </c>
    </row>
    <row r="320" spans="13:18" x14ac:dyDescent="0.15">
      <c r="M320" s="46">
        <v>2020</v>
      </c>
      <c r="N320" s="26" t="s">
        <v>17</v>
      </c>
      <c r="O320" s="26" t="str">
        <f t="shared" si="89"/>
        <v>oil and gas extraction 06</v>
      </c>
      <c r="P320" s="26" t="str">
        <f t="shared" si="88"/>
        <v>Cogeneration and Waste Heat Recovery</v>
      </c>
      <c r="Q320" s="47">
        <f t="shared" si="86"/>
        <v>0</v>
      </c>
      <c r="R320" s="47">
        <f t="shared" si="87"/>
        <v>0</v>
      </c>
    </row>
    <row r="321" spans="13:18" x14ac:dyDescent="0.15">
      <c r="M321" s="46">
        <v>2020</v>
      </c>
      <c r="N321" s="26" t="s">
        <v>17</v>
      </c>
      <c r="O321" s="26" t="str">
        <f t="shared" si="89"/>
        <v>oil and gas extraction 06</v>
      </c>
      <c r="P321" s="26" t="str">
        <f t="shared" si="88"/>
        <v>Improvement in Eqpt Efficiency Standards</v>
      </c>
      <c r="Q321" s="47">
        <f t="shared" si="86"/>
        <v>0</v>
      </c>
      <c r="R321" s="47">
        <f t="shared" si="87"/>
        <v>0</v>
      </c>
    </row>
    <row r="322" spans="13:18" x14ac:dyDescent="0.15">
      <c r="M322" s="46">
        <v>2020</v>
      </c>
      <c r="N322" s="26" t="s">
        <v>17</v>
      </c>
      <c r="O322" s="26" t="str">
        <f t="shared" si="89"/>
        <v>other mining and quarrying 07T08</v>
      </c>
      <c r="P322" s="26" t="str">
        <f t="shared" si="88"/>
        <v>Early Facility Retirement</v>
      </c>
      <c r="Q322" s="47">
        <f t="shared" ref="Q322:Q385" si="90">SUMIFS(D:D,B:B,N322,C:C,P322,A:A,M322)*SUMIFS(K:K,G:G,N322,I:I,O322)</f>
        <v>0</v>
      </c>
      <c r="R322" s="47">
        <f t="shared" ref="R322:R385" si="91">SUMIFS(E:E,B:B,N322,C:C,P322,A:A,M322)*SUMIFS(K:K,G:G,N322,I:I,O322)</f>
        <v>0</v>
      </c>
    </row>
    <row r="323" spans="13:18" x14ac:dyDescent="0.15">
      <c r="M323" s="46">
        <v>2020</v>
      </c>
      <c r="N323" s="26" t="s">
        <v>17</v>
      </c>
      <c r="O323" s="26" t="str">
        <f t="shared" si="89"/>
        <v>other mining and quarrying 07T08</v>
      </c>
      <c r="P323" s="26" t="str">
        <f t="shared" si="88"/>
        <v>Installation and System Integration</v>
      </c>
      <c r="Q323" s="47">
        <f t="shared" si="90"/>
        <v>0.47463803963503542</v>
      </c>
      <c r="R323" s="47">
        <f t="shared" si="91"/>
        <v>4.8295027606311844</v>
      </c>
    </row>
    <row r="324" spans="13:18" x14ac:dyDescent="0.15">
      <c r="M324" s="46">
        <v>2020</v>
      </c>
      <c r="N324" s="26" t="s">
        <v>17</v>
      </c>
      <c r="O324" s="26" t="str">
        <f t="shared" si="89"/>
        <v>other mining and quarrying 07T08</v>
      </c>
      <c r="P324" s="26" t="str">
        <f t="shared" si="88"/>
        <v>Cogeneration and Waste Heat Recovery</v>
      </c>
      <c r="Q324" s="47">
        <f t="shared" si="90"/>
        <v>0</v>
      </c>
      <c r="R324" s="47">
        <f t="shared" si="91"/>
        <v>0</v>
      </c>
    </row>
    <row r="325" spans="13:18" x14ac:dyDescent="0.15">
      <c r="M325" s="46">
        <v>2020</v>
      </c>
      <c r="N325" s="26" t="s">
        <v>17</v>
      </c>
      <c r="O325" s="26" t="str">
        <f t="shared" si="89"/>
        <v>other mining and quarrying 07T08</v>
      </c>
      <c r="P325" s="26" t="str">
        <f t="shared" si="88"/>
        <v>Improvement in Eqpt Efficiency Standards</v>
      </c>
      <c r="Q325" s="47">
        <f t="shared" si="90"/>
        <v>0</v>
      </c>
      <c r="R325" s="47">
        <f t="shared" si="91"/>
        <v>0</v>
      </c>
    </row>
    <row r="326" spans="13:18" x14ac:dyDescent="0.15">
      <c r="M326" s="46">
        <v>2020</v>
      </c>
      <c r="N326" s="26" t="s">
        <v>17</v>
      </c>
      <c r="O326" s="26" t="str">
        <f t="shared" si="89"/>
        <v>food beverage and tobacco 10T12</v>
      </c>
      <c r="P326" s="26" t="str">
        <f t="shared" si="88"/>
        <v>Early Facility Retirement</v>
      </c>
      <c r="Q326" s="47">
        <f t="shared" si="90"/>
        <v>0</v>
      </c>
      <c r="R326" s="47">
        <f t="shared" si="91"/>
        <v>0</v>
      </c>
    </row>
    <row r="327" spans="13:18" x14ac:dyDescent="0.15">
      <c r="M327" s="46">
        <v>2020</v>
      </c>
      <c r="N327" s="26" t="s">
        <v>17</v>
      </c>
      <c r="O327" s="26" t="str">
        <f t="shared" si="89"/>
        <v>food beverage and tobacco 10T12</v>
      </c>
      <c r="P327" s="26" t="str">
        <f t="shared" ref="P327:P390" si="92">P323</f>
        <v>Installation and System Integration</v>
      </c>
      <c r="Q327" s="47">
        <f t="shared" si="90"/>
        <v>1.0718832624004484</v>
      </c>
      <c r="R327" s="47">
        <f t="shared" si="91"/>
        <v>10.906549291367016</v>
      </c>
    </row>
    <row r="328" spans="13:18" x14ac:dyDescent="0.15">
      <c r="M328" s="46">
        <v>2020</v>
      </c>
      <c r="N328" s="26" t="s">
        <v>17</v>
      </c>
      <c r="O328" s="26" t="str">
        <f t="shared" si="89"/>
        <v>food beverage and tobacco 10T12</v>
      </c>
      <c r="P328" s="26" t="str">
        <f t="shared" si="92"/>
        <v>Cogeneration and Waste Heat Recovery</v>
      </c>
      <c r="Q328" s="47">
        <f t="shared" si="90"/>
        <v>0</v>
      </c>
      <c r="R328" s="47">
        <f t="shared" si="91"/>
        <v>0</v>
      </c>
    </row>
    <row r="329" spans="13:18" x14ac:dyDescent="0.15">
      <c r="M329" s="46">
        <v>2020</v>
      </c>
      <c r="N329" s="26" t="s">
        <v>17</v>
      </c>
      <c r="O329" s="26" t="str">
        <f t="shared" si="89"/>
        <v>food beverage and tobacco 10T12</v>
      </c>
      <c r="P329" s="26" t="str">
        <f t="shared" si="92"/>
        <v>Improvement in Eqpt Efficiency Standards</v>
      </c>
      <c r="Q329" s="47">
        <f t="shared" si="90"/>
        <v>0</v>
      </c>
      <c r="R329" s="47">
        <f t="shared" si="91"/>
        <v>0</v>
      </c>
    </row>
    <row r="330" spans="13:18" x14ac:dyDescent="0.15">
      <c r="M330" s="46">
        <v>2020</v>
      </c>
      <c r="N330" s="26" t="s">
        <v>17</v>
      </c>
      <c r="O330" s="26" t="str">
        <f t="shared" si="89"/>
        <v>textiles apparel and leather 13T15</v>
      </c>
      <c r="P330" s="26" t="str">
        <f t="shared" si="92"/>
        <v>Early Facility Retirement</v>
      </c>
      <c r="Q330" s="47">
        <f t="shared" si="90"/>
        <v>0</v>
      </c>
      <c r="R330" s="47">
        <f t="shared" si="91"/>
        <v>0</v>
      </c>
    </row>
    <row r="331" spans="13:18" x14ac:dyDescent="0.15">
      <c r="M331" s="46">
        <v>2020</v>
      </c>
      <c r="N331" s="26" t="s">
        <v>17</v>
      </c>
      <c r="O331" s="26" t="str">
        <f t="shared" si="89"/>
        <v>textiles apparel and leather 13T15</v>
      </c>
      <c r="P331" s="26" t="str">
        <f t="shared" si="92"/>
        <v>Installation and System Integration</v>
      </c>
      <c r="Q331" s="47">
        <f t="shared" si="90"/>
        <v>1.076504997453448</v>
      </c>
      <c r="R331" s="47">
        <f t="shared" si="91"/>
        <v>10.953576036662295</v>
      </c>
    </row>
    <row r="332" spans="13:18" x14ac:dyDescent="0.15">
      <c r="M332" s="46">
        <v>2020</v>
      </c>
      <c r="N332" s="26" t="s">
        <v>17</v>
      </c>
      <c r="O332" s="26" t="str">
        <f t="shared" si="89"/>
        <v>textiles apparel and leather 13T15</v>
      </c>
      <c r="P332" s="26" t="str">
        <f t="shared" si="92"/>
        <v>Cogeneration and Waste Heat Recovery</v>
      </c>
      <c r="Q332" s="47">
        <f t="shared" si="90"/>
        <v>0</v>
      </c>
      <c r="R332" s="47">
        <f t="shared" si="91"/>
        <v>0</v>
      </c>
    </row>
    <row r="333" spans="13:18" x14ac:dyDescent="0.15">
      <c r="M333" s="46">
        <v>2020</v>
      </c>
      <c r="N333" s="26" t="s">
        <v>17</v>
      </c>
      <c r="O333" s="26" t="str">
        <f t="shared" si="89"/>
        <v>textiles apparel and leather 13T15</v>
      </c>
      <c r="P333" s="26" t="str">
        <f t="shared" si="92"/>
        <v>Improvement in Eqpt Efficiency Standards</v>
      </c>
      <c r="Q333" s="47">
        <f t="shared" si="90"/>
        <v>0</v>
      </c>
      <c r="R333" s="47">
        <f t="shared" si="91"/>
        <v>0</v>
      </c>
    </row>
    <row r="334" spans="13:18" x14ac:dyDescent="0.15">
      <c r="M334" s="46">
        <v>2020</v>
      </c>
      <c r="N334" s="26" t="s">
        <v>17</v>
      </c>
      <c r="O334" s="26" t="str">
        <f t="shared" si="89"/>
        <v>wood products 16</v>
      </c>
      <c r="P334" s="26" t="str">
        <f t="shared" si="92"/>
        <v>Early Facility Retirement</v>
      </c>
      <c r="Q334" s="47">
        <f t="shared" si="90"/>
        <v>0</v>
      </c>
      <c r="R334" s="47">
        <f t="shared" si="91"/>
        <v>0</v>
      </c>
    </row>
    <row r="335" spans="13:18" x14ac:dyDescent="0.15">
      <c r="M335" s="46">
        <v>2020</v>
      </c>
      <c r="N335" s="26" t="s">
        <v>17</v>
      </c>
      <c r="O335" s="26" t="str">
        <f t="shared" si="89"/>
        <v>wood products 16</v>
      </c>
      <c r="P335" s="26" t="str">
        <f t="shared" si="92"/>
        <v>Installation and System Integration</v>
      </c>
      <c r="Q335" s="47">
        <f t="shared" si="90"/>
        <v>0.19106589258147125</v>
      </c>
      <c r="R335" s="47">
        <f t="shared" si="91"/>
        <v>1.9441198948028093</v>
      </c>
    </row>
    <row r="336" spans="13:18" x14ac:dyDescent="0.15">
      <c r="M336" s="46">
        <v>2020</v>
      </c>
      <c r="N336" s="26" t="s">
        <v>17</v>
      </c>
      <c r="O336" s="26" t="str">
        <f t="shared" si="89"/>
        <v>wood products 16</v>
      </c>
      <c r="P336" s="26" t="str">
        <f t="shared" si="92"/>
        <v>Cogeneration and Waste Heat Recovery</v>
      </c>
      <c r="Q336" s="47">
        <f t="shared" si="90"/>
        <v>0</v>
      </c>
      <c r="R336" s="47">
        <f t="shared" si="91"/>
        <v>0</v>
      </c>
    </row>
    <row r="337" spans="13:18" x14ac:dyDescent="0.15">
      <c r="M337" s="46">
        <v>2020</v>
      </c>
      <c r="N337" s="26" t="s">
        <v>17</v>
      </c>
      <c r="O337" s="26" t="str">
        <f t="shared" si="89"/>
        <v>wood products 16</v>
      </c>
      <c r="P337" s="26" t="str">
        <f t="shared" si="92"/>
        <v>Improvement in Eqpt Efficiency Standards</v>
      </c>
      <c r="Q337" s="47">
        <f t="shared" si="90"/>
        <v>0</v>
      </c>
      <c r="R337" s="47">
        <f t="shared" si="91"/>
        <v>0</v>
      </c>
    </row>
    <row r="338" spans="13:18" x14ac:dyDescent="0.15">
      <c r="M338" s="46">
        <v>2020</v>
      </c>
      <c r="N338" s="26" t="s">
        <v>17</v>
      </c>
      <c r="O338" s="26" t="str">
        <f t="shared" si="89"/>
        <v>pulp paper and printing 17T18</v>
      </c>
      <c r="P338" s="26" t="str">
        <f t="shared" si="92"/>
        <v>Early Facility Retirement</v>
      </c>
      <c r="Q338" s="47">
        <f t="shared" si="90"/>
        <v>0</v>
      </c>
      <c r="R338" s="47">
        <f t="shared" si="91"/>
        <v>0</v>
      </c>
    </row>
    <row r="339" spans="13:18" x14ac:dyDescent="0.15">
      <c r="M339" s="46">
        <v>2020</v>
      </c>
      <c r="N339" s="26" t="s">
        <v>17</v>
      </c>
      <c r="O339" s="26" t="str">
        <f t="shared" si="89"/>
        <v>pulp paper and printing 17T18</v>
      </c>
      <c r="P339" s="26" t="str">
        <f t="shared" si="92"/>
        <v>Installation and System Integration</v>
      </c>
      <c r="Q339" s="47">
        <f t="shared" si="90"/>
        <v>0.71071814760513929</v>
      </c>
      <c r="R339" s="47">
        <f t="shared" si="91"/>
        <v>7.2316480544395407</v>
      </c>
    </row>
    <row r="340" spans="13:18" x14ac:dyDescent="0.15">
      <c r="M340" s="46">
        <v>2020</v>
      </c>
      <c r="N340" s="26" t="s">
        <v>17</v>
      </c>
      <c r="O340" s="26" t="str">
        <f t="shared" si="89"/>
        <v>pulp paper and printing 17T18</v>
      </c>
      <c r="P340" s="26" t="str">
        <f t="shared" si="92"/>
        <v>Cogeneration and Waste Heat Recovery</v>
      </c>
      <c r="Q340" s="47">
        <f t="shared" si="90"/>
        <v>0</v>
      </c>
      <c r="R340" s="47">
        <f t="shared" si="91"/>
        <v>0</v>
      </c>
    </row>
    <row r="341" spans="13:18" x14ac:dyDescent="0.15">
      <c r="M341" s="46">
        <v>2020</v>
      </c>
      <c r="N341" s="26" t="s">
        <v>17</v>
      </c>
      <c r="O341" s="26" t="str">
        <f t="shared" si="89"/>
        <v>pulp paper and printing 17T18</v>
      </c>
      <c r="P341" s="26" t="str">
        <f t="shared" si="92"/>
        <v>Improvement in Eqpt Efficiency Standards</v>
      </c>
      <c r="Q341" s="47">
        <f t="shared" si="90"/>
        <v>0</v>
      </c>
      <c r="R341" s="47">
        <f t="shared" si="91"/>
        <v>0</v>
      </c>
    </row>
    <row r="342" spans="13:18" x14ac:dyDescent="0.15">
      <c r="M342" s="46">
        <v>2020</v>
      </c>
      <c r="N342" s="26" t="s">
        <v>17</v>
      </c>
      <c r="O342" s="26" t="str">
        <f t="shared" si="89"/>
        <v>refined petroleum and coke 19</v>
      </c>
      <c r="P342" s="26" t="str">
        <f t="shared" si="92"/>
        <v>Early Facility Retirement</v>
      </c>
      <c r="Q342" s="47">
        <f t="shared" si="90"/>
        <v>0</v>
      </c>
      <c r="R342" s="47">
        <f t="shared" si="91"/>
        <v>0</v>
      </c>
    </row>
    <row r="343" spans="13:18" x14ac:dyDescent="0.15">
      <c r="M343" s="46">
        <v>2020</v>
      </c>
      <c r="N343" s="26" t="s">
        <v>17</v>
      </c>
      <c r="O343" s="26" t="str">
        <f t="shared" si="89"/>
        <v>refined petroleum and coke 19</v>
      </c>
      <c r="P343" s="26" t="str">
        <f t="shared" si="92"/>
        <v>Installation and System Integration</v>
      </c>
      <c r="Q343" s="47">
        <f t="shared" si="90"/>
        <v>35.359707139677383</v>
      </c>
      <c r="R343" s="47">
        <f t="shared" si="91"/>
        <v>359.78954273764606</v>
      </c>
    </row>
    <row r="344" spans="13:18" x14ac:dyDescent="0.15">
      <c r="M344" s="46">
        <v>2020</v>
      </c>
      <c r="N344" s="26" t="s">
        <v>17</v>
      </c>
      <c r="O344" s="26" t="str">
        <f t="shared" si="89"/>
        <v>refined petroleum and coke 19</v>
      </c>
      <c r="P344" s="26" t="str">
        <f t="shared" si="92"/>
        <v>Cogeneration and Waste Heat Recovery</v>
      </c>
      <c r="Q344" s="47">
        <f t="shared" si="90"/>
        <v>0</v>
      </c>
      <c r="R344" s="47">
        <f t="shared" si="91"/>
        <v>0</v>
      </c>
    </row>
    <row r="345" spans="13:18" x14ac:dyDescent="0.15">
      <c r="M345" s="46">
        <v>2020</v>
      </c>
      <c r="N345" s="26" t="s">
        <v>17</v>
      </c>
      <c r="O345" s="26" t="str">
        <f t="shared" si="89"/>
        <v>refined petroleum and coke 19</v>
      </c>
      <c r="P345" s="26" t="str">
        <f t="shared" si="92"/>
        <v>Improvement in Eqpt Efficiency Standards</v>
      </c>
      <c r="Q345" s="47">
        <f t="shared" si="90"/>
        <v>0</v>
      </c>
      <c r="R345" s="47">
        <f t="shared" si="91"/>
        <v>0</v>
      </c>
    </row>
    <row r="346" spans="13:18" x14ac:dyDescent="0.15">
      <c r="M346" s="46">
        <v>2020</v>
      </c>
      <c r="N346" s="26" t="s">
        <v>17</v>
      </c>
      <c r="O346" s="26" t="str">
        <f t="shared" si="89"/>
        <v>chemicals 20</v>
      </c>
      <c r="P346" s="26" t="str">
        <f t="shared" si="92"/>
        <v>Early Facility Retirement</v>
      </c>
      <c r="Q346" s="47">
        <f t="shared" si="90"/>
        <v>0</v>
      </c>
      <c r="R346" s="47">
        <f t="shared" si="91"/>
        <v>0</v>
      </c>
    </row>
    <row r="347" spans="13:18" x14ac:dyDescent="0.15">
      <c r="M347" s="46">
        <v>2020</v>
      </c>
      <c r="N347" s="26" t="s">
        <v>17</v>
      </c>
      <c r="O347" s="26" t="str">
        <f t="shared" si="89"/>
        <v>chemicals 20</v>
      </c>
      <c r="P347" s="26" t="str">
        <f t="shared" si="92"/>
        <v>Installation and System Integration</v>
      </c>
      <c r="Q347" s="47">
        <f t="shared" si="90"/>
        <v>10.080674791535833</v>
      </c>
      <c r="R347" s="47">
        <f t="shared" si="91"/>
        <v>102.5721553463829</v>
      </c>
    </row>
    <row r="348" spans="13:18" x14ac:dyDescent="0.15">
      <c r="M348" s="46">
        <v>2020</v>
      </c>
      <c r="N348" s="26" t="s">
        <v>17</v>
      </c>
      <c r="O348" s="26" t="str">
        <f t="shared" si="89"/>
        <v>chemicals 20</v>
      </c>
      <c r="P348" s="26" t="str">
        <f t="shared" si="92"/>
        <v>Cogeneration and Waste Heat Recovery</v>
      </c>
      <c r="Q348" s="47">
        <f t="shared" si="90"/>
        <v>0</v>
      </c>
      <c r="R348" s="47">
        <f t="shared" si="91"/>
        <v>0</v>
      </c>
    </row>
    <row r="349" spans="13:18" x14ac:dyDescent="0.15">
      <c r="M349" s="46">
        <v>2020</v>
      </c>
      <c r="N349" s="26" t="s">
        <v>17</v>
      </c>
      <c r="O349" s="26" t="str">
        <f t="shared" si="89"/>
        <v>chemicals 20</v>
      </c>
      <c r="P349" s="26" t="str">
        <f t="shared" si="92"/>
        <v>Improvement in Eqpt Efficiency Standards</v>
      </c>
      <c r="Q349" s="47">
        <f t="shared" si="90"/>
        <v>0</v>
      </c>
      <c r="R349" s="47">
        <f t="shared" si="91"/>
        <v>0</v>
      </c>
    </row>
    <row r="350" spans="13:18" x14ac:dyDescent="0.15">
      <c r="M350" s="46">
        <v>2020</v>
      </c>
      <c r="N350" s="26" t="s">
        <v>17</v>
      </c>
      <c r="O350" s="26" t="str">
        <f t="shared" si="89"/>
        <v>rubber and plastic products 22</v>
      </c>
      <c r="P350" s="26" t="str">
        <f t="shared" si="92"/>
        <v>Early Facility Retirement</v>
      </c>
      <c r="Q350" s="47">
        <f t="shared" si="90"/>
        <v>0</v>
      </c>
      <c r="R350" s="47">
        <f t="shared" si="91"/>
        <v>0</v>
      </c>
    </row>
    <row r="351" spans="13:18" x14ac:dyDescent="0.15">
      <c r="M351" s="46">
        <v>2020</v>
      </c>
      <c r="N351" s="26" t="s">
        <v>17</v>
      </c>
      <c r="O351" s="26" t="str">
        <f t="shared" si="89"/>
        <v>rubber and plastic products 22</v>
      </c>
      <c r="P351" s="26" t="str">
        <f t="shared" si="92"/>
        <v>Installation and System Integration</v>
      </c>
      <c r="Q351" s="47">
        <f t="shared" si="90"/>
        <v>0.53047047281115878</v>
      </c>
      <c r="R351" s="47">
        <f t="shared" si="91"/>
        <v>5.3976049093004752</v>
      </c>
    </row>
    <row r="352" spans="13:18" x14ac:dyDescent="0.15">
      <c r="M352" s="46">
        <v>2020</v>
      </c>
      <c r="N352" s="26" t="s">
        <v>17</v>
      </c>
      <c r="O352" s="26" t="str">
        <f t="shared" si="89"/>
        <v>rubber and plastic products 22</v>
      </c>
      <c r="P352" s="26" t="str">
        <f t="shared" si="92"/>
        <v>Cogeneration and Waste Heat Recovery</v>
      </c>
      <c r="Q352" s="47">
        <f t="shared" si="90"/>
        <v>0</v>
      </c>
      <c r="R352" s="47">
        <f t="shared" si="91"/>
        <v>0</v>
      </c>
    </row>
    <row r="353" spans="13:18" x14ac:dyDescent="0.15">
      <c r="M353" s="46">
        <v>2020</v>
      </c>
      <c r="N353" s="26" t="s">
        <v>17</v>
      </c>
      <c r="O353" s="26" t="str">
        <f t="shared" si="89"/>
        <v>rubber and plastic products 22</v>
      </c>
      <c r="P353" s="26" t="str">
        <f t="shared" si="92"/>
        <v>Improvement in Eqpt Efficiency Standards</v>
      </c>
      <c r="Q353" s="47">
        <f t="shared" si="90"/>
        <v>0</v>
      </c>
      <c r="R353" s="47">
        <f t="shared" si="91"/>
        <v>0</v>
      </c>
    </row>
    <row r="354" spans="13:18" x14ac:dyDescent="0.15">
      <c r="M354" s="46">
        <v>2020</v>
      </c>
      <c r="N354" s="26" t="s">
        <v>17</v>
      </c>
      <c r="O354" s="26" t="str">
        <f>O254</f>
        <v>glass and glass products 231</v>
      </c>
      <c r="P354" s="26" t="str">
        <f t="shared" si="92"/>
        <v>Early Facility Retirement</v>
      </c>
      <c r="Q354" s="47">
        <f t="shared" si="90"/>
        <v>0</v>
      </c>
      <c r="R354" s="47">
        <f t="shared" si="91"/>
        <v>0</v>
      </c>
    </row>
    <row r="355" spans="13:18" x14ac:dyDescent="0.15">
      <c r="M355" s="46">
        <v>2020</v>
      </c>
      <c r="N355" s="26" t="s">
        <v>17</v>
      </c>
      <c r="O355" s="26" t="str">
        <f t="shared" si="89"/>
        <v>glass and glass products 231</v>
      </c>
      <c r="P355" s="26" t="str">
        <f t="shared" si="92"/>
        <v>Installation and System Integration</v>
      </c>
      <c r="Q355" s="47">
        <f t="shared" si="90"/>
        <v>0.17776809369761434</v>
      </c>
      <c r="R355" s="47">
        <f t="shared" si="91"/>
        <v>1.808813090339165</v>
      </c>
    </row>
    <row r="356" spans="13:18" x14ac:dyDescent="0.15">
      <c r="M356" s="46">
        <v>2020</v>
      </c>
      <c r="N356" s="26" t="s">
        <v>17</v>
      </c>
      <c r="O356" s="26" t="str">
        <f t="shared" si="89"/>
        <v>glass and glass products 231</v>
      </c>
      <c r="P356" s="26" t="str">
        <f t="shared" si="92"/>
        <v>Cogeneration and Waste Heat Recovery</v>
      </c>
      <c r="Q356" s="47">
        <f t="shared" si="90"/>
        <v>0</v>
      </c>
      <c r="R356" s="47">
        <f t="shared" si="91"/>
        <v>0</v>
      </c>
    </row>
    <row r="357" spans="13:18" x14ac:dyDescent="0.15">
      <c r="M357" s="46">
        <v>2020</v>
      </c>
      <c r="N357" s="26" t="s">
        <v>17</v>
      </c>
      <c r="O357" s="26" t="str">
        <f t="shared" si="89"/>
        <v>glass and glass products 231</v>
      </c>
      <c r="P357" s="26" t="str">
        <f t="shared" si="92"/>
        <v>Improvement in Eqpt Efficiency Standards</v>
      </c>
      <c r="Q357" s="47">
        <f t="shared" si="90"/>
        <v>0</v>
      </c>
      <c r="R357" s="47">
        <f t="shared" si="91"/>
        <v>0</v>
      </c>
    </row>
    <row r="358" spans="13:18" x14ac:dyDescent="0.15">
      <c r="M358" s="46">
        <v>2020</v>
      </c>
      <c r="N358" s="26" t="s">
        <v>17</v>
      </c>
      <c r="O358" s="26" t="str">
        <f t="shared" si="89"/>
        <v>cement and other nonmetallic minerals 239</v>
      </c>
      <c r="P358" s="26" t="str">
        <f t="shared" si="92"/>
        <v>Early Facility Retirement</v>
      </c>
      <c r="Q358" s="47">
        <f t="shared" si="90"/>
        <v>0</v>
      </c>
      <c r="R358" s="47">
        <f t="shared" si="91"/>
        <v>0</v>
      </c>
    </row>
    <row r="359" spans="13:18" x14ac:dyDescent="0.15">
      <c r="M359" s="46">
        <v>2020</v>
      </c>
      <c r="N359" s="26" t="s">
        <v>17</v>
      </c>
      <c r="O359" s="26" t="str">
        <f t="shared" si="89"/>
        <v>cement and other nonmetallic minerals 239</v>
      </c>
      <c r="P359" s="26" t="str">
        <f t="shared" si="92"/>
        <v>Installation and System Integration</v>
      </c>
      <c r="Q359" s="47">
        <f t="shared" si="90"/>
        <v>6.5758296502049243</v>
      </c>
      <c r="R359" s="47">
        <f t="shared" si="91"/>
        <v>66.90990775523349</v>
      </c>
    </row>
    <row r="360" spans="13:18" x14ac:dyDescent="0.15">
      <c r="M360" s="46">
        <v>2020</v>
      </c>
      <c r="N360" s="26" t="s">
        <v>17</v>
      </c>
      <c r="O360" s="26" t="str">
        <f t="shared" si="89"/>
        <v>cement and other nonmetallic minerals 239</v>
      </c>
      <c r="P360" s="26" t="str">
        <f t="shared" si="92"/>
        <v>Cogeneration and Waste Heat Recovery</v>
      </c>
      <c r="Q360" s="47">
        <f t="shared" si="90"/>
        <v>0</v>
      </c>
      <c r="R360" s="47">
        <f t="shared" si="91"/>
        <v>0</v>
      </c>
    </row>
    <row r="361" spans="13:18" x14ac:dyDescent="0.15">
      <c r="M361" s="46">
        <v>2020</v>
      </c>
      <c r="N361" s="26" t="s">
        <v>17</v>
      </c>
      <c r="O361" s="26" t="str">
        <f t="shared" si="89"/>
        <v>cement and other nonmetallic minerals 239</v>
      </c>
      <c r="P361" s="26" t="str">
        <f t="shared" si="92"/>
        <v>Improvement in Eqpt Efficiency Standards</v>
      </c>
      <c r="Q361" s="47">
        <f t="shared" si="90"/>
        <v>0</v>
      </c>
      <c r="R361" s="47">
        <f t="shared" si="91"/>
        <v>0</v>
      </c>
    </row>
    <row r="362" spans="13:18" x14ac:dyDescent="0.15">
      <c r="M362" s="46">
        <v>2020</v>
      </c>
      <c r="N362" s="26" t="s">
        <v>17</v>
      </c>
      <c r="O362" s="26" t="str">
        <f t="shared" si="89"/>
        <v>iron and steel 241</v>
      </c>
      <c r="P362" s="26" t="str">
        <f t="shared" si="92"/>
        <v>Early Facility Retirement</v>
      </c>
      <c r="Q362" s="47">
        <f t="shared" si="90"/>
        <v>0</v>
      </c>
      <c r="R362" s="47">
        <f t="shared" si="91"/>
        <v>0</v>
      </c>
    </row>
    <row r="363" spans="13:18" x14ac:dyDescent="0.15">
      <c r="M363" s="46">
        <v>2020</v>
      </c>
      <c r="N363" s="26" t="s">
        <v>17</v>
      </c>
      <c r="O363" s="26" t="str">
        <f t="shared" si="89"/>
        <v>iron and steel 241</v>
      </c>
      <c r="P363" s="26" t="str">
        <f t="shared" si="92"/>
        <v>Installation and System Integration</v>
      </c>
      <c r="Q363" s="47">
        <f t="shared" si="90"/>
        <v>16.157027909869232</v>
      </c>
      <c r="R363" s="47">
        <f t="shared" si="91"/>
        <v>164.3998255055761</v>
      </c>
    </row>
    <row r="364" spans="13:18" x14ac:dyDescent="0.15">
      <c r="M364" s="46">
        <v>2020</v>
      </c>
      <c r="N364" s="26" t="s">
        <v>17</v>
      </c>
      <c r="O364" s="26" t="str">
        <f t="shared" si="89"/>
        <v>iron and steel 241</v>
      </c>
      <c r="P364" s="26" t="str">
        <f t="shared" si="92"/>
        <v>Cogeneration and Waste Heat Recovery</v>
      </c>
      <c r="Q364" s="47">
        <f t="shared" si="90"/>
        <v>0</v>
      </c>
      <c r="R364" s="47">
        <f t="shared" si="91"/>
        <v>0</v>
      </c>
    </row>
    <row r="365" spans="13:18" x14ac:dyDescent="0.15">
      <c r="M365" s="46">
        <v>2020</v>
      </c>
      <c r="N365" s="26" t="s">
        <v>17</v>
      </c>
      <c r="O365" s="26" t="str">
        <f t="shared" si="89"/>
        <v>iron and steel 241</v>
      </c>
      <c r="P365" s="26" t="str">
        <f t="shared" si="92"/>
        <v>Improvement in Eqpt Efficiency Standards</v>
      </c>
      <c r="Q365" s="47">
        <f t="shared" si="90"/>
        <v>0</v>
      </c>
      <c r="R365" s="47">
        <f t="shared" si="91"/>
        <v>0</v>
      </c>
    </row>
    <row r="366" spans="13:18" x14ac:dyDescent="0.15">
      <c r="M366" s="46">
        <v>2020</v>
      </c>
      <c r="N366" s="26" t="s">
        <v>17</v>
      </c>
      <c r="O366" s="26" t="str">
        <f t="shared" si="89"/>
        <v>other metals 242</v>
      </c>
      <c r="P366" s="26" t="str">
        <f t="shared" si="92"/>
        <v>Early Facility Retirement</v>
      </c>
      <c r="Q366" s="47">
        <f t="shared" si="90"/>
        <v>0</v>
      </c>
      <c r="R366" s="47">
        <f t="shared" si="91"/>
        <v>0</v>
      </c>
    </row>
    <row r="367" spans="13:18" x14ac:dyDescent="0.15">
      <c r="M367" s="46">
        <v>2020</v>
      </c>
      <c r="N367" s="26" t="s">
        <v>17</v>
      </c>
      <c r="O367" s="26" t="str">
        <f t="shared" si="89"/>
        <v>other metals 242</v>
      </c>
      <c r="P367" s="26" t="str">
        <f t="shared" si="92"/>
        <v>Installation and System Integration</v>
      </c>
      <c r="Q367" s="47">
        <f t="shared" si="90"/>
        <v>2.742038838667153</v>
      </c>
      <c r="R367" s="47">
        <f t="shared" si="91"/>
        <v>27.900595896788364</v>
      </c>
    </row>
    <row r="368" spans="13:18" x14ac:dyDescent="0.15">
      <c r="M368" s="46">
        <v>2020</v>
      </c>
      <c r="N368" s="26" t="s">
        <v>17</v>
      </c>
      <c r="O368" s="26" t="str">
        <f t="shared" si="89"/>
        <v>other metals 242</v>
      </c>
      <c r="P368" s="26" t="str">
        <f t="shared" si="92"/>
        <v>Cogeneration and Waste Heat Recovery</v>
      </c>
      <c r="Q368" s="47">
        <f t="shared" si="90"/>
        <v>0</v>
      </c>
      <c r="R368" s="47">
        <f t="shared" si="91"/>
        <v>0</v>
      </c>
    </row>
    <row r="369" spans="13:18" x14ac:dyDescent="0.15">
      <c r="M369" s="46">
        <v>2020</v>
      </c>
      <c r="N369" s="26" t="s">
        <v>17</v>
      </c>
      <c r="O369" s="26" t="str">
        <f>O269</f>
        <v>other metals 242</v>
      </c>
      <c r="P369" s="26" t="str">
        <f t="shared" si="92"/>
        <v>Improvement in Eqpt Efficiency Standards</v>
      </c>
      <c r="Q369" s="47">
        <f t="shared" si="90"/>
        <v>0</v>
      </c>
      <c r="R369" s="47">
        <f t="shared" si="91"/>
        <v>0</v>
      </c>
    </row>
    <row r="370" spans="13:18" x14ac:dyDescent="0.15">
      <c r="M370" s="46">
        <v>2020</v>
      </c>
      <c r="N370" s="26" t="s">
        <v>17</v>
      </c>
      <c r="O370" s="26" t="str">
        <f t="shared" si="89"/>
        <v>metal products except machinery and vehicles 25</v>
      </c>
      <c r="P370" s="26" t="str">
        <f t="shared" si="92"/>
        <v>Early Facility Retirement</v>
      </c>
      <c r="Q370" s="47">
        <f t="shared" si="90"/>
        <v>0</v>
      </c>
      <c r="R370" s="47">
        <f t="shared" si="91"/>
        <v>0</v>
      </c>
    </row>
    <row r="371" spans="13:18" x14ac:dyDescent="0.15">
      <c r="M371" s="46">
        <v>2020</v>
      </c>
      <c r="N371" s="26" t="s">
        <v>17</v>
      </c>
      <c r="O371" s="26" t="str">
        <f t="shared" si="89"/>
        <v>metal products except machinery and vehicles 25</v>
      </c>
      <c r="P371" s="26" t="str">
        <f t="shared" si="92"/>
        <v>Installation and System Integration</v>
      </c>
      <c r="Q371" s="47">
        <f t="shared" si="90"/>
        <v>1.0246699810113524</v>
      </c>
      <c r="R371" s="47">
        <f t="shared" si="91"/>
        <v>10.426148114540933</v>
      </c>
    </row>
    <row r="372" spans="13:18" x14ac:dyDescent="0.15">
      <c r="M372" s="46">
        <v>2020</v>
      </c>
      <c r="N372" s="26" t="s">
        <v>17</v>
      </c>
      <c r="O372" s="26" t="str">
        <f t="shared" si="89"/>
        <v>metal products except machinery and vehicles 25</v>
      </c>
      <c r="P372" s="26" t="str">
        <f t="shared" si="92"/>
        <v>Cogeneration and Waste Heat Recovery</v>
      </c>
      <c r="Q372" s="47">
        <f t="shared" si="90"/>
        <v>0</v>
      </c>
      <c r="R372" s="47">
        <f t="shared" si="91"/>
        <v>0</v>
      </c>
    </row>
    <row r="373" spans="13:18" x14ac:dyDescent="0.15">
      <c r="M373" s="46">
        <v>2020</v>
      </c>
      <c r="N373" s="26" t="s">
        <v>17</v>
      </c>
      <c r="O373" s="26" t="str">
        <f t="shared" si="89"/>
        <v>metal products except machinery and vehicles 25</v>
      </c>
      <c r="P373" s="26" t="str">
        <f t="shared" si="92"/>
        <v>Improvement in Eqpt Efficiency Standards</v>
      </c>
      <c r="Q373" s="47">
        <f t="shared" si="90"/>
        <v>0</v>
      </c>
      <c r="R373" s="47">
        <f t="shared" si="91"/>
        <v>0</v>
      </c>
    </row>
    <row r="374" spans="13:18" x14ac:dyDescent="0.15">
      <c r="M374" s="46">
        <v>2020</v>
      </c>
      <c r="N374" s="26" t="s">
        <v>17</v>
      </c>
      <c r="O374" s="26" t="str">
        <f>O274</f>
        <v>computers and electronics 26</v>
      </c>
      <c r="P374" s="26" t="str">
        <f t="shared" si="92"/>
        <v>Early Facility Retirement</v>
      </c>
      <c r="Q374" s="47">
        <f t="shared" si="90"/>
        <v>0</v>
      </c>
      <c r="R374" s="47">
        <f t="shared" si="91"/>
        <v>0</v>
      </c>
    </row>
    <row r="375" spans="13:18" x14ac:dyDescent="0.15">
      <c r="M375" s="46">
        <v>2020</v>
      </c>
      <c r="N375" s="26" t="s">
        <v>17</v>
      </c>
      <c r="O375" s="26" t="str">
        <f t="shared" si="89"/>
        <v>computers and electronics 26</v>
      </c>
      <c r="P375" s="26" t="str">
        <f t="shared" si="92"/>
        <v>Installation and System Integration</v>
      </c>
      <c r="Q375" s="47">
        <f t="shared" si="90"/>
        <v>0.62162802995091704</v>
      </c>
      <c r="R375" s="47">
        <f t="shared" si="91"/>
        <v>6.3251447124679103</v>
      </c>
    </row>
    <row r="376" spans="13:18" x14ac:dyDescent="0.15">
      <c r="M376" s="46">
        <v>2020</v>
      </c>
      <c r="N376" s="26" t="s">
        <v>17</v>
      </c>
      <c r="O376" s="26" t="str">
        <f t="shared" ref="O376:O378" si="93">O276</f>
        <v>computers and electronics 26</v>
      </c>
      <c r="P376" s="26" t="str">
        <f t="shared" si="92"/>
        <v>Cogeneration and Waste Heat Recovery</v>
      </c>
      <c r="Q376" s="47">
        <f t="shared" si="90"/>
        <v>0</v>
      </c>
      <c r="R376" s="47">
        <f t="shared" si="91"/>
        <v>0</v>
      </c>
    </row>
    <row r="377" spans="13:18" x14ac:dyDescent="0.15">
      <c r="M377" s="46">
        <v>2020</v>
      </c>
      <c r="N377" s="26" t="s">
        <v>17</v>
      </c>
      <c r="O377" s="26" t="str">
        <f t="shared" si="93"/>
        <v>computers and electronics 26</v>
      </c>
      <c r="P377" s="26" t="str">
        <f t="shared" si="92"/>
        <v>Improvement in Eqpt Efficiency Standards</v>
      </c>
      <c r="Q377" s="47">
        <f t="shared" si="90"/>
        <v>0</v>
      </c>
      <c r="R377" s="47">
        <f t="shared" si="91"/>
        <v>0</v>
      </c>
    </row>
    <row r="378" spans="13:18" x14ac:dyDescent="0.15">
      <c r="M378" s="46">
        <v>2020</v>
      </c>
      <c r="N378" s="26" t="s">
        <v>17</v>
      </c>
      <c r="O378" s="26" t="str">
        <f t="shared" si="93"/>
        <v>appliances and electrical equipment 27</v>
      </c>
      <c r="P378" s="26" t="str">
        <f t="shared" si="92"/>
        <v>Early Facility Retirement</v>
      </c>
      <c r="Q378" s="47">
        <f t="shared" si="90"/>
        <v>0</v>
      </c>
      <c r="R378" s="47">
        <f t="shared" si="91"/>
        <v>0</v>
      </c>
    </row>
    <row r="379" spans="13:18" x14ac:dyDescent="0.15">
      <c r="M379" s="46">
        <v>2020</v>
      </c>
      <c r="N379" s="26" t="s">
        <v>17</v>
      </c>
      <c r="O379" s="26" t="str">
        <f>O279</f>
        <v>appliances and electrical equipment 27</v>
      </c>
      <c r="P379" s="26" t="str">
        <f t="shared" si="92"/>
        <v>Installation and System Integration</v>
      </c>
      <c r="Q379" s="47">
        <f t="shared" si="90"/>
        <v>0.31504531612498438</v>
      </c>
      <c r="R379" s="47">
        <f t="shared" si="91"/>
        <v>3.2056263866239552</v>
      </c>
    </row>
    <row r="380" spans="13:18" x14ac:dyDescent="0.15">
      <c r="M380" s="46">
        <v>2020</v>
      </c>
      <c r="N380" s="26" t="s">
        <v>17</v>
      </c>
      <c r="O380" s="26" t="str">
        <f t="shared" ref="O380:O391" si="94">O280</f>
        <v>appliances and electrical equipment 27</v>
      </c>
      <c r="P380" s="26" t="str">
        <f t="shared" si="92"/>
        <v>Cogeneration and Waste Heat Recovery</v>
      </c>
      <c r="Q380" s="47">
        <f t="shared" si="90"/>
        <v>0</v>
      </c>
      <c r="R380" s="47">
        <f t="shared" si="91"/>
        <v>0</v>
      </c>
    </row>
    <row r="381" spans="13:18" x14ac:dyDescent="0.15">
      <c r="M381" s="46">
        <v>2020</v>
      </c>
      <c r="N381" s="26" t="s">
        <v>17</v>
      </c>
      <c r="O381" s="26" t="str">
        <f t="shared" si="94"/>
        <v>appliances and electrical equipment 27</v>
      </c>
      <c r="P381" s="26" t="str">
        <f t="shared" si="92"/>
        <v>Improvement in Eqpt Efficiency Standards</v>
      </c>
      <c r="Q381" s="47">
        <f t="shared" si="90"/>
        <v>0</v>
      </c>
      <c r="R381" s="47">
        <f t="shared" si="91"/>
        <v>0</v>
      </c>
    </row>
    <row r="382" spans="13:18" x14ac:dyDescent="0.15">
      <c r="M382" s="46">
        <v>2020</v>
      </c>
      <c r="N382" s="26" t="s">
        <v>17</v>
      </c>
      <c r="O382" s="26" t="str">
        <f t="shared" si="94"/>
        <v>other machinery 28</v>
      </c>
      <c r="P382" s="26" t="str">
        <f t="shared" si="92"/>
        <v>Early Facility Retirement</v>
      </c>
      <c r="Q382" s="47">
        <f t="shared" si="90"/>
        <v>0</v>
      </c>
      <c r="R382" s="47">
        <f t="shared" si="91"/>
        <v>0</v>
      </c>
    </row>
    <row r="383" spans="13:18" x14ac:dyDescent="0.15">
      <c r="M383" s="46">
        <v>2020</v>
      </c>
      <c r="N383" s="26" t="s">
        <v>17</v>
      </c>
      <c r="O383" s="26" t="str">
        <f t="shared" si="94"/>
        <v>other machinery 28</v>
      </c>
      <c r="P383" s="26" t="str">
        <f t="shared" si="92"/>
        <v>Installation and System Integration</v>
      </c>
      <c r="Q383" s="47">
        <f t="shared" si="90"/>
        <v>0.19520381859177524</v>
      </c>
      <c r="R383" s="47">
        <f t="shared" si="91"/>
        <v>1.9862238212083227</v>
      </c>
    </row>
    <row r="384" spans="13:18" x14ac:dyDescent="0.15">
      <c r="M384" s="46">
        <v>2020</v>
      </c>
      <c r="N384" s="26" t="s">
        <v>17</v>
      </c>
      <c r="O384" s="26" t="str">
        <f t="shared" si="94"/>
        <v>other machinery 28</v>
      </c>
      <c r="P384" s="26" t="str">
        <f t="shared" si="92"/>
        <v>Cogeneration and Waste Heat Recovery</v>
      </c>
      <c r="Q384" s="47">
        <f t="shared" si="90"/>
        <v>0</v>
      </c>
      <c r="R384" s="47">
        <f t="shared" si="91"/>
        <v>0</v>
      </c>
    </row>
    <row r="385" spans="13:18" x14ac:dyDescent="0.15">
      <c r="M385" s="46">
        <v>2020</v>
      </c>
      <c r="N385" s="26" t="s">
        <v>17</v>
      </c>
      <c r="O385" s="26" t="str">
        <f t="shared" si="94"/>
        <v>other machinery 28</v>
      </c>
      <c r="P385" s="26" t="str">
        <f t="shared" si="92"/>
        <v>Improvement in Eqpt Efficiency Standards</v>
      </c>
      <c r="Q385" s="47">
        <f t="shared" si="90"/>
        <v>0</v>
      </c>
      <c r="R385" s="47">
        <f t="shared" si="91"/>
        <v>0</v>
      </c>
    </row>
    <row r="386" spans="13:18" x14ac:dyDescent="0.15">
      <c r="M386" s="46">
        <v>2020</v>
      </c>
      <c r="N386" s="26" t="s">
        <v>17</v>
      </c>
      <c r="O386" s="26" t="str">
        <f t="shared" si="94"/>
        <v>road vehicles 29</v>
      </c>
      <c r="P386" s="26" t="str">
        <f t="shared" si="92"/>
        <v>Early Facility Retirement</v>
      </c>
      <c r="Q386" s="47">
        <f t="shared" ref="Q386:Q449" si="95">SUMIFS(D:D,B:B,N386,C:C,P386,A:A,M386)*SUMIFS(K:K,G:G,N386,I:I,O386)</f>
        <v>0</v>
      </c>
      <c r="R386" s="47">
        <f t="shared" ref="R386:R449" si="96">SUMIFS(E:E,B:B,N386,C:C,P386,A:A,M386)*SUMIFS(K:K,G:G,N386,I:I,O386)</f>
        <v>0</v>
      </c>
    </row>
    <row r="387" spans="13:18" x14ac:dyDescent="0.15">
      <c r="M387" s="46">
        <v>2020</v>
      </c>
      <c r="N387" s="26" t="s">
        <v>17</v>
      </c>
      <c r="O387" s="26" t="str">
        <f t="shared" si="94"/>
        <v>road vehicles 29</v>
      </c>
      <c r="P387" s="26" t="str">
        <f t="shared" si="92"/>
        <v>Installation and System Integration</v>
      </c>
      <c r="Q387" s="47">
        <f t="shared" si="95"/>
        <v>0.27276178817699603</v>
      </c>
      <c r="R387" s="47">
        <f t="shared" si="96"/>
        <v>2.7753860815884424</v>
      </c>
    </row>
    <row r="388" spans="13:18" x14ac:dyDescent="0.15">
      <c r="M388" s="46">
        <v>2020</v>
      </c>
      <c r="N388" s="26" t="s">
        <v>17</v>
      </c>
      <c r="O388" s="26" t="str">
        <f t="shared" si="94"/>
        <v>road vehicles 29</v>
      </c>
      <c r="P388" s="26" t="str">
        <f t="shared" si="92"/>
        <v>Cogeneration and Waste Heat Recovery</v>
      </c>
      <c r="Q388" s="47">
        <f t="shared" si="95"/>
        <v>0</v>
      </c>
      <c r="R388" s="47">
        <f t="shared" si="96"/>
        <v>0</v>
      </c>
    </row>
    <row r="389" spans="13:18" x14ac:dyDescent="0.15">
      <c r="M389" s="46">
        <v>2020</v>
      </c>
      <c r="N389" s="26" t="s">
        <v>17</v>
      </c>
      <c r="O389" s="26" t="str">
        <f t="shared" si="94"/>
        <v>road vehicles 29</v>
      </c>
      <c r="P389" s="26" t="str">
        <f t="shared" si="92"/>
        <v>Improvement in Eqpt Efficiency Standards</v>
      </c>
      <c r="Q389" s="47">
        <f t="shared" si="95"/>
        <v>0</v>
      </c>
      <c r="R389" s="47">
        <f t="shared" si="96"/>
        <v>0</v>
      </c>
    </row>
    <row r="390" spans="13:18" x14ac:dyDescent="0.15">
      <c r="M390" s="46">
        <v>2020</v>
      </c>
      <c r="N390" s="26" t="s">
        <v>17</v>
      </c>
      <c r="O390" s="26" t="str">
        <f t="shared" si="94"/>
        <v>nonroad vehicles 30</v>
      </c>
      <c r="P390" s="26" t="str">
        <f t="shared" si="92"/>
        <v>Early Facility Retirement</v>
      </c>
      <c r="Q390" s="47">
        <f t="shared" si="95"/>
        <v>0</v>
      </c>
      <c r="R390" s="47">
        <f t="shared" si="96"/>
        <v>0</v>
      </c>
    </row>
    <row r="391" spans="13:18" x14ac:dyDescent="0.15">
      <c r="M391" s="46">
        <v>2020</v>
      </c>
      <c r="N391" s="26" t="s">
        <v>17</v>
      </c>
      <c r="O391" s="26" t="str">
        <f t="shared" si="94"/>
        <v>nonroad vehicles 30</v>
      </c>
      <c r="P391" s="26" t="str">
        <f t="shared" ref="P391:P409" si="97">P387</f>
        <v>Installation and System Integration</v>
      </c>
      <c r="Q391" s="47">
        <f t="shared" si="95"/>
        <v>0.16655227414572699</v>
      </c>
      <c r="R391" s="47">
        <f t="shared" si="96"/>
        <v>1.6946906918684652</v>
      </c>
    </row>
    <row r="392" spans="13:18" x14ac:dyDescent="0.15">
      <c r="M392" s="46">
        <v>2020</v>
      </c>
      <c r="N392" s="26" t="s">
        <v>17</v>
      </c>
      <c r="O392" s="26" t="str">
        <f>O292</f>
        <v>nonroad vehicles 30</v>
      </c>
      <c r="P392" s="26" t="str">
        <f t="shared" si="97"/>
        <v>Cogeneration and Waste Heat Recovery</v>
      </c>
      <c r="Q392" s="47">
        <f t="shared" si="95"/>
        <v>0</v>
      </c>
      <c r="R392" s="47">
        <f t="shared" si="96"/>
        <v>0</v>
      </c>
    </row>
    <row r="393" spans="13:18" x14ac:dyDescent="0.15">
      <c r="M393" s="46">
        <v>2020</v>
      </c>
      <c r="N393" s="26" t="s">
        <v>17</v>
      </c>
      <c r="O393" s="26" t="str">
        <f t="shared" ref="O393:O400" si="98">O293</f>
        <v>nonroad vehicles 30</v>
      </c>
      <c r="P393" s="26" t="str">
        <f t="shared" si="97"/>
        <v>Improvement in Eqpt Efficiency Standards</v>
      </c>
      <c r="Q393" s="47">
        <f t="shared" si="95"/>
        <v>0</v>
      </c>
      <c r="R393" s="47">
        <f t="shared" si="96"/>
        <v>0</v>
      </c>
    </row>
    <row r="394" spans="13:18" x14ac:dyDescent="0.15">
      <c r="M394" s="46">
        <v>2020</v>
      </c>
      <c r="N394" s="26" t="s">
        <v>17</v>
      </c>
      <c r="O394" s="26" t="str">
        <f t="shared" si="98"/>
        <v>other manufacturing 31T33</v>
      </c>
      <c r="P394" s="26" t="str">
        <f t="shared" si="97"/>
        <v>Early Facility Retirement</v>
      </c>
      <c r="Q394" s="47">
        <f t="shared" si="95"/>
        <v>0</v>
      </c>
      <c r="R394" s="47">
        <f t="shared" si="96"/>
        <v>0</v>
      </c>
    </row>
    <row r="395" spans="13:18" x14ac:dyDescent="0.15">
      <c r="M395" s="46">
        <v>2020</v>
      </c>
      <c r="N395" s="26" t="s">
        <v>17</v>
      </c>
      <c r="O395" s="26" t="str">
        <f t="shared" si="98"/>
        <v>other manufacturing 31T33</v>
      </c>
      <c r="P395" s="26" t="str">
        <f t="shared" si="97"/>
        <v>Installation and System Integration</v>
      </c>
      <c r="Q395" s="47">
        <f t="shared" si="95"/>
        <v>0.43721221868050947</v>
      </c>
      <c r="R395" s="47">
        <f t="shared" si="96"/>
        <v>4.4486902455665369</v>
      </c>
    </row>
    <row r="396" spans="13:18" x14ac:dyDescent="0.15">
      <c r="M396" s="46">
        <v>2020</v>
      </c>
      <c r="N396" s="26" t="s">
        <v>17</v>
      </c>
      <c r="O396" s="26" t="str">
        <f t="shared" si="98"/>
        <v>other manufacturing 31T33</v>
      </c>
      <c r="P396" s="26" t="str">
        <f t="shared" si="97"/>
        <v>Cogeneration and Waste Heat Recovery</v>
      </c>
      <c r="Q396" s="47">
        <f t="shared" si="95"/>
        <v>0</v>
      </c>
      <c r="R396" s="47">
        <f t="shared" si="96"/>
        <v>0</v>
      </c>
    </row>
    <row r="397" spans="13:18" x14ac:dyDescent="0.15">
      <c r="M397" s="46">
        <v>2020</v>
      </c>
      <c r="N397" s="26" t="s">
        <v>17</v>
      </c>
      <c r="O397" s="26" t="str">
        <f t="shared" si="98"/>
        <v>other manufacturing 31T33</v>
      </c>
      <c r="P397" s="26" t="str">
        <f t="shared" si="97"/>
        <v>Improvement in Eqpt Efficiency Standards</v>
      </c>
      <c r="Q397" s="47">
        <f t="shared" si="95"/>
        <v>0</v>
      </c>
      <c r="R397" s="47">
        <f t="shared" si="96"/>
        <v>0</v>
      </c>
    </row>
    <row r="398" spans="13:18" x14ac:dyDescent="0.15">
      <c r="M398" s="46">
        <v>2020</v>
      </c>
      <c r="N398" s="26" t="s">
        <v>17</v>
      </c>
      <c r="O398" s="26" t="str">
        <f t="shared" si="98"/>
        <v>energy pipelines and gas processing 352T353</v>
      </c>
      <c r="P398" s="26" t="str">
        <f t="shared" si="97"/>
        <v>Early Facility Retirement</v>
      </c>
      <c r="Q398" s="47">
        <f t="shared" si="95"/>
        <v>0</v>
      </c>
      <c r="R398" s="47">
        <f t="shared" si="96"/>
        <v>0</v>
      </c>
    </row>
    <row r="399" spans="13:18" x14ac:dyDescent="0.15">
      <c r="M399" s="46">
        <v>2020</v>
      </c>
      <c r="N399" s="26" t="s">
        <v>17</v>
      </c>
      <c r="O399" s="26" t="str">
        <f t="shared" si="98"/>
        <v>energy pipelines and gas processing 352T353</v>
      </c>
      <c r="P399" s="26" t="str">
        <f t="shared" si="97"/>
        <v>Installation and System Integration</v>
      </c>
      <c r="Q399" s="47">
        <f t="shared" si="95"/>
        <v>0.81194967900531112</v>
      </c>
      <c r="R399" s="47">
        <f t="shared" si="96"/>
        <v>8.2616918341921739</v>
      </c>
    </row>
    <row r="400" spans="13:18" x14ac:dyDescent="0.15">
      <c r="M400" s="46">
        <v>2020</v>
      </c>
      <c r="N400" s="26" t="s">
        <v>17</v>
      </c>
      <c r="O400" s="26" t="str">
        <f t="shared" si="98"/>
        <v>energy pipelines and gas processing 352T353</v>
      </c>
      <c r="P400" s="26" t="str">
        <f t="shared" si="97"/>
        <v>Cogeneration and Waste Heat Recovery</v>
      </c>
      <c r="Q400" s="47">
        <f t="shared" si="95"/>
        <v>0</v>
      </c>
      <c r="R400" s="47">
        <f t="shared" si="96"/>
        <v>0</v>
      </c>
    </row>
    <row r="401" spans="13:18" x14ac:dyDescent="0.15">
      <c r="M401" s="46">
        <v>2020</v>
      </c>
      <c r="N401" s="26" t="s">
        <v>17</v>
      </c>
      <c r="O401" s="26" t="str">
        <f>O301</f>
        <v>energy pipelines and gas processing 352T353</v>
      </c>
      <c r="P401" s="26" t="str">
        <f t="shared" si="97"/>
        <v>Improvement in Eqpt Efficiency Standards</v>
      </c>
      <c r="Q401" s="47">
        <f t="shared" si="95"/>
        <v>0</v>
      </c>
      <c r="R401" s="47">
        <f t="shared" si="96"/>
        <v>0</v>
      </c>
    </row>
    <row r="402" spans="13:18" x14ac:dyDescent="0.15">
      <c r="M402" s="46">
        <v>2020</v>
      </c>
      <c r="N402" s="26" t="s">
        <v>17</v>
      </c>
      <c r="O402" s="26" t="str">
        <f t="shared" ref="O402:O405" si="99">O302</f>
        <v>water and waste 36T39</v>
      </c>
      <c r="P402" s="26" t="str">
        <f t="shared" si="97"/>
        <v>Early Facility Retirement</v>
      </c>
      <c r="Q402" s="47">
        <f t="shared" si="95"/>
        <v>0</v>
      </c>
      <c r="R402" s="47">
        <f t="shared" si="96"/>
        <v>0</v>
      </c>
    </row>
    <row r="403" spans="13:18" x14ac:dyDescent="0.15">
      <c r="M403" s="46">
        <v>2020</v>
      </c>
      <c r="N403" s="26" t="s">
        <v>17</v>
      </c>
      <c r="O403" s="26" t="str">
        <f t="shared" si="99"/>
        <v>water and waste 36T39</v>
      </c>
      <c r="P403" s="26" t="str">
        <f t="shared" si="97"/>
        <v>Installation and System Integration</v>
      </c>
      <c r="Q403" s="47">
        <f t="shared" si="95"/>
        <v>0.32739552243683362</v>
      </c>
      <c r="R403" s="47">
        <f t="shared" si="96"/>
        <v>3.3312913154680568</v>
      </c>
    </row>
    <row r="404" spans="13:18" x14ac:dyDescent="0.15">
      <c r="M404" s="46">
        <v>2020</v>
      </c>
      <c r="N404" s="26" t="s">
        <v>17</v>
      </c>
      <c r="O404" s="26" t="str">
        <f t="shared" si="99"/>
        <v>water and waste 36T39</v>
      </c>
      <c r="P404" s="26" t="str">
        <f t="shared" si="97"/>
        <v>Cogeneration and Waste Heat Recovery</v>
      </c>
      <c r="Q404" s="47">
        <f t="shared" si="95"/>
        <v>0</v>
      </c>
      <c r="R404" s="47">
        <f t="shared" si="96"/>
        <v>0</v>
      </c>
    </row>
    <row r="405" spans="13:18" x14ac:dyDescent="0.15">
      <c r="M405" s="46">
        <v>2020</v>
      </c>
      <c r="N405" s="26" t="s">
        <v>17</v>
      </c>
      <c r="O405" s="26" t="str">
        <f t="shared" si="99"/>
        <v>water and waste 36T39</v>
      </c>
      <c r="P405" s="26" t="str">
        <f t="shared" si="97"/>
        <v>Improvement in Eqpt Efficiency Standards</v>
      </c>
      <c r="Q405" s="47">
        <f t="shared" si="95"/>
        <v>0</v>
      </c>
      <c r="R405" s="47">
        <f t="shared" si="96"/>
        <v>0</v>
      </c>
    </row>
    <row r="406" spans="13:18" x14ac:dyDescent="0.15">
      <c r="M406" s="46">
        <v>2020</v>
      </c>
      <c r="N406" s="26" t="s">
        <v>17</v>
      </c>
      <c r="O406" s="26" t="str">
        <f>O306</f>
        <v>construction 41T43</v>
      </c>
      <c r="P406" s="26" t="str">
        <f t="shared" si="97"/>
        <v>Early Facility Retirement</v>
      </c>
      <c r="Q406" s="47">
        <f t="shared" si="95"/>
        <v>0</v>
      </c>
      <c r="R406" s="47">
        <f t="shared" si="96"/>
        <v>0</v>
      </c>
    </row>
    <row r="407" spans="13:18" x14ac:dyDescent="0.15">
      <c r="M407" s="46">
        <v>2020</v>
      </c>
      <c r="N407" s="26" t="s">
        <v>17</v>
      </c>
      <c r="O407" s="26" t="str">
        <f t="shared" ref="O407:O409" si="100">O307</f>
        <v>construction 41T43</v>
      </c>
      <c r="P407" s="26" t="str">
        <f t="shared" si="97"/>
        <v>Installation and System Integration</v>
      </c>
      <c r="Q407" s="47">
        <f t="shared" si="95"/>
        <v>1.686186885044362</v>
      </c>
      <c r="R407" s="47">
        <f t="shared" si="96"/>
        <v>17.15716722267689</v>
      </c>
    </row>
    <row r="408" spans="13:18" x14ac:dyDescent="0.15">
      <c r="M408" s="46">
        <v>2020</v>
      </c>
      <c r="N408" s="26" t="s">
        <v>17</v>
      </c>
      <c r="O408" s="26" t="str">
        <f t="shared" si="100"/>
        <v>construction 41T43</v>
      </c>
      <c r="P408" s="26" t="str">
        <f t="shared" si="97"/>
        <v>Cogeneration and Waste Heat Recovery</v>
      </c>
      <c r="Q408" s="47">
        <f t="shared" si="95"/>
        <v>0</v>
      </c>
      <c r="R408" s="47">
        <f t="shared" si="96"/>
        <v>0</v>
      </c>
    </row>
    <row r="409" spans="13:18" x14ac:dyDescent="0.15">
      <c r="M409" s="46">
        <v>2020</v>
      </c>
      <c r="N409" s="26" t="s">
        <v>17</v>
      </c>
      <c r="O409" s="26" t="str">
        <f t="shared" si="100"/>
        <v>construction 41T43</v>
      </c>
      <c r="P409" s="26" t="str">
        <f t="shared" si="97"/>
        <v>Improvement in Eqpt Efficiency Standards</v>
      </c>
      <c r="Q409" s="47">
        <f t="shared" si="95"/>
        <v>0</v>
      </c>
      <c r="R409" s="47">
        <f t="shared" si="96"/>
        <v>0</v>
      </c>
    </row>
    <row r="410" spans="13:18" x14ac:dyDescent="0.15">
      <c r="M410" s="46">
        <v>2021</v>
      </c>
      <c r="N410" s="26" t="s">
        <v>385</v>
      </c>
      <c r="O410" s="26" t="s">
        <v>40</v>
      </c>
      <c r="P410" s="26" t="s">
        <v>426</v>
      </c>
      <c r="Q410" s="47">
        <f t="shared" si="95"/>
        <v>0</v>
      </c>
      <c r="R410" s="47">
        <f t="shared" si="96"/>
        <v>0</v>
      </c>
    </row>
    <row r="411" spans="13:18" x14ac:dyDescent="0.15">
      <c r="M411" s="46">
        <v>2021</v>
      </c>
      <c r="N411" s="26" t="s">
        <v>385</v>
      </c>
      <c r="O411" s="26" t="s">
        <v>40</v>
      </c>
      <c r="P411" s="26" t="s">
        <v>428</v>
      </c>
      <c r="Q411" s="47">
        <f t="shared" si="95"/>
        <v>0</v>
      </c>
      <c r="R411" s="47">
        <f t="shared" si="96"/>
        <v>0</v>
      </c>
    </row>
    <row r="412" spans="13:18" x14ac:dyDescent="0.15">
      <c r="M412" s="46">
        <v>2021</v>
      </c>
      <c r="N412" s="26" t="s">
        <v>385</v>
      </c>
      <c r="O412" s="26" t="s">
        <v>40</v>
      </c>
      <c r="P412" s="26" t="s">
        <v>429</v>
      </c>
      <c r="Q412" s="47">
        <f t="shared" si="95"/>
        <v>0</v>
      </c>
      <c r="R412" s="47">
        <f t="shared" si="96"/>
        <v>0</v>
      </c>
    </row>
    <row r="413" spans="13:18" x14ac:dyDescent="0.15">
      <c r="M413" s="46">
        <v>2021</v>
      </c>
      <c r="N413" s="26" t="s">
        <v>385</v>
      </c>
      <c r="O413" s="26" t="s">
        <v>40</v>
      </c>
      <c r="P413" s="26" t="s">
        <v>430</v>
      </c>
      <c r="Q413" s="47">
        <f t="shared" si="95"/>
        <v>1.0349528233109728</v>
      </c>
      <c r="R413" s="47">
        <f t="shared" si="96"/>
        <v>5.8647326654288463</v>
      </c>
    </row>
    <row r="414" spans="13:18" x14ac:dyDescent="0.15">
      <c r="M414" s="46">
        <v>2021</v>
      </c>
      <c r="N414" s="26" t="s">
        <v>385</v>
      </c>
      <c r="O414" s="26" t="s">
        <v>41</v>
      </c>
      <c r="P414" s="26" t="s">
        <v>426</v>
      </c>
      <c r="Q414" s="47">
        <f t="shared" si="95"/>
        <v>0</v>
      </c>
      <c r="R414" s="47">
        <f t="shared" si="96"/>
        <v>0</v>
      </c>
    </row>
    <row r="415" spans="13:18" x14ac:dyDescent="0.15">
      <c r="M415" s="46">
        <v>2021</v>
      </c>
      <c r="N415" s="26" t="s">
        <v>385</v>
      </c>
      <c r="O415" s="26" t="s">
        <v>41</v>
      </c>
      <c r="P415" s="26" t="s">
        <v>428</v>
      </c>
      <c r="Q415" s="47">
        <f t="shared" si="95"/>
        <v>0</v>
      </c>
      <c r="R415" s="47">
        <f t="shared" si="96"/>
        <v>0</v>
      </c>
    </row>
    <row r="416" spans="13:18" x14ac:dyDescent="0.15">
      <c r="M416" s="46">
        <v>2021</v>
      </c>
      <c r="N416" s="26" t="s">
        <v>385</v>
      </c>
      <c r="O416" s="26" t="s">
        <v>41</v>
      </c>
      <c r="P416" s="26" t="s">
        <v>429</v>
      </c>
      <c r="Q416" s="47">
        <f t="shared" si="95"/>
        <v>0</v>
      </c>
      <c r="R416" s="47">
        <f t="shared" si="96"/>
        <v>0</v>
      </c>
    </row>
    <row r="417" spans="13:18" x14ac:dyDescent="0.15">
      <c r="M417" s="46">
        <v>2021</v>
      </c>
      <c r="N417" s="26" t="s">
        <v>385</v>
      </c>
      <c r="O417" s="26" t="s">
        <v>41</v>
      </c>
      <c r="P417" s="26" t="s">
        <v>430</v>
      </c>
      <c r="Q417" s="47">
        <f t="shared" si="95"/>
        <v>0.29505399451322922</v>
      </c>
      <c r="R417" s="47">
        <f t="shared" si="96"/>
        <v>1.6719726355749656</v>
      </c>
    </row>
    <row r="418" spans="13:18" x14ac:dyDescent="0.15">
      <c r="M418" s="46">
        <v>2021</v>
      </c>
      <c r="N418" s="26" t="s">
        <v>385</v>
      </c>
      <c r="O418" s="26" t="s">
        <v>45</v>
      </c>
      <c r="P418" s="26" t="s">
        <v>426</v>
      </c>
      <c r="Q418" s="47">
        <f t="shared" si="95"/>
        <v>0</v>
      </c>
      <c r="R418" s="47">
        <f t="shared" si="96"/>
        <v>0</v>
      </c>
    </row>
    <row r="419" spans="13:18" x14ac:dyDescent="0.15">
      <c r="M419" s="46">
        <v>2021</v>
      </c>
      <c r="N419" s="26" t="s">
        <v>385</v>
      </c>
      <c r="O419" s="26" t="s">
        <v>45</v>
      </c>
      <c r="P419" s="26" t="s">
        <v>428</v>
      </c>
      <c r="Q419" s="47">
        <f t="shared" si="95"/>
        <v>0</v>
      </c>
      <c r="R419" s="47">
        <f t="shared" si="96"/>
        <v>0</v>
      </c>
    </row>
    <row r="420" spans="13:18" x14ac:dyDescent="0.15">
      <c r="M420" s="46">
        <v>2021</v>
      </c>
      <c r="N420" s="26" t="s">
        <v>385</v>
      </c>
      <c r="O420" s="26" t="s">
        <v>45</v>
      </c>
      <c r="P420" s="26" t="s">
        <v>429</v>
      </c>
      <c r="Q420" s="47">
        <f t="shared" si="95"/>
        <v>0</v>
      </c>
      <c r="R420" s="47">
        <f t="shared" si="96"/>
        <v>0</v>
      </c>
    </row>
    <row r="421" spans="13:18" x14ac:dyDescent="0.15">
      <c r="M421" s="46">
        <v>2021</v>
      </c>
      <c r="N421" s="26" t="s">
        <v>385</v>
      </c>
      <c r="O421" s="26" t="s">
        <v>45</v>
      </c>
      <c r="P421" s="26" t="s">
        <v>430</v>
      </c>
      <c r="Q421" s="47">
        <f t="shared" si="95"/>
        <v>0.47290441590987431</v>
      </c>
      <c r="R421" s="47">
        <f t="shared" si="96"/>
        <v>2.6797916901559549</v>
      </c>
    </row>
    <row r="422" spans="13:18" x14ac:dyDescent="0.15">
      <c r="M422" s="46">
        <v>2021</v>
      </c>
      <c r="N422" s="26" t="s">
        <v>385</v>
      </c>
      <c r="O422" s="26" t="s">
        <v>37</v>
      </c>
      <c r="P422" s="26" t="s">
        <v>426</v>
      </c>
      <c r="Q422" s="47">
        <f t="shared" si="95"/>
        <v>0</v>
      </c>
      <c r="R422" s="47">
        <f t="shared" si="96"/>
        <v>0</v>
      </c>
    </row>
    <row r="423" spans="13:18" x14ac:dyDescent="0.15">
      <c r="M423" s="46">
        <v>2021</v>
      </c>
      <c r="N423" s="26" t="s">
        <v>385</v>
      </c>
      <c r="O423" s="26" t="s">
        <v>37</v>
      </c>
      <c r="P423" s="26" t="s">
        <v>428</v>
      </c>
      <c r="Q423" s="47">
        <f t="shared" si="95"/>
        <v>0</v>
      </c>
      <c r="R423" s="47">
        <f t="shared" si="96"/>
        <v>0</v>
      </c>
    </row>
    <row r="424" spans="13:18" x14ac:dyDescent="0.15">
      <c r="M424" s="46">
        <v>2021</v>
      </c>
      <c r="N424" s="26" t="s">
        <v>385</v>
      </c>
      <c r="O424" s="26" t="s">
        <v>37</v>
      </c>
      <c r="P424" s="26" t="s">
        <v>429</v>
      </c>
      <c r="Q424" s="47">
        <f t="shared" si="95"/>
        <v>0</v>
      </c>
      <c r="R424" s="47">
        <f t="shared" si="96"/>
        <v>0</v>
      </c>
    </row>
    <row r="425" spans="13:18" x14ac:dyDescent="0.15">
      <c r="M425" s="46">
        <v>2021</v>
      </c>
      <c r="N425" s="26" t="s">
        <v>385</v>
      </c>
      <c r="O425" s="26" t="s">
        <v>37</v>
      </c>
      <c r="P425" s="26" t="s">
        <v>430</v>
      </c>
      <c r="Q425" s="47">
        <f t="shared" si="95"/>
        <v>3.1508515667898224E-2</v>
      </c>
      <c r="R425" s="47">
        <f t="shared" si="96"/>
        <v>0.17854825545142328</v>
      </c>
    </row>
    <row r="426" spans="13:18" x14ac:dyDescent="0.15">
      <c r="M426" s="46">
        <v>2021</v>
      </c>
      <c r="N426" s="26" t="s">
        <v>385</v>
      </c>
      <c r="O426" s="26" t="s">
        <v>39</v>
      </c>
      <c r="P426" s="26" t="s">
        <v>426</v>
      </c>
      <c r="Q426" s="47">
        <f t="shared" si="95"/>
        <v>0</v>
      </c>
      <c r="R426" s="47">
        <f t="shared" si="96"/>
        <v>0</v>
      </c>
    </row>
    <row r="427" spans="13:18" x14ac:dyDescent="0.15">
      <c r="M427" s="46">
        <v>2021</v>
      </c>
      <c r="N427" s="26" t="s">
        <v>385</v>
      </c>
      <c r="O427" s="26" t="s">
        <v>39</v>
      </c>
      <c r="P427" s="26" t="s">
        <v>428</v>
      </c>
      <c r="Q427" s="47">
        <f t="shared" si="95"/>
        <v>0</v>
      </c>
      <c r="R427" s="47">
        <f t="shared" si="96"/>
        <v>0</v>
      </c>
    </row>
    <row r="428" spans="13:18" x14ac:dyDescent="0.15">
      <c r="M428" s="46">
        <v>2021</v>
      </c>
      <c r="N428" s="26" t="s">
        <v>385</v>
      </c>
      <c r="O428" s="26" t="s">
        <v>39</v>
      </c>
      <c r="P428" s="26" t="s">
        <v>429</v>
      </c>
      <c r="Q428" s="47">
        <f t="shared" si="95"/>
        <v>0</v>
      </c>
      <c r="R428" s="47">
        <f t="shared" si="96"/>
        <v>0</v>
      </c>
    </row>
    <row r="429" spans="13:18" x14ac:dyDescent="0.15">
      <c r="M429" s="46">
        <v>2021</v>
      </c>
      <c r="N429" s="26" t="s">
        <v>385</v>
      </c>
      <c r="O429" s="26" t="s">
        <v>39</v>
      </c>
      <c r="P429" s="26" t="s">
        <v>430</v>
      </c>
      <c r="Q429" s="47">
        <f t="shared" si="95"/>
        <v>2.0802201515320431E-2</v>
      </c>
      <c r="R429" s="47">
        <f t="shared" si="96"/>
        <v>0.11787914192014913</v>
      </c>
    </row>
    <row r="430" spans="13:18" x14ac:dyDescent="0.15">
      <c r="M430" s="46">
        <v>2021</v>
      </c>
      <c r="N430" s="26" t="s">
        <v>385</v>
      </c>
      <c r="O430" s="26" t="s">
        <v>393</v>
      </c>
      <c r="P430" s="26" t="s">
        <v>426</v>
      </c>
      <c r="Q430" s="47">
        <f t="shared" si="95"/>
        <v>0</v>
      </c>
      <c r="R430" s="47">
        <f t="shared" si="96"/>
        <v>0</v>
      </c>
    </row>
    <row r="431" spans="13:18" x14ac:dyDescent="0.15">
      <c r="M431" s="46">
        <v>2021</v>
      </c>
      <c r="N431" s="26" t="s">
        <v>385</v>
      </c>
      <c r="O431" s="26" t="s">
        <v>393</v>
      </c>
      <c r="P431" s="26" t="s">
        <v>428</v>
      </c>
      <c r="Q431" s="47">
        <f t="shared" si="95"/>
        <v>0</v>
      </c>
      <c r="R431" s="47">
        <f t="shared" si="96"/>
        <v>0</v>
      </c>
    </row>
    <row r="432" spans="13:18" x14ac:dyDescent="0.15">
      <c r="M432" s="46">
        <v>2021</v>
      </c>
      <c r="N432" s="26" t="s">
        <v>385</v>
      </c>
      <c r="O432" s="26" t="s">
        <v>393</v>
      </c>
      <c r="P432" s="26" t="s">
        <v>429</v>
      </c>
      <c r="Q432" s="47">
        <f t="shared" si="95"/>
        <v>0</v>
      </c>
      <c r="R432" s="47">
        <f t="shared" si="96"/>
        <v>0</v>
      </c>
    </row>
    <row r="433" spans="13:18" x14ac:dyDescent="0.15">
      <c r="M433" s="46">
        <v>2021</v>
      </c>
      <c r="N433" s="26" t="s">
        <v>385</v>
      </c>
      <c r="O433" s="26" t="s">
        <v>393</v>
      </c>
      <c r="P433" s="26" t="s">
        <v>430</v>
      </c>
      <c r="Q433" s="47">
        <f t="shared" si="95"/>
        <v>3.1373240855728471E-2</v>
      </c>
      <c r="R433" s="47">
        <f t="shared" si="96"/>
        <v>0.17778169818246137</v>
      </c>
    </row>
    <row r="434" spans="13:18" x14ac:dyDescent="0.15">
      <c r="M434" s="46">
        <v>2021</v>
      </c>
      <c r="N434" s="26" t="s">
        <v>394</v>
      </c>
      <c r="O434" s="26" t="s">
        <v>40</v>
      </c>
      <c r="P434" s="26" t="s">
        <v>426</v>
      </c>
      <c r="Q434" s="47">
        <f t="shared" si="95"/>
        <v>0</v>
      </c>
      <c r="R434" s="47">
        <f t="shared" si="96"/>
        <v>0</v>
      </c>
    </row>
    <row r="435" spans="13:18" x14ac:dyDescent="0.15">
      <c r="M435" s="46">
        <v>2021</v>
      </c>
      <c r="N435" s="26" t="s">
        <v>394</v>
      </c>
      <c r="O435" s="26" t="s">
        <v>40</v>
      </c>
      <c r="P435" s="26" t="s">
        <v>428</v>
      </c>
      <c r="Q435" s="47">
        <f t="shared" si="95"/>
        <v>0</v>
      </c>
      <c r="R435" s="47">
        <f t="shared" si="96"/>
        <v>0</v>
      </c>
    </row>
    <row r="436" spans="13:18" x14ac:dyDescent="0.15">
      <c r="M436" s="46">
        <v>2021</v>
      </c>
      <c r="N436" s="26" t="s">
        <v>394</v>
      </c>
      <c r="O436" s="26" t="s">
        <v>40</v>
      </c>
      <c r="P436" s="26" t="s">
        <v>429</v>
      </c>
      <c r="Q436" s="47">
        <f t="shared" si="95"/>
        <v>0.26257251870669573</v>
      </c>
      <c r="R436" s="47">
        <f t="shared" si="96"/>
        <v>0.8765010696396176</v>
      </c>
    </row>
    <row r="437" spans="13:18" x14ac:dyDescent="0.15">
      <c r="M437" s="46">
        <v>2021</v>
      </c>
      <c r="N437" s="26" t="s">
        <v>394</v>
      </c>
      <c r="O437" s="26" t="s">
        <v>40</v>
      </c>
      <c r="P437" s="26" t="s">
        <v>430</v>
      </c>
      <c r="Q437" s="47">
        <f t="shared" si="95"/>
        <v>0</v>
      </c>
      <c r="R437" s="47">
        <f t="shared" si="96"/>
        <v>0</v>
      </c>
    </row>
    <row r="438" spans="13:18" x14ac:dyDescent="0.15">
      <c r="M438" s="46">
        <v>2021</v>
      </c>
      <c r="N438" s="26" t="s">
        <v>394</v>
      </c>
      <c r="O438" s="26" t="s">
        <v>41</v>
      </c>
      <c r="P438" s="26" t="s">
        <v>426</v>
      </c>
      <c r="Q438" s="47">
        <f t="shared" si="95"/>
        <v>0</v>
      </c>
      <c r="R438" s="47">
        <f t="shared" si="96"/>
        <v>0</v>
      </c>
    </row>
    <row r="439" spans="13:18" x14ac:dyDescent="0.15">
      <c r="M439" s="46">
        <v>2021</v>
      </c>
      <c r="N439" s="26" t="s">
        <v>394</v>
      </c>
      <c r="O439" s="26" t="s">
        <v>41</v>
      </c>
      <c r="P439" s="26" t="s">
        <v>428</v>
      </c>
      <c r="Q439" s="47">
        <f t="shared" si="95"/>
        <v>0</v>
      </c>
      <c r="R439" s="47">
        <f t="shared" si="96"/>
        <v>0</v>
      </c>
    </row>
    <row r="440" spans="13:18" x14ac:dyDescent="0.15">
      <c r="M440" s="46">
        <v>2021</v>
      </c>
      <c r="N440" s="26" t="s">
        <v>394</v>
      </c>
      <c r="O440" s="26" t="s">
        <v>41</v>
      </c>
      <c r="P440" s="26" t="s">
        <v>429</v>
      </c>
      <c r="Q440" s="47">
        <f t="shared" si="95"/>
        <v>7.48566202717936E-2</v>
      </c>
      <c r="R440" s="47">
        <f t="shared" si="96"/>
        <v>0.24988109213030385</v>
      </c>
    </row>
    <row r="441" spans="13:18" x14ac:dyDescent="0.15">
      <c r="M441" s="46">
        <v>2021</v>
      </c>
      <c r="N441" s="26" t="s">
        <v>394</v>
      </c>
      <c r="O441" s="26" t="s">
        <v>41</v>
      </c>
      <c r="P441" s="26" t="s">
        <v>430</v>
      </c>
      <c r="Q441" s="47">
        <f t="shared" si="95"/>
        <v>0</v>
      </c>
      <c r="R441" s="47">
        <f t="shared" si="96"/>
        <v>0</v>
      </c>
    </row>
    <row r="442" spans="13:18" x14ac:dyDescent="0.15">
      <c r="M442" s="46">
        <v>2021</v>
      </c>
      <c r="N442" s="26" t="s">
        <v>394</v>
      </c>
      <c r="O442" s="26" t="s">
        <v>45</v>
      </c>
      <c r="P442" s="26" t="s">
        <v>426</v>
      </c>
      <c r="Q442" s="47">
        <f t="shared" si="95"/>
        <v>0</v>
      </c>
      <c r="R442" s="47">
        <f t="shared" si="96"/>
        <v>0</v>
      </c>
    </row>
    <row r="443" spans="13:18" x14ac:dyDescent="0.15">
      <c r="M443" s="46">
        <v>2021</v>
      </c>
      <c r="N443" s="26" t="s">
        <v>394</v>
      </c>
      <c r="O443" s="26" t="s">
        <v>45</v>
      </c>
      <c r="P443" s="26" t="s">
        <v>428</v>
      </c>
      <c r="Q443" s="47">
        <f t="shared" si="95"/>
        <v>0</v>
      </c>
      <c r="R443" s="47">
        <f t="shared" si="96"/>
        <v>0</v>
      </c>
    </row>
    <row r="444" spans="13:18" x14ac:dyDescent="0.15">
      <c r="M444" s="46">
        <v>2021</v>
      </c>
      <c r="N444" s="26" t="s">
        <v>394</v>
      </c>
      <c r="O444" s="26" t="s">
        <v>45</v>
      </c>
      <c r="P444" s="26" t="s">
        <v>429</v>
      </c>
      <c r="Q444" s="47">
        <f t="shared" si="95"/>
        <v>0.11997812924045193</v>
      </c>
      <c r="R444" s="47">
        <f t="shared" si="96"/>
        <v>0.40050253214078924</v>
      </c>
    </row>
    <row r="445" spans="13:18" x14ac:dyDescent="0.15">
      <c r="M445" s="46">
        <v>2021</v>
      </c>
      <c r="N445" s="26" t="s">
        <v>394</v>
      </c>
      <c r="O445" s="26" t="s">
        <v>45</v>
      </c>
      <c r="P445" s="26" t="s">
        <v>430</v>
      </c>
      <c r="Q445" s="47">
        <f t="shared" si="95"/>
        <v>0</v>
      </c>
      <c r="R445" s="47">
        <f t="shared" si="96"/>
        <v>0</v>
      </c>
    </row>
    <row r="446" spans="13:18" x14ac:dyDescent="0.15">
      <c r="M446" s="46">
        <v>2021</v>
      </c>
      <c r="N446" s="26" t="s">
        <v>394</v>
      </c>
      <c r="O446" s="26" t="s">
        <v>46</v>
      </c>
      <c r="P446" s="26" t="s">
        <v>426</v>
      </c>
      <c r="Q446" s="47">
        <f t="shared" si="95"/>
        <v>0</v>
      </c>
      <c r="R446" s="47">
        <f t="shared" si="96"/>
        <v>0</v>
      </c>
    </row>
    <row r="447" spans="13:18" x14ac:dyDescent="0.15">
      <c r="M447" s="46">
        <v>2021</v>
      </c>
      <c r="N447" s="26" t="s">
        <v>394</v>
      </c>
      <c r="O447" s="26" t="s">
        <v>46</v>
      </c>
      <c r="P447" s="26" t="s">
        <v>428</v>
      </c>
      <c r="Q447" s="47">
        <f t="shared" si="95"/>
        <v>0</v>
      </c>
      <c r="R447" s="47">
        <f t="shared" si="96"/>
        <v>0</v>
      </c>
    </row>
    <row r="448" spans="13:18" x14ac:dyDescent="0.15">
      <c r="M448" s="46">
        <v>2021</v>
      </c>
      <c r="N448" s="26" t="s">
        <v>394</v>
      </c>
      <c r="O448" s="26" t="s">
        <v>46</v>
      </c>
      <c r="P448" s="26" t="s">
        <v>429</v>
      </c>
      <c r="Q448" s="47">
        <f t="shared" si="95"/>
        <v>2.036170835398458E-2</v>
      </c>
      <c r="R448" s="47">
        <f t="shared" si="96"/>
        <v>6.7970019253588837E-2</v>
      </c>
    </row>
    <row r="449" spans="13:18" x14ac:dyDescent="0.15">
      <c r="M449" s="46">
        <v>2021</v>
      </c>
      <c r="N449" s="26" t="s">
        <v>394</v>
      </c>
      <c r="O449" s="26" t="s">
        <v>46</v>
      </c>
      <c r="P449" s="26" t="s">
        <v>430</v>
      </c>
      <c r="Q449" s="47">
        <f t="shared" si="95"/>
        <v>0</v>
      </c>
      <c r="R449" s="47">
        <f t="shared" si="96"/>
        <v>0</v>
      </c>
    </row>
    <row r="450" spans="13:18" x14ac:dyDescent="0.15">
      <c r="M450" s="46">
        <v>2021</v>
      </c>
      <c r="N450" s="26" t="s">
        <v>394</v>
      </c>
      <c r="O450" s="26" t="s">
        <v>39</v>
      </c>
      <c r="P450" s="26" t="s">
        <v>426</v>
      </c>
      <c r="Q450" s="47">
        <f t="shared" ref="Q450:Q513" si="101">SUMIFS(D:D,B:B,N450,C:C,P450,A:A,M450)*SUMIFS(K:K,G:G,N450,I:I,O450)</f>
        <v>0</v>
      </c>
      <c r="R450" s="47">
        <f t="shared" ref="R450:R513" si="102">SUMIFS(E:E,B:B,N450,C:C,P450,A:A,M450)*SUMIFS(K:K,G:G,N450,I:I,O450)</f>
        <v>0</v>
      </c>
    </row>
    <row r="451" spans="13:18" x14ac:dyDescent="0.15">
      <c r="M451" s="46">
        <v>2021</v>
      </c>
      <c r="N451" s="26" t="s">
        <v>394</v>
      </c>
      <c r="O451" s="26" t="s">
        <v>39</v>
      </c>
      <c r="P451" s="26" t="s">
        <v>428</v>
      </c>
      <c r="Q451" s="47">
        <f t="shared" si="101"/>
        <v>0</v>
      </c>
      <c r="R451" s="47">
        <f t="shared" si="102"/>
        <v>0</v>
      </c>
    </row>
    <row r="452" spans="13:18" x14ac:dyDescent="0.15">
      <c r="M452" s="46">
        <v>2021</v>
      </c>
      <c r="N452" s="26" t="s">
        <v>394</v>
      </c>
      <c r="O452" s="26" t="s">
        <v>39</v>
      </c>
      <c r="P452" s="26" t="s">
        <v>429</v>
      </c>
      <c r="Q452" s="47">
        <f t="shared" si="101"/>
        <v>5.2776187701463308E-3</v>
      </c>
      <c r="R452" s="47">
        <f t="shared" si="102"/>
        <v>1.7617374887394951E-2</v>
      </c>
    </row>
    <row r="453" spans="13:18" x14ac:dyDescent="0.15">
      <c r="M453" s="46">
        <v>2021</v>
      </c>
      <c r="N453" s="26" t="s">
        <v>394</v>
      </c>
      <c r="O453" s="26" t="s">
        <v>39</v>
      </c>
      <c r="P453" s="26" t="s">
        <v>430</v>
      </c>
      <c r="Q453" s="47">
        <f t="shared" si="101"/>
        <v>0</v>
      </c>
      <c r="R453" s="47">
        <f t="shared" si="102"/>
        <v>0</v>
      </c>
    </row>
    <row r="454" spans="13:18" x14ac:dyDescent="0.15">
      <c r="M454" s="46">
        <v>2021</v>
      </c>
      <c r="N454" s="26" t="s">
        <v>394</v>
      </c>
      <c r="O454" s="26" t="s">
        <v>37</v>
      </c>
      <c r="P454" s="26" t="s">
        <v>426</v>
      </c>
      <c r="Q454" s="47">
        <f t="shared" si="101"/>
        <v>0</v>
      </c>
      <c r="R454" s="47">
        <f t="shared" si="102"/>
        <v>0</v>
      </c>
    </row>
    <row r="455" spans="13:18" x14ac:dyDescent="0.15">
      <c r="M455" s="46">
        <v>2021</v>
      </c>
      <c r="N455" s="26" t="s">
        <v>394</v>
      </c>
      <c r="O455" s="26" t="s">
        <v>37</v>
      </c>
      <c r="P455" s="26" t="s">
        <v>428</v>
      </c>
      <c r="Q455" s="47">
        <f t="shared" si="101"/>
        <v>0</v>
      </c>
      <c r="R455" s="47">
        <f t="shared" si="102"/>
        <v>0</v>
      </c>
    </row>
    <row r="456" spans="13:18" x14ac:dyDescent="0.15">
      <c r="M456" s="46">
        <v>2021</v>
      </c>
      <c r="N456" s="26" t="s">
        <v>394</v>
      </c>
      <c r="O456" s="26" t="s">
        <v>37</v>
      </c>
      <c r="P456" s="26" t="s">
        <v>429</v>
      </c>
      <c r="Q456" s="47">
        <f t="shared" si="101"/>
        <v>7.9938622643319739E-3</v>
      </c>
      <c r="R456" s="47">
        <f t="shared" si="102"/>
        <v>2.6684547414748464E-2</v>
      </c>
    </row>
    <row r="457" spans="13:18" x14ac:dyDescent="0.15">
      <c r="M457" s="46">
        <v>2021</v>
      </c>
      <c r="N457" s="26" t="s">
        <v>394</v>
      </c>
      <c r="O457" s="26" t="s">
        <v>37</v>
      </c>
      <c r="P457" s="26" t="s">
        <v>430</v>
      </c>
      <c r="Q457" s="47">
        <f t="shared" si="101"/>
        <v>0</v>
      </c>
      <c r="R457" s="47">
        <f t="shared" si="102"/>
        <v>0</v>
      </c>
    </row>
    <row r="458" spans="13:18" x14ac:dyDescent="0.15">
      <c r="M458" s="46">
        <v>2021</v>
      </c>
      <c r="N458" s="26" t="s">
        <v>394</v>
      </c>
      <c r="O458" s="26" t="s">
        <v>393</v>
      </c>
      <c r="P458" s="26" t="s">
        <v>426</v>
      </c>
      <c r="Q458" s="47">
        <f t="shared" si="101"/>
        <v>0</v>
      </c>
      <c r="R458" s="47">
        <f t="shared" si="102"/>
        <v>0</v>
      </c>
    </row>
    <row r="459" spans="13:18" x14ac:dyDescent="0.15">
      <c r="M459" s="46">
        <v>2021</v>
      </c>
      <c r="N459" s="26" t="s">
        <v>394</v>
      </c>
      <c r="O459" s="26" t="s">
        <v>393</v>
      </c>
      <c r="P459" s="26" t="s">
        <v>428</v>
      </c>
      <c r="Q459" s="47">
        <f t="shared" si="101"/>
        <v>0</v>
      </c>
      <c r="R459" s="47">
        <f t="shared" si="102"/>
        <v>0</v>
      </c>
    </row>
    <row r="460" spans="13:18" x14ac:dyDescent="0.15">
      <c r="M460" s="46">
        <v>2021</v>
      </c>
      <c r="N460" s="26" t="s">
        <v>394</v>
      </c>
      <c r="O460" s="26" t="s">
        <v>393</v>
      </c>
      <c r="P460" s="26" t="s">
        <v>429</v>
      </c>
      <c r="Q460" s="47">
        <f t="shared" si="101"/>
        <v>7.9595423925958361E-3</v>
      </c>
      <c r="R460" s="47">
        <f t="shared" si="102"/>
        <v>2.65699832385933E-2</v>
      </c>
    </row>
    <row r="461" spans="13:18" x14ac:dyDescent="0.15">
      <c r="M461" s="46">
        <v>2021</v>
      </c>
      <c r="N461" s="26" t="s">
        <v>394</v>
      </c>
      <c r="O461" s="26" t="s">
        <v>393</v>
      </c>
      <c r="P461" s="26" t="s">
        <v>430</v>
      </c>
      <c r="Q461" s="47">
        <f t="shared" si="101"/>
        <v>0</v>
      </c>
      <c r="R461" s="47">
        <f t="shared" si="102"/>
        <v>0</v>
      </c>
    </row>
    <row r="462" spans="13:18" x14ac:dyDescent="0.15">
      <c r="M462" s="46">
        <v>2021</v>
      </c>
      <c r="N462" s="26" t="s">
        <v>396</v>
      </c>
      <c r="O462" s="26" t="s">
        <v>52</v>
      </c>
      <c r="P462" s="26" t="s">
        <v>426</v>
      </c>
      <c r="Q462" s="47">
        <f t="shared" si="101"/>
        <v>0</v>
      </c>
      <c r="R462" s="47">
        <f t="shared" si="102"/>
        <v>0</v>
      </c>
    </row>
    <row r="463" spans="13:18" x14ac:dyDescent="0.15">
      <c r="M463" s="46">
        <v>2021</v>
      </c>
      <c r="N463" s="26" t="s">
        <v>396</v>
      </c>
      <c r="O463" s="26" t="s">
        <v>52</v>
      </c>
      <c r="P463" s="26" t="s">
        <v>428</v>
      </c>
      <c r="Q463" s="47">
        <f t="shared" si="101"/>
        <v>0</v>
      </c>
      <c r="R463" s="47">
        <f t="shared" si="102"/>
        <v>0</v>
      </c>
    </row>
    <row r="464" spans="13:18" x14ac:dyDescent="0.15">
      <c r="M464" s="46">
        <v>2021</v>
      </c>
      <c r="N464" s="26" t="s">
        <v>396</v>
      </c>
      <c r="O464" s="26" t="s">
        <v>52</v>
      </c>
      <c r="P464" s="26" t="s">
        <v>429</v>
      </c>
      <c r="Q464" s="47">
        <f t="shared" si="101"/>
        <v>0</v>
      </c>
      <c r="R464" s="47">
        <f t="shared" si="102"/>
        <v>0</v>
      </c>
    </row>
    <row r="465" spans="13:18" x14ac:dyDescent="0.15">
      <c r="M465" s="46">
        <v>2021</v>
      </c>
      <c r="N465" s="26" t="s">
        <v>396</v>
      </c>
      <c r="O465" s="26" t="s">
        <v>52</v>
      </c>
      <c r="P465" s="26" t="s">
        <v>430</v>
      </c>
      <c r="Q465" s="47">
        <f t="shared" si="101"/>
        <v>0</v>
      </c>
      <c r="R465" s="47">
        <f t="shared" si="102"/>
        <v>0</v>
      </c>
    </row>
    <row r="466" spans="13:18" x14ac:dyDescent="0.15">
      <c r="M466" s="46">
        <v>2021</v>
      </c>
      <c r="N466" s="26" t="s">
        <v>398</v>
      </c>
      <c r="O466" s="26" t="s">
        <v>37</v>
      </c>
      <c r="P466" s="26" t="s">
        <v>426</v>
      </c>
      <c r="Q466" s="47">
        <f t="shared" si="101"/>
        <v>0</v>
      </c>
      <c r="R466" s="47">
        <f t="shared" si="102"/>
        <v>0</v>
      </c>
    </row>
    <row r="467" spans="13:18" x14ac:dyDescent="0.15">
      <c r="M467" s="46">
        <v>2021</v>
      </c>
      <c r="N467" s="26" t="s">
        <v>398</v>
      </c>
      <c r="O467" s="26" t="s">
        <v>37</v>
      </c>
      <c r="P467" s="26" t="s">
        <v>428</v>
      </c>
      <c r="Q467" s="47">
        <f t="shared" si="101"/>
        <v>1.060408314792719</v>
      </c>
      <c r="R467" s="47">
        <f t="shared" si="102"/>
        <v>3.9406412693786228</v>
      </c>
    </row>
    <row r="468" spans="13:18" x14ac:dyDescent="0.15">
      <c r="M468" s="46">
        <v>2021</v>
      </c>
      <c r="N468" s="26" t="s">
        <v>398</v>
      </c>
      <c r="O468" s="26" t="s">
        <v>37</v>
      </c>
      <c r="P468" s="26" t="s">
        <v>429</v>
      </c>
      <c r="Q468" s="47">
        <f t="shared" si="101"/>
        <v>0</v>
      </c>
      <c r="R468" s="47">
        <f t="shared" si="102"/>
        <v>0</v>
      </c>
    </row>
    <row r="469" spans="13:18" x14ac:dyDescent="0.15">
      <c r="M469" s="46">
        <v>2021</v>
      </c>
      <c r="N469" s="26" t="s">
        <v>398</v>
      </c>
      <c r="O469" s="26" t="s">
        <v>37</v>
      </c>
      <c r="P469" s="26" t="s">
        <v>430</v>
      </c>
      <c r="Q469" s="47">
        <f t="shared" si="101"/>
        <v>0.17640803758104384</v>
      </c>
      <c r="R469" s="47">
        <f t="shared" si="102"/>
        <v>3.9201786129120855</v>
      </c>
    </row>
    <row r="470" spans="13:18" x14ac:dyDescent="0.15">
      <c r="M470" s="46">
        <v>2021</v>
      </c>
      <c r="N470" s="26" t="s">
        <v>398</v>
      </c>
      <c r="O470" s="26" t="s">
        <v>393</v>
      </c>
      <c r="P470" s="26" t="s">
        <v>426</v>
      </c>
      <c r="Q470" s="47">
        <f t="shared" si="101"/>
        <v>0</v>
      </c>
      <c r="R470" s="47">
        <f t="shared" si="102"/>
        <v>0</v>
      </c>
    </row>
    <row r="471" spans="13:18" x14ac:dyDescent="0.15">
      <c r="M471" s="46">
        <v>2021</v>
      </c>
      <c r="N471" s="26" t="s">
        <v>398</v>
      </c>
      <c r="O471" s="26" t="s">
        <v>393</v>
      </c>
      <c r="P471" s="26" t="s">
        <v>428</v>
      </c>
      <c r="Q471" s="47">
        <f t="shared" si="101"/>
        <v>1.0558556872707263</v>
      </c>
      <c r="R471" s="47">
        <f t="shared" si="102"/>
        <v>3.9237230015312221</v>
      </c>
    </row>
    <row r="472" spans="13:18" x14ac:dyDescent="0.15">
      <c r="M472" s="46">
        <v>2021</v>
      </c>
      <c r="N472" s="26" t="s">
        <v>398</v>
      </c>
      <c r="O472" s="26" t="s">
        <v>393</v>
      </c>
      <c r="P472" s="26" t="s">
        <v>429</v>
      </c>
      <c r="Q472" s="47">
        <f t="shared" si="101"/>
        <v>0</v>
      </c>
      <c r="R472" s="47">
        <f t="shared" si="102"/>
        <v>0</v>
      </c>
    </row>
    <row r="473" spans="13:18" x14ac:dyDescent="0.15">
      <c r="M473" s="46">
        <v>2021</v>
      </c>
      <c r="N473" s="26" t="s">
        <v>398</v>
      </c>
      <c r="O473" s="26" t="s">
        <v>393</v>
      </c>
      <c r="P473" s="26" t="s">
        <v>430</v>
      </c>
      <c r="Q473" s="47">
        <f t="shared" si="101"/>
        <v>0.1756506688620432</v>
      </c>
      <c r="R473" s="47">
        <f t="shared" si="102"/>
        <v>3.9033481969342927</v>
      </c>
    </row>
    <row r="474" spans="13:18" x14ac:dyDescent="0.15">
      <c r="M474" s="46">
        <v>2021</v>
      </c>
      <c r="N474" s="26" t="s">
        <v>398</v>
      </c>
      <c r="O474" s="26" t="s">
        <v>41</v>
      </c>
      <c r="P474" s="26" t="s">
        <v>426</v>
      </c>
      <c r="Q474" s="47">
        <f t="shared" si="101"/>
        <v>0</v>
      </c>
      <c r="R474" s="47">
        <f t="shared" si="102"/>
        <v>0</v>
      </c>
    </row>
    <row r="475" spans="13:18" x14ac:dyDescent="0.15">
      <c r="M475" s="46">
        <v>2021</v>
      </c>
      <c r="N475" s="26" t="s">
        <v>398</v>
      </c>
      <c r="O475" s="26" t="s">
        <v>41</v>
      </c>
      <c r="P475" s="26" t="s">
        <v>428</v>
      </c>
      <c r="Q475" s="47">
        <f t="shared" si="101"/>
        <v>9.9299412385015131</v>
      </c>
      <c r="R475" s="47">
        <f t="shared" si="102"/>
        <v>36.901197115370273</v>
      </c>
    </row>
    <row r="476" spans="13:18" x14ac:dyDescent="0.15">
      <c r="M476" s="46">
        <v>2021</v>
      </c>
      <c r="N476" s="26" t="s">
        <v>398</v>
      </c>
      <c r="O476" s="26" t="s">
        <v>41</v>
      </c>
      <c r="P476" s="26" t="s">
        <v>429</v>
      </c>
      <c r="Q476" s="47">
        <f t="shared" si="101"/>
        <v>0</v>
      </c>
      <c r="R476" s="47">
        <f t="shared" si="102"/>
        <v>0</v>
      </c>
    </row>
    <row r="477" spans="13:18" x14ac:dyDescent="0.15">
      <c r="M477" s="46">
        <v>2021</v>
      </c>
      <c r="N477" s="26" t="s">
        <v>398</v>
      </c>
      <c r="O477" s="26" t="s">
        <v>41</v>
      </c>
      <c r="P477" s="26" t="s">
        <v>430</v>
      </c>
      <c r="Q477" s="47">
        <f t="shared" si="101"/>
        <v>1.6519310747969247</v>
      </c>
      <c r="R477" s="47">
        <f t="shared" si="102"/>
        <v>36.709579439931659</v>
      </c>
    </row>
    <row r="478" spans="13:18" x14ac:dyDescent="0.15">
      <c r="M478" s="46">
        <v>2021</v>
      </c>
      <c r="N478" s="26" t="s">
        <v>398</v>
      </c>
      <c r="O478" s="26" t="s">
        <v>45</v>
      </c>
      <c r="P478" s="26" t="s">
        <v>426</v>
      </c>
      <c r="Q478" s="47">
        <f t="shared" si="101"/>
        <v>0</v>
      </c>
      <c r="R478" s="47">
        <f t="shared" si="102"/>
        <v>0</v>
      </c>
    </row>
    <row r="479" spans="13:18" x14ac:dyDescent="0.15">
      <c r="M479" s="46">
        <v>2021</v>
      </c>
      <c r="N479" s="26" t="s">
        <v>398</v>
      </c>
      <c r="O479" s="26" t="s">
        <v>45</v>
      </c>
      <c r="P479" s="26" t="s">
        <v>428</v>
      </c>
      <c r="Q479" s="47">
        <f t="shared" si="101"/>
        <v>15.915436322630038</v>
      </c>
      <c r="R479" s="47">
        <f t="shared" si="102"/>
        <v>59.144222388885119</v>
      </c>
    </row>
    <row r="480" spans="13:18" x14ac:dyDescent="0.15">
      <c r="M480" s="46">
        <v>2021</v>
      </c>
      <c r="N480" s="26" t="s">
        <v>398</v>
      </c>
      <c r="O480" s="26" t="s">
        <v>45</v>
      </c>
      <c r="P480" s="26" t="s">
        <v>429</v>
      </c>
      <c r="Q480" s="47">
        <f t="shared" si="101"/>
        <v>0</v>
      </c>
      <c r="R480" s="47">
        <f t="shared" si="102"/>
        <v>0</v>
      </c>
    </row>
    <row r="481" spans="13:18" x14ac:dyDescent="0.15">
      <c r="M481" s="46">
        <v>2021</v>
      </c>
      <c r="N481" s="26" t="s">
        <v>398</v>
      </c>
      <c r="O481" s="26" t="s">
        <v>45</v>
      </c>
      <c r="P481" s="26" t="s">
        <v>430</v>
      </c>
      <c r="Q481" s="47">
        <f t="shared" si="101"/>
        <v>2.6476696285336478</v>
      </c>
      <c r="R481" s="47">
        <f t="shared" si="102"/>
        <v>58.837102856303282</v>
      </c>
    </row>
    <row r="482" spans="13:18" x14ac:dyDescent="0.15">
      <c r="M482" s="46">
        <v>2021</v>
      </c>
      <c r="N482" s="26" t="s">
        <v>398</v>
      </c>
      <c r="O482" s="26" t="s">
        <v>46</v>
      </c>
      <c r="P482" s="26" t="s">
        <v>426</v>
      </c>
      <c r="Q482" s="47">
        <f t="shared" si="101"/>
        <v>0</v>
      </c>
      <c r="R482" s="47">
        <f t="shared" si="102"/>
        <v>0</v>
      </c>
    </row>
    <row r="483" spans="13:18" x14ac:dyDescent="0.15">
      <c r="M483" s="46">
        <v>2021</v>
      </c>
      <c r="N483" s="26" t="s">
        <v>398</v>
      </c>
      <c r="O483" s="26" t="s">
        <v>46</v>
      </c>
      <c r="P483" s="26" t="s">
        <v>428</v>
      </c>
      <c r="Q483" s="47">
        <f t="shared" si="101"/>
        <v>2.7010378873164123</v>
      </c>
      <c r="R483" s="47">
        <f t="shared" si="102"/>
        <v>10.037474452465865</v>
      </c>
    </row>
    <row r="484" spans="13:18" x14ac:dyDescent="0.15">
      <c r="M484" s="46">
        <v>2021</v>
      </c>
      <c r="N484" s="26" t="s">
        <v>398</v>
      </c>
      <c r="O484" s="26" t="s">
        <v>46</v>
      </c>
      <c r="P484" s="26" t="s">
        <v>429</v>
      </c>
      <c r="Q484" s="47">
        <f t="shared" si="101"/>
        <v>0</v>
      </c>
      <c r="R484" s="47">
        <f t="shared" si="102"/>
        <v>0</v>
      </c>
    </row>
    <row r="485" spans="13:18" x14ac:dyDescent="0.15">
      <c r="M485" s="46">
        <v>2021</v>
      </c>
      <c r="N485" s="26" t="s">
        <v>398</v>
      </c>
      <c r="O485" s="26" t="s">
        <v>46</v>
      </c>
      <c r="P485" s="26" t="s">
        <v>430</v>
      </c>
      <c r="Q485" s="47">
        <f t="shared" si="101"/>
        <v>0.44934086849995769</v>
      </c>
      <c r="R485" s="47">
        <f t="shared" si="102"/>
        <v>9.9853526333323916</v>
      </c>
    </row>
    <row r="486" spans="13:18" x14ac:dyDescent="0.15">
      <c r="M486" s="46">
        <v>2021</v>
      </c>
      <c r="N486" s="26" t="s">
        <v>404</v>
      </c>
      <c r="O486" s="26" t="s">
        <v>35</v>
      </c>
      <c r="P486" s="26" t="s">
        <v>426</v>
      </c>
      <c r="Q486" s="47">
        <f t="shared" si="101"/>
        <v>0</v>
      </c>
      <c r="R486" s="47">
        <f t="shared" si="102"/>
        <v>0</v>
      </c>
    </row>
    <row r="487" spans="13:18" x14ac:dyDescent="0.15">
      <c r="M487" s="46">
        <v>2021</v>
      </c>
      <c r="N487" s="26" t="s">
        <v>404</v>
      </c>
      <c r="O487" s="26" t="s">
        <v>35</v>
      </c>
      <c r="P487" s="26" t="s">
        <v>428</v>
      </c>
      <c r="Q487" s="47">
        <f t="shared" si="101"/>
        <v>0</v>
      </c>
      <c r="R487" s="47">
        <f t="shared" si="102"/>
        <v>0</v>
      </c>
    </row>
    <row r="488" spans="13:18" x14ac:dyDescent="0.15">
      <c r="M488" s="46">
        <v>2021</v>
      </c>
      <c r="N488" s="26" t="s">
        <v>404</v>
      </c>
      <c r="O488" s="26" t="s">
        <v>35</v>
      </c>
      <c r="P488" s="26" t="s">
        <v>429</v>
      </c>
      <c r="Q488" s="47">
        <f t="shared" si="101"/>
        <v>0</v>
      </c>
      <c r="R488" s="47">
        <f t="shared" si="102"/>
        <v>0</v>
      </c>
    </row>
    <row r="489" spans="13:18" x14ac:dyDescent="0.15">
      <c r="M489" s="46">
        <v>2021</v>
      </c>
      <c r="N489" s="26" t="s">
        <v>404</v>
      </c>
      <c r="O489" s="26" t="s">
        <v>35</v>
      </c>
      <c r="P489" s="26" t="s">
        <v>430</v>
      </c>
      <c r="Q489" s="47">
        <f t="shared" si="101"/>
        <v>1.5475378301837883</v>
      </c>
      <c r="R489" s="47">
        <f t="shared" si="102"/>
        <v>7.7376891509189418</v>
      </c>
    </row>
    <row r="490" spans="13:18" x14ac:dyDescent="0.15">
      <c r="M490" s="46">
        <v>2021</v>
      </c>
      <c r="N490" s="26" t="s">
        <v>404</v>
      </c>
      <c r="O490" s="26" t="s">
        <v>40</v>
      </c>
      <c r="P490" s="26" t="s">
        <v>426</v>
      </c>
      <c r="Q490" s="47">
        <f t="shared" si="101"/>
        <v>0</v>
      </c>
      <c r="R490" s="47">
        <f t="shared" si="102"/>
        <v>0</v>
      </c>
    </row>
    <row r="491" spans="13:18" x14ac:dyDescent="0.15">
      <c r="M491" s="46">
        <v>2021</v>
      </c>
      <c r="N491" s="26" t="s">
        <v>404</v>
      </c>
      <c r="O491" s="26" t="s">
        <v>40</v>
      </c>
      <c r="P491" s="26" t="s">
        <v>428</v>
      </c>
      <c r="Q491" s="47">
        <f t="shared" si="101"/>
        <v>0</v>
      </c>
      <c r="R491" s="47">
        <f t="shared" si="102"/>
        <v>0</v>
      </c>
    </row>
    <row r="492" spans="13:18" x14ac:dyDescent="0.15">
      <c r="M492" s="46">
        <v>2021</v>
      </c>
      <c r="N492" s="26" t="s">
        <v>404</v>
      </c>
      <c r="O492" s="26" t="s">
        <v>40</v>
      </c>
      <c r="P492" s="26" t="s">
        <v>429</v>
      </c>
      <c r="Q492" s="47">
        <f t="shared" si="101"/>
        <v>0</v>
      </c>
      <c r="R492" s="47">
        <f t="shared" si="102"/>
        <v>0</v>
      </c>
    </row>
    <row r="493" spans="13:18" x14ac:dyDescent="0.15">
      <c r="M493" s="46">
        <v>2021</v>
      </c>
      <c r="N493" s="26" t="s">
        <v>404</v>
      </c>
      <c r="O493" s="26" t="s">
        <v>40</v>
      </c>
      <c r="P493" s="26" t="s">
        <v>430</v>
      </c>
      <c r="Q493" s="47">
        <f t="shared" si="101"/>
        <v>32.589030846396348</v>
      </c>
      <c r="R493" s="47">
        <f t="shared" si="102"/>
        <v>162.94515423198172</v>
      </c>
    </row>
    <row r="494" spans="13:18" x14ac:dyDescent="0.15">
      <c r="M494" s="46">
        <v>2021</v>
      </c>
      <c r="N494" s="26" t="s">
        <v>404</v>
      </c>
      <c r="O494" s="26" t="s">
        <v>41</v>
      </c>
      <c r="P494" s="26" t="s">
        <v>426</v>
      </c>
      <c r="Q494" s="47">
        <f t="shared" si="101"/>
        <v>0</v>
      </c>
      <c r="R494" s="47">
        <f t="shared" si="102"/>
        <v>0</v>
      </c>
    </row>
    <row r="495" spans="13:18" x14ac:dyDescent="0.15">
      <c r="M495" s="46">
        <v>2021</v>
      </c>
      <c r="N495" s="26" t="s">
        <v>404</v>
      </c>
      <c r="O495" s="26" t="s">
        <v>41</v>
      </c>
      <c r="P495" s="26" t="s">
        <v>428</v>
      </c>
      <c r="Q495" s="47">
        <f t="shared" si="101"/>
        <v>0</v>
      </c>
      <c r="R495" s="47">
        <f t="shared" si="102"/>
        <v>0</v>
      </c>
    </row>
    <row r="496" spans="13:18" x14ac:dyDescent="0.15">
      <c r="M496" s="46">
        <v>2021</v>
      </c>
      <c r="N496" s="26" t="s">
        <v>404</v>
      </c>
      <c r="O496" s="26" t="s">
        <v>41</v>
      </c>
      <c r="P496" s="26" t="s">
        <v>429</v>
      </c>
      <c r="Q496" s="47">
        <f t="shared" si="101"/>
        <v>0</v>
      </c>
      <c r="R496" s="47">
        <f t="shared" si="102"/>
        <v>0</v>
      </c>
    </row>
    <row r="497" spans="13:18" x14ac:dyDescent="0.15">
      <c r="M497" s="46">
        <v>2021</v>
      </c>
      <c r="N497" s="26" t="s">
        <v>404</v>
      </c>
      <c r="O497" s="26" t="s">
        <v>41</v>
      </c>
      <c r="P497" s="26" t="s">
        <v>430</v>
      </c>
      <c r="Q497" s="47">
        <f t="shared" si="101"/>
        <v>9.2907845768105144</v>
      </c>
      <c r="R497" s="47">
        <f t="shared" si="102"/>
        <v>46.453922884052574</v>
      </c>
    </row>
    <row r="498" spans="13:18" x14ac:dyDescent="0.15">
      <c r="M498" s="46">
        <v>2021</v>
      </c>
      <c r="N498" s="26" t="s">
        <v>404</v>
      </c>
      <c r="O498" s="26" t="s">
        <v>45</v>
      </c>
      <c r="P498" s="26" t="s">
        <v>426</v>
      </c>
      <c r="Q498" s="47">
        <f t="shared" si="101"/>
        <v>0</v>
      </c>
      <c r="R498" s="47">
        <f t="shared" si="102"/>
        <v>0</v>
      </c>
    </row>
    <row r="499" spans="13:18" x14ac:dyDescent="0.15">
      <c r="M499" s="46">
        <v>2021</v>
      </c>
      <c r="N499" s="26" t="s">
        <v>404</v>
      </c>
      <c r="O499" s="26" t="s">
        <v>45</v>
      </c>
      <c r="P499" s="26" t="s">
        <v>428</v>
      </c>
      <c r="Q499" s="47">
        <f t="shared" si="101"/>
        <v>0</v>
      </c>
      <c r="R499" s="47">
        <f t="shared" si="102"/>
        <v>0</v>
      </c>
    </row>
    <row r="500" spans="13:18" x14ac:dyDescent="0.15">
      <c r="M500" s="46">
        <v>2021</v>
      </c>
      <c r="N500" s="26" t="s">
        <v>404</v>
      </c>
      <c r="O500" s="26" t="s">
        <v>45</v>
      </c>
      <c r="P500" s="26" t="s">
        <v>429</v>
      </c>
      <c r="Q500" s="47">
        <f t="shared" si="101"/>
        <v>0</v>
      </c>
      <c r="R500" s="47">
        <f t="shared" si="102"/>
        <v>0</v>
      </c>
    </row>
    <row r="501" spans="13:18" x14ac:dyDescent="0.15">
      <c r="M501" s="46">
        <v>2021</v>
      </c>
      <c r="N501" s="26" t="s">
        <v>404</v>
      </c>
      <c r="O501" s="26" t="s">
        <v>45</v>
      </c>
      <c r="P501" s="26" t="s">
        <v>430</v>
      </c>
      <c r="Q501" s="47">
        <f t="shared" si="101"/>
        <v>14.891013629181858</v>
      </c>
      <c r="R501" s="47">
        <f t="shared" si="102"/>
        <v>74.455068145909294</v>
      </c>
    </row>
    <row r="502" spans="13:18" x14ac:dyDescent="0.15">
      <c r="M502" s="46">
        <v>2021</v>
      </c>
      <c r="N502" s="26" t="s">
        <v>406</v>
      </c>
      <c r="O502" s="26" t="s">
        <v>40</v>
      </c>
      <c r="P502" s="26" t="s">
        <v>426</v>
      </c>
      <c r="Q502" s="47">
        <f t="shared" si="101"/>
        <v>0</v>
      </c>
      <c r="R502" s="47">
        <f t="shared" si="102"/>
        <v>0</v>
      </c>
    </row>
    <row r="503" spans="13:18" x14ac:dyDescent="0.15">
      <c r="M503" s="46">
        <v>2021</v>
      </c>
      <c r="N503" s="26" t="s">
        <v>406</v>
      </c>
      <c r="O503" s="26" t="s">
        <v>40</v>
      </c>
      <c r="P503" s="26" t="s">
        <v>428</v>
      </c>
      <c r="Q503" s="47">
        <f t="shared" si="101"/>
        <v>0</v>
      </c>
      <c r="R503" s="47">
        <f t="shared" si="102"/>
        <v>0</v>
      </c>
    </row>
    <row r="504" spans="13:18" x14ac:dyDescent="0.15">
      <c r="M504" s="46">
        <v>2021</v>
      </c>
      <c r="N504" s="26" t="s">
        <v>406</v>
      </c>
      <c r="O504" s="26" t="s">
        <v>40</v>
      </c>
      <c r="P504" s="26" t="s">
        <v>429</v>
      </c>
      <c r="Q504" s="47">
        <f t="shared" si="101"/>
        <v>0</v>
      </c>
      <c r="R504" s="47">
        <f t="shared" si="102"/>
        <v>0</v>
      </c>
    </row>
    <row r="505" spans="13:18" x14ac:dyDescent="0.15">
      <c r="M505" s="46">
        <v>2021</v>
      </c>
      <c r="N505" s="26" t="s">
        <v>406</v>
      </c>
      <c r="O505" s="26" t="s">
        <v>40</v>
      </c>
      <c r="P505" s="26" t="s">
        <v>430</v>
      </c>
      <c r="Q505" s="47">
        <f t="shared" si="101"/>
        <v>2.655622975560433</v>
      </c>
      <c r="R505" s="47">
        <f t="shared" si="102"/>
        <v>24.431731375155984</v>
      </c>
    </row>
    <row r="506" spans="13:18" x14ac:dyDescent="0.15">
      <c r="M506" s="46">
        <v>2021</v>
      </c>
      <c r="N506" s="26" t="s">
        <v>406</v>
      </c>
      <c r="O506" s="26" t="s">
        <v>45</v>
      </c>
      <c r="P506" s="26" t="s">
        <v>426</v>
      </c>
      <c r="Q506" s="47">
        <f t="shared" si="101"/>
        <v>0</v>
      </c>
      <c r="R506" s="47">
        <f t="shared" si="102"/>
        <v>0</v>
      </c>
    </row>
    <row r="507" spans="13:18" x14ac:dyDescent="0.15">
      <c r="M507" s="46">
        <v>2021</v>
      </c>
      <c r="N507" s="26" t="s">
        <v>406</v>
      </c>
      <c r="O507" s="26" t="s">
        <v>45</v>
      </c>
      <c r="P507" s="26" t="s">
        <v>428</v>
      </c>
      <c r="Q507" s="47">
        <f t="shared" si="101"/>
        <v>0</v>
      </c>
      <c r="R507" s="47">
        <f t="shared" si="102"/>
        <v>0</v>
      </c>
    </row>
    <row r="508" spans="13:18" x14ac:dyDescent="0.15">
      <c r="M508" s="46">
        <v>2021</v>
      </c>
      <c r="N508" s="26" t="s">
        <v>406</v>
      </c>
      <c r="O508" s="26" t="s">
        <v>45</v>
      </c>
      <c r="P508" s="26" t="s">
        <v>429</v>
      </c>
      <c r="Q508" s="47">
        <f t="shared" si="101"/>
        <v>0</v>
      </c>
      <c r="R508" s="47">
        <f t="shared" si="102"/>
        <v>0</v>
      </c>
    </row>
    <row r="509" spans="13:18" x14ac:dyDescent="0.15">
      <c r="M509" s="46">
        <v>2021</v>
      </c>
      <c r="N509" s="26" t="s">
        <v>406</v>
      </c>
      <c r="O509" s="26" t="s">
        <v>45</v>
      </c>
      <c r="P509" s="26" t="s">
        <v>430</v>
      </c>
      <c r="Q509" s="47">
        <f t="shared" si="101"/>
        <v>1.2134425877660526</v>
      </c>
      <c r="R509" s="47">
        <f t="shared" si="102"/>
        <v>11.163671807447685</v>
      </c>
    </row>
    <row r="510" spans="13:18" x14ac:dyDescent="0.15">
      <c r="M510" s="46">
        <v>2021</v>
      </c>
      <c r="N510" s="26" t="s">
        <v>406</v>
      </c>
      <c r="O510" s="26" t="s">
        <v>46</v>
      </c>
      <c r="P510" s="26" t="s">
        <v>426</v>
      </c>
      <c r="Q510" s="47">
        <f t="shared" si="101"/>
        <v>0</v>
      </c>
      <c r="R510" s="47">
        <f t="shared" si="102"/>
        <v>0</v>
      </c>
    </row>
    <row r="511" spans="13:18" x14ac:dyDescent="0.15">
      <c r="M511" s="46">
        <v>2021</v>
      </c>
      <c r="N511" s="26" t="s">
        <v>406</v>
      </c>
      <c r="O511" s="26" t="s">
        <v>46</v>
      </c>
      <c r="P511" s="26" t="s">
        <v>428</v>
      </c>
      <c r="Q511" s="47">
        <f t="shared" si="101"/>
        <v>0</v>
      </c>
      <c r="R511" s="47">
        <f t="shared" si="102"/>
        <v>0</v>
      </c>
    </row>
    <row r="512" spans="13:18" x14ac:dyDescent="0.15">
      <c r="M512" s="46">
        <v>2021</v>
      </c>
      <c r="N512" s="26" t="s">
        <v>406</v>
      </c>
      <c r="O512" s="26" t="s">
        <v>46</v>
      </c>
      <c r="P512" s="26" t="s">
        <v>429</v>
      </c>
      <c r="Q512" s="47">
        <f t="shared" si="101"/>
        <v>0</v>
      </c>
      <c r="R512" s="47">
        <f t="shared" si="102"/>
        <v>0</v>
      </c>
    </row>
    <row r="513" spans="13:18" x14ac:dyDescent="0.15">
      <c r="M513" s="46">
        <v>2021</v>
      </c>
      <c r="N513" s="26" t="s">
        <v>406</v>
      </c>
      <c r="O513" s="26" t="s">
        <v>46</v>
      </c>
      <c r="P513" s="26" t="s">
        <v>430</v>
      </c>
      <c r="Q513" s="47">
        <f t="shared" si="101"/>
        <v>0.20593556703054686</v>
      </c>
      <c r="R513" s="47">
        <f t="shared" si="102"/>
        <v>1.8946072166810313</v>
      </c>
    </row>
    <row r="514" spans="13:18" x14ac:dyDescent="0.15">
      <c r="M514" s="46">
        <v>2021</v>
      </c>
      <c r="N514" s="26" t="s">
        <v>406</v>
      </c>
      <c r="O514" s="26" t="s">
        <v>39</v>
      </c>
      <c r="P514" s="26" t="s">
        <v>426</v>
      </c>
      <c r="Q514" s="47">
        <f t="shared" ref="Q514:Q577" si="103">SUMIFS(D:D,B:B,N514,C:C,P514,A:A,M514)*SUMIFS(K:K,G:G,N514,I:I,O514)</f>
        <v>0</v>
      </c>
      <c r="R514" s="47">
        <f t="shared" ref="R514:R577" si="104">SUMIFS(E:E,B:B,N514,C:C,P514,A:A,M514)*SUMIFS(K:K,G:G,N514,I:I,O514)</f>
        <v>0</v>
      </c>
    </row>
    <row r="515" spans="13:18" x14ac:dyDescent="0.15">
      <c r="M515" s="46">
        <v>2021</v>
      </c>
      <c r="N515" s="26" t="s">
        <v>406</v>
      </c>
      <c r="O515" s="26" t="s">
        <v>39</v>
      </c>
      <c r="P515" s="26" t="s">
        <v>428</v>
      </c>
      <c r="Q515" s="47">
        <f t="shared" si="103"/>
        <v>0</v>
      </c>
      <c r="R515" s="47">
        <f t="shared" si="104"/>
        <v>0</v>
      </c>
    </row>
    <row r="516" spans="13:18" x14ac:dyDescent="0.15">
      <c r="M516" s="46">
        <v>2021</v>
      </c>
      <c r="N516" s="26" t="s">
        <v>406</v>
      </c>
      <c r="O516" s="26" t="s">
        <v>39</v>
      </c>
      <c r="P516" s="26" t="s">
        <v>429</v>
      </c>
      <c r="Q516" s="47">
        <f t="shared" si="103"/>
        <v>0</v>
      </c>
      <c r="R516" s="47">
        <f t="shared" si="104"/>
        <v>0</v>
      </c>
    </row>
    <row r="517" spans="13:18" x14ac:dyDescent="0.15">
      <c r="M517" s="46">
        <v>2021</v>
      </c>
      <c r="N517" s="26" t="s">
        <v>406</v>
      </c>
      <c r="O517" s="26" t="s">
        <v>39</v>
      </c>
      <c r="P517" s="26" t="s">
        <v>430</v>
      </c>
      <c r="Q517" s="47">
        <f t="shared" si="103"/>
        <v>5.3377123132620476E-2</v>
      </c>
      <c r="R517" s="47">
        <f t="shared" si="104"/>
        <v>0.4910695328201084</v>
      </c>
    </row>
    <row r="518" spans="13:18" x14ac:dyDescent="0.15">
      <c r="M518" s="46">
        <v>2021</v>
      </c>
      <c r="N518" s="26" t="s">
        <v>406</v>
      </c>
      <c r="O518" s="26" t="s">
        <v>408</v>
      </c>
      <c r="P518" s="26" t="s">
        <v>426</v>
      </c>
      <c r="Q518" s="47">
        <f t="shared" si="103"/>
        <v>0</v>
      </c>
      <c r="R518" s="47">
        <f t="shared" si="104"/>
        <v>0</v>
      </c>
    </row>
    <row r="519" spans="13:18" x14ac:dyDescent="0.15">
      <c r="M519" s="46">
        <v>2021</v>
      </c>
      <c r="N519" s="26" t="s">
        <v>406</v>
      </c>
      <c r="O519" s="26" t="s">
        <v>408</v>
      </c>
      <c r="P519" s="26" t="s">
        <v>428</v>
      </c>
      <c r="Q519" s="47">
        <f t="shared" si="103"/>
        <v>0</v>
      </c>
      <c r="R519" s="47">
        <f t="shared" si="104"/>
        <v>0</v>
      </c>
    </row>
    <row r="520" spans="13:18" x14ac:dyDescent="0.15">
      <c r="M520" s="46">
        <v>2021</v>
      </c>
      <c r="N520" s="26" t="s">
        <v>406</v>
      </c>
      <c r="O520" s="26" t="s">
        <v>408</v>
      </c>
      <c r="P520" s="26" t="s">
        <v>429</v>
      </c>
      <c r="Q520" s="47">
        <f t="shared" si="103"/>
        <v>0</v>
      </c>
      <c r="R520" s="47">
        <f t="shared" si="104"/>
        <v>0</v>
      </c>
    </row>
    <row r="521" spans="13:18" x14ac:dyDescent="0.15">
      <c r="M521" s="46">
        <v>2021</v>
      </c>
      <c r="N521" s="26" t="s">
        <v>406</v>
      </c>
      <c r="O521" s="26" t="s">
        <v>408</v>
      </c>
      <c r="P521" s="26" t="s">
        <v>430</v>
      </c>
      <c r="Q521" s="47">
        <f t="shared" si="103"/>
        <v>2.4588412682390762E-2</v>
      </c>
      <c r="R521" s="47">
        <f t="shared" si="104"/>
        <v>0.22621339667799503</v>
      </c>
    </row>
    <row r="522" spans="13:18" x14ac:dyDescent="0.15">
      <c r="M522" s="46">
        <v>2021</v>
      </c>
      <c r="N522" s="26" t="s">
        <v>409</v>
      </c>
      <c r="O522" s="26" t="s">
        <v>45</v>
      </c>
      <c r="P522" s="26" t="s">
        <v>426</v>
      </c>
      <c r="Q522" s="47">
        <f t="shared" si="103"/>
        <v>0</v>
      </c>
      <c r="R522" s="47">
        <f t="shared" si="104"/>
        <v>0</v>
      </c>
    </row>
    <row r="523" spans="13:18" x14ac:dyDescent="0.15">
      <c r="M523" s="46">
        <v>2021</v>
      </c>
      <c r="N523" s="26" t="s">
        <v>409</v>
      </c>
      <c r="O523" s="26" t="s">
        <v>45</v>
      </c>
      <c r="P523" s="26" t="s">
        <v>428</v>
      </c>
      <c r="Q523" s="47">
        <f t="shared" si="103"/>
        <v>0</v>
      </c>
      <c r="R523" s="47">
        <f t="shared" si="104"/>
        <v>0</v>
      </c>
    </row>
    <row r="524" spans="13:18" x14ac:dyDescent="0.15">
      <c r="M524" s="46">
        <v>2021</v>
      </c>
      <c r="N524" s="26" t="s">
        <v>409</v>
      </c>
      <c r="O524" s="26" t="s">
        <v>45</v>
      </c>
      <c r="P524" s="26" t="s">
        <v>429</v>
      </c>
      <c r="Q524" s="47">
        <f t="shared" si="103"/>
        <v>1.2217113955293866</v>
      </c>
      <c r="R524" s="47">
        <f t="shared" si="104"/>
        <v>8.6392448683863776</v>
      </c>
    </row>
    <row r="525" spans="13:18" x14ac:dyDescent="0.15">
      <c r="M525" s="46">
        <v>2021</v>
      </c>
      <c r="N525" s="26" t="s">
        <v>409</v>
      </c>
      <c r="O525" s="26" t="s">
        <v>45</v>
      </c>
      <c r="P525" s="26" t="s">
        <v>430</v>
      </c>
      <c r="Q525" s="47">
        <f t="shared" si="103"/>
        <v>3.3198679226342032</v>
      </c>
      <c r="R525" s="47">
        <f t="shared" si="104"/>
        <v>28.218877342390726</v>
      </c>
    </row>
    <row r="526" spans="13:18" x14ac:dyDescent="0.15">
      <c r="M526" s="46">
        <v>2021</v>
      </c>
      <c r="N526" s="26" t="s">
        <v>409</v>
      </c>
      <c r="O526" s="26" t="s">
        <v>40</v>
      </c>
      <c r="P526" s="26" t="s">
        <v>426</v>
      </c>
      <c r="Q526" s="47">
        <f t="shared" si="103"/>
        <v>0</v>
      </c>
      <c r="R526" s="47">
        <f t="shared" si="104"/>
        <v>0</v>
      </c>
    </row>
    <row r="527" spans="13:18" x14ac:dyDescent="0.15">
      <c r="M527" s="46">
        <v>2021</v>
      </c>
      <c r="N527" s="26" t="s">
        <v>409</v>
      </c>
      <c r="O527" s="26" t="s">
        <v>40</v>
      </c>
      <c r="P527" s="26" t="s">
        <v>428</v>
      </c>
      <c r="Q527" s="47">
        <f t="shared" si="103"/>
        <v>0</v>
      </c>
      <c r="R527" s="47">
        <f t="shared" si="104"/>
        <v>0</v>
      </c>
    </row>
    <row r="528" spans="13:18" x14ac:dyDescent="0.15">
      <c r="M528" s="46">
        <v>2021</v>
      </c>
      <c r="N528" s="26" t="s">
        <v>409</v>
      </c>
      <c r="O528" s="26" t="s">
        <v>40</v>
      </c>
      <c r="P528" s="26" t="s">
        <v>429</v>
      </c>
      <c r="Q528" s="47">
        <f t="shared" si="103"/>
        <v>2.6737192877372031</v>
      </c>
      <c r="R528" s="47">
        <f t="shared" si="104"/>
        <v>18.90701496328451</v>
      </c>
    </row>
    <row r="529" spans="13:18" x14ac:dyDescent="0.15">
      <c r="M529" s="46">
        <v>2021</v>
      </c>
      <c r="N529" s="26" t="s">
        <v>409</v>
      </c>
      <c r="O529" s="26" t="s">
        <v>40</v>
      </c>
      <c r="P529" s="26" t="s">
        <v>430</v>
      </c>
      <c r="Q529" s="47">
        <f t="shared" si="103"/>
        <v>7.2655415427641392</v>
      </c>
      <c r="R529" s="47">
        <f t="shared" si="104"/>
        <v>61.757103113495184</v>
      </c>
    </row>
    <row r="530" spans="13:18" x14ac:dyDescent="0.15">
      <c r="M530" s="46">
        <v>2021</v>
      </c>
      <c r="N530" s="26" t="s">
        <v>409</v>
      </c>
      <c r="O530" s="26" t="s">
        <v>46</v>
      </c>
      <c r="P530" s="26" t="s">
        <v>426</v>
      </c>
      <c r="Q530" s="47">
        <f t="shared" si="103"/>
        <v>0</v>
      </c>
      <c r="R530" s="47">
        <f t="shared" si="104"/>
        <v>0</v>
      </c>
    </row>
    <row r="531" spans="13:18" x14ac:dyDescent="0.15">
      <c r="M531" s="46">
        <v>2021</v>
      </c>
      <c r="N531" s="26" t="s">
        <v>409</v>
      </c>
      <c r="O531" s="26" t="s">
        <v>46</v>
      </c>
      <c r="P531" s="26" t="s">
        <v>428</v>
      </c>
      <c r="Q531" s="47">
        <f t="shared" si="103"/>
        <v>0</v>
      </c>
      <c r="R531" s="47">
        <f t="shared" si="104"/>
        <v>0</v>
      </c>
    </row>
    <row r="532" spans="13:18" x14ac:dyDescent="0.15">
      <c r="M532" s="46">
        <v>2021</v>
      </c>
      <c r="N532" s="26" t="s">
        <v>409</v>
      </c>
      <c r="O532" s="26" t="s">
        <v>46</v>
      </c>
      <c r="P532" s="26" t="s">
        <v>429</v>
      </c>
      <c r="Q532" s="47">
        <f t="shared" si="103"/>
        <v>0.20733888156110389</v>
      </c>
      <c r="R532" s="47">
        <f t="shared" si="104"/>
        <v>1.4661820910392349</v>
      </c>
    </row>
    <row r="533" spans="13:18" x14ac:dyDescent="0.15">
      <c r="M533" s="46">
        <v>2021</v>
      </c>
      <c r="N533" s="26" t="s">
        <v>409</v>
      </c>
      <c r="O533" s="26" t="s">
        <v>46</v>
      </c>
      <c r="P533" s="26" t="s">
        <v>430</v>
      </c>
      <c r="Q533" s="47">
        <f t="shared" si="103"/>
        <v>0.56342087380734751</v>
      </c>
      <c r="R533" s="47">
        <f t="shared" si="104"/>
        <v>4.7890774273624546</v>
      </c>
    </row>
    <row r="534" spans="13:18" x14ac:dyDescent="0.15">
      <c r="M534" s="46">
        <v>2021</v>
      </c>
      <c r="N534" s="26" t="s">
        <v>409</v>
      </c>
      <c r="O534" s="26" t="s">
        <v>44</v>
      </c>
      <c r="P534" s="26" t="s">
        <v>426</v>
      </c>
      <c r="Q534" s="47">
        <f t="shared" si="103"/>
        <v>0</v>
      </c>
      <c r="R534" s="47">
        <f t="shared" si="104"/>
        <v>0</v>
      </c>
    </row>
    <row r="535" spans="13:18" x14ac:dyDescent="0.15">
      <c r="M535" s="46">
        <v>2021</v>
      </c>
      <c r="N535" s="26" t="s">
        <v>409</v>
      </c>
      <c r="O535" s="26" t="s">
        <v>44</v>
      </c>
      <c r="P535" s="26" t="s">
        <v>428</v>
      </c>
      <c r="Q535" s="47">
        <f t="shared" si="103"/>
        <v>0</v>
      </c>
      <c r="R535" s="47">
        <f t="shared" si="104"/>
        <v>0</v>
      </c>
    </row>
    <row r="536" spans="13:18" x14ac:dyDescent="0.15">
      <c r="M536" s="46">
        <v>2021</v>
      </c>
      <c r="N536" s="26" t="s">
        <v>409</v>
      </c>
      <c r="O536" s="26" t="s">
        <v>44</v>
      </c>
      <c r="P536" s="26" t="s">
        <v>429</v>
      </c>
      <c r="Q536" s="47">
        <f t="shared" si="103"/>
        <v>0.49723043517230631</v>
      </c>
      <c r="R536" s="47">
        <f t="shared" si="104"/>
        <v>3.5161295058613096</v>
      </c>
    </row>
    <row r="537" spans="13:18" x14ac:dyDescent="0.15">
      <c r="M537" s="46">
        <v>2021</v>
      </c>
      <c r="N537" s="26" t="s">
        <v>409</v>
      </c>
      <c r="O537" s="26" t="s">
        <v>44</v>
      </c>
      <c r="P537" s="26" t="s">
        <v>430</v>
      </c>
      <c r="Q537" s="47">
        <f t="shared" si="103"/>
        <v>1.3511696607943107</v>
      </c>
      <c r="R537" s="47">
        <f t="shared" si="104"/>
        <v>11.484942116751641</v>
      </c>
    </row>
    <row r="538" spans="13:18" x14ac:dyDescent="0.15">
      <c r="M538" s="46">
        <v>2021</v>
      </c>
      <c r="N538" s="26" t="s">
        <v>411</v>
      </c>
      <c r="O538" s="26" t="s">
        <v>35</v>
      </c>
      <c r="P538" s="26" t="s">
        <v>426</v>
      </c>
      <c r="Q538" s="47">
        <f t="shared" si="103"/>
        <v>0.12790434515611826</v>
      </c>
      <c r="R538" s="47">
        <f t="shared" si="104"/>
        <v>0.41568912175738421</v>
      </c>
    </row>
    <row r="539" spans="13:18" x14ac:dyDescent="0.15">
      <c r="M539" s="46">
        <v>2021</v>
      </c>
      <c r="N539" s="26" t="s">
        <v>411</v>
      </c>
      <c r="O539" s="26" t="s">
        <v>35</v>
      </c>
      <c r="P539" s="26" t="s">
        <v>428</v>
      </c>
      <c r="Q539" s="47">
        <f t="shared" si="103"/>
        <v>0</v>
      </c>
      <c r="R539" s="47">
        <f t="shared" si="104"/>
        <v>0</v>
      </c>
    </row>
    <row r="540" spans="13:18" x14ac:dyDescent="0.15">
      <c r="M540" s="46">
        <v>2021</v>
      </c>
      <c r="N540" s="26" t="s">
        <v>411</v>
      </c>
      <c r="O540" s="26" t="s">
        <v>35</v>
      </c>
      <c r="P540" s="26" t="s">
        <v>429</v>
      </c>
      <c r="Q540" s="47">
        <f t="shared" si="103"/>
        <v>0</v>
      </c>
      <c r="R540" s="47">
        <f t="shared" si="104"/>
        <v>0</v>
      </c>
    </row>
    <row r="541" spans="13:18" x14ac:dyDescent="0.15">
      <c r="M541" s="46">
        <v>2021</v>
      </c>
      <c r="N541" s="26" t="s">
        <v>411</v>
      </c>
      <c r="O541" s="26" t="s">
        <v>35</v>
      </c>
      <c r="P541" s="26" t="s">
        <v>430</v>
      </c>
      <c r="Q541" s="47">
        <f t="shared" si="103"/>
        <v>0</v>
      </c>
      <c r="R541" s="47">
        <f t="shared" si="104"/>
        <v>0</v>
      </c>
    </row>
    <row r="542" spans="13:18" x14ac:dyDescent="0.15">
      <c r="M542" s="46">
        <v>2021</v>
      </c>
      <c r="N542" s="26" t="s">
        <v>411</v>
      </c>
      <c r="O542" s="26" t="s">
        <v>45</v>
      </c>
      <c r="P542" s="26" t="s">
        <v>426</v>
      </c>
      <c r="Q542" s="47">
        <f t="shared" si="103"/>
        <v>1.2307455816606054</v>
      </c>
      <c r="R542" s="47">
        <f t="shared" si="104"/>
        <v>3.9999231403969664</v>
      </c>
    </row>
    <row r="543" spans="13:18" x14ac:dyDescent="0.15">
      <c r="M543" s="46">
        <v>2021</v>
      </c>
      <c r="N543" s="26" t="s">
        <v>411</v>
      </c>
      <c r="O543" s="26" t="s">
        <v>45</v>
      </c>
      <c r="P543" s="26" t="s">
        <v>428</v>
      </c>
      <c r="Q543" s="47">
        <f t="shared" si="103"/>
        <v>0</v>
      </c>
      <c r="R543" s="47">
        <f t="shared" si="104"/>
        <v>0</v>
      </c>
    </row>
    <row r="544" spans="13:18" x14ac:dyDescent="0.15">
      <c r="M544" s="46">
        <v>2021</v>
      </c>
      <c r="N544" s="26" t="s">
        <v>411</v>
      </c>
      <c r="O544" s="26" t="s">
        <v>45</v>
      </c>
      <c r="P544" s="26" t="s">
        <v>429</v>
      </c>
      <c r="Q544" s="47">
        <f t="shared" si="103"/>
        <v>0</v>
      </c>
      <c r="R544" s="47">
        <f t="shared" si="104"/>
        <v>0</v>
      </c>
    </row>
    <row r="545" spans="13:18" x14ac:dyDescent="0.15">
      <c r="M545" s="46">
        <v>2021</v>
      </c>
      <c r="N545" s="26" t="s">
        <v>411</v>
      </c>
      <c r="O545" s="26" t="s">
        <v>45</v>
      </c>
      <c r="P545" s="26" t="s">
        <v>430</v>
      </c>
      <c r="Q545" s="47">
        <f t="shared" si="103"/>
        <v>0</v>
      </c>
      <c r="R545" s="47">
        <f t="shared" si="104"/>
        <v>0</v>
      </c>
    </row>
    <row r="546" spans="13:18" x14ac:dyDescent="0.15">
      <c r="M546" s="46">
        <v>2021</v>
      </c>
      <c r="N546" s="26" t="s">
        <v>411</v>
      </c>
      <c r="O546" s="26" t="s">
        <v>46</v>
      </c>
      <c r="P546" s="26" t="s">
        <v>426</v>
      </c>
      <c r="Q546" s="47">
        <f t="shared" si="103"/>
        <v>0.20887208985818292</v>
      </c>
      <c r="R546" s="47">
        <f t="shared" si="104"/>
        <v>0.67883429203909429</v>
      </c>
    </row>
    <row r="547" spans="13:18" x14ac:dyDescent="0.15">
      <c r="M547" s="46">
        <v>2021</v>
      </c>
      <c r="N547" s="26" t="s">
        <v>411</v>
      </c>
      <c r="O547" s="26" t="s">
        <v>46</v>
      </c>
      <c r="P547" s="26" t="s">
        <v>428</v>
      </c>
      <c r="Q547" s="47">
        <f t="shared" si="103"/>
        <v>0</v>
      </c>
      <c r="R547" s="47">
        <f t="shared" si="104"/>
        <v>0</v>
      </c>
    </row>
    <row r="548" spans="13:18" x14ac:dyDescent="0.15">
      <c r="M548" s="46">
        <v>2021</v>
      </c>
      <c r="N548" s="26" t="s">
        <v>411</v>
      </c>
      <c r="O548" s="26" t="s">
        <v>46</v>
      </c>
      <c r="P548" s="26" t="s">
        <v>429</v>
      </c>
      <c r="Q548" s="47">
        <f t="shared" si="103"/>
        <v>0</v>
      </c>
      <c r="R548" s="47">
        <f t="shared" si="104"/>
        <v>0</v>
      </c>
    </row>
    <row r="549" spans="13:18" x14ac:dyDescent="0.15">
      <c r="M549" s="46">
        <v>2021</v>
      </c>
      <c r="N549" s="26" t="s">
        <v>411</v>
      </c>
      <c r="O549" s="26" t="s">
        <v>46</v>
      </c>
      <c r="P549" s="26" t="s">
        <v>430</v>
      </c>
      <c r="Q549" s="47">
        <f t="shared" si="103"/>
        <v>0</v>
      </c>
      <c r="R549" s="47">
        <f t="shared" si="104"/>
        <v>0</v>
      </c>
    </row>
    <row r="550" spans="13:18" x14ac:dyDescent="0.15">
      <c r="M550" s="46">
        <v>2021</v>
      </c>
      <c r="N550" s="26" t="s">
        <v>411</v>
      </c>
      <c r="O550" s="26" t="s">
        <v>40</v>
      </c>
      <c r="P550" s="26" t="s">
        <v>426</v>
      </c>
      <c r="Q550" s="47">
        <f t="shared" si="103"/>
        <v>2.6934906329144988</v>
      </c>
      <c r="R550" s="47">
        <f t="shared" si="104"/>
        <v>8.7538445569721191</v>
      </c>
    </row>
    <row r="551" spans="13:18" x14ac:dyDescent="0.15">
      <c r="M551" s="46">
        <v>2021</v>
      </c>
      <c r="N551" s="26" t="s">
        <v>411</v>
      </c>
      <c r="O551" s="26" t="s">
        <v>40</v>
      </c>
      <c r="P551" s="26" t="s">
        <v>428</v>
      </c>
      <c r="Q551" s="47">
        <f t="shared" si="103"/>
        <v>0</v>
      </c>
      <c r="R551" s="47">
        <f t="shared" si="104"/>
        <v>0</v>
      </c>
    </row>
    <row r="552" spans="13:18" x14ac:dyDescent="0.15">
      <c r="M552" s="46">
        <v>2021</v>
      </c>
      <c r="N552" s="26" t="s">
        <v>411</v>
      </c>
      <c r="O552" s="26" t="s">
        <v>40</v>
      </c>
      <c r="P552" s="26" t="s">
        <v>429</v>
      </c>
      <c r="Q552" s="47">
        <f t="shared" si="103"/>
        <v>0</v>
      </c>
      <c r="R552" s="47">
        <f t="shared" si="104"/>
        <v>0</v>
      </c>
    </row>
    <row r="553" spans="13:18" x14ac:dyDescent="0.15">
      <c r="M553" s="46">
        <v>2021</v>
      </c>
      <c r="N553" s="26" t="s">
        <v>411</v>
      </c>
      <c r="O553" s="26" t="s">
        <v>40</v>
      </c>
      <c r="P553" s="26" t="s">
        <v>430</v>
      </c>
      <c r="Q553" s="47">
        <f t="shared" si="103"/>
        <v>0</v>
      </c>
      <c r="R553" s="47">
        <f t="shared" si="104"/>
        <v>0</v>
      </c>
    </row>
    <row r="554" spans="13:18" x14ac:dyDescent="0.15">
      <c r="M554" s="46">
        <v>2021</v>
      </c>
      <c r="N554" s="26" t="s">
        <v>84</v>
      </c>
      <c r="O554" s="26" t="s">
        <v>53</v>
      </c>
      <c r="P554" s="26" t="s">
        <v>426</v>
      </c>
      <c r="Q554" s="47">
        <f t="shared" si="103"/>
        <v>0</v>
      </c>
      <c r="R554" s="47">
        <f t="shared" si="104"/>
        <v>0</v>
      </c>
    </row>
    <row r="555" spans="13:18" x14ac:dyDescent="0.15">
      <c r="M555" s="46">
        <v>2021</v>
      </c>
      <c r="N555" s="26" t="s">
        <v>84</v>
      </c>
      <c r="O555" s="26" t="s">
        <v>53</v>
      </c>
      <c r="P555" s="26" t="s">
        <v>428</v>
      </c>
      <c r="Q555" s="47">
        <f t="shared" si="103"/>
        <v>0</v>
      </c>
      <c r="R555" s="47">
        <f t="shared" si="104"/>
        <v>0</v>
      </c>
    </row>
    <row r="556" spans="13:18" x14ac:dyDescent="0.15">
      <c r="M556" s="46">
        <v>2021</v>
      </c>
      <c r="N556" s="26" t="s">
        <v>84</v>
      </c>
      <c r="O556" s="26" t="s">
        <v>53</v>
      </c>
      <c r="P556" s="26" t="s">
        <v>429</v>
      </c>
      <c r="Q556" s="47">
        <f t="shared" si="103"/>
        <v>0</v>
      </c>
      <c r="R556" s="47">
        <f t="shared" si="104"/>
        <v>0</v>
      </c>
    </row>
    <row r="557" spans="13:18" x14ac:dyDescent="0.15">
      <c r="M557" s="46">
        <v>2021</v>
      </c>
      <c r="N557" s="26" t="s">
        <v>84</v>
      </c>
      <c r="O557" s="26" t="s">
        <v>53</v>
      </c>
      <c r="P557" s="26" t="s">
        <v>430</v>
      </c>
      <c r="Q557" s="47">
        <f t="shared" si="103"/>
        <v>0</v>
      </c>
      <c r="R557" s="47">
        <f t="shared" si="104"/>
        <v>0</v>
      </c>
    </row>
    <row r="558" spans="13:18" x14ac:dyDescent="0.15">
      <c r="M558" s="46">
        <v>2021</v>
      </c>
      <c r="N558" s="26" t="s">
        <v>84</v>
      </c>
      <c r="O558" s="26" t="s">
        <v>43</v>
      </c>
      <c r="P558" s="26" t="s">
        <v>426</v>
      </c>
      <c r="Q558" s="47">
        <f t="shared" si="103"/>
        <v>0</v>
      </c>
      <c r="R558" s="47">
        <f t="shared" si="104"/>
        <v>0</v>
      </c>
    </row>
    <row r="559" spans="13:18" x14ac:dyDescent="0.15">
      <c r="M559" s="46">
        <v>2021</v>
      </c>
      <c r="N559" s="26" t="s">
        <v>84</v>
      </c>
      <c r="O559" s="26" t="s">
        <v>43</v>
      </c>
      <c r="P559" s="26" t="s">
        <v>428</v>
      </c>
      <c r="Q559" s="47">
        <f t="shared" si="103"/>
        <v>0</v>
      </c>
      <c r="R559" s="47">
        <f t="shared" si="104"/>
        <v>0</v>
      </c>
    </row>
    <row r="560" spans="13:18" x14ac:dyDescent="0.15">
      <c r="M560" s="46">
        <v>2021</v>
      </c>
      <c r="N560" s="26" t="s">
        <v>84</v>
      </c>
      <c r="O560" s="26" t="s">
        <v>43</v>
      </c>
      <c r="P560" s="26" t="s">
        <v>429</v>
      </c>
      <c r="Q560" s="47">
        <f t="shared" si="103"/>
        <v>0</v>
      </c>
      <c r="R560" s="47">
        <f t="shared" si="104"/>
        <v>0</v>
      </c>
    </row>
    <row r="561" spans="13:18" x14ac:dyDescent="0.15">
      <c r="M561" s="46">
        <v>2021</v>
      </c>
      <c r="N561" s="26" t="s">
        <v>84</v>
      </c>
      <c r="O561" s="26" t="s">
        <v>43</v>
      </c>
      <c r="P561" s="26" t="s">
        <v>430</v>
      </c>
      <c r="Q561" s="47">
        <f t="shared" si="103"/>
        <v>0</v>
      </c>
      <c r="R561" s="47">
        <f t="shared" si="104"/>
        <v>0</v>
      </c>
    </row>
    <row r="562" spans="13:18" x14ac:dyDescent="0.15">
      <c r="M562" s="46">
        <v>2021</v>
      </c>
      <c r="N562" s="26" t="s">
        <v>84</v>
      </c>
      <c r="O562" s="26" t="s">
        <v>415</v>
      </c>
      <c r="P562" s="26" t="s">
        <v>426</v>
      </c>
      <c r="Q562" s="47">
        <f t="shared" si="103"/>
        <v>0</v>
      </c>
      <c r="R562" s="47">
        <f t="shared" si="104"/>
        <v>0</v>
      </c>
    </row>
    <row r="563" spans="13:18" x14ac:dyDescent="0.15">
      <c r="M563" s="46">
        <v>2021</v>
      </c>
      <c r="N563" s="26" t="s">
        <v>84</v>
      </c>
      <c r="O563" s="26" t="s">
        <v>415</v>
      </c>
      <c r="P563" s="26" t="s">
        <v>428</v>
      </c>
      <c r="Q563" s="47">
        <f t="shared" si="103"/>
        <v>0</v>
      </c>
      <c r="R563" s="47">
        <f t="shared" si="104"/>
        <v>0</v>
      </c>
    </row>
    <row r="564" spans="13:18" x14ac:dyDescent="0.15">
      <c r="M564" s="46">
        <v>2021</v>
      </c>
      <c r="N564" s="26" t="s">
        <v>84</v>
      </c>
      <c r="O564" s="26" t="s">
        <v>415</v>
      </c>
      <c r="P564" s="26" t="s">
        <v>429</v>
      </c>
      <c r="Q564" s="47">
        <f t="shared" si="103"/>
        <v>0</v>
      </c>
      <c r="R564" s="47">
        <f t="shared" si="104"/>
        <v>0</v>
      </c>
    </row>
    <row r="565" spans="13:18" x14ac:dyDescent="0.15">
      <c r="M565" s="46">
        <v>2021</v>
      </c>
      <c r="N565" s="26" t="s">
        <v>84</v>
      </c>
      <c r="O565" s="26" t="s">
        <v>415</v>
      </c>
      <c r="P565" s="26" t="s">
        <v>430</v>
      </c>
      <c r="Q565" s="47">
        <f t="shared" si="103"/>
        <v>0</v>
      </c>
      <c r="R565" s="47">
        <f t="shared" si="104"/>
        <v>0</v>
      </c>
    </row>
    <row r="566" spans="13:18" x14ac:dyDescent="0.15">
      <c r="M566" s="46">
        <v>2021</v>
      </c>
      <c r="N566" s="26" t="s">
        <v>84</v>
      </c>
      <c r="O566" s="26" t="s">
        <v>49</v>
      </c>
      <c r="P566" s="26" t="s">
        <v>426</v>
      </c>
      <c r="Q566" s="47">
        <f t="shared" si="103"/>
        <v>0</v>
      </c>
      <c r="R566" s="47">
        <f t="shared" si="104"/>
        <v>0</v>
      </c>
    </row>
    <row r="567" spans="13:18" x14ac:dyDescent="0.15">
      <c r="M567" s="46">
        <v>2021</v>
      </c>
      <c r="N567" s="26" t="s">
        <v>84</v>
      </c>
      <c r="O567" s="26" t="s">
        <v>49</v>
      </c>
      <c r="P567" s="26" t="s">
        <v>428</v>
      </c>
      <c r="Q567" s="47">
        <f t="shared" si="103"/>
        <v>0</v>
      </c>
      <c r="R567" s="47">
        <f t="shared" si="104"/>
        <v>0</v>
      </c>
    </row>
    <row r="568" spans="13:18" x14ac:dyDescent="0.15">
      <c r="M568" s="46">
        <v>2021</v>
      </c>
      <c r="N568" s="26" t="s">
        <v>84</v>
      </c>
      <c r="O568" s="26" t="s">
        <v>49</v>
      </c>
      <c r="P568" s="26" t="s">
        <v>429</v>
      </c>
      <c r="Q568" s="47">
        <f t="shared" si="103"/>
        <v>0</v>
      </c>
      <c r="R568" s="47">
        <f t="shared" si="104"/>
        <v>0</v>
      </c>
    </row>
    <row r="569" spans="13:18" x14ac:dyDescent="0.15">
      <c r="M569" s="46">
        <v>2021</v>
      </c>
      <c r="N569" s="26" t="s">
        <v>84</v>
      </c>
      <c r="O569" s="26" t="s">
        <v>49</v>
      </c>
      <c r="P569" s="26" t="s">
        <v>430</v>
      </c>
      <c r="Q569" s="47">
        <f t="shared" si="103"/>
        <v>0</v>
      </c>
      <c r="R569" s="47">
        <f t="shared" si="104"/>
        <v>0</v>
      </c>
    </row>
    <row r="570" spans="13:18" x14ac:dyDescent="0.15">
      <c r="M570" s="46">
        <v>2021</v>
      </c>
      <c r="N570" s="26" t="s">
        <v>84</v>
      </c>
      <c r="O570" s="26" t="s">
        <v>51</v>
      </c>
      <c r="P570" s="26" t="s">
        <v>426</v>
      </c>
      <c r="Q570" s="47">
        <f t="shared" si="103"/>
        <v>0</v>
      </c>
      <c r="R570" s="47">
        <f t="shared" si="104"/>
        <v>0</v>
      </c>
    </row>
    <row r="571" spans="13:18" x14ac:dyDescent="0.15">
      <c r="M571" s="46">
        <v>2021</v>
      </c>
      <c r="N571" s="26" t="s">
        <v>84</v>
      </c>
      <c r="O571" s="26" t="s">
        <v>51</v>
      </c>
      <c r="P571" s="26" t="s">
        <v>428</v>
      </c>
      <c r="Q571" s="47">
        <f t="shared" si="103"/>
        <v>0</v>
      </c>
      <c r="R571" s="47">
        <f t="shared" si="104"/>
        <v>0</v>
      </c>
    </row>
    <row r="572" spans="13:18" x14ac:dyDescent="0.15">
      <c r="M572" s="46">
        <v>2021</v>
      </c>
      <c r="N572" s="26" t="s">
        <v>84</v>
      </c>
      <c r="O572" s="26" t="s">
        <v>51</v>
      </c>
      <c r="P572" s="26" t="s">
        <v>429</v>
      </c>
      <c r="Q572" s="47">
        <f t="shared" si="103"/>
        <v>0</v>
      </c>
      <c r="R572" s="47">
        <f t="shared" si="104"/>
        <v>0</v>
      </c>
    </row>
    <row r="573" spans="13:18" x14ac:dyDescent="0.15">
      <c r="M573" s="46">
        <v>2021</v>
      </c>
      <c r="N573" s="26" t="s">
        <v>84</v>
      </c>
      <c r="O573" s="26" t="s">
        <v>51</v>
      </c>
      <c r="P573" s="26" t="s">
        <v>430</v>
      </c>
      <c r="Q573" s="47">
        <f t="shared" si="103"/>
        <v>0</v>
      </c>
      <c r="R573" s="47">
        <f t="shared" si="104"/>
        <v>0</v>
      </c>
    </row>
    <row r="574" spans="13:18" x14ac:dyDescent="0.15">
      <c r="M574" s="46">
        <v>2021</v>
      </c>
      <c r="N574" s="26" t="s">
        <v>418</v>
      </c>
      <c r="O574" s="26" t="s">
        <v>34</v>
      </c>
      <c r="P574" s="26" t="s">
        <v>426</v>
      </c>
      <c r="Q574" s="47">
        <f t="shared" si="103"/>
        <v>0</v>
      </c>
      <c r="R574" s="47">
        <f t="shared" si="104"/>
        <v>0</v>
      </c>
    </row>
    <row r="575" spans="13:18" x14ac:dyDescent="0.15">
      <c r="M575" s="46">
        <v>2021</v>
      </c>
      <c r="N575" s="26" t="s">
        <v>418</v>
      </c>
      <c r="O575" s="26" t="s">
        <v>34</v>
      </c>
      <c r="P575" s="26" t="s">
        <v>428</v>
      </c>
      <c r="Q575" s="47">
        <f t="shared" si="103"/>
        <v>0</v>
      </c>
      <c r="R575" s="47">
        <f t="shared" si="104"/>
        <v>0</v>
      </c>
    </row>
    <row r="576" spans="13:18" x14ac:dyDescent="0.15">
      <c r="M576" s="46">
        <v>2021</v>
      </c>
      <c r="N576" s="26" t="s">
        <v>418</v>
      </c>
      <c r="O576" s="26" t="s">
        <v>34</v>
      </c>
      <c r="P576" s="26" t="s">
        <v>429</v>
      </c>
      <c r="Q576" s="47">
        <f t="shared" si="103"/>
        <v>0</v>
      </c>
      <c r="R576" s="47">
        <f t="shared" si="104"/>
        <v>0</v>
      </c>
    </row>
    <row r="577" spans="13:18" x14ac:dyDescent="0.15">
      <c r="M577" s="46">
        <v>2021</v>
      </c>
      <c r="N577" s="26" t="s">
        <v>418</v>
      </c>
      <c r="O577" s="26" t="s">
        <v>34</v>
      </c>
      <c r="P577" s="26" t="s">
        <v>430</v>
      </c>
      <c r="Q577" s="47">
        <f t="shared" si="103"/>
        <v>0</v>
      </c>
      <c r="R577" s="47">
        <f t="shared" si="104"/>
        <v>0</v>
      </c>
    </row>
    <row r="578" spans="13:18" x14ac:dyDescent="0.15">
      <c r="M578" s="46">
        <v>2021</v>
      </c>
      <c r="N578" s="26" t="s">
        <v>418</v>
      </c>
      <c r="O578" s="26" t="s">
        <v>35</v>
      </c>
      <c r="P578" s="26" t="s">
        <v>426</v>
      </c>
      <c r="Q578" s="47">
        <f t="shared" ref="Q578:Q641" si="105">SUMIFS(D:D,B:B,N578,C:C,P578,A:A,M578)*SUMIFS(K:K,G:G,N578,I:I,O578)</f>
        <v>0</v>
      </c>
      <c r="R578" s="47">
        <f t="shared" ref="R578:R641" si="106">SUMIFS(E:E,B:B,N578,C:C,P578,A:A,M578)*SUMIFS(K:K,G:G,N578,I:I,O578)</f>
        <v>0</v>
      </c>
    </row>
    <row r="579" spans="13:18" x14ac:dyDescent="0.15">
      <c r="M579" s="46">
        <v>2021</v>
      </c>
      <c r="N579" s="26" t="s">
        <v>418</v>
      </c>
      <c r="O579" s="26" t="s">
        <v>35</v>
      </c>
      <c r="P579" s="26" t="s">
        <v>428</v>
      </c>
      <c r="Q579" s="47">
        <f t="shared" si="105"/>
        <v>0</v>
      </c>
      <c r="R579" s="47">
        <f t="shared" si="106"/>
        <v>0</v>
      </c>
    </row>
    <row r="580" spans="13:18" x14ac:dyDescent="0.15">
      <c r="M580" s="46">
        <v>2021</v>
      </c>
      <c r="N580" s="26" t="s">
        <v>418</v>
      </c>
      <c r="O580" s="26" t="s">
        <v>35</v>
      </c>
      <c r="P580" s="26" t="s">
        <v>429</v>
      </c>
      <c r="Q580" s="47">
        <f t="shared" si="105"/>
        <v>0</v>
      </c>
      <c r="R580" s="47">
        <f t="shared" si="106"/>
        <v>0</v>
      </c>
    </row>
    <row r="581" spans="13:18" x14ac:dyDescent="0.15">
      <c r="M581" s="46">
        <v>2021</v>
      </c>
      <c r="N581" s="26" t="s">
        <v>418</v>
      </c>
      <c r="O581" s="26" t="s">
        <v>35</v>
      </c>
      <c r="P581" s="26" t="s">
        <v>430</v>
      </c>
      <c r="Q581" s="47">
        <f t="shared" si="105"/>
        <v>0</v>
      </c>
      <c r="R581" s="47">
        <f t="shared" si="106"/>
        <v>0</v>
      </c>
    </row>
    <row r="582" spans="13:18" x14ac:dyDescent="0.15">
      <c r="M582" s="46">
        <v>2021</v>
      </c>
      <c r="N582" s="26" t="s">
        <v>418</v>
      </c>
      <c r="O582" s="26" t="s">
        <v>36</v>
      </c>
      <c r="P582" s="26" t="s">
        <v>426</v>
      </c>
      <c r="Q582" s="47">
        <f t="shared" si="105"/>
        <v>0</v>
      </c>
      <c r="R582" s="47">
        <f t="shared" si="106"/>
        <v>0</v>
      </c>
    </row>
    <row r="583" spans="13:18" x14ac:dyDescent="0.15">
      <c r="M583" s="46">
        <v>2021</v>
      </c>
      <c r="N583" s="26" t="s">
        <v>418</v>
      </c>
      <c r="O583" s="26" t="s">
        <v>36</v>
      </c>
      <c r="P583" s="26" t="s">
        <v>428</v>
      </c>
      <c r="Q583" s="47">
        <f t="shared" si="105"/>
        <v>0</v>
      </c>
      <c r="R583" s="47">
        <f t="shared" si="106"/>
        <v>0</v>
      </c>
    </row>
    <row r="584" spans="13:18" x14ac:dyDescent="0.15">
      <c r="M584" s="46">
        <v>2021</v>
      </c>
      <c r="N584" s="26" t="s">
        <v>418</v>
      </c>
      <c r="O584" s="26" t="s">
        <v>36</v>
      </c>
      <c r="P584" s="26" t="s">
        <v>429</v>
      </c>
      <c r="Q584" s="47">
        <f t="shared" si="105"/>
        <v>0</v>
      </c>
      <c r="R584" s="47">
        <f t="shared" si="106"/>
        <v>0</v>
      </c>
    </row>
    <row r="585" spans="13:18" x14ac:dyDescent="0.15">
      <c r="M585" s="46">
        <v>2021</v>
      </c>
      <c r="N585" s="26" t="s">
        <v>418</v>
      </c>
      <c r="O585" s="26" t="s">
        <v>36</v>
      </c>
      <c r="P585" s="26" t="s">
        <v>430</v>
      </c>
      <c r="Q585" s="47">
        <f t="shared" si="105"/>
        <v>0</v>
      </c>
      <c r="R585" s="47">
        <f t="shared" si="106"/>
        <v>0</v>
      </c>
    </row>
    <row r="586" spans="13:18" x14ac:dyDescent="0.15">
      <c r="M586" s="46">
        <v>2021</v>
      </c>
      <c r="N586" s="26" t="s">
        <v>418</v>
      </c>
      <c r="O586" s="26" t="s">
        <v>422</v>
      </c>
      <c r="P586" s="26" t="s">
        <v>426</v>
      </c>
      <c r="Q586" s="47">
        <f t="shared" si="105"/>
        <v>0</v>
      </c>
      <c r="R586" s="47">
        <f t="shared" si="106"/>
        <v>0</v>
      </c>
    </row>
    <row r="587" spans="13:18" x14ac:dyDescent="0.15">
      <c r="M587" s="46">
        <v>2021</v>
      </c>
      <c r="N587" s="26" t="s">
        <v>418</v>
      </c>
      <c r="O587" s="26" t="s">
        <v>422</v>
      </c>
      <c r="P587" s="26" t="s">
        <v>428</v>
      </c>
      <c r="Q587" s="47">
        <f t="shared" si="105"/>
        <v>0</v>
      </c>
      <c r="R587" s="47">
        <f t="shared" si="106"/>
        <v>0</v>
      </c>
    </row>
    <row r="588" spans="13:18" x14ac:dyDescent="0.15">
      <c r="M588" s="46">
        <v>2021</v>
      </c>
      <c r="N588" s="26" t="s">
        <v>418</v>
      </c>
      <c r="O588" s="26" t="s">
        <v>422</v>
      </c>
      <c r="P588" s="26" t="s">
        <v>429</v>
      </c>
      <c r="Q588" s="47">
        <f t="shared" si="105"/>
        <v>0</v>
      </c>
      <c r="R588" s="47">
        <f t="shared" si="106"/>
        <v>0</v>
      </c>
    </row>
    <row r="589" spans="13:18" x14ac:dyDescent="0.15">
      <c r="M589" s="46">
        <v>2021</v>
      </c>
      <c r="N589" s="26" t="s">
        <v>418</v>
      </c>
      <c r="O589" s="26" t="s">
        <v>422</v>
      </c>
      <c r="P589" s="26" t="s">
        <v>430</v>
      </c>
      <c r="Q589" s="47">
        <f t="shared" si="105"/>
        <v>0</v>
      </c>
      <c r="R589" s="47">
        <f t="shared" si="106"/>
        <v>0</v>
      </c>
    </row>
    <row r="590" spans="13:18" x14ac:dyDescent="0.15">
      <c r="M590" s="46">
        <v>2021</v>
      </c>
      <c r="N590" s="26" t="s">
        <v>418</v>
      </c>
      <c r="O590" s="26" t="s">
        <v>41</v>
      </c>
      <c r="P590" s="26" t="s">
        <v>426</v>
      </c>
      <c r="Q590" s="47">
        <f t="shared" si="105"/>
        <v>0</v>
      </c>
      <c r="R590" s="47">
        <f t="shared" si="106"/>
        <v>0</v>
      </c>
    </row>
    <row r="591" spans="13:18" x14ac:dyDescent="0.15">
      <c r="M591" s="46">
        <v>2021</v>
      </c>
      <c r="N591" s="26" t="s">
        <v>418</v>
      </c>
      <c r="O591" s="26" t="s">
        <v>41</v>
      </c>
      <c r="P591" s="26" t="s">
        <v>428</v>
      </c>
      <c r="Q591" s="47">
        <f t="shared" si="105"/>
        <v>0</v>
      </c>
      <c r="R591" s="47">
        <f t="shared" si="106"/>
        <v>0</v>
      </c>
    </row>
    <row r="592" spans="13:18" x14ac:dyDescent="0.15">
      <c r="M592" s="46">
        <v>2021</v>
      </c>
      <c r="N592" s="26" t="s">
        <v>418</v>
      </c>
      <c r="O592" s="26" t="s">
        <v>41</v>
      </c>
      <c r="P592" s="26" t="s">
        <v>429</v>
      </c>
      <c r="Q592" s="47">
        <f t="shared" si="105"/>
        <v>0</v>
      </c>
      <c r="R592" s="47">
        <f t="shared" si="106"/>
        <v>0</v>
      </c>
    </row>
    <row r="593" spans="13:18" x14ac:dyDescent="0.15">
      <c r="M593" s="46">
        <v>2021</v>
      </c>
      <c r="N593" s="26" t="s">
        <v>418</v>
      </c>
      <c r="O593" s="26" t="s">
        <v>41</v>
      </c>
      <c r="P593" s="26" t="s">
        <v>430</v>
      </c>
      <c r="Q593" s="47">
        <f t="shared" si="105"/>
        <v>0</v>
      </c>
      <c r="R593" s="47">
        <f t="shared" si="106"/>
        <v>0</v>
      </c>
    </row>
    <row r="594" spans="13:18" x14ac:dyDescent="0.15">
      <c r="M594" s="46">
        <v>2021</v>
      </c>
      <c r="N594" s="26" t="s">
        <v>418</v>
      </c>
      <c r="O594" s="26" t="s">
        <v>45</v>
      </c>
      <c r="P594" s="26" t="s">
        <v>426</v>
      </c>
      <c r="Q594" s="47">
        <f t="shared" si="105"/>
        <v>0</v>
      </c>
      <c r="R594" s="47">
        <f t="shared" si="106"/>
        <v>0</v>
      </c>
    </row>
    <row r="595" spans="13:18" x14ac:dyDescent="0.15">
      <c r="M595" s="46">
        <v>2021</v>
      </c>
      <c r="N595" s="26" t="s">
        <v>418</v>
      </c>
      <c r="O595" s="26" t="s">
        <v>45</v>
      </c>
      <c r="P595" s="26" t="s">
        <v>428</v>
      </c>
      <c r="Q595" s="47">
        <f t="shared" si="105"/>
        <v>0</v>
      </c>
      <c r="R595" s="47">
        <f t="shared" si="106"/>
        <v>0</v>
      </c>
    </row>
    <row r="596" spans="13:18" x14ac:dyDescent="0.15">
      <c r="M596" s="46">
        <v>2021</v>
      </c>
      <c r="N596" s="26" t="s">
        <v>418</v>
      </c>
      <c r="O596" s="26" t="s">
        <v>45</v>
      </c>
      <c r="P596" s="26" t="s">
        <v>429</v>
      </c>
      <c r="Q596" s="47">
        <f t="shared" si="105"/>
        <v>0</v>
      </c>
      <c r="R596" s="47">
        <f t="shared" si="106"/>
        <v>0</v>
      </c>
    </row>
    <row r="597" spans="13:18" x14ac:dyDescent="0.15">
      <c r="M597" s="46">
        <v>2021</v>
      </c>
      <c r="N597" s="26" t="s">
        <v>418</v>
      </c>
      <c r="O597" s="26" t="s">
        <v>45</v>
      </c>
      <c r="P597" s="26" t="s">
        <v>430</v>
      </c>
      <c r="Q597" s="47">
        <f t="shared" si="105"/>
        <v>0</v>
      </c>
      <c r="R597" s="47">
        <f t="shared" si="106"/>
        <v>0</v>
      </c>
    </row>
    <row r="598" spans="13:18" x14ac:dyDescent="0.15">
      <c r="M598" s="46">
        <v>2021</v>
      </c>
      <c r="N598" s="26" t="s">
        <v>418</v>
      </c>
      <c r="O598" s="26" t="s">
        <v>408</v>
      </c>
      <c r="P598" s="26" t="s">
        <v>426</v>
      </c>
      <c r="Q598" s="47">
        <f t="shared" si="105"/>
        <v>0</v>
      </c>
      <c r="R598" s="47">
        <f t="shared" si="106"/>
        <v>0</v>
      </c>
    </row>
    <row r="599" spans="13:18" x14ac:dyDescent="0.15">
      <c r="M599" s="46">
        <v>2021</v>
      </c>
      <c r="N599" s="26" t="s">
        <v>418</v>
      </c>
      <c r="O599" s="26" t="s">
        <v>408</v>
      </c>
      <c r="P599" s="26" t="s">
        <v>428</v>
      </c>
      <c r="Q599" s="47">
        <f t="shared" si="105"/>
        <v>0</v>
      </c>
      <c r="R599" s="47">
        <f t="shared" si="106"/>
        <v>0</v>
      </c>
    </row>
    <row r="600" spans="13:18" x14ac:dyDescent="0.15">
      <c r="M600" s="46">
        <v>2021</v>
      </c>
      <c r="N600" s="26" t="s">
        <v>418</v>
      </c>
      <c r="O600" s="26" t="s">
        <v>408</v>
      </c>
      <c r="P600" s="26" t="s">
        <v>429</v>
      </c>
      <c r="Q600" s="47">
        <f t="shared" si="105"/>
        <v>0</v>
      </c>
      <c r="R600" s="47">
        <f t="shared" si="106"/>
        <v>0</v>
      </c>
    </row>
    <row r="601" spans="13:18" x14ac:dyDescent="0.15">
      <c r="M601" s="46">
        <v>2021</v>
      </c>
      <c r="N601" s="26" t="s">
        <v>418</v>
      </c>
      <c r="O601" s="26" t="s">
        <v>408</v>
      </c>
      <c r="P601" s="26" t="s">
        <v>430</v>
      </c>
      <c r="Q601" s="47">
        <f t="shared" si="105"/>
        <v>0</v>
      </c>
      <c r="R601" s="47">
        <f t="shared" si="106"/>
        <v>0</v>
      </c>
    </row>
    <row r="602" spans="13:18" x14ac:dyDescent="0.15">
      <c r="M602" s="46">
        <v>2021</v>
      </c>
      <c r="N602" s="26" t="s">
        <v>423</v>
      </c>
      <c r="O602" s="26" t="s">
        <v>40</v>
      </c>
      <c r="P602" s="26" t="s">
        <v>426</v>
      </c>
      <c r="Q602" s="47">
        <f t="shared" si="105"/>
        <v>0</v>
      </c>
      <c r="R602" s="47">
        <f t="shared" si="106"/>
        <v>0</v>
      </c>
    </row>
    <row r="603" spans="13:18" x14ac:dyDescent="0.15">
      <c r="M603" s="46">
        <v>2021</v>
      </c>
      <c r="N603" s="26" t="s">
        <v>423</v>
      </c>
      <c r="O603" s="26" t="s">
        <v>40</v>
      </c>
      <c r="P603" s="26" t="s">
        <v>428</v>
      </c>
      <c r="Q603" s="47">
        <f t="shared" si="105"/>
        <v>0</v>
      </c>
      <c r="R603" s="47">
        <f t="shared" si="106"/>
        <v>0</v>
      </c>
    </row>
    <row r="604" spans="13:18" x14ac:dyDescent="0.15">
      <c r="M604" s="46">
        <v>2021</v>
      </c>
      <c r="N604" s="26" t="s">
        <v>423</v>
      </c>
      <c r="O604" s="26" t="s">
        <v>40</v>
      </c>
      <c r="P604" s="26" t="s">
        <v>429</v>
      </c>
      <c r="Q604" s="47">
        <f t="shared" si="105"/>
        <v>0</v>
      </c>
      <c r="R604" s="47">
        <f t="shared" si="106"/>
        <v>0</v>
      </c>
    </row>
    <row r="605" spans="13:18" x14ac:dyDescent="0.15">
      <c r="M605" s="46">
        <v>2021</v>
      </c>
      <c r="N605" s="26" t="s">
        <v>423</v>
      </c>
      <c r="O605" s="26" t="s">
        <v>40</v>
      </c>
      <c r="P605" s="26" t="s">
        <v>430</v>
      </c>
      <c r="Q605" s="47">
        <f t="shared" si="105"/>
        <v>0</v>
      </c>
      <c r="R605" s="47">
        <f t="shared" si="106"/>
        <v>0</v>
      </c>
    </row>
    <row r="606" spans="13:18" x14ac:dyDescent="0.15">
      <c r="M606" s="46">
        <v>2021</v>
      </c>
      <c r="N606" s="26" t="s">
        <v>423</v>
      </c>
      <c r="O606" s="26" t="s">
        <v>45</v>
      </c>
      <c r="P606" s="26" t="s">
        <v>426</v>
      </c>
      <c r="Q606" s="47">
        <f t="shared" si="105"/>
        <v>0</v>
      </c>
      <c r="R606" s="47">
        <f t="shared" si="106"/>
        <v>0</v>
      </c>
    </row>
    <row r="607" spans="13:18" x14ac:dyDescent="0.15">
      <c r="M607" s="46">
        <v>2021</v>
      </c>
      <c r="N607" s="26" t="s">
        <v>423</v>
      </c>
      <c r="O607" s="26" t="s">
        <v>45</v>
      </c>
      <c r="P607" s="26" t="s">
        <v>428</v>
      </c>
      <c r="Q607" s="47">
        <f t="shared" si="105"/>
        <v>0</v>
      </c>
      <c r="R607" s="47">
        <f t="shared" si="106"/>
        <v>0</v>
      </c>
    </row>
    <row r="608" spans="13:18" x14ac:dyDescent="0.15">
      <c r="M608" s="46">
        <v>2021</v>
      </c>
      <c r="N608" s="26" t="s">
        <v>423</v>
      </c>
      <c r="O608" s="26" t="s">
        <v>45</v>
      </c>
      <c r="P608" s="26" t="s">
        <v>429</v>
      </c>
      <c r="Q608" s="47">
        <f t="shared" si="105"/>
        <v>0</v>
      </c>
      <c r="R608" s="47">
        <f t="shared" si="106"/>
        <v>0</v>
      </c>
    </row>
    <row r="609" spans="13:18" x14ac:dyDescent="0.15">
      <c r="M609" s="46">
        <v>2021</v>
      </c>
      <c r="N609" s="26" t="s">
        <v>423</v>
      </c>
      <c r="O609" s="26" t="s">
        <v>45</v>
      </c>
      <c r="P609" s="26" t="s">
        <v>430</v>
      </c>
      <c r="Q609" s="47">
        <f t="shared" si="105"/>
        <v>0</v>
      </c>
      <c r="R609" s="47">
        <f t="shared" si="106"/>
        <v>0</v>
      </c>
    </row>
    <row r="610" spans="13:18" x14ac:dyDescent="0.15">
      <c r="M610" s="46">
        <v>2021</v>
      </c>
      <c r="N610" s="26" t="s">
        <v>423</v>
      </c>
      <c r="O610" s="26" t="s">
        <v>393</v>
      </c>
      <c r="P610" s="26" t="s">
        <v>426</v>
      </c>
      <c r="Q610" s="47">
        <f t="shared" si="105"/>
        <v>0</v>
      </c>
      <c r="R610" s="47">
        <f t="shared" si="106"/>
        <v>0</v>
      </c>
    </row>
    <row r="611" spans="13:18" x14ac:dyDescent="0.15">
      <c r="M611" s="46">
        <v>2021</v>
      </c>
      <c r="N611" s="26" t="s">
        <v>423</v>
      </c>
      <c r="O611" s="26" t="s">
        <v>393</v>
      </c>
      <c r="P611" s="26" t="s">
        <v>428</v>
      </c>
      <c r="Q611" s="47">
        <f t="shared" si="105"/>
        <v>0</v>
      </c>
      <c r="R611" s="47">
        <f t="shared" si="106"/>
        <v>0</v>
      </c>
    </row>
    <row r="612" spans="13:18" x14ac:dyDescent="0.15">
      <c r="M612" s="46">
        <v>2021</v>
      </c>
      <c r="N612" s="26" t="s">
        <v>423</v>
      </c>
      <c r="O612" s="26" t="s">
        <v>393</v>
      </c>
      <c r="P612" s="26" t="s">
        <v>429</v>
      </c>
      <c r="Q612" s="47">
        <f t="shared" si="105"/>
        <v>0</v>
      </c>
      <c r="R612" s="47">
        <f t="shared" si="106"/>
        <v>0</v>
      </c>
    </row>
    <row r="613" spans="13:18" x14ac:dyDescent="0.15">
      <c r="M613" s="46">
        <v>2021</v>
      </c>
      <c r="N613" s="26" t="s">
        <v>423</v>
      </c>
      <c r="O613" s="26" t="s">
        <v>393</v>
      </c>
      <c r="P613" s="26" t="s">
        <v>430</v>
      </c>
      <c r="Q613" s="47">
        <f t="shared" si="105"/>
        <v>0</v>
      </c>
      <c r="R613" s="47">
        <f t="shared" si="106"/>
        <v>0</v>
      </c>
    </row>
    <row r="614" spans="13:18" x14ac:dyDescent="0.15">
      <c r="M614" s="46">
        <v>2021</v>
      </c>
      <c r="N614" s="26" t="s">
        <v>423</v>
      </c>
      <c r="O614" s="26" t="s">
        <v>37</v>
      </c>
      <c r="P614" s="26" t="s">
        <v>426</v>
      </c>
      <c r="Q614" s="47">
        <f t="shared" si="105"/>
        <v>0</v>
      </c>
      <c r="R614" s="47">
        <f t="shared" si="106"/>
        <v>0</v>
      </c>
    </row>
    <row r="615" spans="13:18" x14ac:dyDescent="0.15">
      <c r="M615" s="46">
        <v>2021</v>
      </c>
      <c r="N615" s="26" t="s">
        <v>423</v>
      </c>
      <c r="O615" s="26" t="s">
        <v>37</v>
      </c>
      <c r="P615" s="26" t="s">
        <v>428</v>
      </c>
      <c r="Q615" s="47">
        <f t="shared" si="105"/>
        <v>0</v>
      </c>
      <c r="R615" s="47">
        <f t="shared" si="106"/>
        <v>0</v>
      </c>
    </row>
    <row r="616" spans="13:18" x14ac:dyDescent="0.15">
      <c r="M616" s="46">
        <v>2021</v>
      </c>
      <c r="N616" s="26" t="s">
        <v>423</v>
      </c>
      <c r="O616" s="26" t="s">
        <v>37</v>
      </c>
      <c r="P616" s="26" t="s">
        <v>429</v>
      </c>
      <c r="Q616" s="47">
        <f t="shared" si="105"/>
        <v>0</v>
      </c>
      <c r="R616" s="47">
        <f t="shared" si="106"/>
        <v>0</v>
      </c>
    </row>
    <row r="617" spans="13:18" x14ac:dyDescent="0.15">
      <c r="M617" s="46">
        <v>2021</v>
      </c>
      <c r="N617" s="26" t="s">
        <v>423</v>
      </c>
      <c r="O617" s="26" t="s">
        <v>37</v>
      </c>
      <c r="P617" s="26" t="s">
        <v>430</v>
      </c>
      <c r="Q617" s="47">
        <f t="shared" si="105"/>
        <v>0</v>
      </c>
      <c r="R617" s="47">
        <f t="shared" si="106"/>
        <v>0</v>
      </c>
    </row>
    <row r="618" spans="13:18" x14ac:dyDescent="0.15">
      <c r="M618" s="46">
        <v>2021</v>
      </c>
      <c r="N618" s="26" t="s">
        <v>399</v>
      </c>
      <c r="O618" s="26" t="s">
        <v>34</v>
      </c>
      <c r="P618" s="26" t="s">
        <v>426</v>
      </c>
      <c r="Q618" s="47">
        <f t="shared" si="105"/>
        <v>1.5330770648216441E-2</v>
      </c>
      <c r="R618" s="47">
        <f t="shared" si="106"/>
        <v>7.6653853241082204E-2</v>
      </c>
    </row>
    <row r="619" spans="13:18" x14ac:dyDescent="0.15">
      <c r="M619" s="46">
        <v>2021</v>
      </c>
      <c r="N619" s="26" t="s">
        <v>399</v>
      </c>
      <c r="O619" s="26" t="s">
        <v>34</v>
      </c>
      <c r="P619" s="26" t="s">
        <v>428</v>
      </c>
      <c r="Q619" s="47">
        <f t="shared" si="105"/>
        <v>0</v>
      </c>
      <c r="R619" s="47">
        <f t="shared" si="106"/>
        <v>0</v>
      </c>
    </row>
    <row r="620" spans="13:18" x14ac:dyDescent="0.15">
      <c r="M620" s="46">
        <v>2021</v>
      </c>
      <c r="N620" s="26" t="s">
        <v>399</v>
      </c>
      <c r="O620" s="26" t="s">
        <v>34</v>
      </c>
      <c r="P620" s="26" t="s">
        <v>429</v>
      </c>
      <c r="Q620" s="47">
        <f t="shared" si="105"/>
        <v>0</v>
      </c>
      <c r="R620" s="47">
        <f t="shared" si="106"/>
        <v>0</v>
      </c>
    </row>
    <row r="621" spans="13:18" x14ac:dyDescent="0.15">
      <c r="M621" s="46">
        <v>2021</v>
      </c>
      <c r="N621" s="26" t="s">
        <v>399</v>
      </c>
      <c r="O621" s="26" t="s">
        <v>34</v>
      </c>
      <c r="P621" s="26" t="s">
        <v>430</v>
      </c>
      <c r="Q621" s="47">
        <f t="shared" si="105"/>
        <v>4.6598948890729286</v>
      </c>
      <c r="R621" s="47">
        <f t="shared" si="106"/>
        <v>37.032493057243499</v>
      </c>
    </row>
    <row r="622" spans="13:18" x14ac:dyDescent="0.15">
      <c r="M622" s="46">
        <v>2021</v>
      </c>
      <c r="N622" s="26" t="s">
        <v>399</v>
      </c>
      <c r="O622" s="26" t="s">
        <v>35</v>
      </c>
      <c r="P622" s="26" t="s">
        <v>426</v>
      </c>
      <c r="Q622" s="47">
        <f t="shared" si="105"/>
        <v>1.8436480849360806E-2</v>
      </c>
      <c r="R622" s="47">
        <f t="shared" si="106"/>
        <v>9.2182404246804031E-2</v>
      </c>
    </row>
    <row r="623" spans="13:18" x14ac:dyDescent="0.15">
      <c r="M623" s="46">
        <v>2021</v>
      </c>
      <c r="N623" s="26" t="s">
        <v>399</v>
      </c>
      <c r="O623" s="26" t="s">
        <v>35</v>
      </c>
      <c r="P623" s="26" t="s">
        <v>428</v>
      </c>
      <c r="Q623" s="47">
        <f t="shared" si="105"/>
        <v>0</v>
      </c>
      <c r="R623" s="47">
        <f t="shared" si="106"/>
        <v>0</v>
      </c>
    </row>
    <row r="624" spans="13:18" x14ac:dyDescent="0.15">
      <c r="M624" s="46">
        <v>2021</v>
      </c>
      <c r="N624" s="26" t="s">
        <v>399</v>
      </c>
      <c r="O624" s="26" t="s">
        <v>35</v>
      </c>
      <c r="P624" s="26" t="s">
        <v>429</v>
      </c>
      <c r="Q624" s="47">
        <f t="shared" si="105"/>
        <v>0</v>
      </c>
      <c r="R624" s="47">
        <f t="shared" si="106"/>
        <v>0</v>
      </c>
    </row>
    <row r="625" spans="13:18" x14ac:dyDescent="0.15">
      <c r="M625" s="46">
        <v>2021</v>
      </c>
      <c r="N625" s="26" t="s">
        <v>399</v>
      </c>
      <c r="O625" s="26" t="s">
        <v>35</v>
      </c>
      <c r="P625" s="26" t="s">
        <v>430</v>
      </c>
      <c r="Q625" s="47">
        <f t="shared" si="105"/>
        <v>5.6038972112874328</v>
      </c>
      <c r="R625" s="47">
        <f t="shared" si="106"/>
        <v>44.53454198229668</v>
      </c>
    </row>
    <row r="626" spans="13:18" x14ac:dyDescent="0.15">
      <c r="M626" s="46">
        <v>2021</v>
      </c>
      <c r="N626" s="26" t="s">
        <v>399</v>
      </c>
      <c r="O626" s="26" t="s">
        <v>36</v>
      </c>
      <c r="P626" s="26" t="s">
        <v>426</v>
      </c>
      <c r="Q626" s="47">
        <f t="shared" si="105"/>
        <v>6.7823653045941254E-3</v>
      </c>
      <c r="R626" s="47">
        <f t="shared" si="106"/>
        <v>3.3911826522970624E-2</v>
      </c>
    </row>
    <row r="627" spans="13:18" x14ac:dyDescent="0.15">
      <c r="M627" s="46">
        <v>2021</v>
      </c>
      <c r="N627" s="26" t="s">
        <v>399</v>
      </c>
      <c r="O627" s="26" t="s">
        <v>36</v>
      </c>
      <c r="P627" s="26" t="s">
        <v>428</v>
      </c>
      <c r="Q627" s="47">
        <f t="shared" si="105"/>
        <v>0</v>
      </c>
      <c r="R627" s="47">
        <f t="shared" si="106"/>
        <v>0</v>
      </c>
    </row>
    <row r="628" spans="13:18" x14ac:dyDescent="0.15">
      <c r="M628" s="46">
        <v>2021</v>
      </c>
      <c r="N628" s="26" t="s">
        <v>399</v>
      </c>
      <c r="O628" s="26" t="s">
        <v>36</v>
      </c>
      <c r="P628" s="26" t="s">
        <v>429</v>
      </c>
      <c r="Q628" s="47">
        <f t="shared" si="105"/>
        <v>0</v>
      </c>
      <c r="R628" s="47">
        <f t="shared" si="106"/>
        <v>0</v>
      </c>
    </row>
    <row r="629" spans="13:18" x14ac:dyDescent="0.15">
      <c r="M629" s="46">
        <v>2021</v>
      </c>
      <c r="N629" s="26" t="s">
        <v>399</v>
      </c>
      <c r="O629" s="26" t="s">
        <v>36</v>
      </c>
      <c r="P629" s="26" t="s">
        <v>430</v>
      </c>
      <c r="Q629" s="47">
        <f t="shared" si="105"/>
        <v>2.061547337959857</v>
      </c>
      <c r="R629" s="47">
        <f t="shared" si="106"/>
        <v>16.383253119978779</v>
      </c>
    </row>
    <row r="630" spans="13:18" x14ac:dyDescent="0.15">
      <c r="M630" s="46">
        <v>2021</v>
      </c>
      <c r="N630" s="26" t="s">
        <v>399</v>
      </c>
      <c r="O630" s="26" t="s">
        <v>422</v>
      </c>
      <c r="P630" s="26" t="s">
        <v>426</v>
      </c>
      <c r="Q630" s="47">
        <f t="shared" si="105"/>
        <v>5.2114920526633171E-3</v>
      </c>
      <c r="R630" s="47">
        <f t="shared" si="106"/>
        <v>2.6057460263316588E-2</v>
      </c>
    </row>
    <row r="631" spans="13:18" x14ac:dyDescent="0.15">
      <c r="M631" s="46">
        <v>2021</v>
      </c>
      <c r="N631" s="26" t="s">
        <v>399</v>
      </c>
      <c r="O631" s="26" t="s">
        <v>422</v>
      </c>
      <c r="P631" s="26" t="s">
        <v>428</v>
      </c>
      <c r="Q631" s="47">
        <f t="shared" si="105"/>
        <v>0</v>
      </c>
      <c r="R631" s="47">
        <f t="shared" si="106"/>
        <v>0</v>
      </c>
    </row>
    <row r="632" spans="13:18" x14ac:dyDescent="0.15">
      <c r="M632" s="46">
        <v>2021</v>
      </c>
      <c r="N632" s="26" t="s">
        <v>399</v>
      </c>
      <c r="O632" s="26" t="s">
        <v>422</v>
      </c>
      <c r="P632" s="26" t="s">
        <v>429</v>
      </c>
      <c r="Q632" s="47">
        <f t="shared" si="105"/>
        <v>0</v>
      </c>
      <c r="R632" s="47">
        <f t="shared" si="106"/>
        <v>0</v>
      </c>
    </row>
    <row r="633" spans="13:18" x14ac:dyDescent="0.15">
      <c r="M633" s="46">
        <v>2021</v>
      </c>
      <c r="N633" s="26" t="s">
        <v>399</v>
      </c>
      <c r="O633" s="26" t="s">
        <v>422</v>
      </c>
      <c r="P633" s="26" t="s">
        <v>430</v>
      </c>
      <c r="Q633" s="47">
        <f t="shared" si="105"/>
        <v>1.584069433813835</v>
      </c>
      <c r="R633" s="47">
        <f t="shared" si="106"/>
        <v>12.588704618093459</v>
      </c>
    </row>
    <row r="634" spans="13:18" x14ac:dyDescent="0.15">
      <c r="M634" s="46">
        <v>2021</v>
      </c>
      <c r="N634" s="26" t="s">
        <v>399</v>
      </c>
      <c r="O634" s="26" t="s">
        <v>393</v>
      </c>
      <c r="P634" s="26" t="s">
        <v>426</v>
      </c>
      <c r="Q634" s="47">
        <f t="shared" si="105"/>
        <v>1.1769202290819562E-2</v>
      </c>
      <c r="R634" s="47">
        <f t="shared" si="106"/>
        <v>5.8846011454097812E-2</v>
      </c>
    </row>
    <row r="635" spans="13:18" x14ac:dyDescent="0.15">
      <c r="M635" s="46">
        <v>2021</v>
      </c>
      <c r="N635" s="26" t="s">
        <v>399</v>
      </c>
      <c r="O635" s="26" t="s">
        <v>393</v>
      </c>
      <c r="P635" s="26" t="s">
        <v>428</v>
      </c>
      <c r="Q635" s="47">
        <f t="shared" si="105"/>
        <v>0</v>
      </c>
      <c r="R635" s="47">
        <f t="shared" si="106"/>
        <v>0</v>
      </c>
    </row>
    <row r="636" spans="13:18" x14ac:dyDescent="0.15">
      <c r="M636" s="46">
        <v>2021</v>
      </c>
      <c r="N636" s="26" t="s">
        <v>399</v>
      </c>
      <c r="O636" s="26" t="s">
        <v>393</v>
      </c>
      <c r="P636" s="26" t="s">
        <v>429</v>
      </c>
      <c r="Q636" s="47">
        <f t="shared" si="105"/>
        <v>0</v>
      </c>
      <c r="R636" s="47">
        <f t="shared" si="106"/>
        <v>0</v>
      </c>
    </row>
    <row r="637" spans="13:18" x14ac:dyDescent="0.15">
      <c r="M637" s="46">
        <v>2021</v>
      </c>
      <c r="N637" s="26" t="s">
        <v>399</v>
      </c>
      <c r="O637" s="26" t="s">
        <v>393</v>
      </c>
      <c r="P637" s="26" t="s">
        <v>430</v>
      </c>
      <c r="Q637" s="47">
        <f t="shared" si="105"/>
        <v>3.5773312941600794</v>
      </c>
      <c r="R637" s="47">
        <f t="shared" si="106"/>
        <v>28.429288528608641</v>
      </c>
    </row>
    <row r="638" spans="13:18" x14ac:dyDescent="0.15">
      <c r="M638" s="46">
        <v>2021</v>
      </c>
      <c r="N638" s="26" t="s">
        <v>399</v>
      </c>
      <c r="O638" s="26" t="s">
        <v>37</v>
      </c>
      <c r="P638" s="26" t="s">
        <v>426</v>
      </c>
      <c r="Q638" s="47">
        <f t="shared" si="105"/>
        <v>1.1819948614305862E-2</v>
      </c>
      <c r="R638" s="47">
        <f t="shared" si="106"/>
        <v>5.9099743071529313E-2</v>
      </c>
    </row>
    <row r="639" spans="13:18" x14ac:dyDescent="0.15">
      <c r="M639" s="46">
        <v>2021</v>
      </c>
      <c r="N639" s="26" t="s">
        <v>399</v>
      </c>
      <c r="O639" s="26" t="s">
        <v>37</v>
      </c>
      <c r="P639" s="26" t="s">
        <v>428</v>
      </c>
      <c r="Q639" s="47">
        <f t="shared" si="105"/>
        <v>0</v>
      </c>
      <c r="R639" s="47">
        <f t="shared" si="106"/>
        <v>0</v>
      </c>
    </row>
    <row r="640" spans="13:18" x14ac:dyDescent="0.15">
      <c r="M640" s="46">
        <v>2021</v>
      </c>
      <c r="N640" s="26" t="s">
        <v>399</v>
      </c>
      <c r="O640" s="26" t="s">
        <v>37</v>
      </c>
      <c r="P640" s="26" t="s">
        <v>429</v>
      </c>
      <c r="Q640" s="47">
        <f t="shared" si="105"/>
        <v>0</v>
      </c>
      <c r="R640" s="47">
        <f t="shared" si="106"/>
        <v>0</v>
      </c>
    </row>
    <row r="641" spans="13:18" x14ac:dyDescent="0.15">
      <c r="M641" s="46">
        <v>2021</v>
      </c>
      <c r="N641" s="26" t="s">
        <v>399</v>
      </c>
      <c r="O641" s="26" t="s">
        <v>37</v>
      </c>
      <c r="P641" s="26" t="s">
        <v>430</v>
      </c>
      <c r="Q641" s="47">
        <f t="shared" si="105"/>
        <v>3.5927559938623452</v>
      </c>
      <c r="R641" s="47">
        <f t="shared" si="106"/>
        <v>28.551869637889382</v>
      </c>
    </row>
    <row r="642" spans="13:18" x14ac:dyDescent="0.15">
      <c r="M642" s="46">
        <v>2021</v>
      </c>
      <c r="N642" s="26" t="s">
        <v>399</v>
      </c>
      <c r="O642" s="26" t="s">
        <v>38</v>
      </c>
      <c r="P642" s="26" t="s">
        <v>426</v>
      </c>
      <c r="Q642" s="47">
        <f t="shared" ref="Q642:Q705" si="107">SUMIFS(D:D,B:B,N642,C:C,P642,A:A,M642)*SUMIFS(K:K,G:G,N642,I:I,O642)</f>
        <v>2.0978899657705819E-3</v>
      </c>
      <c r="R642" s="47">
        <f t="shared" ref="R642:R705" si="108">SUMIFS(E:E,B:B,N642,C:C,P642,A:A,M642)*SUMIFS(K:K,G:G,N642,I:I,O642)</f>
        <v>1.048944982885291E-2</v>
      </c>
    </row>
    <row r="643" spans="13:18" x14ac:dyDescent="0.15">
      <c r="M643" s="46">
        <v>2021</v>
      </c>
      <c r="N643" s="26" t="s">
        <v>399</v>
      </c>
      <c r="O643" s="26" t="s">
        <v>38</v>
      </c>
      <c r="P643" s="26" t="s">
        <v>428</v>
      </c>
      <c r="Q643" s="47">
        <f t="shared" si="107"/>
        <v>0</v>
      </c>
      <c r="R643" s="47">
        <f t="shared" si="108"/>
        <v>0</v>
      </c>
    </row>
    <row r="644" spans="13:18" x14ac:dyDescent="0.15">
      <c r="M644" s="46">
        <v>2021</v>
      </c>
      <c r="N644" s="26" t="s">
        <v>399</v>
      </c>
      <c r="O644" s="26" t="s">
        <v>38</v>
      </c>
      <c r="P644" s="26" t="s">
        <v>429</v>
      </c>
      <c r="Q644" s="47">
        <f t="shared" si="107"/>
        <v>0</v>
      </c>
      <c r="R644" s="47">
        <f t="shared" si="108"/>
        <v>0</v>
      </c>
    </row>
    <row r="645" spans="13:18" x14ac:dyDescent="0.15">
      <c r="M645" s="46">
        <v>2021</v>
      </c>
      <c r="N645" s="26" t="s">
        <v>399</v>
      </c>
      <c r="O645" s="26" t="s">
        <v>38</v>
      </c>
      <c r="P645" s="26" t="s">
        <v>430</v>
      </c>
      <c r="Q645" s="47">
        <f t="shared" si="107"/>
        <v>0.63766831776777211</v>
      </c>
      <c r="R645" s="47">
        <f t="shared" si="108"/>
        <v>5.0675923197180053</v>
      </c>
    </row>
    <row r="646" spans="13:18" x14ac:dyDescent="0.15">
      <c r="M646" s="46">
        <v>2021</v>
      </c>
      <c r="N646" s="26" t="s">
        <v>399</v>
      </c>
      <c r="O646" s="26" t="s">
        <v>39</v>
      </c>
      <c r="P646" s="26" t="s">
        <v>426</v>
      </c>
      <c r="Q646" s="47">
        <f t="shared" si="107"/>
        <v>7.8036349146727215E-3</v>
      </c>
      <c r="R646" s="47">
        <f t="shared" si="108"/>
        <v>3.9018174573363609E-2</v>
      </c>
    </row>
    <row r="647" spans="13:18" x14ac:dyDescent="0.15">
      <c r="M647" s="46">
        <v>2021</v>
      </c>
      <c r="N647" s="26" t="s">
        <v>399</v>
      </c>
      <c r="O647" s="26" t="s">
        <v>39</v>
      </c>
      <c r="P647" s="26" t="s">
        <v>428</v>
      </c>
      <c r="Q647" s="47">
        <f t="shared" si="107"/>
        <v>0</v>
      </c>
      <c r="R647" s="47">
        <f t="shared" si="108"/>
        <v>0</v>
      </c>
    </row>
    <row r="648" spans="13:18" x14ac:dyDescent="0.15">
      <c r="M648" s="46">
        <v>2021</v>
      </c>
      <c r="N648" s="26" t="s">
        <v>399</v>
      </c>
      <c r="O648" s="26" t="s">
        <v>39</v>
      </c>
      <c r="P648" s="26" t="s">
        <v>429</v>
      </c>
      <c r="Q648" s="47">
        <f t="shared" si="107"/>
        <v>0</v>
      </c>
      <c r="R648" s="47">
        <f t="shared" si="108"/>
        <v>0</v>
      </c>
    </row>
    <row r="649" spans="13:18" x14ac:dyDescent="0.15">
      <c r="M649" s="46">
        <v>2021</v>
      </c>
      <c r="N649" s="26" t="s">
        <v>399</v>
      </c>
      <c r="O649" s="26" t="s">
        <v>39</v>
      </c>
      <c r="P649" s="26" t="s">
        <v>430</v>
      </c>
      <c r="Q649" s="47">
        <f t="shared" si="107"/>
        <v>2.3719693738491237</v>
      </c>
      <c r="R649" s="47">
        <f t="shared" si="108"/>
        <v>18.850197581717847</v>
      </c>
    </row>
    <row r="650" spans="13:18" x14ac:dyDescent="0.15">
      <c r="M650" s="46">
        <v>2021</v>
      </c>
      <c r="N650" s="26" t="s">
        <v>399</v>
      </c>
      <c r="O650" s="26" t="s">
        <v>40</v>
      </c>
      <c r="P650" s="26" t="s">
        <v>426</v>
      </c>
      <c r="Q650" s="47">
        <f t="shared" si="107"/>
        <v>0.38824707957378946</v>
      </c>
      <c r="R650" s="47">
        <f t="shared" si="108"/>
        <v>1.9412353978689474</v>
      </c>
    </row>
    <row r="651" spans="13:18" x14ac:dyDescent="0.15">
      <c r="M651" s="46">
        <v>2021</v>
      </c>
      <c r="N651" s="26" t="s">
        <v>399</v>
      </c>
      <c r="O651" s="26" t="s">
        <v>40</v>
      </c>
      <c r="P651" s="26" t="s">
        <v>428</v>
      </c>
      <c r="Q651" s="47">
        <f t="shared" si="107"/>
        <v>0</v>
      </c>
      <c r="R651" s="47">
        <f t="shared" si="108"/>
        <v>0</v>
      </c>
    </row>
    <row r="652" spans="13:18" x14ac:dyDescent="0.15">
      <c r="M652" s="46">
        <v>2021</v>
      </c>
      <c r="N652" s="26" t="s">
        <v>399</v>
      </c>
      <c r="O652" s="26" t="s">
        <v>40</v>
      </c>
      <c r="P652" s="26" t="s">
        <v>429</v>
      </c>
      <c r="Q652" s="47">
        <f t="shared" si="107"/>
        <v>0</v>
      </c>
      <c r="R652" s="47">
        <f t="shared" si="108"/>
        <v>0</v>
      </c>
    </row>
    <row r="653" spans="13:18" x14ac:dyDescent="0.15">
      <c r="M653" s="46">
        <v>2021</v>
      </c>
      <c r="N653" s="26" t="s">
        <v>399</v>
      </c>
      <c r="O653" s="26" t="s">
        <v>40</v>
      </c>
      <c r="P653" s="26" t="s">
        <v>430</v>
      </c>
      <c r="Q653" s="47">
        <f t="shared" si="107"/>
        <v>118.01041339131054</v>
      </c>
      <c r="R653" s="47">
        <f t="shared" si="108"/>
        <v>937.83656469246762</v>
      </c>
    </row>
    <row r="654" spans="13:18" x14ac:dyDescent="0.15">
      <c r="M654" s="46">
        <v>2021</v>
      </c>
      <c r="N654" s="26" t="s">
        <v>399</v>
      </c>
      <c r="O654" s="26" t="s">
        <v>41</v>
      </c>
      <c r="P654" s="26" t="s">
        <v>426</v>
      </c>
      <c r="Q654" s="47">
        <f t="shared" si="107"/>
        <v>0.11068509511367562</v>
      </c>
      <c r="R654" s="47">
        <f t="shared" si="108"/>
        <v>0.55342547556837818</v>
      </c>
    </row>
    <row r="655" spans="13:18" x14ac:dyDescent="0.15">
      <c r="M655" s="46">
        <v>2021</v>
      </c>
      <c r="N655" s="26" t="s">
        <v>399</v>
      </c>
      <c r="O655" s="26" t="s">
        <v>41</v>
      </c>
      <c r="P655" s="26" t="s">
        <v>428</v>
      </c>
      <c r="Q655" s="47">
        <f t="shared" si="107"/>
        <v>0</v>
      </c>
      <c r="R655" s="47">
        <f t="shared" si="108"/>
        <v>0</v>
      </c>
    </row>
    <row r="656" spans="13:18" x14ac:dyDescent="0.15">
      <c r="M656" s="46">
        <v>2021</v>
      </c>
      <c r="N656" s="26" t="s">
        <v>399</v>
      </c>
      <c r="O656" s="26" t="s">
        <v>41</v>
      </c>
      <c r="P656" s="26" t="s">
        <v>429</v>
      </c>
      <c r="Q656" s="47">
        <f t="shared" si="107"/>
        <v>0</v>
      </c>
      <c r="R656" s="47">
        <f t="shared" si="108"/>
        <v>0</v>
      </c>
    </row>
    <row r="657" spans="13:18" x14ac:dyDescent="0.15">
      <c r="M657" s="46">
        <v>2021</v>
      </c>
      <c r="N657" s="26" t="s">
        <v>399</v>
      </c>
      <c r="O657" s="26" t="s">
        <v>41</v>
      </c>
      <c r="P657" s="26" t="s">
        <v>430</v>
      </c>
      <c r="Q657" s="47">
        <f t="shared" si="107"/>
        <v>33.643508265305186</v>
      </c>
      <c r="R657" s="47">
        <f t="shared" si="108"/>
        <v>267.36718658134737</v>
      </c>
    </row>
    <row r="658" spans="13:18" x14ac:dyDescent="0.15">
      <c r="M658" s="46">
        <v>2021</v>
      </c>
      <c r="N658" s="26" t="s">
        <v>399</v>
      </c>
      <c r="O658" s="26" t="s">
        <v>42</v>
      </c>
      <c r="P658" s="26" t="s">
        <v>426</v>
      </c>
      <c r="Q658" s="47">
        <f t="shared" si="107"/>
        <v>5.8245282138651433E-3</v>
      </c>
      <c r="R658" s="47">
        <f t="shared" si="108"/>
        <v>2.9122641069325717E-2</v>
      </c>
    </row>
    <row r="659" spans="13:18" x14ac:dyDescent="0.15">
      <c r="M659" s="46">
        <v>2021</v>
      </c>
      <c r="N659" s="26" t="s">
        <v>399</v>
      </c>
      <c r="O659" s="26" t="s">
        <v>42</v>
      </c>
      <c r="P659" s="26" t="s">
        <v>428</v>
      </c>
      <c r="Q659" s="47">
        <f t="shared" si="107"/>
        <v>0</v>
      </c>
      <c r="R659" s="47">
        <f t="shared" si="108"/>
        <v>0</v>
      </c>
    </row>
    <row r="660" spans="13:18" x14ac:dyDescent="0.15">
      <c r="M660" s="46">
        <v>2021</v>
      </c>
      <c r="N660" s="26" t="s">
        <v>399</v>
      </c>
      <c r="O660" s="26" t="s">
        <v>42</v>
      </c>
      <c r="P660" s="26" t="s">
        <v>429</v>
      </c>
      <c r="Q660" s="47">
        <f t="shared" si="107"/>
        <v>0</v>
      </c>
      <c r="R660" s="47">
        <f t="shared" si="108"/>
        <v>0</v>
      </c>
    </row>
    <row r="661" spans="13:18" x14ac:dyDescent="0.15">
      <c r="M661" s="46">
        <v>2021</v>
      </c>
      <c r="N661" s="26" t="s">
        <v>399</v>
      </c>
      <c r="O661" s="26" t="s">
        <v>42</v>
      </c>
      <c r="P661" s="26" t="s">
        <v>430</v>
      </c>
      <c r="Q661" s="47">
        <f t="shared" si="107"/>
        <v>1.7704060596724718</v>
      </c>
      <c r="R661" s="47">
        <f t="shared" si="108"/>
        <v>14.069534114827661</v>
      </c>
    </row>
    <row r="662" spans="13:18" x14ac:dyDescent="0.15">
      <c r="M662" s="46">
        <v>2021</v>
      </c>
      <c r="N662" s="26" t="s">
        <v>399</v>
      </c>
      <c r="O662" s="26" t="s">
        <v>43</v>
      </c>
      <c r="P662" s="26" t="s">
        <v>426</v>
      </c>
      <c r="Q662" s="47">
        <f t="shared" si="107"/>
        <v>1.95188107601867E-3</v>
      </c>
      <c r="R662" s="47">
        <f t="shared" si="108"/>
        <v>9.7594053800933497E-3</v>
      </c>
    </row>
    <row r="663" spans="13:18" x14ac:dyDescent="0.15">
      <c r="M663" s="46">
        <v>2021</v>
      </c>
      <c r="N663" s="26" t="s">
        <v>399</v>
      </c>
      <c r="O663" s="26" t="s">
        <v>43</v>
      </c>
      <c r="P663" s="26" t="s">
        <v>428</v>
      </c>
      <c r="Q663" s="47">
        <f t="shared" si="107"/>
        <v>0</v>
      </c>
      <c r="R663" s="47">
        <f t="shared" si="108"/>
        <v>0</v>
      </c>
    </row>
    <row r="664" spans="13:18" x14ac:dyDescent="0.15">
      <c r="M664" s="46">
        <v>2021</v>
      </c>
      <c r="N664" s="26" t="s">
        <v>399</v>
      </c>
      <c r="O664" s="26" t="s">
        <v>43</v>
      </c>
      <c r="P664" s="26" t="s">
        <v>429</v>
      </c>
      <c r="Q664" s="47">
        <f t="shared" si="107"/>
        <v>0</v>
      </c>
      <c r="R664" s="47">
        <f t="shared" si="108"/>
        <v>0</v>
      </c>
    </row>
    <row r="665" spans="13:18" x14ac:dyDescent="0.15">
      <c r="M665" s="46">
        <v>2021</v>
      </c>
      <c r="N665" s="26" t="s">
        <v>399</v>
      </c>
      <c r="O665" s="26" t="s">
        <v>43</v>
      </c>
      <c r="P665" s="26" t="s">
        <v>430</v>
      </c>
      <c r="Q665" s="47">
        <f t="shared" si="107"/>
        <v>0.59328789523543835</v>
      </c>
      <c r="R665" s="47">
        <f t="shared" si="108"/>
        <v>4.714898164929215</v>
      </c>
    </row>
    <row r="666" spans="13:18" x14ac:dyDescent="0.15">
      <c r="M666" s="46">
        <v>2021</v>
      </c>
      <c r="N666" s="26" t="s">
        <v>399</v>
      </c>
      <c r="O666" s="26" t="s">
        <v>44</v>
      </c>
      <c r="P666" s="26" t="s">
        <v>426</v>
      </c>
      <c r="Q666" s="47">
        <f t="shared" si="107"/>
        <v>7.2202143738967883E-2</v>
      </c>
      <c r="R666" s="47">
        <f t="shared" si="108"/>
        <v>0.36101071869483942</v>
      </c>
    </row>
    <row r="667" spans="13:18" x14ac:dyDescent="0.15">
      <c r="M667" s="46">
        <v>2021</v>
      </c>
      <c r="N667" s="26" t="s">
        <v>399</v>
      </c>
      <c r="O667" s="26" t="s">
        <v>44</v>
      </c>
      <c r="P667" s="26" t="s">
        <v>428</v>
      </c>
      <c r="Q667" s="47">
        <f t="shared" si="107"/>
        <v>0</v>
      </c>
      <c r="R667" s="47">
        <f t="shared" si="108"/>
        <v>0</v>
      </c>
    </row>
    <row r="668" spans="13:18" x14ac:dyDescent="0.15">
      <c r="M668" s="46">
        <v>2021</v>
      </c>
      <c r="N668" s="26" t="s">
        <v>399</v>
      </c>
      <c r="O668" s="26" t="s">
        <v>44</v>
      </c>
      <c r="P668" s="26" t="s">
        <v>429</v>
      </c>
      <c r="Q668" s="47">
        <f t="shared" si="107"/>
        <v>0</v>
      </c>
      <c r="R668" s="47">
        <f t="shared" si="108"/>
        <v>0</v>
      </c>
    </row>
    <row r="669" spans="13:18" x14ac:dyDescent="0.15">
      <c r="M669" s="46">
        <v>2021</v>
      </c>
      <c r="N669" s="26" t="s">
        <v>399</v>
      </c>
      <c r="O669" s="26" t="s">
        <v>44</v>
      </c>
      <c r="P669" s="26" t="s">
        <v>430</v>
      </c>
      <c r="Q669" s="47">
        <f t="shared" si="107"/>
        <v>21.946346228098324</v>
      </c>
      <c r="R669" s="47">
        <f t="shared" si="108"/>
        <v>174.40906579882167</v>
      </c>
    </row>
    <row r="670" spans="13:18" x14ac:dyDescent="0.15">
      <c r="M670" s="46">
        <v>2021</v>
      </c>
      <c r="N670" s="26" t="s">
        <v>399</v>
      </c>
      <c r="O670" s="26" t="s">
        <v>45</v>
      </c>
      <c r="P670" s="26" t="s">
        <v>426</v>
      </c>
      <c r="Q670" s="47">
        <f t="shared" si="107"/>
        <v>0.17740302191473889</v>
      </c>
      <c r="R670" s="47">
        <f t="shared" si="108"/>
        <v>0.88701510957369445</v>
      </c>
    </row>
    <row r="671" spans="13:18" x14ac:dyDescent="0.15">
      <c r="M671" s="46">
        <v>2021</v>
      </c>
      <c r="N671" s="26" t="s">
        <v>399</v>
      </c>
      <c r="O671" s="26" t="s">
        <v>45</v>
      </c>
      <c r="P671" s="26" t="s">
        <v>428</v>
      </c>
      <c r="Q671" s="47">
        <f t="shared" si="107"/>
        <v>0</v>
      </c>
      <c r="R671" s="47">
        <f t="shared" si="108"/>
        <v>0</v>
      </c>
    </row>
    <row r="672" spans="13:18" x14ac:dyDescent="0.15">
      <c r="M672" s="46">
        <v>2021</v>
      </c>
      <c r="N672" s="26" t="s">
        <v>399</v>
      </c>
      <c r="O672" s="26" t="s">
        <v>45</v>
      </c>
      <c r="P672" s="26" t="s">
        <v>429</v>
      </c>
      <c r="Q672" s="47">
        <f t="shared" si="107"/>
        <v>0</v>
      </c>
      <c r="R672" s="47">
        <f t="shared" si="108"/>
        <v>0</v>
      </c>
    </row>
    <row r="673" spans="13:18" x14ac:dyDescent="0.15">
      <c r="M673" s="46">
        <v>2021</v>
      </c>
      <c r="N673" s="26" t="s">
        <v>399</v>
      </c>
      <c r="O673" s="26" t="s">
        <v>45</v>
      </c>
      <c r="P673" s="26" t="s">
        <v>430</v>
      </c>
      <c r="Q673" s="47">
        <f t="shared" si="107"/>
        <v>53.922888424578915</v>
      </c>
      <c r="R673" s="47">
        <f t="shared" si="108"/>
        <v>428.52876271786704</v>
      </c>
    </row>
    <row r="674" spans="13:18" x14ac:dyDescent="0.15">
      <c r="M674" s="46">
        <v>2021</v>
      </c>
      <c r="N674" s="26" t="s">
        <v>399</v>
      </c>
      <c r="O674" s="26" t="s">
        <v>46</v>
      </c>
      <c r="P674" s="26" t="s">
        <v>426</v>
      </c>
      <c r="Q674" s="47">
        <f t="shared" si="107"/>
        <v>3.0107392207325293E-2</v>
      </c>
      <c r="R674" s="47">
        <f t="shared" si="108"/>
        <v>0.15053696103662648</v>
      </c>
    </row>
    <row r="675" spans="13:18" x14ac:dyDescent="0.15">
      <c r="M675" s="46">
        <v>2021</v>
      </c>
      <c r="N675" s="26" t="s">
        <v>399</v>
      </c>
      <c r="O675" s="26" t="s">
        <v>46</v>
      </c>
      <c r="P675" s="26" t="s">
        <v>428</v>
      </c>
      <c r="Q675" s="47">
        <f t="shared" si="107"/>
        <v>0</v>
      </c>
      <c r="R675" s="47">
        <f t="shared" si="108"/>
        <v>0</v>
      </c>
    </row>
    <row r="676" spans="13:18" x14ac:dyDescent="0.15">
      <c r="M676" s="46">
        <v>2021</v>
      </c>
      <c r="N676" s="26" t="s">
        <v>399</v>
      </c>
      <c r="O676" s="26" t="s">
        <v>46</v>
      </c>
      <c r="P676" s="26" t="s">
        <v>429</v>
      </c>
      <c r="Q676" s="47">
        <f t="shared" si="107"/>
        <v>0</v>
      </c>
      <c r="R676" s="47">
        <f t="shared" si="108"/>
        <v>0</v>
      </c>
    </row>
    <row r="677" spans="13:18" x14ac:dyDescent="0.15">
      <c r="M677" s="46">
        <v>2021</v>
      </c>
      <c r="N677" s="26" t="s">
        <v>399</v>
      </c>
      <c r="O677" s="26" t="s">
        <v>46</v>
      </c>
      <c r="P677" s="26" t="s">
        <v>430</v>
      </c>
      <c r="Q677" s="47">
        <f t="shared" si="107"/>
        <v>9.1513522894265744</v>
      </c>
      <c r="R677" s="47">
        <f t="shared" si="108"/>
        <v>72.726402245094746</v>
      </c>
    </row>
    <row r="678" spans="13:18" x14ac:dyDescent="0.15">
      <c r="M678" s="46">
        <v>2021</v>
      </c>
      <c r="N678" s="26" t="s">
        <v>399</v>
      </c>
      <c r="O678" s="26" t="s">
        <v>47</v>
      </c>
      <c r="P678" s="26" t="s">
        <v>426</v>
      </c>
      <c r="Q678" s="47">
        <f t="shared" si="107"/>
        <v>1.1250803805673644E-2</v>
      </c>
      <c r="R678" s="47">
        <f t="shared" si="108"/>
        <v>5.6254019028368227E-2</v>
      </c>
    </row>
    <row r="679" spans="13:18" x14ac:dyDescent="0.15">
      <c r="M679" s="46">
        <v>2021</v>
      </c>
      <c r="N679" s="26" t="s">
        <v>399</v>
      </c>
      <c r="O679" s="26" t="s">
        <v>47</v>
      </c>
      <c r="P679" s="26" t="s">
        <v>428</v>
      </c>
      <c r="Q679" s="47">
        <f t="shared" si="107"/>
        <v>0</v>
      </c>
      <c r="R679" s="47">
        <f t="shared" si="108"/>
        <v>0</v>
      </c>
    </row>
    <row r="680" spans="13:18" x14ac:dyDescent="0.15">
      <c r="M680" s="46">
        <v>2021</v>
      </c>
      <c r="N680" s="26" t="s">
        <v>399</v>
      </c>
      <c r="O680" s="26" t="s">
        <v>47</v>
      </c>
      <c r="P680" s="26" t="s">
        <v>429</v>
      </c>
      <c r="Q680" s="47">
        <f t="shared" si="107"/>
        <v>0</v>
      </c>
      <c r="R680" s="47">
        <f t="shared" si="108"/>
        <v>0</v>
      </c>
    </row>
    <row r="681" spans="13:18" x14ac:dyDescent="0.15">
      <c r="M681" s="46">
        <v>2021</v>
      </c>
      <c r="N681" s="26" t="s">
        <v>399</v>
      </c>
      <c r="O681" s="26" t="s">
        <v>47</v>
      </c>
      <c r="P681" s="26" t="s">
        <v>430</v>
      </c>
      <c r="Q681" s="47">
        <f t="shared" si="107"/>
        <v>3.419760451384759</v>
      </c>
      <c r="R681" s="47">
        <f t="shared" si="108"/>
        <v>27.177062613645575</v>
      </c>
    </row>
    <row r="682" spans="13:18" x14ac:dyDescent="0.15">
      <c r="M682" s="46">
        <v>2021</v>
      </c>
      <c r="N682" s="26" t="s">
        <v>399</v>
      </c>
      <c r="O682" s="26" t="s">
        <v>48</v>
      </c>
      <c r="P682" s="26" t="s">
        <v>426</v>
      </c>
      <c r="Q682" s="47">
        <f t="shared" si="107"/>
        <v>6.8254317338176254E-3</v>
      </c>
      <c r="R682" s="47">
        <f t="shared" si="108"/>
        <v>3.412715866908813E-2</v>
      </c>
    </row>
    <row r="683" spans="13:18" x14ac:dyDescent="0.15">
      <c r="M683" s="46">
        <v>2021</v>
      </c>
      <c r="N683" s="26" t="s">
        <v>399</v>
      </c>
      <c r="O683" s="26" t="s">
        <v>48</v>
      </c>
      <c r="P683" s="26" t="s">
        <v>428</v>
      </c>
      <c r="Q683" s="47">
        <f t="shared" si="107"/>
        <v>0</v>
      </c>
      <c r="R683" s="47">
        <f t="shared" si="108"/>
        <v>0</v>
      </c>
    </row>
    <row r="684" spans="13:18" x14ac:dyDescent="0.15">
      <c r="M684" s="46">
        <v>2021</v>
      </c>
      <c r="N684" s="26" t="s">
        <v>399</v>
      </c>
      <c r="O684" s="26" t="s">
        <v>48</v>
      </c>
      <c r="P684" s="26" t="s">
        <v>429</v>
      </c>
      <c r="Q684" s="47">
        <f t="shared" si="107"/>
        <v>0</v>
      </c>
      <c r="R684" s="47">
        <f t="shared" si="108"/>
        <v>0</v>
      </c>
    </row>
    <row r="685" spans="13:18" x14ac:dyDescent="0.15">
      <c r="M685" s="46">
        <v>2021</v>
      </c>
      <c r="N685" s="26" t="s">
        <v>399</v>
      </c>
      <c r="O685" s="26" t="s">
        <v>48</v>
      </c>
      <c r="P685" s="26" t="s">
        <v>430</v>
      </c>
      <c r="Q685" s="47">
        <f t="shared" si="107"/>
        <v>2.074637680124265</v>
      </c>
      <c r="R685" s="47">
        <f t="shared" si="108"/>
        <v>16.48728293542743</v>
      </c>
    </row>
    <row r="686" spans="13:18" x14ac:dyDescent="0.15">
      <c r="M686" s="46">
        <v>2021</v>
      </c>
      <c r="N686" s="26" t="s">
        <v>399</v>
      </c>
      <c r="O686" s="26" t="s">
        <v>49</v>
      </c>
      <c r="P686" s="26" t="s">
        <v>426</v>
      </c>
      <c r="Q686" s="47">
        <f t="shared" si="107"/>
        <v>3.4591752537926268E-3</v>
      </c>
      <c r="R686" s="47">
        <f t="shared" si="108"/>
        <v>1.7295876268963135E-2</v>
      </c>
    </row>
    <row r="687" spans="13:18" x14ac:dyDescent="0.15">
      <c r="M687" s="46">
        <v>2021</v>
      </c>
      <c r="N687" s="26" t="s">
        <v>399</v>
      </c>
      <c r="O687" s="26" t="s">
        <v>49</v>
      </c>
      <c r="P687" s="26" t="s">
        <v>428</v>
      </c>
      <c r="Q687" s="47">
        <f t="shared" si="107"/>
        <v>0</v>
      </c>
      <c r="R687" s="47">
        <f t="shared" si="108"/>
        <v>0</v>
      </c>
    </row>
    <row r="688" spans="13:18" x14ac:dyDescent="0.15">
      <c r="M688" s="46">
        <v>2021</v>
      </c>
      <c r="N688" s="26" t="s">
        <v>399</v>
      </c>
      <c r="O688" s="26" t="s">
        <v>49</v>
      </c>
      <c r="P688" s="26" t="s">
        <v>429</v>
      </c>
      <c r="Q688" s="47">
        <f t="shared" si="107"/>
        <v>0</v>
      </c>
      <c r="R688" s="47">
        <f t="shared" si="108"/>
        <v>0</v>
      </c>
    </row>
    <row r="689" spans="13:18" x14ac:dyDescent="0.15">
      <c r="M689" s="46">
        <v>2021</v>
      </c>
      <c r="N689" s="26" t="s">
        <v>399</v>
      </c>
      <c r="O689" s="26" t="s">
        <v>49</v>
      </c>
      <c r="P689" s="26" t="s">
        <v>430</v>
      </c>
      <c r="Q689" s="47">
        <f t="shared" si="107"/>
        <v>1.0514404954216126</v>
      </c>
      <c r="R689" s="47">
        <f t="shared" si="108"/>
        <v>8.3558671973719161</v>
      </c>
    </row>
    <row r="690" spans="13:18" x14ac:dyDescent="0.15">
      <c r="M690" s="46">
        <v>2021</v>
      </c>
      <c r="N690" s="26" t="s">
        <v>399</v>
      </c>
      <c r="O690" s="26" t="s">
        <v>50</v>
      </c>
      <c r="P690" s="26" t="s">
        <v>426</v>
      </c>
      <c r="Q690" s="47">
        <f t="shared" si="107"/>
        <v>2.1433241002402712E-3</v>
      </c>
      <c r="R690" s="47">
        <f t="shared" si="108"/>
        <v>1.0716620501201356E-2</v>
      </c>
    </row>
    <row r="691" spans="13:18" x14ac:dyDescent="0.15">
      <c r="M691" s="46">
        <v>2021</v>
      </c>
      <c r="N691" s="26" t="s">
        <v>399</v>
      </c>
      <c r="O691" s="26" t="s">
        <v>50</v>
      </c>
      <c r="P691" s="26" t="s">
        <v>428</v>
      </c>
      <c r="Q691" s="47">
        <f t="shared" si="107"/>
        <v>0</v>
      </c>
      <c r="R691" s="47">
        <f t="shared" si="108"/>
        <v>0</v>
      </c>
    </row>
    <row r="692" spans="13:18" x14ac:dyDescent="0.15">
      <c r="M692" s="46">
        <v>2021</v>
      </c>
      <c r="N692" s="26" t="s">
        <v>399</v>
      </c>
      <c r="O692" s="26" t="s">
        <v>50</v>
      </c>
      <c r="P692" s="26" t="s">
        <v>429</v>
      </c>
      <c r="Q692" s="47">
        <f t="shared" si="107"/>
        <v>0</v>
      </c>
      <c r="R692" s="47">
        <f t="shared" si="108"/>
        <v>0</v>
      </c>
    </row>
    <row r="693" spans="13:18" x14ac:dyDescent="0.15">
      <c r="M693" s="46">
        <v>2021</v>
      </c>
      <c r="N693" s="26" t="s">
        <v>399</v>
      </c>
      <c r="O693" s="26" t="s">
        <v>50</v>
      </c>
      <c r="P693" s="26" t="s">
        <v>430</v>
      </c>
      <c r="Q693" s="47">
        <f t="shared" si="107"/>
        <v>0.65147834049023634</v>
      </c>
      <c r="R693" s="47">
        <f t="shared" si="108"/>
        <v>5.1773414841872025</v>
      </c>
    </row>
    <row r="694" spans="13:18" x14ac:dyDescent="0.15">
      <c r="M694" s="46">
        <v>2021</v>
      </c>
      <c r="N694" s="26" t="s">
        <v>399</v>
      </c>
      <c r="O694" s="26" t="s">
        <v>51</v>
      </c>
      <c r="P694" s="26" t="s">
        <v>426</v>
      </c>
      <c r="Q694" s="47">
        <f t="shared" si="107"/>
        <v>2.9949051122149504E-3</v>
      </c>
      <c r="R694" s="47">
        <f t="shared" si="108"/>
        <v>1.4974525561074753E-2</v>
      </c>
    </row>
    <row r="695" spans="13:18" x14ac:dyDescent="0.15">
      <c r="M695" s="46">
        <v>2021</v>
      </c>
      <c r="N695" s="26" t="s">
        <v>399</v>
      </c>
      <c r="O695" s="26" t="s">
        <v>51</v>
      </c>
      <c r="P695" s="26" t="s">
        <v>428</v>
      </c>
      <c r="Q695" s="47">
        <f t="shared" si="107"/>
        <v>0</v>
      </c>
      <c r="R695" s="47">
        <f t="shared" si="108"/>
        <v>0</v>
      </c>
    </row>
    <row r="696" spans="13:18" x14ac:dyDescent="0.15">
      <c r="M696" s="46">
        <v>2021</v>
      </c>
      <c r="N696" s="26" t="s">
        <v>399</v>
      </c>
      <c r="O696" s="26" t="s">
        <v>51</v>
      </c>
      <c r="P696" s="26" t="s">
        <v>429</v>
      </c>
      <c r="Q696" s="47">
        <f t="shared" si="107"/>
        <v>0</v>
      </c>
      <c r="R696" s="47">
        <f t="shared" si="108"/>
        <v>0</v>
      </c>
    </row>
    <row r="697" spans="13:18" x14ac:dyDescent="0.15">
      <c r="M697" s="46">
        <v>2021</v>
      </c>
      <c r="N697" s="26" t="s">
        <v>399</v>
      </c>
      <c r="O697" s="26" t="s">
        <v>51</v>
      </c>
      <c r="P697" s="26" t="s">
        <v>430</v>
      </c>
      <c r="Q697" s="47">
        <f t="shared" si="107"/>
        <v>0.9103223409902389</v>
      </c>
      <c r="R697" s="47">
        <f t="shared" si="108"/>
        <v>7.2343918854533369</v>
      </c>
    </row>
    <row r="698" spans="13:18" x14ac:dyDescent="0.15">
      <c r="M698" s="46">
        <v>2021</v>
      </c>
      <c r="N698" s="26" t="s">
        <v>399</v>
      </c>
      <c r="O698" s="26" t="s">
        <v>52</v>
      </c>
      <c r="P698" s="26" t="s">
        <v>426</v>
      </c>
      <c r="Q698" s="47">
        <f t="shared" si="107"/>
        <v>1.8287321718480057E-3</v>
      </c>
      <c r="R698" s="47">
        <f t="shared" si="108"/>
        <v>9.1436608592400295E-3</v>
      </c>
    </row>
    <row r="699" spans="13:18" x14ac:dyDescent="0.15">
      <c r="M699" s="46">
        <v>2021</v>
      </c>
      <c r="N699" s="26" t="s">
        <v>399</v>
      </c>
      <c r="O699" s="26" t="s">
        <v>52</v>
      </c>
      <c r="P699" s="26" t="s">
        <v>428</v>
      </c>
      <c r="Q699" s="47">
        <f t="shared" si="107"/>
        <v>0</v>
      </c>
      <c r="R699" s="47">
        <f t="shared" si="108"/>
        <v>0</v>
      </c>
    </row>
    <row r="700" spans="13:18" x14ac:dyDescent="0.15">
      <c r="M700" s="46">
        <v>2021</v>
      </c>
      <c r="N700" s="26" t="s">
        <v>399</v>
      </c>
      <c r="O700" s="26" t="s">
        <v>52</v>
      </c>
      <c r="P700" s="26" t="s">
        <v>429</v>
      </c>
      <c r="Q700" s="47">
        <f t="shared" si="107"/>
        <v>0</v>
      </c>
      <c r="R700" s="47">
        <f t="shared" si="108"/>
        <v>0</v>
      </c>
    </row>
    <row r="701" spans="13:18" x14ac:dyDescent="0.15">
      <c r="M701" s="46">
        <v>2021</v>
      </c>
      <c r="N701" s="26" t="s">
        <v>399</v>
      </c>
      <c r="O701" s="26" t="s">
        <v>52</v>
      </c>
      <c r="P701" s="26" t="s">
        <v>430</v>
      </c>
      <c r="Q701" s="47">
        <f t="shared" si="107"/>
        <v>0.55585592509461745</v>
      </c>
      <c r="R701" s="47">
        <f t="shared" si="108"/>
        <v>4.4174238211174224</v>
      </c>
    </row>
    <row r="702" spans="13:18" x14ac:dyDescent="0.15">
      <c r="M702" s="46">
        <v>2021</v>
      </c>
      <c r="N702" s="26" t="s">
        <v>399</v>
      </c>
      <c r="O702" s="26" t="s">
        <v>53</v>
      </c>
      <c r="P702" s="26" t="s">
        <v>426</v>
      </c>
      <c r="Q702" s="47">
        <f t="shared" si="107"/>
        <v>4.8005591897623823E-3</v>
      </c>
      <c r="R702" s="47">
        <f t="shared" si="108"/>
        <v>2.4002795948811915E-2</v>
      </c>
    </row>
    <row r="703" spans="13:18" x14ac:dyDescent="0.15">
      <c r="M703" s="46">
        <v>2021</v>
      </c>
      <c r="N703" s="26" t="s">
        <v>399</v>
      </c>
      <c r="O703" s="26" t="s">
        <v>53</v>
      </c>
      <c r="P703" s="26" t="s">
        <v>428</v>
      </c>
      <c r="Q703" s="47">
        <f t="shared" si="107"/>
        <v>0</v>
      </c>
      <c r="R703" s="47">
        <f t="shared" si="108"/>
        <v>0</v>
      </c>
    </row>
    <row r="704" spans="13:18" x14ac:dyDescent="0.15">
      <c r="M704" s="46">
        <v>2021</v>
      </c>
      <c r="N704" s="26" t="s">
        <v>399</v>
      </c>
      <c r="O704" s="26" t="s">
        <v>53</v>
      </c>
      <c r="P704" s="26" t="s">
        <v>429</v>
      </c>
      <c r="Q704" s="47">
        <f t="shared" si="107"/>
        <v>0</v>
      </c>
      <c r="R704" s="47">
        <f t="shared" si="108"/>
        <v>0</v>
      </c>
    </row>
    <row r="705" spans="13:18" x14ac:dyDescent="0.15">
      <c r="M705" s="46">
        <v>2021</v>
      </c>
      <c r="N705" s="26" t="s">
        <v>399</v>
      </c>
      <c r="O705" s="26" t="s">
        <v>53</v>
      </c>
      <c r="P705" s="26" t="s">
        <v>430</v>
      </c>
      <c r="Q705" s="47">
        <f t="shared" si="107"/>
        <v>1.4591635180236884</v>
      </c>
      <c r="R705" s="47">
        <f t="shared" si="108"/>
        <v>11.596069039519822</v>
      </c>
    </row>
    <row r="706" spans="13:18" x14ac:dyDescent="0.15">
      <c r="M706" s="46">
        <v>2021</v>
      </c>
      <c r="N706" s="26" t="s">
        <v>399</v>
      </c>
      <c r="O706" s="26" t="s">
        <v>54</v>
      </c>
      <c r="P706" s="26" t="s">
        <v>426</v>
      </c>
      <c r="Q706" s="47">
        <f t="shared" ref="Q706:Q769" si="109">SUMIFS(D:D,B:B,N706,C:C,P706,A:A,M706)*SUMIFS(K:K,G:G,N706,I:I,O706)</f>
        <v>8.9151499583818104E-3</v>
      </c>
      <c r="R706" s="47">
        <f t="shared" ref="R706:R769" si="110">SUMIFS(E:E,B:B,N706,C:C,P706,A:A,M706)*SUMIFS(K:K,G:G,N706,I:I,O706)</f>
        <v>4.457574979190905E-2</v>
      </c>
    </row>
    <row r="707" spans="13:18" x14ac:dyDescent="0.15">
      <c r="M707" s="46">
        <v>2021</v>
      </c>
      <c r="N707" s="26" t="s">
        <v>399</v>
      </c>
      <c r="O707" s="26" t="s">
        <v>54</v>
      </c>
      <c r="P707" s="26" t="s">
        <v>428</v>
      </c>
      <c r="Q707" s="47">
        <f t="shared" si="109"/>
        <v>0</v>
      </c>
      <c r="R707" s="47">
        <f t="shared" si="110"/>
        <v>0</v>
      </c>
    </row>
    <row r="708" spans="13:18" x14ac:dyDescent="0.15">
      <c r="M708" s="46">
        <v>2021</v>
      </c>
      <c r="N708" s="26" t="s">
        <v>399</v>
      </c>
      <c r="O708" s="26" t="s">
        <v>54</v>
      </c>
      <c r="P708" s="26" t="s">
        <v>429</v>
      </c>
      <c r="Q708" s="47">
        <f t="shared" si="109"/>
        <v>0</v>
      </c>
      <c r="R708" s="47">
        <f t="shared" si="110"/>
        <v>0</v>
      </c>
    </row>
    <row r="709" spans="13:18" x14ac:dyDescent="0.15">
      <c r="M709" s="46">
        <v>2021</v>
      </c>
      <c r="N709" s="26" t="s">
        <v>399</v>
      </c>
      <c r="O709" s="26" t="s">
        <v>54</v>
      </c>
      <c r="P709" s="26" t="s">
        <v>430</v>
      </c>
      <c r="Q709" s="47">
        <f t="shared" si="109"/>
        <v>2.7098221400380322</v>
      </c>
      <c r="R709" s="47">
        <f t="shared" si="110"/>
        <v>21.535135872407576</v>
      </c>
    </row>
    <row r="710" spans="13:18" x14ac:dyDescent="0.15">
      <c r="M710" s="46">
        <v>2021</v>
      </c>
      <c r="N710" s="26" t="s">
        <v>399</v>
      </c>
      <c r="O710" s="26" t="s">
        <v>408</v>
      </c>
      <c r="P710" s="26" t="s">
        <v>426</v>
      </c>
      <c r="Q710" s="47">
        <f t="shared" si="109"/>
        <v>3.5947796442296963E-3</v>
      </c>
      <c r="R710" s="47">
        <f t="shared" si="110"/>
        <v>1.7973898221148484E-2</v>
      </c>
    </row>
    <row r="711" spans="13:18" x14ac:dyDescent="0.15">
      <c r="M711" s="46">
        <v>2021</v>
      </c>
      <c r="N711" s="26" t="s">
        <v>399</v>
      </c>
      <c r="O711" s="26" t="s">
        <v>408</v>
      </c>
      <c r="P711" s="26" t="s">
        <v>428</v>
      </c>
      <c r="Q711" s="47">
        <f t="shared" si="109"/>
        <v>0</v>
      </c>
      <c r="R711" s="47">
        <f t="shared" si="110"/>
        <v>0</v>
      </c>
    </row>
    <row r="712" spans="13:18" x14ac:dyDescent="0.15">
      <c r="M712" s="46">
        <v>2021</v>
      </c>
      <c r="N712" s="26" t="s">
        <v>399</v>
      </c>
      <c r="O712" s="26" t="s">
        <v>408</v>
      </c>
      <c r="P712" s="26" t="s">
        <v>429</v>
      </c>
      <c r="Q712" s="47">
        <f t="shared" si="109"/>
        <v>0</v>
      </c>
      <c r="R712" s="47">
        <f t="shared" si="110"/>
        <v>0</v>
      </c>
    </row>
    <row r="713" spans="13:18" x14ac:dyDescent="0.15">
      <c r="M713" s="46">
        <v>2021</v>
      </c>
      <c r="N713" s="26" t="s">
        <v>399</v>
      </c>
      <c r="O713" s="26" t="s">
        <v>408</v>
      </c>
      <c r="P713" s="26" t="s">
        <v>430</v>
      </c>
      <c r="Q713" s="47">
        <f t="shared" si="109"/>
        <v>1.0926583976675812</v>
      </c>
      <c r="R713" s="47">
        <f t="shared" si="110"/>
        <v>8.6834285941616312</v>
      </c>
    </row>
    <row r="714" spans="13:18" x14ac:dyDescent="0.15">
      <c r="M714" s="46">
        <v>2021</v>
      </c>
      <c r="N714" s="26" t="s">
        <v>399</v>
      </c>
      <c r="O714" s="26" t="s">
        <v>55</v>
      </c>
      <c r="P714" s="26" t="s">
        <v>426</v>
      </c>
      <c r="Q714" s="47">
        <f t="shared" si="109"/>
        <v>1.8514212551254506E-2</v>
      </c>
      <c r="R714" s="47">
        <f t="shared" si="110"/>
        <v>9.2571062756272526E-2</v>
      </c>
    </row>
    <row r="715" spans="13:18" x14ac:dyDescent="0.15">
      <c r="M715" s="46">
        <v>2021</v>
      </c>
      <c r="N715" s="26" t="s">
        <v>399</v>
      </c>
      <c r="O715" s="26" t="s">
        <v>55</v>
      </c>
      <c r="P715" s="26" t="s">
        <v>428</v>
      </c>
      <c r="Q715" s="47">
        <f t="shared" si="109"/>
        <v>0</v>
      </c>
      <c r="R715" s="47">
        <f t="shared" si="110"/>
        <v>0</v>
      </c>
    </row>
    <row r="716" spans="13:18" x14ac:dyDescent="0.15">
      <c r="M716" s="46">
        <v>2021</v>
      </c>
      <c r="N716" s="26" t="s">
        <v>399</v>
      </c>
      <c r="O716" s="26" t="s">
        <v>55</v>
      </c>
      <c r="P716" s="26" t="s">
        <v>429</v>
      </c>
      <c r="Q716" s="47">
        <f t="shared" si="109"/>
        <v>0</v>
      </c>
      <c r="R716" s="47">
        <f t="shared" si="110"/>
        <v>0</v>
      </c>
    </row>
    <row r="717" spans="13:18" x14ac:dyDescent="0.15">
      <c r="M717" s="46">
        <v>2021</v>
      </c>
      <c r="N717" s="26" t="s">
        <v>399</v>
      </c>
      <c r="O717" s="26" t="s">
        <v>55</v>
      </c>
      <c r="P717" s="26" t="s">
        <v>430</v>
      </c>
      <c r="Q717" s="47">
        <f t="shared" si="109"/>
        <v>5.6275243053641111</v>
      </c>
      <c r="R717" s="47">
        <f t="shared" si="110"/>
        <v>44.722308062473545</v>
      </c>
    </row>
    <row r="718" spans="13:18" x14ac:dyDescent="0.15">
      <c r="M718" s="46">
        <v>2021</v>
      </c>
      <c r="N718" s="26" t="s">
        <v>403</v>
      </c>
      <c r="O718" s="26" t="s">
        <v>34</v>
      </c>
      <c r="P718" s="26" t="s">
        <v>426</v>
      </c>
      <c r="Q718" s="47">
        <f t="shared" si="109"/>
        <v>0</v>
      </c>
      <c r="R718" s="47">
        <f t="shared" si="110"/>
        <v>0</v>
      </c>
    </row>
    <row r="719" spans="13:18" x14ac:dyDescent="0.15">
      <c r="M719" s="46">
        <v>2021</v>
      </c>
      <c r="N719" s="26" t="s">
        <v>403</v>
      </c>
      <c r="O719" s="26" t="s">
        <v>34</v>
      </c>
      <c r="P719" s="26" t="s">
        <v>428</v>
      </c>
      <c r="Q719" s="47">
        <f t="shared" si="109"/>
        <v>2.9542230192116863</v>
      </c>
      <c r="R719" s="47">
        <f t="shared" si="110"/>
        <v>20.896146537940552</v>
      </c>
    </row>
    <row r="720" spans="13:18" x14ac:dyDescent="0.15">
      <c r="M720" s="46">
        <v>2021</v>
      </c>
      <c r="N720" s="26" t="s">
        <v>403</v>
      </c>
      <c r="O720" s="26" t="s">
        <v>34</v>
      </c>
      <c r="P720" s="26" t="s">
        <v>429</v>
      </c>
      <c r="Q720" s="47">
        <f t="shared" si="109"/>
        <v>0</v>
      </c>
      <c r="R720" s="47">
        <f t="shared" si="110"/>
        <v>0</v>
      </c>
    </row>
    <row r="721" spans="13:18" x14ac:dyDescent="0.15">
      <c r="M721" s="46">
        <v>2021</v>
      </c>
      <c r="N721" s="26" t="s">
        <v>403</v>
      </c>
      <c r="O721" s="26" t="s">
        <v>34</v>
      </c>
      <c r="P721" s="26" t="s">
        <v>430</v>
      </c>
      <c r="Q721" s="47">
        <f t="shared" si="109"/>
        <v>0</v>
      </c>
      <c r="R721" s="47">
        <f t="shared" si="110"/>
        <v>0</v>
      </c>
    </row>
    <row r="722" spans="13:18" x14ac:dyDescent="0.15">
      <c r="M722" s="46">
        <v>2021</v>
      </c>
      <c r="N722" s="26" t="s">
        <v>403</v>
      </c>
      <c r="O722" s="26" t="s">
        <v>35</v>
      </c>
      <c r="P722" s="26" t="s">
        <v>426</v>
      </c>
      <c r="Q722" s="47">
        <f t="shared" si="109"/>
        <v>0</v>
      </c>
      <c r="R722" s="47">
        <f t="shared" si="110"/>
        <v>0</v>
      </c>
    </row>
    <row r="723" spans="13:18" x14ac:dyDescent="0.15">
      <c r="M723" s="46">
        <v>2021</v>
      </c>
      <c r="N723" s="26" t="s">
        <v>403</v>
      </c>
      <c r="O723" s="26" t="s">
        <v>35</v>
      </c>
      <c r="P723" s="26" t="s">
        <v>428</v>
      </c>
      <c r="Q723" s="47">
        <f t="shared" si="109"/>
        <v>3.5526900354988711</v>
      </c>
      <c r="R723" s="47">
        <f t="shared" si="110"/>
        <v>25.129291560890824</v>
      </c>
    </row>
    <row r="724" spans="13:18" x14ac:dyDescent="0.15">
      <c r="M724" s="46">
        <v>2021</v>
      </c>
      <c r="N724" s="26" t="s">
        <v>403</v>
      </c>
      <c r="O724" s="26" t="s">
        <v>35</v>
      </c>
      <c r="P724" s="26" t="s">
        <v>429</v>
      </c>
      <c r="Q724" s="47">
        <f t="shared" si="109"/>
        <v>0</v>
      </c>
      <c r="R724" s="47">
        <f t="shared" si="110"/>
        <v>0</v>
      </c>
    </row>
    <row r="725" spans="13:18" x14ac:dyDescent="0.15">
      <c r="M725" s="46">
        <v>2021</v>
      </c>
      <c r="N725" s="26" t="s">
        <v>403</v>
      </c>
      <c r="O725" s="26" t="s">
        <v>35</v>
      </c>
      <c r="P725" s="26" t="s">
        <v>430</v>
      </c>
      <c r="Q725" s="47">
        <f t="shared" si="109"/>
        <v>0</v>
      </c>
      <c r="R725" s="47">
        <f t="shared" si="110"/>
        <v>0</v>
      </c>
    </row>
    <row r="726" spans="13:18" x14ac:dyDescent="0.15">
      <c r="M726" s="46">
        <v>2021</v>
      </c>
      <c r="N726" s="26" t="s">
        <v>403</v>
      </c>
      <c r="O726" s="26" t="s">
        <v>36</v>
      </c>
      <c r="P726" s="26" t="s">
        <v>426</v>
      </c>
      <c r="Q726" s="47">
        <f t="shared" si="109"/>
        <v>0</v>
      </c>
      <c r="R726" s="47">
        <f t="shared" si="110"/>
        <v>0</v>
      </c>
    </row>
    <row r="727" spans="13:18" x14ac:dyDescent="0.15">
      <c r="M727" s="46">
        <v>2021</v>
      </c>
      <c r="N727" s="26" t="s">
        <v>403</v>
      </c>
      <c r="O727" s="26" t="s">
        <v>36</v>
      </c>
      <c r="P727" s="26" t="s">
        <v>428</v>
      </c>
      <c r="Q727" s="47">
        <f t="shared" si="109"/>
        <v>1.3069545013293689</v>
      </c>
      <c r="R727" s="47">
        <f t="shared" si="110"/>
        <v>9.2444993491002858</v>
      </c>
    </row>
    <row r="728" spans="13:18" x14ac:dyDescent="0.15">
      <c r="M728" s="46">
        <v>2021</v>
      </c>
      <c r="N728" s="26" t="s">
        <v>403</v>
      </c>
      <c r="O728" s="26" t="s">
        <v>36</v>
      </c>
      <c r="P728" s="26" t="s">
        <v>429</v>
      </c>
      <c r="Q728" s="47">
        <f t="shared" si="109"/>
        <v>0</v>
      </c>
      <c r="R728" s="47">
        <f t="shared" si="110"/>
        <v>0</v>
      </c>
    </row>
    <row r="729" spans="13:18" x14ac:dyDescent="0.15">
      <c r="M729" s="46">
        <v>2021</v>
      </c>
      <c r="N729" s="26" t="s">
        <v>403</v>
      </c>
      <c r="O729" s="26" t="s">
        <v>36</v>
      </c>
      <c r="P729" s="26" t="s">
        <v>430</v>
      </c>
      <c r="Q729" s="47">
        <f t="shared" si="109"/>
        <v>0</v>
      </c>
      <c r="R729" s="47">
        <f t="shared" si="110"/>
        <v>0</v>
      </c>
    </row>
    <row r="730" spans="13:18" x14ac:dyDescent="0.15">
      <c r="M730" s="46">
        <v>2021</v>
      </c>
      <c r="N730" s="26" t="s">
        <v>403</v>
      </c>
      <c r="O730" s="26" t="s">
        <v>422</v>
      </c>
      <c r="P730" s="26" t="s">
        <v>426</v>
      </c>
      <c r="Q730" s="47">
        <f t="shared" si="109"/>
        <v>0</v>
      </c>
      <c r="R730" s="47">
        <f t="shared" si="110"/>
        <v>0</v>
      </c>
    </row>
    <row r="731" spans="13:18" x14ac:dyDescent="0.15">
      <c r="M731" s="46">
        <v>2021</v>
      </c>
      <c r="N731" s="26" t="s">
        <v>403</v>
      </c>
      <c r="O731" s="26" t="s">
        <v>422</v>
      </c>
      <c r="P731" s="26" t="s">
        <v>428</v>
      </c>
      <c r="Q731" s="47">
        <f t="shared" si="109"/>
        <v>1.0042489147933258</v>
      </c>
      <c r="R731" s="47">
        <f t="shared" si="110"/>
        <v>7.1033677375138717</v>
      </c>
    </row>
    <row r="732" spans="13:18" x14ac:dyDescent="0.15">
      <c r="M732" s="46">
        <v>2021</v>
      </c>
      <c r="N732" s="26" t="s">
        <v>403</v>
      </c>
      <c r="O732" s="26" t="s">
        <v>422</v>
      </c>
      <c r="P732" s="26" t="s">
        <v>429</v>
      </c>
      <c r="Q732" s="47">
        <f t="shared" si="109"/>
        <v>0</v>
      </c>
      <c r="R732" s="47">
        <f t="shared" si="110"/>
        <v>0</v>
      </c>
    </row>
    <row r="733" spans="13:18" x14ac:dyDescent="0.15">
      <c r="M733" s="46">
        <v>2021</v>
      </c>
      <c r="N733" s="26" t="s">
        <v>403</v>
      </c>
      <c r="O733" s="26" t="s">
        <v>422</v>
      </c>
      <c r="P733" s="26" t="s">
        <v>430</v>
      </c>
      <c r="Q733" s="47">
        <f t="shared" si="109"/>
        <v>0</v>
      </c>
      <c r="R733" s="47">
        <f t="shared" si="110"/>
        <v>0</v>
      </c>
    </row>
    <row r="734" spans="13:18" x14ac:dyDescent="0.15">
      <c r="M734" s="46">
        <v>2021</v>
      </c>
      <c r="N734" s="26" t="s">
        <v>403</v>
      </c>
      <c r="O734" s="26" t="s">
        <v>393</v>
      </c>
      <c r="P734" s="26" t="s">
        <v>426</v>
      </c>
      <c r="Q734" s="47">
        <f t="shared" si="109"/>
        <v>0</v>
      </c>
      <c r="R734" s="47">
        <f t="shared" si="110"/>
        <v>0</v>
      </c>
    </row>
    <row r="735" spans="13:18" x14ac:dyDescent="0.15">
      <c r="M735" s="46">
        <v>2021</v>
      </c>
      <c r="N735" s="26" t="s">
        <v>403</v>
      </c>
      <c r="O735" s="26" t="s">
        <v>393</v>
      </c>
      <c r="P735" s="26" t="s">
        <v>428</v>
      </c>
      <c r="Q735" s="47">
        <f t="shared" si="109"/>
        <v>2.2679126263847031</v>
      </c>
      <c r="R735" s="47">
        <f t="shared" si="110"/>
        <v>16.041657744859844</v>
      </c>
    </row>
    <row r="736" spans="13:18" x14ac:dyDescent="0.15">
      <c r="M736" s="46">
        <v>2021</v>
      </c>
      <c r="N736" s="26" t="s">
        <v>403</v>
      </c>
      <c r="O736" s="26" t="s">
        <v>393</v>
      </c>
      <c r="P736" s="26" t="s">
        <v>429</v>
      </c>
      <c r="Q736" s="47">
        <f t="shared" si="109"/>
        <v>0</v>
      </c>
      <c r="R736" s="47">
        <f t="shared" si="110"/>
        <v>0</v>
      </c>
    </row>
    <row r="737" spans="13:18" x14ac:dyDescent="0.15">
      <c r="M737" s="46">
        <v>2021</v>
      </c>
      <c r="N737" s="26" t="s">
        <v>403</v>
      </c>
      <c r="O737" s="26" t="s">
        <v>393</v>
      </c>
      <c r="P737" s="26" t="s">
        <v>430</v>
      </c>
      <c r="Q737" s="47">
        <f t="shared" si="109"/>
        <v>0</v>
      </c>
      <c r="R737" s="47">
        <f t="shared" si="110"/>
        <v>0</v>
      </c>
    </row>
    <row r="738" spans="13:18" x14ac:dyDescent="0.15">
      <c r="M738" s="46">
        <v>2021</v>
      </c>
      <c r="N738" s="26" t="s">
        <v>403</v>
      </c>
      <c r="O738" s="26" t="s">
        <v>37</v>
      </c>
      <c r="P738" s="26" t="s">
        <v>426</v>
      </c>
      <c r="Q738" s="47">
        <f t="shared" si="109"/>
        <v>0</v>
      </c>
      <c r="R738" s="47">
        <f t="shared" si="110"/>
        <v>0</v>
      </c>
    </row>
    <row r="739" spans="13:18" x14ac:dyDescent="0.15">
      <c r="M739" s="46">
        <v>2021</v>
      </c>
      <c r="N739" s="26" t="s">
        <v>403</v>
      </c>
      <c r="O739" s="26" t="s">
        <v>37</v>
      </c>
      <c r="P739" s="26" t="s">
        <v>428</v>
      </c>
      <c r="Q739" s="47">
        <f t="shared" si="109"/>
        <v>2.2776913883545737</v>
      </c>
      <c r="R739" s="47">
        <f t="shared" si="110"/>
        <v>16.110825997139113</v>
      </c>
    </row>
    <row r="740" spans="13:18" x14ac:dyDescent="0.15">
      <c r="M740" s="46">
        <v>2021</v>
      </c>
      <c r="N740" s="26" t="s">
        <v>403</v>
      </c>
      <c r="O740" s="26" t="s">
        <v>37</v>
      </c>
      <c r="P740" s="26" t="s">
        <v>429</v>
      </c>
      <c r="Q740" s="47">
        <f t="shared" si="109"/>
        <v>0</v>
      </c>
      <c r="R740" s="47">
        <f t="shared" si="110"/>
        <v>0</v>
      </c>
    </row>
    <row r="741" spans="13:18" x14ac:dyDescent="0.15">
      <c r="M741" s="46">
        <v>2021</v>
      </c>
      <c r="N741" s="26" t="s">
        <v>403</v>
      </c>
      <c r="O741" s="26" t="s">
        <v>37</v>
      </c>
      <c r="P741" s="26" t="s">
        <v>430</v>
      </c>
      <c r="Q741" s="47">
        <f t="shared" si="109"/>
        <v>0</v>
      </c>
      <c r="R741" s="47">
        <f t="shared" si="110"/>
        <v>0</v>
      </c>
    </row>
    <row r="742" spans="13:18" x14ac:dyDescent="0.15">
      <c r="M742" s="46">
        <v>2021</v>
      </c>
      <c r="N742" s="26" t="s">
        <v>403</v>
      </c>
      <c r="O742" s="26" t="s">
        <v>38</v>
      </c>
      <c r="P742" s="26" t="s">
        <v>426</v>
      </c>
      <c r="Q742" s="47">
        <f t="shared" si="109"/>
        <v>0</v>
      </c>
      <c r="R742" s="47">
        <f t="shared" si="110"/>
        <v>0</v>
      </c>
    </row>
    <row r="743" spans="13:18" x14ac:dyDescent="0.15">
      <c r="M743" s="46">
        <v>2021</v>
      </c>
      <c r="N743" s="26" t="s">
        <v>403</v>
      </c>
      <c r="O743" s="26" t="s">
        <v>38</v>
      </c>
      <c r="P743" s="26" t="s">
        <v>428</v>
      </c>
      <c r="Q743" s="47">
        <f t="shared" si="109"/>
        <v>0.40426114060832896</v>
      </c>
      <c r="R743" s="47">
        <f t="shared" si="110"/>
        <v>2.8594659166933134</v>
      </c>
    </row>
    <row r="744" spans="13:18" x14ac:dyDescent="0.15">
      <c r="M744" s="46">
        <v>2021</v>
      </c>
      <c r="N744" s="26" t="s">
        <v>403</v>
      </c>
      <c r="O744" s="26" t="s">
        <v>38</v>
      </c>
      <c r="P744" s="26" t="s">
        <v>429</v>
      </c>
      <c r="Q744" s="47">
        <f t="shared" si="109"/>
        <v>0</v>
      </c>
      <c r="R744" s="47">
        <f t="shared" si="110"/>
        <v>0</v>
      </c>
    </row>
    <row r="745" spans="13:18" x14ac:dyDescent="0.15">
      <c r="M745" s="46">
        <v>2021</v>
      </c>
      <c r="N745" s="26" t="s">
        <v>403</v>
      </c>
      <c r="O745" s="26" t="s">
        <v>38</v>
      </c>
      <c r="P745" s="26" t="s">
        <v>430</v>
      </c>
      <c r="Q745" s="47">
        <f t="shared" si="109"/>
        <v>0</v>
      </c>
      <c r="R745" s="47">
        <f t="shared" si="110"/>
        <v>0</v>
      </c>
    </row>
    <row r="746" spans="13:18" x14ac:dyDescent="0.15">
      <c r="M746" s="46">
        <v>2021</v>
      </c>
      <c r="N746" s="26" t="s">
        <v>403</v>
      </c>
      <c r="O746" s="26" t="s">
        <v>39</v>
      </c>
      <c r="P746" s="26" t="s">
        <v>426</v>
      </c>
      <c r="Q746" s="47">
        <f t="shared" si="109"/>
        <v>0</v>
      </c>
      <c r="R746" s="47">
        <f t="shared" si="110"/>
        <v>0</v>
      </c>
    </row>
    <row r="747" spans="13:18" x14ac:dyDescent="0.15">
      <c r="M747" s="46">
        <v>2021</v>
      </c>
      <c r="N747" s="26" t="s">
        <v>403</v>
      </c>
      <c r="O747" s="26" t="s">
        <v>39</v>
      </c>
      <c r="P747" s="26" t="s">
        <v>428</v>
      </c>
      <c r="Q747" s="47">
        <f t="shared" si="109"/>
        <v>1.5037520570521488</v>
      </c>
      <c r="R747" s="47">
        <f t="shared" si="110"/>
        <v>10.636510221654204</v>
      </c>
    </row>
    <row r="748" spans="13:18" x14ac:dyDescent="0.15">
      <c r="M748" s="46">
        <v>2021</v>
      </c>
      <c r="N748" s="26" t="s">
        <v>403</v>
      </c>
      <c r="O748" s="26" t="s">
        <v>39</v>
      </c>
      <c r="P748" s="26" t="s">
        <v>429</v>
      </c>
      <c r="Q748" s="47">
        <f t="shared" si="109"/>
        <v>0</v>
      </c>
      <c r="R748" s="47">
        <f t="shared" si="110"/>
        <v>0</v>
      </c>
    </row>
    <row r="749" spans="13:18" x14ac:dyDescent="0.15">
      <c r="M749" s="46">
        <v>2021</v>
      </c>
      <c r="N749" s="26" t="s">
        <v>403</v>
      </c>
      <c r="O749" s="26" t="s">
        <v>39</v>
      </c>
      <c r="P749" s="26" t="s">
        <v>430</v>
      </c>
      <c r="Q749" s="47">
        <f t="shared" si="109"/>
        <v>0</v>
      </c>
      <c r="R749" s="47">
        <f t="shared" si="110"/>
        <v>0</v>
      </c>
    </row>
    <row r="750" spans="13:18" x14ac:dyDescent="0.15">
      <c r="M750" s="46">
        <v>2021</v>
      </c>
      <c r="N750" s="26" t="s">
        <v>403</v>
      </c>
      <c r="O750" s="26" t="s">
        <v>40</v>
      </c>
      <c r="P750" s="26" t="s">
        <v>426</v>
      </c>
      <c r="Q750" s="47">
        <f t="shared" si="109"/>
        <v>0</v>
      </c>
      <c r="R750" s="47">
        <f t="shared" si="110"/>
        <v>0</v>
      </c>
    </row>
    <row r="751" spans="13:18" x14ac:dyDescent="0.15">
      <c r="M751" s="46">
        <v>2021</v>
      </c>
      <c r="N751" s="26" t="s">
        <v>403</v>
      </c>
      <c r="O751" s="26" t="s">
        <v>40</v>
      </c>
      <c r="P751" s="26" t="s">
        <v>428</v>
      </c>
      <c r="Q751" s="47">
        <f t="shared" si="109"/>
        <v>74.814794763891186</v>
      </c>
      <c r="R751" s="47">
        <f t="shared" si="110"/>
        <v>529.18852247295285</v>
      </c>
    </row>
    <row r="752" spans="13:18" x14ac:dyDescent="0.15">
      <c r="M752" s="46">
        <v>2021</v>
      </c>
      <c r="N752" s="26" t="s">
        <v>403</v>
      </c>
      <c r="O752" s="26" t="s">
        <v>40</v>
      </c>
      <c r="P752" s="26" t="s">
        <v>429</v>
      </c>
      <c r="Q752" s="47">
        <f t="shared" si="109"/>
        <v>0</v>
      </c>
      <c r="R752" s="47">
        <f t="shared" si="110"/>
        <v>0</v>
      </c>
    </row>
    <row r="753" spans="13:18" x14ac:dyDescent="0.15">
      <c r="M753" s="46">
        <v>2021</v>
      </c>
      <c r="N753" s="26" t="s">
        <v>403</v>
      </c>
      <c r="O753" s="26" t="s">
        <v>40</v>
      </c>
      <c r="P753" s="26" t="s">
        <v>430</v>
      </c>
      <c r="Q753" s="47">
        <f t="shared" si="109"/>
        <v>0</v>
      </c>
      <c r="R753" s="47">
        <f t="shared" si="110"/>
        <v>0</v>
      </c>
    </row>
    <row r="754" spans="13:18" x14ac:dyDescent="0.15">
      <c r="M754" s="46">
        <v>2021</v>
      </c>
      <c r="N754" s="26" t="s">
        <v>403</v>
      </c>
      <c r="O754" s="26" t="s">
        <v>41</v>
      </c>
      <c r="P754" s="26" t="s">
        <v>426</v>
      </c>
      <c r="Q754" s="47">
        <f t="shared" si="109"/>
        <v>0</v>
      </c>
      <c r="R754" s="47">
        <f t="shared" si="110"/>
        <v>0</v>
      </c>
    </row>
    <row r="755" spans="13:18" x14ac:dyDescent="0.15">
      <c r="M755" s="46">
        <v>2021</v>
      </c>
      <c r="N755" s="26" t="s">
        <v>403</v>
      </c>
      <c r="O755" s="26" t="s">
        <v>41</v>
      </c>
      <c r="P755" s="26" t="s">
        <v>428</v>
      </c>
      <c r="Q755" s="47">
        <f t="shared" si="109"/>
        <v>21.328898812173986</v>
      </c>
      <c r="R755" s="47">
        <f t="shared" si="110"/>
        <v>150.86599494137837</v>
      </c>
    </row>
    <row r="756" spans="13:18" x14ac:dyDescent="0.15">
      <c r="M756" s="46">
        <v>2021</v>
      </c>
      <c r="N756" s="26" t="s">
        <v>403</v>
      </c>
      <c r="O756" s="26" t="s">
        <v>41</v>
      </c>
      <c r="P756" s="26" t="s">
        <v>429</v>
      </c>
      <c r="Q756" s="47">
        <f t="shared" si="109"/>
        <v>0</v>
      </c>
      <c r="R756" s="47">
        <f t="shared" si="110"/>
        <v>0</v>
      </c>
    </row>
    <row r="757" spans="13:18" x14ac:dyDescent="0.15">
      <c r="M757" s="46">
        <v>2021</v>
      </c>
      <c r="N757" s="26" t="s">
        <v>403</v>
      </c>
      <c r="O757" s="26" t="s">
        <v>41</v>
      </c>
      <c r="P757" s="26" t="s">
        <v>430</v>
      </c>
      <c r="Q757" s="47">
        <f t="shared" si="109"/>
        <v>0</v>
      </c>
      <c r="R757" s="47">
        <f t="shared" si="110"/>
        <v>0</v>
      </c>
    </row>
    <row r="758" spans="13:18" x14ac:dyDescent="0.15">
      <c r="M758" s="46">
        <v>2021</v>
      </c>
      <c r="N758" s="26" t="s">
        <v>403</v>
      </c>
      <c r="O758" s="26" t="s">
        <v>42</v>
      </c>
      <c r="P758" s="26" t="s">
        <v>426</v>
      </c>
      <c r="Q758" s="47">
        <f t="shared" si="109"/>
        <v>0</v>
      </c>
      <c r="R758" s="47">
        <f t="shared" si="110"/>
        <v>0</v>
      </c>
    </row>
    <row r="759" spans="13:18" x14ac:dyDescent="0.15">
      <c r="M759" s="46">
        <v>2021</v>
      </c>
      <c r="N759" s="26" t="s">
        <v>403</v>
      </c>
      <c r="O759" s="26" t="s">
        <v>42</v>
      </c>
      <c r="P759" s="26" t="s">
        <v>428</v>
      </c>
      <c r="Q759" s="47">
        <f t="shared" si="109"/>
        <v>1.1223803238782497</v>
      </c>
      <c r="R759" s="47">
        <f t="shared" si="110"/>
        <v>7.9389482671215079</v>
      </c>
    </row>
    <row r="760" spans="13:18" x14ac:dyDescent="0.15">
      <c r="M760" s="46">
        <v>2021</v>
      </c>
      <c r="N760" s="26" t="s">
        <v>403</v>
      </c>
      <c r="O760" s="26" t="s">
        <v>42</v>
      </c>
      <c r="P760" s="26" t="s">
        <v>429</v>
      </c>
      <c r="Q760" s="47">
        <f t="shared" si="109"/>
        <v>0</v>
      </c>
      <c r="R760" s="47">
        <f t="shared" si="110"/>
        <v>0</v>
      </c>
    </row>
    <row r="761" spans="13:18" x14ac:dyDescent="0.15">
      <c r="M761" s="46">
        <v>2021</v>
      </c>
      <c r="N761" s="26" t="s">
        <v>403</v>
      </c>
      <c r="O761" s="26" t="s">
        <v>42</v>
      </c>
      <c r="P761" s="26" t="s">
        <v>430</v>
      </c>
      <c r="Q761" s="47">
        <f t="shared" si="109"/>
        <v>0</v>
      </c>
      <c r="R761" s="47">
        <f t="shared" si="110"/>
        <v>0</v>
      </c>
    </row>
    <row r="762" spans="13:18" x14ac:dyDescent="0.15">
      <c r="M762" s="46">
        <v>2021</v>
      </c>
      <c r="N762" s="26" t="s">
        <v>403</v>
      </c>
      <c r="O762" s="26" t="s">
        <v>43</v>
      </c>
      <c r="P762" s="26" t="s">
        <v>426</v>
      </c>
      <c r="Q762" s="47">
        <f t="shared" si="109"/>
        <v>0</v>
      </c>
      <c r="R762" s="47">
        <f t="shared" si="110"/>
        <v>0</v>
      </c>
    </row>
    <row r="763" spans="13:18" x14ac:dyDescent="0.15">
      <c r="M763" s="46">
        <v>2021</v>
      </c>
      <c r="N763" s="26" t="s">
        <v>403</v>
      </c>
      <c r="O763" s="26" t="s">
        <v>43</v>
      </c>
      <c r="P763" s="26" t="s">
        <v>428</v>
      </c>
      <c r="Q763" s="47">
        <f t="shared" si="109"/>
        <v>0.37612538455194178</v>
      </c>
      <c r="R763" s="47">
        <f t="shared" si="110"/>
        <v>2.6604528842693429</v>
      </c>
    </row>
    <row r="764" spans="13:18" x14ac:dyDescent="0.15">
      <c r="M764" s="46">
        <v>2021</v>
      </c>
      <c r="N764" s="26" t="s">
        <v>403</v>
      </c>
      <c r="O764" s="26" t="s">
        <v>43</v>
      </c>
      <c r="P764" s="26" t="s">
        <v>429</v>
      </c>
      <c r="Q764" s="47">
        <f t="shared" si="109"/>
        <v>0</v>
      </c>
      <c r="R764" s="47">
        <f t="shared" si="110"/>
        <v>0</v>
      </c>
    </row>
    <row r="765" spans="13:18" x14ac:dyDescent="0.15">
      <c r="M765" s="46">
        <v>2021</v>
      </c>
      <c r="N765" s="26" t="s">
        <v>403</v>
      </c>
      <c r="O765" s="26" t="s">
        <v>43</v>
      </c>
      <c r="P765" s="26" t="s">
        <v>430</v>
      </c>
      <c r="Q765" s="47">
        <f t="shared" si="109"/>
        <v>0</v>
      </c>
      <c r="R765" s="47">
        <f t="shared" si="110"/>
        <v>0</v>
      </c>
    </row>
    <row r="766" spans="13:18" x14ac:dyDescent="0.15">
      <c r="M766" s="46">
        <v>2021</v>
      </c>
      <c r="N766" s="26" t="s">
        <v>403</v>
      </c>
      <c r="O766" s="26" t="s">
        <v>44</v>
      </c>
      <c r="P766" s="26" t="s">
        <v>426</v>
      </c>
      <c r="Q766" s="47">
        <f t="shared" si="109"/>
        <v>0</v>
      </c>
      <c r="R766" s="47">
        <f t="shared" si="110"/>
        <v>0</v>
      </c>
    </row>
    <row r="767" spans="13:18" x14ac:dyDescent="0.15">
      <c r="M767" s="46">
        <v>2021</v>
      </c>
      <c r="N767" s="26" t="s">
        <v>403</v>
      </c>
      <c r="O767" s="26" t="s">
        <v>44</v>
      </c>
      <c r="P767" s="26" t="s">
        <v>428</v>
      </c>
      <c r="Q767" s="47">
        <f t="shared" si="109"/>
        <v>13.913275461785414</v>
      </c>
      <c r="R767" s="47">
        <f t="shared" si="110"/>
        <v>98.412963740896174</v>
      </c>
    </row>
    <row r="768" spans="13:18" x14ac:dyDescent="0.15">
      <c r="M768" s="46">
        <v>2021</v>
      </c>
      <c r="N768" s="26" t="s">
        <v>403</v>
      </c>
      <c r="O768" s="26" t="s">
        <v>44</v>
      </c>
      <c r="P768" s="26" t="s">
        <v>429</v>
      </c>
      <c r="Q768" s="47">
        <f t="shared" si="109"/>
        <v>0</v>
      </c>
      <c r="R768" s="47">
        <f t="shared" si="110"/>
        <v>0</v>
      </c>
    </row>
    <row r="769" spans="13:18" x14ac:dyDescent="0.15">
      <c r="M769" s="46">
        <v>2021</v>
      </c>
      <c r="N769" s="26" t="s">
        <v>403</v>
      </c>
      <c r="O769" s="26" t="s">
        <v>44</v>
      </c>
      <c r="P769" s="26" t="s">
        <v>430</v>
      </c>
      <c r="Q769" s="47">
        <f t="shared" si="109"/>
        <v>0</v>
      </c>
      <c r="R769" s="47">
        <f t="shared" si="110"/>
        <v>0</v>
      </c>
    </row>
    <row r="770" spans="13:18" x14ac:dyDescent="0.15">
      <c r="M770" s="46">
        <v>2021</v>
      </c>
      <c r="N770" s="26" t="s">
        <v>403</v>
      </c>
      <c r="O770" s="26" t="s">
        <v>45</v>
      </c>
      <c r="P770" s="26" t="s">
        <v>426</v>
      </c>
      <c r="Q770" s="47">
        <f t="shared" ref="Q770:Q833" si="111">SUMIFS(D:D,B:B,N770,C:C,P770,A:A,M770)*SUMIFS(K:K,G:G,N770,I:I,O770)</f>
        <v>0</v>
      </c>
      <c r="R770" s="47">
        <f t="shared" ref="R770:R833" si="112">SUMIFS(E:E,B:B,N770,C:C,P770,A:A,M770)*SUMIFS(K:K,G:G,N770,I:I,O770)</f>
        <v>0</v>
      </c>
    </row>
    <row r="771" spans="13:18" x14ac:dyDescent="0.15">
      <c r="M771" s="46">
        <v>2021</v>
      </c>
      <c r="N771" s="26" t="s">
        <v>403</v>
      </c>
      <c r="O771" s="26" t="s">
        <v>45</v>
      </c>
      <c r="P771" s="26" t="s">
        <v>428</v>
      </c>
      <c r="Q771" s="47">
        <f t="shared" si="111"/>
        <v>34.185371567032639</v>
      </c>
      <c r="R771" s="47">
        <f t="shared" si="112"/>
        <v>241.80386148005775</v>
      </c>
    </row>
    <row r="772" spans="13:18" x14ac:dyDescent="0.15">
      <c r="M772" s="46">
        <v>2021</v>
      </c>
      <c r="N772" s="26" t="s">
        <v>403</v>
      </c>
      <c r="O772" s="26" t="s">
        <v>45</v>
      </c>
      <c r="P772" s="26" t="s">
        <v>429</v>
      </c>
      <c r="Q772" s="47">
        <f t="shared" si="111"/>
        <v>0</v>
      </c>
      <c r="R772" s="47">
        <f t="shared" si="112"/>
        <v>0</v>
      </c>
    </row>
    <row r="773" spans="13:18" x14ac:dyDescent="0.15">
      <c r="M773" s="46">
        <v>2021</v>
      </c>
      <c r="N773" s="26" t="s">
        <v>403</v>
      </c>
      <c r="O773" s="26" t="s">
        <v>45</v>
      </c>
      <c r="P773" s="26" t="s">
        <v>430</v>
      </c>
      <c r="Q773" s="47">
        <f t="shared" si="111"/>
        <v>0</v>
      </c>
      <c r="R773" s="47">
        <f t="shared" si="112"/>
        <v>0</v>
      </c>
    </row>
    <row r="774" spans="13:18" x14ac:dyDescent="0.15">
      <c r="M774" s="46">
        <v>2021</v>
      </c>
      <c r="N774" s="26" t="s">
        <v>403</v>
      </c>
      <c r="O774" s="26" t="s">
        <v>46</v>
      </c>
      <c r="P774" s="26" t="s">
        <v>426</v>
      </c>
      <c r="Q774" s="47">
        <f t="shared" si="111"/>
        <v>0</v>
      </c>
      <c r="R774" s="47">
        <f t="shared" si="112"/>
        <v>0</v>
      </c>
    </row>
    <row r="775" spans="13:18" x14ac:dyDescent="0.15">
      <c r="M775" s="46">
        <v>2021</v>
      </c>
      <c r="N775" s="26" t="s">
        <v>403</v>
      </c>
      <c r="O775" s="26" t="s">
        <v>46</v>
      </c>
      <c r="P775" s="26" t="s">
        <v>428</v>
      </c>
      <c r="Q775" s="47">
        <f t="shared" si="111"/>
        <v>5.8016621048115757</v>
      </c>
      <c r="R775" s="47">
        <f t="shared" si="112"/>
        <v>41.036976801470232</v>
      </c>
    </row>
    <row r="776" spans="13:18" x14ac:dyDescent="0.15">
      <c r="M776" s="46">
        <v>2021</v>
      </c>
      <c r="N776" s="26" t="s">
        <v>403</v>
      </c>
      <c r="O776" s="26" t="s">
        <v>46</v>
      </c>
      <c r="P776" s="26" t="s">
        <v>429</v>
      </c>
      <c r="Q776" s="47">
        <f t="shared" si="111"/>
        <v>0</v>
      </c>
      <c r="R776" s="47">
        <f t="shared" si="112"/>
        <v>0</v>
      </c>
    </row>
    <row r="777" spans="13:18" x14ac:dyDescent="0.15">
      <c r="M777" s="46">
        <v>2021</v>
      </c>
      <c r="N777" s="26" t="s">
        <v>403</v>
      </c>
      <c r="O777" s="26" t="s">
        <v>46</v>
      </c>
      <c r="P777" s="26" t="s">
        <v>430</v>
      </c>
      <c r="Q777" s="47">
        <f t="shared" si="111"/>
        <v>0</v>
      </c>
      <c r="R777" s="47">
        <f t="shared" si="112"/>
        <v>0</v>
      </c>
    </row>
    <row r="778" spans="13:18" x14ac:dyDescent="0.15">
      <c r="M778" s="46">
        <v>2021</v>
      </c>
      <c r="N778" s="26" t="s">
        <v>403</v>
      </c>
      <c r="O778" s="26" t="s">
        <v>47</v>
      </c>
      <c r="P778" s="26" t="s">
        <v>426</v>
      </c>
      <c r="Q778" s="47">
        <f t="shared" si="111"/>
        <v>0</v>
      </c>
      <c r="R778" s="47">
        <f t="shared" si="112"/>
        <v>0</v>
      </c>
    </row>
    <row r="779" spans="13:18" x14ac:dyDescent="0.15">
      <c r="M779" s="46">
        <v>2021</v>
      </c>
      <c r="N779" s="26" t="s">
        <v>403</v>
      </c>
      <c r="O779" s="26" t="s">
        <v>47</v>
      </c>
      <c r="P779" s="26" t="s">
        <v>428</v>
      </c>
      <c r="Q779" s="47">
        <f t="shared" si="111"/>
        <v>2.1680177957148103</v>
      </c>
      <c r="R779" s="47">
        <f t="shared" si="112"/>
        <v>15.335070257562476</v>
      </c>
    </row>
    <row r="780" spans="13:18" x14ac:dyDescent="0.15">
      <c r="M780" s="46">
        <v>2021</v>
      </c>
      <c r="N780" s="26" t="s">
        <v>403</v>
      </c>
      <c r="O780" s="26" t="s">
        <v>47</v>
      </c>
      <c r="P780" s="26" t="s">
        <v>429</v>
      </c>
      <c r="Q780" s="47">
        <f t="shared" si="111"/>
        <v>0</v>
      </c>
      <c r="R780" s="47">
        <f t="shared" si="112"/>
        <v>0</v>
      </c>
    </row>
    <row r="781" spans="13:18" x14ac:dyDescent="0.15">
      <c r="M781" s="46">
        <v>2021</v>
      </c>
      <c r="N781" s="26" t="s">
        <v>403</v>
      </c>
      <c r="O781" s="26" t="s">
        <v>47</v>
      </c>
      <c r="P781" s="26" t="s">
        <v>430</v>
      </c>
      <c r="Q781" s="47">
        <f t="shared" si="111"/>
        <v>0</v>
      </c>
      <c r="R781" s="47">
        <f t="shared" si="112"/>
        <v>0</v>
      </c>
    </row>
    <row r="782" spans="13:18" x14ac:dyDescent="0.15">
      <c r="M782" s="46">
        <v>2021</v>
      </c>
      <c r="N782" s="26" t="s">
        <v>403</v>
      </c>
      <c r="O782" s="26" t="s">
        <v>48</v>
      </c>
      <c r="P782" s="26" t="s">
        <v>426</v>
      </c>
      <c r="Q782" s="47">
        <f t="shared" si="111"/>
        <v>0</v>
      </c>
      <c r="R782" s="47">
        <f t="shared" si="112"/>
        <v>0</v>
      </c>
    </row>
    <row r="783" spans="13:18" x14ac:dyDescent="0.15">
      <c r="M783" s="46">
        <v>2021</v>
      </c>
      <c r="N783" s="26" t="s">
        <v>403</v>
      </c>
      <c r="O783" s="26" t="s">
        <v>48</v>
      </c>
      <c r="P783" s="26" t="s">
        <v>428</v>
      </c>
      <c r="Q783" s="47">
        <f t="shared" si="111"/>
        <v>1.3152533559327491</v>
      </c>
      <c r="R783" s="47">
        <f t="shared" si="112"/>
        <v>9.3031997521374166</v>
      </c>
    </row>
    <row r="784" spans="13:18" x14ac:dyDescent="0.15">
      <c r="M784" s="46">
        <v>2021</v>
      </c>
      <c r="N784" s="26" t="s">
        <v>403</v>
      </c>
      <c r="O784" s="26" t="s">
        <v>48</v>
      </c>
      <c r="P784" s="26" t="s">
        <v>429</v>
      </c>
      <c r="Q784" s="47">
        <f t="shared" si="111"/>
        <v>0</v>
      </c>
      <c r="R784" s="47">
        <f t="shared" si="112"/>
        <v>0</v>
      </c>
    </row>
    <row r="785" spans="13:18" x14ac:dyDescent="0.15">
      <c r="M785" s="46">
        <v>2021</v>
      </c>
      <c r="N785" s="26" t="s">
        <v>403</v>
      </c>
      <c r="O785" s="26" t="s">
        <v>48</v>
      </c>
      <c r="P785" s="26" t="s">
        <v>430</v>
      </c>
      <c r="Q785" s="47">
        <f t="shared" si="111"/>
        <v>0</v>
      </c>
      <c r="R785" s="47">
        <f t="shared" si="112"/>
        <v>0</v>
      </c>
    </row>
    <row r="786" spans="13:18" x14ac:dyDescent="0.15">
      <c r="M786" s="46">
        <v>2021</v>
      </c>
      <c r="N786" s="26" t="s">
        <v>403</v>
      </c>
      <c r="O786" s="26" t="s">
        <v>49</v>
      </c>
      <c r="P786" s="26" t="s">
        <v>426</v>
      </c>
      <c r="Q786" s="47">
        <f t="shared" si="111"/>
        <v>0</v>
      </c>
      <c r="R786" s="47">
        <f t="shared" si="112"/>
        <v>0</v>
      </c>
    </row>
    <row r="787" spans="13:18" x14ac:dyDescent="0.15">
      <c r="M787" s="46">
        <v>2021</v>
      </c>
      <c r="N787" s="26" t="s">
        <v>403</v>
      </c>
      <c r="O787" s="26" t="s">
        <v>49</v>
      </c>
      <c r="P787" s="26" t="s">
        <v>428</v>
      </c>
      <c r="Q787" s="47">
        <f t="shared" si="111"/>
        <v>0.66657935186255546</v>
      </c>
      <c r="R787" s="47">
        <f t="shared" si="112"/>
        <v>4.7149249481517606</v>
      </c>
    </row>
    <row r="788" spans="13:18" x14ac:dyDescent="0.15">
      <c r="M788" s="46">
        <v>2021</v>
      </c>
      <c r="N788" s="26" t="s">
        <v>403</v>
      </c>
      <c r="O788" s="26" t="s">
        <v>49</v>
      </c>
      <c r="P788" s="26" t="s">
        <v>429</v>
      </c>
      <c r="Q788" s="47">
        <f t="shared" si="111"/>
        <v>0</v>
      </c>
      <c r="R788" s="47">
        <f t="shared" si="112"/>
        <v>0</v>
      </c>
    </row>
    <row r="789" spans="13:18" x14ac:dyDescent="0.15">
      <c r="M789" s="46">
        <v>2021</v>
      </c>
      <c r="N789" s="26" t="s">
        <v>403</v>
      </c>
      <c r="O789" s="26" t="s">
        <v>49</v>
      </c>
      <c r="P789" s="26" t="s">
        <v>430</v>
      </c>
      <c r="Q789" s="47">
        <f t="shared" si="111"/>
        <v>0</v>
      </c>
      <c r="R789" s="47">
        <f t="shared" si="112"/>
        <v>0</v>
      </c>
    </row>
    <row r="790" spans="13:18" x14ac:dyDescent="0.15">
      <c r="M790" s="46">
        <v>2021</v>
      </c>
      <c r="N790" s="26" t="s">
        <v>403</v>
      </c>
      <c r="O790" s="26" t="s">
        <v>50</v>
      </c>
      <c r="P790" s="26" t="s">
        <v>426</v>
      </c>
      <c r="Q790" s="47">
        <f t="shared" si="111"/>
        <v>0</v>
      </c>
      <c r="R790" s="47">
        <f t="shared" si="112"/>
        <v>0</v>
      </c>
    </row>
    <row r="791" spans="13:18" x14ac:dyDescent="0.15">
      <c r="M791" s="46">
        <v>2021</v>
      </c>
      <c r="N791" s="26" t="s">
        <v>403</v>
      </c>
      <c r="O791" s="26" t="s">
        <v>50</v>
      </c>
      <c r="P791" s="26" t="s">
        <v>428</v>
      </c>
      <c r="Q791" s="47">
        <f t="shared" si="111"/>
        <v>0.4130162494667301</v>
      </c>
      <c r="R791" s="47">
        <f t="shared" si="112"/>
        <v>2.9213935492623637</v>
      </c>
    </row>
    <row r="792" spans="13:18" x14ac:dyDescent="0.15">
      <c r="M792" s="46">
        <v>2021</v>
      </c>
      <c r="N792" s="26" t="s">
        <v>403</v>
      </c>
      <c r="O792" s="26" t="s">
        <v>50</v>
      </c>
      <c r="P792" s="26" t="s">
        <v>429</v>
      </c>
      <c r="Q792" s="47">
        <f t="shared" si="111"/>
        <v>0</v>
      </c>
      <c r="R792" s="47">
        <f t="shared" si="112"/>
        <v>0</v>
      </c>
    </row>
    <row r="793" spans="13:18" x14ac:dyDescent="0.15">
      <c r="M793" s="46">
        <v>2021</v>
      </c>
      <c r="N793" s="26" t="s">
        <v>403</v>
      </c>
      <c r="O793" s="26" t="s">
        <v>50</v>
      </c>
      <c r="P793" s="26" t="s">
        <v>430</v>
      </c>
      <c r="Q793" s="47">
        <f t="shared" si="111"/>
        <v>0</v>
      </c>
      <c r="R793" s="47">
        <f t="shared" si="112"/>
        <v>0</v>
      </c>
    </row>
    <row r="794" spans="13:18" x14ac:dyDescent="0.15">
      <c r="M794" s="46">
        <v>2021</v>
      </c>
      <c r="N794" s="26" t="s">
        <v>403</v>
      </c>
      <c r="O794" s="26" t="s">
        <v>51</v>
      </c>
      <c r="P794" s="26" t="s">
        <v>426</v>
      </c>
      <c r="Q794" s="47">
        <f t="shared" si="111"/>
        <v>0</v>
      </c>
      <c r="R794" s="47">
        <f t="shared" si="112"/>
        <v>0</v>
      </c>
    </row>
    <row r="795" spans="13:18" x14ac:dyDescent="0.15">
      <c r="M795" s="46">
        <v>2021</v>
      </c>
      <c r="N795" s="26" t="s">
        <v>403</v>
      </c>
      <c r="O795" s="26" t="s">
        <v>51</v>
      </c>
      <c r="P795" s="26" t="s">
        <v>428</v>
      </c>
      <c r="Q795" s="47">
        <f t="shared" si="111"/>
        <v>0.57711499479574335</v>
      </c>
      <c r="R795" s="47">
        <f t="shared" si="112"/>
        <v>4.0821154740418475</v>
      </c>
    </row>
    <row r="796" spans="13:18" x14ac:dyDescent="0.15">
      <c r="M796" s="46">
        <v>2021</v>
      </c>
      <c r="N796" s="26" t="s">
        <v>403</v>
      </c>
      <c r="O796" s="26" t="s">
        <v>51</v>
      </c>
      <c r="P796" s="26" t="s">
        <v>429</v>
      </c>
      <c r="Q796" s="47">
        <f t="shared" si="111"/>
        <v>0</v>
      </c>
      <c r="R796" s="47">
        <f t="shared" si="112"/>
        <v>0</v>
      </c>
    </row>
    <row r="797" spans="13:18" x14ac:dyDescent="0.15">
      <c r="M797" s="46">
        <v>2021</v>
      </c>
      <c r="N797" s="26" t="s">
        <v>403</v>
      </c>
      <c r="O797" s="26" t="s">
        <v>51</v>
      </c>
      <c r="P797" s="26" t="s">
        <v>430</v>
      </c>
      <c r="Q797" s="47">
        <f t="shared" si="111"/>
        <v>0</v>
      </c>
      <c r="R797" s="47">
        <f t="shared" si="112"/>
        <v>0</v>
      </c>
    </row>
    <row r="798" spans="13:18" x14ac:dyDescent="0.15">
      <c r="M798" s="46">
        <v>2021</v>
      </c>
      <c r="N798" s="26" t="s">
        <v>403</v>
      </c>
      <c r="O798" s="26" t="s">
        <v>52</v>
      </c>
      <c r="P798" s="26" t="s">
        <v>426</v>
      </c>
      <c r="Q798" s="47">
        <f t="shared" si="111"/>
        <v>0</v>
      </c>
      <c r="R798" s="47">
        <f t="shared" si="112"/>
        <v>0</v>
      </c>
    </row>
    <row r="799" spans="13:18" x14ac:dyDescent="0.15">
      <c r="M799" s="46">
        <v>2021</v>
      </c>
      <c r="N799" s="26" t="s">
        <v>403</v>
      </c>
      <c r="O799" s="26" t="s">
        <v>52</v>
      </c>
      <c r="P799" s="26" t="s">
        <v>428</v>
      </c>
      <c r="Q799" s="47">
        <f t="shared" si="111"/>
        <v>0.35239472313643128</v>
      </c>
      <c r="R799" s="47">
        <f t="shared" si="112"/>
        <v>2.4925984686900207</v>
      </c>
    </row>
    <row r="800" spans="13:18" x14ac:dyDescent="0.15">
      <c r="M800" s="46">
        <v>2021</v>
      </c>
      <c r="N800" s="26" t="s">
        <v>403</v>
      </c>
      <c r="O800" s="26" t="s">
        <v>52</v>
      </c>
      <c r="P800" s="26" t="s">
        <v>429</v>
      </c>
      <c r="Q800" s="47">
        <f t="shared" si="111"/>
        <v>0</v>
      </c>
      <c r="R800" s="47">
        <f t="shared" si="112"/>
        <v>0</v>
      </c>
    </row>
    <row r="801" spans="13:18" x14ac:dyDescent="0.15">
      <c r="M801" s="46">
        <v>2021</v>
      </c>
      <c r="N801" s="26" t="s">
        <v>403</v>
      </c>
      <c r="O801" s="26" t="s">
        <v>52</v>
      </c>
      <c r="P801" s="26" t="s">
        <v>430</v>
      </c>
      <c r="Q801" s="47">
        <f t="shared" si="111"/>
        <v>0</v>
      </c>
      <c r="R801" s="47">
        <f t="shared" si="112"/>
        <v>0</v>
      </c>
    </row>
    <row r="802" spans="13:18" x14ac:dyDescent="0.15">
      <c r="M802" s="46">
        <v>2021</v>
      </c>
      <c r="N802" s="26" t="s">
        <v>403</v>
      </c>
      <c r="O802" s="26" t="s">
        <v>53</v>
      </c>
      <c r="P802" s="26" t="s">
        <v>426</v>
      </c>
      <c r="Q802" s="47">
        <f t="shared" si="111"/>
        <v>0</v>
      </c>
      <c r="R802" s="47">
        <f t="shared" si="112"/>
        <v>0</v>
      </c>
    </row>
    <row r="803" spans="13:18" x14ac:dyDescent="0.15">
      <c r="M803" s="46">
        <v>2021</v>
      </c>
      <c r="N803" s="26" t="s">
        <v>403</v>
      </c>
      <c r="O803" s="26" t="s">
        <v>53</v>
      </c>
      <c r="P803" s="26" t="s">
        <v>428</v>
      </c>
      <c r="Q803" s="47">
        <f t="shared" si="111"/>
        <v>0.92506259397560919</v>
      </c>
      <c r="R803" s="47">
        <f t="shared" si="112"/>
        <v>6.5432580393473048</v>
      </c>
    </row>
    <row r="804" spans="13:18" x14ac:dyDescent="0.15">
      <c r="M804" s="46">
        <v>2021</v>
      </c>
      <c r="N804" s="26" t="s">
        <v>403</v>
      </c>
      <c r="O804" s="26" t="s">
        <v>53</v>
      </c>
      <c r="P804" s="26" t="s">
        <v>429</v>
      </c>
      <c r="Q804" s="47">
        <f t="shared" si="111"/>
        <v>0</v>
      </c>
      <c r="R804" s="47">
        <f t="shared" si="112"/>
        <v>0</v>
      </c>
    </row>
    <row r="805" spans="13:18" x14ac:dyDescent="0.15">
      <c r="M805" s="46">
        <v>2021</v>
      </c>
      <c r="N805" s="26" t="s">
        <v>403</v>
      </c>
      <c r="O805" s="26" t="s">
        <v>53</v>
      </c>
      <c r="P805" s="26" t="s">
        <v>430</v>
      </c>
      <c r="Q805" s="47">
        <f t="shared" si="111"/>
        <v>0</v>
      </c>
      <c r="R805" s="47">
        <f t="shared" si="112"/>
        <v>0</v>
      </c>
    </row>
    <row r="806" spans="13:18" x14ac:dyDescent="0.15">
      <c r="M806" s="46">
        <v>2021</v>
      </c>
      <c r="N806" s="26" t="s">
        <v>403</v>
      </c>
      <c r="O806" s="26" t="s">
        <v>54</v>
      </c>
      <c r="P806" s="26" t="s">
        <v>426</v>
      </c>
      <c r="Q806" s="47">
        <f t="shared" si="111"/>
        <v>0</v>
      </c>
      <c r="R806" s="47">
        <f t="shared" si="112"/>
        <v>0</v>
      </c>
    </row>
    <row r="807" spans="13:18" x14ac:dyDescent="0.15">
      <c r="M807" s="46">
        <v>2021</v>
      </c>
      <c r="N807" s="26" t="s">
        <v>403</v>
      </c>
      <c r="O807" s="26" t="s">
        <v>54</v>
      </c>
      <c r="P807" s="26" t="s">
        <v>428</v>
      </c>
      <c r="Q807" s="47">
        <f t="shared" si="111"/>
        <v>1.717939810797424</v>
      </c>
      <c r="R807" s="47">
        <f t="shared" si="112"/>
        <v>12.151527422382639</v>
      </c>
    </row>
    <row r="808" spans="13:18" x14ac:dyDescent="0.15">
      <c r="M808" s="46">
        <v>2021</v>
      </c>
      <c r="N808" s="26" t="s">
        <v>403</v>
      </c>
      <c r="O808" s="26" t="s">
        <v>54</v>
      </c>
      <c r="P808" s="26" t="s">
        <v>429</v>
      </c>
      <c r="Q808" s="47">
        <f t="shared" si="111"/>
        <v>0</v>
      </c>
      <c r="R808" s="47">
        <f t="shared" si="112"/>
        <v>0</v>
      </c>
    </row>
    <row r="809" spans="13:18" x14ac:dyDescent="0.15">
      <c r="M809" s="46">
        <v>2021</v>
      </c>
      <c r="N809" s="26" t="s">
        <v>403</v>
      </c>
      <c r="O809" s="26" t="s">
        <v>54</v>
      </c>
      <c r="P809" s="26" t="s">
        <v>430</v>
      </c>
      <c r="Q809" s="47">
        <f t="shared" si="111"/>
        <v>0</v>
      </c>
      <c r="R809" s="47">
        <f t="shared" si="112"/>
        <v>0</v>
      </c>
    </row>
    <row r="810" spans="13:18" x14ac:dyDescent="0.15">
      <c r="M810" s="46">
        <v>2021</v>
      </c>
      <c r="N810" s="26" t="s">
        <v>403</v>
      </c>
      <c r="O810" s="26" t="s">
        <v>408</v>
      </c>
      <c r="P810" s="26" t="s">
        <v>426</v>
      </c>
      <c r="Q810" s="47">
        <f t="shared" si="111"/>
        <v>0</v>
      </c>
      <c r="R810" s="47">
        <f t="shared" si="112"/>
        <v>0</v>
      </c>
    </row>
    <row r="811" spans="13:18" x14ac:dyDescent="0.15">
      <c r="M811" s="46">
        <v>2021</v>
      </c>
      <c r="N811" s="26" t="s">
        <v>403</v>
      </c>
      <c r="O811" s="26" t="s">
        <v>408</v>
      </c>
      <c r="P811" s="26" t="s">
        <v>428</v>
      </c>
      <c r="Q811" s="47">
        <f t="shared" si="111"/>
        <v>0.6927101720886063</v>
      </c>
      <c r="R811" s="47">
        <f t="shared" si="112"/>
        <v>4.8997564402392619</v>
      </c>
    </row>
    <row r="812" spans="13:18" x14ac:dyDescent="0.15">
      <c r="M812" s="46">
        <v>2021</v>
      </c>
      <c r="N812" s="26" t="s">
        <v>403</v>
      </c>
      <c r="O812" s="26" t="s">
        <v>408</v>
      </c>
      <c r="P812" s="26" t="s">
        <v>429</v>
      </c>
      <c r="Q812" s="47">
        <f t="shared" si="111"/>
        <v>0</v>
      </c>
      <c r="R812" s="47">
        <f t="shared" si="112"/>
        <v>0</v>
      </c>
    </row>
    <row r="813" spans="13:18" x14ac:dyDescent="0.15">
      <c r="M813" s="46">
        <v>2021</v>
      </c>
      <c r="N813" s="26" t="s">
        <v>403</v>
      </c>
      <c r="O813" s="26" t="s">
        <v>408</v>
      </c>
      <c r="P813" s="26" t="s">
        <v>430</v>
      </c>
      <c r="Q813" s="47">
        <f t="shared" si="111"/>
        <v>0</v>
      </c>
      <c r="R813" s="47">
        <f t="shared" si="112"/>
        <v>0</v>
      </c>
    </row>
    <row r="814" spans="13:18" x14ac:dyDescent="0.15">
      <c r="M814" s="46">
        <v>2021</v>
      </c>
      <c r="N814" s="26" t="s">
        <v>403</v>
      </c>
      <c r="O814" s="26" t="s">
        <v>55</v>
      </c>
      <c r="P814" s="26" t="s">
        <v>426</v>
      </c>
      <c r="Q814" s="47">
        <f t="shared" si="111"/>
        <v>0</v>
      </c>
      <c r="R814" s="47">
        <f t="shared" si="112"/>
        <v>0</v>
      </c>
    </row>
    <row r="815" spans="13:18" x14ac:dyDescent="0.15">
      <c r="M815" s="46">
        <v>2021</v>
      </c>
      <c r="N815" s="26" t="s">
        <v>403</v>
      </c>
      <c r="O815" s="26" t="s">
        <v>55</v>
      </c>
      <c r="P815" s="26" t="s">
        <v>428</v>
      </c>
      <c r="Q815" s="47">
        <f t="shared" si="111"/>
        <v>3.5676688508713119</v>
      </c>
      <c r="R815" s="47">
        <f t="shared" si="112"/>
        <v>25.235241422817904</v>
      </c>
    </row>
    <row r="816" spans="13:18" x14ac:dyDescent="0.15">
      <c r="M816" s="46">
        <v>2021</v>
      </c>
      <c r="N816" s="26" t="s">
        <v>403</v>
      </c>
      <c r="O816" s="26" t="s">
        <v>55</v>
      </c>
      <c r="P816" s="26" t="s">
        <v>429</v>
      </c>
      <c r="Q816" s="47">
        <f t="shared" si="111"/>
        <v>0</v>
      </c>
      <c r="R816" s="47">
        <f t="shared" si="112"/>
        <v>0</v>
      </c>
    </row>
    <row r="817" spans="13:18" x14ac:dyDescent="0.15">
      <c r="M817" s="46">
        <v>2021</v>
      </c>
      <c r="N817" s="26" t="s">
        <v>403</v>
      </c>
      <c r="O817" s="26" t="s">
        <v>55</v>
      </c>
      <c r="P817" s="26" t="s">
        <v>430</v>
      </c>
      <c r="Q817" s="47">
        <f t="shared" si="111"/>
        <v>0</v>
      </c>
      <c r="R817" s="47">
        <f t="shared" si="112"/>
        <v>0</v>
      </c>
    </row>
    <row r="818" spans="13:18" x14ac:dyDescent="0.15">
      <c r="M818" s="46">
        <v>2022</v>
      </c>
      <c r="N818" s="26" t="s">
        <v>385</v>
      </c>
      <c r="O818" s="26" t="s">
        <v>40</v>
      </c>
      <c r="P818" s="26" t="s">
        <v>426</v>
      </c>
      <c r="Q818" s="47">
        <f t="shared" si="111"/>
        <v>0</v>
      </c>
      <c r="R818" s="47">
        <f t="shared" si="112"/>
        <v>0</v>
      </c>
    </row>
    <row r="819" spans="13:18" x14ac:dyDescent="0.15">
      <c r="M819" s="46">
        <v>2022</v>
      </c>
      <c r="N819" s="26" t="s">
        <v>385</v>
      </c>
      <c r="O819" s="26" t="s">
        <v>40</v>
      </c>
      <c r="P819" s="26" t="s">
        <v>428</v>
      </c>
      <c r="Q819" s="47">
        <f t="shared" si="111"/>
        <v>0</v>
      </c>
      <c r="R819" s="47">
        <f t="shared" si="112"/>
        <v>0</v>
      </c>
    </row>
    <row r="820" spans="13:18" x14ac:dyDescent="0.15">
      <c r="M820" s="46">
        <v>2022</v>
      </c>
      <c r="N820" s="26" t="s">
        <v>385</v>
      </c>
      <c r="O820" s="26" t="s">
        <v>40</v>
      </c>
      <c r="P820" s="26" t="s">
        <v>429</v>
      </c>
      <c r="Q820" s="47">
        <f t="shared" si="111"/>
        <v>17.604867613021703</v>
      </c>
      <c r="R820" s="47">
        <f t="shared" si="112"/>
        <v>58.68289204340568</v>
      </c>
    </row>
    <row r="821" spans="13:18" x14ac:dyDescent="0.15">
      <c r="M821" s="46">
        <v>2022</v>
      </c>
      <c r="N821" s="26" t="s">
        <v>385</v>
      </c>
      <c r="O821" s="26" t="s">
        <v>40</v>
      </c>
      <c r="P821" s="26" t="s">
        <v>430</v>
      </c>
      <c r="Q821" s="47">
        <f t="shared" si="111"/>
        <v>13.87050175571407</v>
      </c>
      <c r="R821" s="47">
        <f t="shared" si="112"/>
        <v>196.72105855459859</v>
      </c>
    </row>
    <row r="822" spans="13:18" x14ac:dyDescent="0.15">
      <c r="M822" s="46">
        <v>2022</v>
      </c>
      <c r="N822" s="26" t="s">
        <v>385</v>
      </c>
      <c r="O822" s="26" t="s">
        <v>41</v>
      </c>
      <c r="P822" s="26" t="s">
        <v>426</v>
      </c>
      <c r="Q822" s="47">
        <f t="shared" si="111"/>
        <v>0</v>
      </c>
      <c r="R822" s="47">
        <f t="shared" si="112"/>
        <v>0</v>
      </c>
    </row>
    <row r="823" spans="13:18" x14ac:dyDescent="0.15">
      <c r="M823" s="46">
        <v>2022</v>
      </c>
      <c r="N823" s="26" t="s">
        <v>385</v>
      </c>
      <c r="O823" s="26" t="s">
        <v>41</v>
      </c>
      <c r="P823" s="26" t="s">
        <v>428</v>
      </c>
      <c r="Q823" s="47">
        <f t="shared" si="111"/>
        <v>0</v>
      </c>
      <c r="R823" s="47">
        <f t="shared" si="112"/>
        <v>0</v>
      </c>
    </row>
    <row r="824" spans="13:18" x14ac:dyDescent="0.15">
      <c r="M824" s="46">
        <v>2022</v>
      </c>
      <c r="N824" s="26" t="s">
        <v>385</v>
      </c>
      <c r="O824" s="26" t="s">
        <v>41</v>
      </c>
      <c r="P824" s="26" t="s">
        <v>429</v>
      </c>
      <c r="Q824" s="47">
        <f t="shared" si="111"/>
        <v>5.0189597004827649</v>
      </c>
      <c r="R824" s="47">
        <f t="shared" si="112"/>
        <v>16.729865668275885</v>
      </c>
    </row>
    <row r="825" spans="13:18" x14ac:dyDescent="0.15">
      <c r="M825" s="46">
        <v>2022</v>
      </c>
      <c r="N825" s="26" t="s">
        <v>385</v>
      </c>
      <c r="O825" s="26" t="s">
        <v>41</v>
      </c>
      <c r="P825" s="26" t="s">
        <v>430</v>
      </c>
      <c r="Q825" s="47">
        <f t="shared" si="111"/>
        <v>3.9543318852288452</v>
      </c>
      <c r="R825" s="47">
        <f t="shared" si="112"/>
        <v>56.083072410697561</v>
      </c>
    </row>
    <row r="826" spans="13:18" x14ac:dyDescent="0.15">
      <c r="M826" s="46">
        <v>2022</v>
      </c>
      <c r="N826" s="26" t="s">
        <v>385</v>
      </c>
      <c r="O826" s="26" t="s">
        <v>45</v>
      </c>
      <c r="P826" s="26" t="s">
        <v>426</v>
      </c>
      <c r="Q826" s="47">
        <f t="shared" si="111"/>
        <v>0</v>
      </c>
      <c r="R826" s="47">
        <f t="shared" si="112"/>
        <v>0</v>
      </c>
    </row>
    <row r="827" spans="13:18" x14ac:dyDescent="0.15">
      <c r="M827" s="46">
        <v>2022</v>
      </c>
      <c r="N827" s="26" t="s">
        <v>385</v>
      </c>
      <c r="O827" s="26" t="s">
        <v>45</v>
      </c>
      <c r="P827" s="26" t="s">
        <v>428</v>
      </c>
      <c r="Q827" s="47">
        <f t="shared" si="111"/>
        <v>0</v>
      </c>
      <c r="R827" s="47">
        <f t="shared" si="112"/>
        <v>0</v>
      </c>
    </row>
    <row r="828" spans="13:18" x14ac:dyDescent="0.15">
      <c r="M828" s="46">
        <v>2022</v>
      </c>
      <c r="N828" s="26" t="s">
        <v>385</v>
      </c>
      <c r="O828" s="26" t="s">
        <v>45</v>
      </c>
      <c r="P828" s="26" t="s">
        <v>429</v>
      </c>
      <c r="Q828" s="47">
        <f t="shared" si="111"/>
        <v>8.0442503737246671</v>
      </c>
      <c r="R828" s="47">
        <f t="shared" si="112"/>
        <v>26.814167912415556</v>
      </c>
    </row>
    <row r="829" spans="13:18" x14ac:dyDescent="0.15">
      <c r="M829" s="46">
        <v>2022</v>
      </c>
      <c r="N829" s="26" t="s">
        <v>385</v>
      </c>
      <c r="O829" s="26" t="s">
        <v>45</v>
      </c>
      <c r="P829" s="26" t="s">
        <v>430</v>
      </c>
      <c r="Q829" s="47">
        <f t="shared" si="111"/>
        <v>6.3378942338436763</v>
      </c>
      <c r="R829" s="47">
        <f t="shared" si="112"/>
        <v>89.888403797302146</v>
      </c>
    </row>
    <row r="830" spans="13:18" x14ac:dyDescent="0.15">
      <c r="M830" s="46">
        <v>2022</v>
      </c>
      <c r="N830" s="26" t="s">
        <v>385</v>
      </c>
      <c r="O830" s="26" t="s">
        <v>37</v>
      </c>
      <c r="P830" s="26" t="s">
        <v>426</v>
      </c>
      <c r="Q830" s="47">
        <f t="shared" si="111"/>
        <v>0</v>
      </c>
      <c r="R830" s="47">
        <f t="shared" si="112"/>
        <v>0</v>
      </c>
    </row>
    <row r="831" spans="13:18" x14ac:dyDescent="0.15">
      <c r="M831" s="46">
        <v>2022</v>
      </c>
      <c r="N831" s="26" t="s">
        <v>385</v>
      </c>
      <c r="O831" s="26" t="s">
        <v>37</v>
      </c>
      <c r="P831" s="26" t="s">
        <v>428</v>
      </c>
      <c r="Q831" s="47">
        <f t="shared" si="111"/>
        <v>0</v>
      </c>
      <c r="R831" s="47">
        <f t="shared" si="112"/>
        <v>0</v>
      </c>
    </row>
    <row r="832" spans="13:18" x14ac:dyDescent="0.15">
      <c r="M832" s="46">
        <v>2022</v>
      </c>
      <c r="N832" s="26" t="s">
        <v>385</v>
      </c>
      <c r="O832" s="26" t="s">
        <v>37</v>
      </c>
      <c r="P832" s="26" t="s">
        <v>429</v>
      </c>
      <c r="Q832" s="47">
        <f t="shared" si="111"/>
        <v>0.5359695964127017</v>
      </c>
      <c r="R832" s="47">
        <f t="shared" si="112"/>
        <v>1.7865653213756725</v>
      </c>
    </row>
    <row r="833" spans="13:18" x14ac:dyDescent="0.15">
      <c r="M833" s="46">
        <v>2022</v>
      </c>
      <c r="N833" s="26" t="s">
        <v>385</v>
      </c>
      <c r="O833" s="26" t="s">
        <v>37</v>
      </c>
      <c r="P833" s="26" t="s">
        <v>430</v>
      </c>
      <c r="Q833" s="47">
        <f t="shared" si="111"/>
        <v>0.42227907596152259</v>
      </c>
      <c r="R833" s="47">
        <f t="shared" si="112"/>
        <v>5.9890542023389024</v>
      </c>
    </row>
    <row r="834" spans="13:18" x14ac:dyDescent="0.15">
      <c r="M834" s="46">
        <v>2022</v>
      </c>
      <c r="N834" s="26" t="s">
        <v>385</v>
      </c>
      <c r="O834" s="26" t="s">
        <v>39</v>
      </c>
      <c r="P834" s="26" t="s">
        <v>426</v>
      </c>
      <c r="Q834" s="47">
        <f t="shared" ref="Q834:Q897" si="113">SUMIFS(D:D,B:B,N834,C:C,P834,A:A,M834)*SUMIFS(K:K,G:G,N834,I:I,O834)</f>
        <v>0</v>
      </c>
      <c r="R834" s="47">
        <f t="shared" ref="R834:R897" si="114">SUMIFS(E:E,B:B,N834,C:C,P834,A:A,M834)*SUMIFS(K:K,G:G,N834,I:I,O834)</f>
        <v>0</v>
      </c>
    </row>
    <row r="835" spans="13:18" x14ac:dyDescent="0.15">
      <c r="M835" s="46">
        <v>2022</v>
      </c>
      <c r="N835" s="26" t="s">
        <v>385</v>
      </c>
      <c r="O835" s="26" t="s">
        <v>39</v>
      </c>
      <c r="P835" s="26" t="s">
        <v>428</v>
      </c>
      <c r="Q835" s="47">
        <f t="shared" si="113"/>
        <v>0</v>
      </c>
      <c r="R835" s="47">
        <f t="shared" si="114"/>
        <v>0</v>
      </c>
    </row>
    <row r="836" spans="13:18" x14ac:dyDescent="0.15">
      <c r="M836" s="46">
        <v>2022</v>
      </c>
      <c r="N836" s="26" t="s">
        <v>385</v>
      </c>
      <c r="O836" s="26" t="s">
        <v>39</v>
      </c>
      <c r="P836" s="26" t="s">
        <v>429</v>
      </c>
      <c r="Q836" s="47">
        <f t="shared" si="113"/>
        <v>0.3538518814461723</v>
      </c>
      <c r="R836" s="47">
        <f t="shared" si="114"/>
        <v>1.1795062714872411</v>
      </c>
    </row>
    <row r="837" spans="13:18" x14ac:dyDescent="0.15">
      <c r="M837" s="46">
        <v>2022</v>
      </c>
      <c r="N837" s="26" t="s">
        <v>385</v>
      </c>
      <c r="O837" s="26" t="s">
        <v>39</v>
      </c>
      <c r="P837" s="26" t="s">
        <v>430</v>
      </c>
      <c r="Q837" s="47">
        <f t="shared" si="113"/>
        <v>0.27879239144243878</v>
      </c>
      <c r="R837" s="47">
        <f t="shared" si="114"/>
        <v>3.9540267055538196</v>
      </c>
    </row>
    <row r="838" spans="13:18" x14ac:dyDescent="0.15">
      <c r="M838" s="46">
        <v>2022</v>
      </c>
      <c r="N838" s="26" t="s">
        <v>385</v>
      </c>
      <c r="O838" s="26" t="s">
        <v>393</v>
      </c>
      <c r="P838" s="26" t="s">
        <v>426</v>
      </c>
      <c r="Q838" s="47">
        <f t="shared" si="113"/>
        <v>0</v>
      </c>
      <c r="R838" s="47">
        <f t="shared" si="114"/>
        <v>0</v>
      </c>
    </row>
    <row r="839" spans="13:18" x14ac:dyDescent="0.15">
      <c r="M839" s="46">
        <v>2022</v>
      </c>
      <c r="N839" s="26" t="s">
        <v>385</v>
      </c>
      <c r="O839" s="26" t="s">
        <v>393</v>
      </c>
      <c r="P839" s="26" t="s">
        <v>428</v>
      </c>
      <c r="Q839" s="47">
        <f t="shared" si="113"/>
        <v>0</v>
      </c>
      <c r="R839" s="47">
        <f t="shared" si="114"/>
        <v>0</v>
      </c>
    </row>
    <row r="840" spans="13:18" x14ac:dyDescent="0.15">
      <c r="M840" s="46">
        <v>2022</v>
      </c>
      <c r="N840" s="26" t="s">
        <v>385</v>
      </c>
      <c r="O840" s="26" t="s">
        <v>393</v>
      </c>
      <c r="P840" s="26" t="s">
        <v>429</v>
      </c>
      <c r="Q840" s="47">
        <f t="shared" si="113"/>
        <v>0.53366853002012349</v>
      </c>
      <c r="R840" s="47">
        <f t="shared" si="114"/>
        <v>1.7788951000670783</v>
      </c>
    </row>
    <row r="841" spans="13:18" x14ac:dyDescent="0.15">
      <c r="M841" s="46">
        <v>2022</v>
      </c>
      <c r="N841" s="26" t="s">
        <v>385</v>
      </c>
      <c r="O841" s="26" t="s">
        <v>393</v>
      </c>
      <c r="P841" s="26" t="s">
        <v>430</v>
      </c>
      <c r="Q841" s="47">
        <f t="shared" si="113"/>
        <v>0.42046611456130945</v>
      </c>
      <c r="R841" s="47">
        <f t="shared" si="114"/>
        <v>5.9633415286339559</v>
      </c>
    </row>
    <row r="842" spans="13:18" x14ac:dyDescent="0.15">
      <c r="M842" s="46">
        <v>2022</v>
      </c>
      <c r="N842" s="26" t="s">
        <v>394</v>
      </c>
      <c r="O842" s="26" t="s">
        <v>40</v>
      </c>
      <c r="P842" s="26" t="s">
        <v>426</v>
      </c>
      <c r="Q842" s="47">
        <f t="shared" si="113"/>
        <v>0</v>
      </c>
      <c r="R842" s="47">
        <f t="shared" si="114"/>
        <v>0</v>
      </c>
    </row>
    <row r="843" spans="13:18" x14ac:dyDescent="0.15">
      <c r="M843" s="46">
        <v>2022</v>
      </c>
      <c r="N843" s="26" t="s">
        <v>394</v>
      </c>
      <c r="O843" s="26" t="s">
        <v>40</v>
      </c>
      <c r="P843" s="26" t="s">
        <v>428</v>
      </c>
      <c r="Q843" s="47">
        <f t="shared" si="113"/>
        <v>0</v>
      </c>
      <c r="R843" s="47">
        <f t="shared" si="114"/>
        <v>0</v>
      </c>
    </row>
    <row r="844" spans="13:18" x14ac:dyDescent="0.15">
      <c r="M844" s="46">
        <v>2022</v>
      </c>
      <c r="N844" s="26" t="s">
        <v>394</v>
      </c>
      <c r="O844" s="26" t="s">
        <v>40</v>
      </c>
      <c r="P844" s="26" t="s">
        <v>429</v>
      </c>
      <c r="Q844" s="47">
        <f t="shared" si="113"/>
        <v>0</v>
      </c>
      <c r="R844" s="47">
        <f t="shared" si="114"/>
        <v>0</v>
      </c>
    </row>
    <row r="845" spans="13:18" x14ac:dyDescent="0.15">
      <c r="M845" s="46">
        <v>2022</v>
      </c>
      <c r="N845" s="26" t="s">
        <v>394</v>
      </c>
      <c r="O845" s="26" t="s">
        <v>40</v>
      </c>
      <c r="P845" s="26" t="s">
        <v>430</v>
      </c>
      <c r="Q845" s="47">
        <f t="shared" si="113"/>
        <v>0</v>
      </c>
      <c r="R845" s="47">
        <f t="shared" si="114"/>
        <v>0</v>
      </c>
    </row>
    <row r="846" spans="13:18" x14ac:dyDescent="0.15">
      <c r="M846" s="46">
        <v>2022</v>
      </c>
      <c r="N846" s="26" t="s">
        <v>394</v>
      </c>
      <c r="O846" s="26" t="s">
        <v>41</v>
      </c>
      <c r="P846" s="26" t="s">
        <v>426</v>
      </c>
      <c r="Q846" s="47">
        <f t="shared" si="113"/>
        <v>0</v>
      </c>
      <c r="R846" s="47">
        <f t="shared" si="114"/>
        <v>0</v>
      </c>
    </row>
    <row r="847" spans="13:18" x14ac:dyDescent="0.15">
      <c r="M847" s="46">
        <v>2022</v>
      </c>
      <c r="N847" s="26" t="s">
        <v>394</v>
      </c>
      <c r="O847" s="26" t="s">
        <v>41</v>
      </c>
      <c r="P847" s="26" t="s">
        <v>428</v>
      </c>
      <c r="Q847" s="47">
        <f t="shared" si="113"/>
        <v>0</v>
      </c>
      <c r="R847" s="47">
        <f t="shared" si="114"/>
        <v>0</v>
      </c>
    </row>
    <row r="848" spans="13:18" x14ac:dyDescent="0.15">
      <c r="M848" s="46">
        <v>2022</v>
      </c>
      <c r="N848" s="26" t="s">
        <v>394</v>
      </c>
      <c r="O848" s="26" t="s">
        <v>41</v>
      </c>
      <c r="P848" s="26" t="s">
        <v>429</v>
      </c>
      <c r="Q848" s="47">
        <f t="shared" si="113"/>
        <v>0</v>
      </c>
      <c r="R848" s="47">
        <f t="shared" si="114"/>
        <v>0</v>
      </c>
    </row>
    <row r="849" spans="13:18" x14ac:dyDescent="0.15">
      <c r="M849" s="46">
        <v>2022</v>
      </c>
      <c r="N849" s="26" t="s">
        <v>394</v>
      </c>
      <c r="O849" s="26" t="s">
        <v>41</v>
      </c>
      <c r="P849" s="26" t="s">
        <v>430</v>
      </c>
      <c r="Q849" s="47">
        <f t="shared" si="113"/>
        <v>0</v>
      </c>
      <c r="R849" s="47">
        <f t="shared" si="114"/>
        <v>0</v>
      </c>
    </row>
    <row r="850" spans="13:18" x14ac:dyDescent="0.15">
      <c r="M850" s="46">
        <v>2022</v>
      </c>
      <c r="N850" s="26" t="s">
        <v>394</v>
      </c>
      <c r="O850" s="26" t="s">
        <v>45</v>
      </c>
      <c r="P850" s="26" t="s">
        <v>426</v>
      </c>
      <c r="Q850" s="47">
        <f t="shared" si="113"/>
        <v>0</v>
      </c>
      <c r="R850" s="47">
        <f t="shared" si="114"/>
        <v>0</v>
      </c>
    </row>
    <row r="851" spans="13:18" x14ac:dyDescent="0.15">
      <c r="M851" s="46">
        <v>2022</v>
      </c>
      <c r="N851" s="26" t="s">
        <v>394</v>
      </c>
      <c r="O851" s="26" t="s">
        <v>45</v>
      </c>
      <c r="P851" s="26" t="s">
        <v>428</v>
      </c>
      <c r="Q851" s="47">
        <f t="shared" si="113"/>
        <v>0</v>
      </c>
      <c r="R851" s="47">
        <f t="shared" si="114"/>
        <v>0</v>
      </c>
    </row>
    <row r="852" spans="13:18" x14ac:dyDescent="0.15">
      <c r="M852" s="46">
        <v>2022</v>
      </c>
      <c r="N852" s="26" t="s">
        <v>394</v>
      </c>
      <c r="O852" s="26" t="s">
        <v>45</v>
      </c>
      <c r="P852" s="26" t="s">
        <v>429</v>
      </c>
      <c r="Q852" s="47">
        <f t="shared" si="113"/>
        <v>0</v>
      </c>
      <c r="R852" s="47">
        <f t="shared" si="114"/>
        <v>0</v>
      </c>
    </row>
    <row r="853" spans="13:18" x14ac:dyDescent="0.15">
      <c r="M853" s="46">
        <v>2022</v>
      </c>
      <c r="N853" s="26" t="s">
        <v>394</v>
      </c>
      <c r="O853" s="26" t="s">
        <v>45</v>
      </c>
      <c r="P853" s="26" t="s">
        <v>430</v>
      </c>
      <c r="Q853" s="47">
        <f t="shared" si="113"/>
        <v>0</v>
      </c>
      <c r="R853" s="47">
        <f t="shared" si="114"/>
        <v>0</v>
      </c>
    </row>
    <row r="854" spans="13:18" x14ac:dyDescent="0.15">
      <c r="M854" s="46">
        <v>2022</v>
      </c>
      <c r="N854" s="26" t="s">
        <v>394</v>
      </c>
      <c r="O854" s="26" t="s">
        <v>46</v>
      </c>
      <c r="P854" s="26" t="s">
        <v>426</v>
      </c>
      <c r="Q854" s="47">
        <f t="shared" si="113"/>
        <v>0</v>
      </c>
      <c r="R854" s="47">
        <f t="shared" si="114"/>
        <v>0</v>
      </c>
    </row>
    <row r="855" spans="13:18" x14ac:dyDescent="0.15">
      <c r="M855" s="46">
        <v>2022</v>
      </c>
      <c r="N855" s="26" t="s">
        <v>394</v>
      </c>
      <c r="O855" s="26" t="s">
        <v>46</v>
      </c>
      <c r="P855" s="26" t="s">
        <v>428</v>
      </c>
      <c r="Q855" s="47">
        <f t="shared" si="113"/>
        <v>0</v>
      </c>
      <c r="R855" s="47">
        <f t="shared" si="114"/>
        <v>0</v>
      </c>
    </row>
    <row r="856" spans="13:18" x14ac:dyDescent="0.15">
      <c r="M856" s="46">
        <v>2022</v>
      </c>
      <c r="N856" s="26" t="s">
        <v>394</v>
      </c>
      <c r="O856" s="26" t="s">
        <v>46</v>
      </c>
      <c r="P856" s="26" t="s">
        <v>429</v>
      </c>
      <c r="Q856" s="47">
        <f t="shared" si="113"/>
        <v>0</v>
      </c>
      <c r="R856" s="47">
        <f t="shared" si="114"/>
        <v>0</v>
      </c>
    </row>
    <row r="857" spans="13:18" x14ac:dyDescent="0.15">
      <c r="M857" s="46">
        <v>2022</v>
      </c>
      <c r="N857" s="26" t="s">
        <v>394</v>
      </c>
      <c r="O857" s="26" t="s">
        <v>46</v>
      </c>
      <c r="P857" s="26" t="s">
        <v>430</v>
      </c>
      <c r="Q857" s="47">
        <f t="shared" si="113"/>
        <v>0</v>
      </c>
      <c r="R857" s="47">
        <f t="shared" si="114"/>
        <v>0</v>
      </c>
    </row>
    <row r="858" spans="13:18" x14ac:dyDescent="0.15">
      <c r="M858" s="46">
        <v>2022</v>
      </c>
      <c r="N858" s="26" t="s">
        <v>394</v>
      </c>
      <c r="O858" s="26" t="s">
        <v>39</v>
      </c>
      <c r="P858" s="26" t="s">
        <v>426</v>
      </c>
      <c r="Q858" s="47">
        <f t="shared" si="113"/>
        <v>0</v>
      </c>
      <c r="R858" s="47">
        <f t="shared" si="114"/>
        <v>0</v>
      </c>
    </row>
    <row r="859" spans="13:18" x14ac:dyDescent="0.15">
      <c r="M859" s="46">
        <v>2022</v>
      </c>
      <c r="N859" s="26" t="s">
        <v>394</v>
      </c>
      <c r="O859" s="26" t="s">
        <v>39</v>
      </c>
      <c r="P859" s="26" t="s">
        <v>428</v>
      </c>
      <c r="Q859" s="47">
        <f t="shared" si="113"/>
        <v>0</v>
      </c>
      <c r="R859" s="47">
        <f t="shared" si="114"/>
        <v>0</v>
      </c>
    </row>
    <row r="860" spans="13:18" x14ac:dyDescent="0.15">
      <c r="M860" s="46">
        <v>2022</v>
      </c>
      <c r="N860" s="26" t="s">
        <v>394</v>
      </c>
      <c r="O860" s="26" t="s">
        <v>39</v>
      </c>
      <c r="P860" s="26" t="s">
        <v>429</v>
      </c>
      <c r="Q860" s="47">
        <f t="shared" si="113"/>
        <v>0</v>
      </c>
      <c r="R860" s="47">
        <f t="shared" si="114"/>
        <v>0</v>
      </c>
    </row>
    <row r="861" spans="13:18" x14ac:dyDescent="0.15">
      <c r="M861" s="46">
        <v>2022</v>
      </c>
      <c r="N861" s="26" t="s">
        <v>394</v>
      </c>
      <c r="O861" s="26" t="s">
        <v>39</v>
      </c>
      <c r="P861" s="26" t="s">
        <v>430</v>
      </c>
      <c r="Q861" s="47">
        <f t="shared" si="113"/>
        <v>0</v>
      </c>
      <c r="R861" s="47">
        <f t="shared" si="114"/>
        <v>0</v>
      </c>
    </row>
    <row r="862" spans="13:18" x14ac:dyDescent="0.15">
      <c r="M862" s="46">
        <v>2022</v>
      </c>
      <c r="N862" s="26" t="s">
        <v>394</v>
      </c>
      <c r="O862" s="26" t="s">
        <v>37</v>
      </c>
      <c r="P862" s="26" t="s">
        <v>426</v>
      </c>
      <c r="Q862" s="47">
        <f t="shared" si="113"/>
        <v>0</v>
      </c>
      <c r="R862" s="47">
        <f t="shared" si="114"/>
        <v>0</v>
      </c>
    </row>
    <row r="863" spans="13:18" x14ac:dyDescent="0.15">
      <c r="M863" s="46">
        <v>2022</v>
      </c>
      <c r="N863" s="26" t="s">
        <v>394</v>
      </c>
      <c r="O863" s="26" t="s">
        <v>37</v>
      </c>
      <c r="P863" s="26" t="s">
        <v>428</v>
      </c>
      <c r="Q863" s="47">
        <f t="shared" si="113"/>
        <v>0</v>
      </c>
      <c r="R863" s="47">
        <f t="shared" si="114"/>
        <v>0</v>
      </c>
    </row>
    <row r="864" spans="13:18" x14ac:dyDescent="0.15">
      <c r="M864" s="46">
        <v>2022</v>
      </c>
      <c r="N864" s="26" t="s">
        <v>394</v>
      </c>
      <c r="O864" s="26" t="s">
        <v>37</v>
      </c>
      <c r="P864" s="26" t="s">
        <v>429</v>
      </c>
      <c r="Q864" s="47">
        <f t="shared" si="113"/>
        <v>0</v>
      </c>
      <c r="R864" s="47">
        <f t="shared" si="114"/>
        <v>0</v>
      </c>
    </row>
    <row r="865" spans="13:18" x14ac:dyDescent="0.15">
      <c r="M865" s="46">
        <v>2022</v>
      </c>
      <c r="N865" s="26" t="s">
        <v>394</v>
      </c>
      <c r="O865" s="26" t="s">
        <v>37</v>
      </c>
      <c r="P865" s="26" t="s">
        <v>430</v>
      </c>
      <c r="Q865" s="47">
        <f t="shared" si="113"/>
        <v>0</v>
      </c>
      <c r="R865" s="47">
        <f t="shared" si="114"/>
        <v>0</v>
      </c>
    </row>
    <row r="866" spans="13:18" x14ac:dyDescent="0.15">
      <c r="M866" s="46">
        <v>2022</v>
      </c>
      <c r="N866" s="26" t="s">
        <v>394</v>
      </c>
      <c r="O866" s="26" t="s">
        <v>393</v>
      </c>
      <c r="P866" s="26" t="s">
        <v>426</v>
      </c>
      <c r="Q866" s="47">
        <f t="shared" si="113"/>
        <v>0</v>
      </c>
      <c r="R866" s="47">
        <f t="shared" si="114"/>
        <v>0</v>
      </c>
    </row>
    <row r="867" spans="13:18" x14ac:dyDescent="0.15">
      <c r="M867" s="46">
        <v>2022</v>
      </c>
      <c r="N867" s="26" t="s">
        <v>394</v>
      </c>
      <c r="O867" s="26" t="s">
        <v>393</v>
      </c>
      <c r="P867" s="26" t="s">
        <v>428</v>
      </c>
      <c r="Q867" s="47">
        <f t="shared" si="113"/>
        <v>0</v>
      </c>
      <c r="R867" s="47">
        <f t="shared" si="114"/>
        <v>0</v>
      </c>
    </row>
    <row r="868" spans="13:18" x14ac:dyDescent="0.15">
      <c r="M868" s="46">
        <v>2022</v>
      </c>
      <c r="N868" s="26" t="s">
        <v>394</v>
      </c>
      <c r="O868" s="26" t="s">
        <v>393</v>
      </c>
      <c r="P868" s="26" t="s">
        <v>429</v>
      </c>
      <c r="Q868" s="47">
        <f t="shared" si="113"/>
        <v>0</v>
      </c>
      <c r="R868" s="47">
        <f t="shared" si="114"/>
        <v>0</v>
      </c>
    </row>
    <row r="869" spans="13:18" x14ac:dyDescent="0.15">
      <c r="M869" s="46">
        <v>2022</v>
      </c>
      <c r="N869" s="26" t="s">
        <v>394</v>
      </c>
      <c r="O869" s="26" t="s">
        <v>393</v>
      </c>
      <c r="P869" s="26" t="s">
        <v>430</v>
      </c>
      <c r="Q869" s="47">
        <f t="shared" si="113"/>
        <v>0</v>
      </c>
      <c r="R869" s="47">
        <f t="shared" si="114"/>
        <v>0</v>
      </c>
    </row>
    <row r="870" spans="13:18" x14ac:dyDescent="0.15">
      <c r="M870" s="46">
        <v>2022</v>
      </c>
      <c r="N870" s="26" t="s">
        <v>396</v>
      </c>
      <c r="O870" s="26" t="s">
        <v>52</v>
      </c>
      <c r="P870" s="26" t="s">
        <v>426</v>
      </c>
      <c r="Q870" s="47">
        <f t="shared" si="113"/>
        <v>0</v>
      </c>
      <c r="R870" s="47">
        <f t="shared" si="114"/>
        <v>0</v>
      </c>
    </row>
    <row r="871" spans="13:18" x14ac:dyDescent="0.15">
      <c r="M871" s="46">
        <v>2022</v>
      </c>
      <c r="N871" s="26" t="s">
        <v>396</v>
      </c>
      <c r="O871" s="26" t="s">
        <v>52</v>
      </c>
      <c r="P871" s="26" t="s">
        <v>428</v>
      </c>
      <c r="Q871" s="47">
        <f t="shared" si="113"/>
        <v>0</v>
      </c>
      <c r="R871" s="47">
        <f t="shared" si="114"/>
        <v>0</v>
      </c>
    </row>
    <row r="872" spans="13:18" x14ac:dyDescent="0.15">
      <c r="M872" s="46">
        <v>2022</v>
      </c>
      <c r="N872" s="26" t="s">
        <v>396</v>
      </c>
      <c r="O872" s="26" t="s">
        <v>52</v>
      </c>
      <c r="P872" s="26" t="s">
        <v>429</v>
      </c>
      <c r="Q872" s="47">
        <f t="shared" si="113"/>
        <v>0</v>
      </c>
      <c r="R872" s="47">
        <f t="shared" si="114"/>
        <v>0</v>
      </c>
    </row>
    <row r="873" spans="13:18" x14ac:dyDescent="0.15">
      <c r="M873" s="46">
        <v>2022</v>
      </c>
      <c r="N873" s="26" t="s">
        <v>396</v>
      </c>
      <c r="O873" s="26" t="s">
        <v>52</v>
      </c>
      <c r="P873" s="26" t="s">
        <v>430</v>
      </c>
      <c r="Q873" s="47">
        <f t="shared" si="113"/>
        <v>0</v>
      </c>
      <c r="R873" s="47">
        <f t="shared" si="114"/>
        <v>0</v>
      </c>
    </row>
    <row r="874" spans="13:18" x14ac:dyDescent="0.15">
      <c r="M874" s="46">
        <v>2022</v>
      </c>
      <c r="N874" s="26" t="s">
        <v>398</v>
      </c>
      <c r="O874" s="26" t="s">
        <v>37</v>
      </c>
      <c r="P874" s="26" t="s">
        <v>426</v>
      </c>
      <c r="Q874" s="47">
        <f t="shared" si="113"/>
        <v>0</v>
      </c>
      <c r="R874" s="47">
        <f t="shared" si="114"/>
        <v>0</v>
      </c>
    </row>
    <row r="875" spans="13:18" x14ac:dyDescent="0.15">
      <c r="M875" s="46">
        <v>2022</v>
      </c>
      <c r="N875" s="26" t="s">
        <v>398</v>
      </c>
      <c r="O875" s="26" t="s">
        <v>37</v>
      </c>
      <c r="P875" s="26" t="s">
        <v>428</v>
      </c>
      <c r="Q875" s="47">
        <f t="shared" si="113"/>
        <v>0</v>
      </c>
      <c r="R875" s="47">
        <f t="shared" si="114"/>
        <v>0</v>
      </c>
    </row>
    <row r="876" spans="13:18" x14ac:dyDescent="0.15">
      <c r="M876" s="46">
        <v>2022</v>
      </c>
      <c r="N876" s="26" t="s">
        <v>398</v>
      </c>
      <c r="O876" s="26" t="s">
        <v>37</v>
      </c>
      <c r="P876" s="26" t="s">
        <v>429</v>
      </c>
      <c r="Q876" s="47">
        <f t="shared" si="113"/>
        <v>0</v>
      </c>
      <c r="R876" s="47">
        <f t="shared" si="114"/>
        <v>0</v>
      </c>
    </row>
    <row r="877" spans="13:18" x14ac:dyDescent="0.15">
      <c r="M877" s="46">
        <v>2022</v>
      </c>
      <c r="N877" s="26" t="s">
        <v>398</v>
      </c>
      <c r="O877" s="26" t="s">
        <v>37</v>
      </c>
      <c r="P877" s="26" t="s">
        <v>430</v>
      </c>
      <c r="Q877" s="47">
        <f t="shared" si="113"/>
        <v>0.29401339596840637</v>
      </c>
      <c r="R877" s="47">
        <f t="shared" si="114"/>
        <v>2.9401339596840641</v>
      </c>
    </row>
    <row r="878" spans="13:18" x14ac:dyDescent="0.15">
      <c r="M878" s="46">
        <v>2022</v>
      </c>
      <c r="N878" s="26" t="s">
        <v>398</v>
      </c>
      <c r="O878" s="26" t="s">
        <v>393</v>
      </c>
      <c r="P878" s="26" t="s">
        <v>426</v>
      </c>
      <c r="Q878" s="47">
        <f t="shared" si="113"/>
        <v>0</v>
      </c>
      <c r="R878" s="47">
        <f t="shared" si="114"/>
        <v>0</v>
      </c>
    </row>
    <row r="879" spans="13:18" x14ac:dyDescent="0.15">
      <c r="M879" s="46">
        <v>2022</v>
      </c>
      <c r="N879" s="26" t="s">
        <v>398</v>
      </c>
      <c r="O879" s="26" t="s">
        <v>393</v>
      </c>
      <c r="P879" s="26" t="s">
        <v>428</v>
      </c>
      <c r="Q879" s="47">
        <f t="shared" si="113"/>
        <v>0</v>
      </c>
      <c r="R879" s="47">
        <f t="shared" si="114"/>
        <v>0</v>
      </c>
    </row>
    <row r="880" spans="13:18" x14ac:dyDescent="0.15">
      <c r="M880" s="46">
        <v>2022</v>
      </c>
      <c r="N880" s="26" t="s">
        <v>398</v>
      </c>
      <c r="O880" s="26" t="s">
        <v>393</v>
      </c>
      <c r="P880" s="26" t="s">
        <v>429</v>
      </c>
      <c r="Q880" s="47">
        <f t="shared" si="113"/>
        <v>0</v>
      </c>
      <c r="R880" s="47">
        <f t="shared" si="114"/>
        <v>0</v>
      </c>
    </row>
    <row r="881" spans="13:18" x14ac:dyDescent="0.15">
      <c r="M881" s="46">
        <v>2022</v>
      </c>
      <c r="N881" s="26" t="s">
        <v>398</v>
      </c>
      <c r="O881" s="26" t="s">
        <v>393</v>
      </c>
      <c r="P881" s="26" t="s">
        <v>430</v>
      </c>
      <c r="Q881" s="47">
        <f t="shared" si="113"/>
        <v>0.29275111477007199</v>
      </c>
      <c r="R881" s="47">
        <f t="shared" si="114"/>
        <v>2.9275111477007196</v>
      </c>
    </row>
    <row r="882" spans="13:18" x14ac:dyDescent="0.15">
      <c r="M882" s="46">
        <v>2022</v>
      </c>
      <c r="N882" s="26" t="s">
        <v>398</v>
      </c>
      <c r="O882" s="26" t="s">
        <v>41</v>
      </c>
      <c r="P882" s="26" t="s">
        <v>426</v>
      </c>
      <c r="Q882" s="47">
        <f t="shared" si="113"/>
        <v>0</v>
      </c>
      <c r="R882" s="47">
        <f t="shared" si="114"/>
        <v>0</v>
      </c>
    </row>
    <row r="883" spans="13:18" x14ac:dyDescent="0.15">
      <c r="M883" s="46">
        <v>2022</v>
      </c>
      <c r="N883" s="26" t="s">
        <v>398</v>
      </c>
      <c r="O883" s="26" t="s">
        <v>41</v>
      </c>
      <c r="P883" s="26" t="s">
        <v>428</v>
      </c>
      <c r="Q883" s="47">
        <f t="shared" si="113"/>
        <v>0</v>
      </c>
      <c r="R883" s="47">
        <f t="shared" si="114"/>
        <v>0</v>
      </c>
    </row>
    <row r="884" spans="13:18" x14ac:dyDescent="0.15">
      <c r="M884" s="46">
        <v>2022</v>
      </c>
      <c r="N884" s="26" t="s">
        <v>398</v>
      </c>
      <c r="O884" s="26" t="s">
        <v>41</v>
      </c>
      <c r="P884" s="26" t="s">
        <v>429</v>
      </c>
      <c r="Q884" s="47">
        <f t="shared" si="113"/>
        <v>0</v>
      </c>
      <c r="R884" s="47">
        <f t="shared" si="114"/>
        <v>0</v>
      </c>
    </row>
    <row r="885" spans="13:18" x14ac:dyDescent="0.15">
      <c r="M885" s="46">
        <v>2022</v>
      </c>
      <c r="N885" s="26" t="s">
        <v>398</v>
      </c>
      <c r="O885" s="26" t="s">
        <v>41</v>
      </c>
      <c r="P885" s="26" t="s">
        <v>430</v>
      </c>
      <c r="Q885" s="47">
        <f t="shared" si="113"/>
        <v>2.7532184579948744</v>
      </c>
      <c r="R885" s="47">
        <f t="shared" si="114"/>
        <v>27.532184579948744</v>
      </c>
    </row>
    <row r="886" spans="13:18" x14ac:dyDescent="0.15">
      <c r="M886" s="46">
        <v>2022</v>
      </c>
      <c r="N886" s="26" t="s">
        <v>398</v>
      </c>
      <c r="O886" s="26" t="s">
        <v>45</v>
      </c>
      <c r="P886" s="26" t="s">
        <v>426</v>
      </c>
      <c r="Q886" s="47">
        <f t="shared" si="113"/>
        <v>0</v>
      </c>
      <c r="R886" s="47">
        <f t="shared" si="114"/>
        <v>0</v>
      </c>
    </row>
    <row r="887" spans="13:18" x14ac:dyDescent="0.15">
      <c r="M887" s="46">
        <v>2022</v>
      </c>
      <c r="N887" s="26" t="s">
        <v>398</v>
      </c>
      <c r="O887" s="26" t="s">
        <v>45</v>
      </c>
      <c r="P887" s="26" t="s">
        <v>428</v>
      </c>
      <c r="Q887" s="47">
        <f t="shared" si="113"/>
        <v>0</v>
      </c>
      <c r="R887" s="47">
        <f t="shared" si="114"/>
        <v>0</v>
      </c>
    </row>
    <row r="888" spans="13:18" x14ac:dyDescent="0.15">
      <c r="M888" s="46">
        <v>2022</v>
      </c>
      <c r="N888" s="26" t="s">
        <v>398</v>
      </c>
      <c r="O888" s="26" t="s">
        <v>45</v>
      </c>
      <c r="P888" s="26" t="s">
        <v>429</v>
      </c>
      <c r="Q888" s="47">
        <f t="shared" si="113"/>
        <v>0</v>
      </c>
      <c r="R888" s="47">
        <f t="shared" si="114"/>
        <v>0</v>
      </c>
    </row>
    <row r="889" spans="13:18" x14ac:dyDescent="0.15">
      <c r="M889" s="46">
        <v>2022</v>
      </c>
      <c r="N889" s="26" t="s">
        <v>398</v>
      </c>
      <c r="O889" s="26" t="s">
        <v>45</v>
      </c>
      <c r="P889" s="26" t="s">
        <v>430</v>
      </c>
      <c r="Q889" s="47">
        <f t="shared" si="113"/>
        <v>4.4127827142227458</v>
      </c>
      <c r="R889" s="47">
        <f t="shared" si="114"/>
        <v>44.12782714222746</v>
      </c>
    </row>
    <row r="890" spans="13:18" x14ac:dyDescent="0.15">
      <c r="M890" s="46">
        <v>2022</v>
      </c>
      <c r="N890" s="26" t="s">
        <v>398</v>
      </c>
      <c r="O890" s="26" t="s">
        <v>46</v>
      </c>
      <c r="P890" s="26" t="s">
        <v>426</v>
      </c>
      <c r="Q890" s="47">
        <f t="shared" si="113"/>
        <v>0</v>
      </c>
      <c r="R890" s="47">
        <f t="shared" si="114"/>
        <v>0</v>
      </c>
    </row>
    <row r="891" spans="13:18" x14ac:dyDescent="0.15">
      <c r="M891" s="46">
        <v>2022</v>
      </c>
      <c r="N891" s="26" t="s">
        <v>398</v>
      </c>
      <c r="O891" s="26" t="s">
        <v>46</v>
      </c>
      <c r="P891" s="26" t="s">
        <v>428</v>
      </c>
      <c r="Q891" s="47">
        <f t="shared" si="113"/>
        <v>0</v>
      </c>
      <c r="R891" s="47">
        <f t="shared" si="114"/>
        <v>0</v>
      </c>
    </row>
    <row r="892" spans="13:18" x14ac:dyDescent="0.15">
      <c r="M892" s="46">
        <v>2022</v>
      </c>
      <c r="N892" s="26" t="s">
        <v>398</v>
      </c>
      <c r="O892" s="26" t="s">
        <v>46</v>
      </c>
      <c r="P892" s="26" t="s">
        <v>429</v>
      </c>
      <c r="Q892" s="47">
        <f t="shared" si="113"/>
        <v>0</v>
      </c>
      <c r="R892" s="47">
        <f t="shared" si="114"/>
        <v>0</v>
      </c>
    </row>
    <row r="893" spans="13:18" x14ac:dyDescent="0.15">
      <c r="M893" s="46">
        <v>2022</v>
      </c>
      <c r="N893" s="26" t="s">
        <v>398</v>
      </c>
      <c r="O893" s="26" t="s">
        <v>46</v>
      </c>
      <c r="P893" s="26" t="s">
        <v>430</v>
      </c>
      <c r="Q893" s="47">
        <f t="shared" si="113"/>
        <v>0.74890144749992937</v>
      </c>
      <c r="R893" s="47">
        <f t="shared" si="114"/>
        <v>7.4890144749992942</v>
      </c>
    </row>
    <row r="894" spans="13:18" x14ac:dyDescent="0.15">
      <c r="M894" s="46">
        <v>2022</v>
      </c>
      <c r="N894" s="26" t="s">
        <v>404</v>
      </c>
      <c r="O894" s="26" t="s">
        <v>35</v>
      </c>
      <c r="P894" s="26" t="s">
        <v>426</v>
      </c>
      <c r="Q894" s="47">
        <f t="shared" si="113"/>
        <v>0</v>
      </c>
      <c r="R894" s="47">
        <f t="shared" si="114"/>
        <v>0</v>
      </c>
    </row>
    <row r="895" spans="13:18" x14ac:dyDescent="0.15">
      <c r="M895" s="46">
        <v>2022</v>
      </c>
      <c r="N895" s="26" t="s">
        <v>404</v>
      </c>
      <c r="O895" s="26" t="s">
        <v>35</v>
      </c>
      <c r="P895" s="26" t="s">
        <v>428</v>
      </c>
      <c r="Q895" s="47">
        <f t="shared" si="113"/>
        <v>0</v>
      </c>
      <c r="R895" s="47">
        <f t="shared" si="114"/>
        <v>0</v>
      </c>
    </row>
    <row r="896" spans="13:18" x14ac:dyDescent="0.15">
      <c r="M896" s="46">
        <v>2022</v>
      </c>
      <c r="N896" s="26" t="s">
        <v>404</v>
      </c>
      <c r="O896" s="26" t="s">
        <v>35</v>
      </c>
      <c r="P896" s="26" t="s">
        <v>429</v>
      </c>
      <c r="Q896" s="47">
        <f t="shared" si="113"/>
        <v>0</v>
      </c>
      <c r="R896" s="47">
        <f t="shared" si="114"/>
        <v>0</v>
      </c>
    </row>
    <row r="897" spans="13:18" x14ac:dyDescent="0.15">
      <c r="M897" s="46">
        <v>2022</v>
      </c>
      <c r="N897" s="26" t="s">
        <v>404</v>
      </c>
      <c r="O897" s="26" t="s">
        <v>35</v>
      </c>
      <c r="P897" s="26" t="s">
        <v>430</v>
      </c>
      <c r="Q897" s="47">
        <f t="shared" si="113"/>
        <v>1.986006882069195</v>
      </c>
      <c r="R897" s="47">
        <f t="shared" si="114"/>
        <v>7.9440275282767798</v>
      </c>
    </row>
    <row r="898" spans="13:18" x14ac:dyDescent="0.15">
      <c r="M898" s="46">
        <v>2022</v>
      </c>
      <c r="N898" s="26" t="s">
        <v>404</v>
      </c>
      <c r="O898" s="26" t="s">
        <v>40</v>
      </c>
      <c r="P898" s="26" t="s">
        <v>426</v>
      </c>
      <c r="Q898" s="47">
        <f t="shared" ref="Q898:Q961" si="115">SUMIFS(D:D,B:B,N898,C:C,P898,A:A,M898)*SUMIFS(K:K,G:G,N898,I:I,O898)</f>
        <v>0</v>
      </c>
      <c r="R898" s="47">
        <f t="shared" ref="R898:R961" si="116">SUMIFS(E:E,B:B,N898,C:C,P898,A:A,M898)*SUMIFS(K:K,G:G,N898,I:I,O898)</f>
        <v>0</v>
      </c>
    </row>
    <row r="899" spans="13:18" x14ac:dyDescent="0.15">
      <c r="M899" s="46">
        <v>2022</v>
      </c>
      <c r="N899" s="26" t="s">
        <v>404</v>
      </c>
      <c r="O899" s="26" t="s">
        <v>40</v>
      </c>
      <c r="P899" s="26" t="s">
        <v>428</v>
      </c>
      <c r="Q899" s="47">
        <f t="shared" si="115"/>
        <v>0</v>
      </c>
      <c r="R899" s="47">
        <f t="shared" si="116"/>
        <v>0</v>
      </c>
    </row>
    <row r="900" spans="13:18" x14ac:dyDescent="0.15">
      <c r="M900" s="46">
        <v>2022</v>
      </c>
      <c r="N900" s="26" t="s">
        <v>404</v>
      </c>
      <c r="O900" s="26" t="s">
        <v>40</v>
      </c>
      <c r="P900" s="26" t="s">
        <v>429</v>
      </c>
      <c r="Q900" s="47">
        <f t="shared" si="115"/>
        <v>0</v>
      </c>
      <c r="R900" s="47">
        <f t="shared" si="116"/>
        <v>0</v>
      </c>
    </row>
    <row r="901" spans="13:18" x14ac:dyDescent="0.15">
      <c r="M901" s="46">
        <v>2022</v>
      </c>
      <c r="N901" s="26" t="s">
        <v>404</v>
      </c>
      <c r="O901" s="26" t="s">
        <v>40</v>
      </c>
      <c r="P901" s="26" t="s">
        <v>430</v>
      </c>
      <c r="Q901" s="47">
        <f t="shared" si="115"/>
        <v>41.822589586208643</v>
      </c>
      <c r="R901" s="47">
        <f t="shared" si="116"/>
        <v>167.29035834483457</v>
      </c>
    </row>
    <row r="902" spans="13:18" x14ac:dyDescent="0.15">
      <c r="M902" s="46">
        <v>2022</v>
      </c>
      <c r="N902" s="26" t="s">
        <v>404</v>
      </c>
      <c r="O902" s="26" t="s">
        <v>41</v>
      </c>
      <c r="P902" s="26" t="s">
        <v>426</v>
      </c>
      <c r="Q902" s="47">
        <f t="shared" si="115"/>
        <v>0</v>
      </c>
      <c r="R902" s="47">
        <f t="shared" si="116"/>
        <v>0</v>
      </c>
    </row>
    <row r="903" spans="13:18" x14ac:dyDescent="0.15">
      <c r="M903" s="46">
        <v>2022</v>
      </c>
      <c r="N903" s="26" t="s">
        <v>404</v>
      </c>
      <c r="O903" s="26" t="s">
        <v>41</v>
      </c>
      <c r="P903" s="26" t="s">
        <v>428</v>
      </c>
      <c r="Q903" s="47">
        <f t="shared" si="115"/>
        <v>0</v>
      </c>
      <c r="R903" s="47">
        <f t="shared" si="116"/>
        <v>0</v>
      </c>
    </row>
    <row r="904" spans="13:18" x14ac:dyDescent="0.15">
      <c r="M904" s="46">
        <v>2022</v>
      </c>
      <c r="N904" s="26" t="s">
        <v>404</v>
      </c>
      <c r="O904" s="26" t="s">
        <v>41</v>
      </c>
      <c r="P904" s="26" t="s">
        <v>429</v>
      </c>
      <c r="Q904" s="47">
        <f t="shared" si="115"/>
        <v>0</v>
      </c>
      <c r="R904" s="47">
        <f t="shared" si="116"/>
        <v>0</v>
      </c>
    </row>
    <row r="905" spans="13:18" x14ac:dyDescent="0.15">
      <c r="M905" s="46">
        <v>2022</v>
      </c>
      <c r="N905" s="26" t="s">
        <v>404</v>
      </c>
      <c r="O905" s="26" t="s">
        <v>41</v>
      </c>
      <c r="P905" s="26" t="s">
        <v>430</v>
      </c>
      <c r="Q905" s="47">
        <f t="shared" si="115"/>
        <v>11.92317354024016</v>
      </c>
      <c r="R905" s="47">
        <f t="shared" si="116"/>
        <v>47.692694160960642</v>
      </c>
    </row>
    <row r="906" spans="13:18" x14ac:dyDescent="0.15">
      <c r="M906" s="46">
        <v>2022</v>
      </c>
      <c r="N906" s="26" t="s">
        <v>404</v>
      </c>
      <c r="O906" s="26" t="s">
        <v>45</v>
      </c>
      <c r="P906" s="26" t="s">
        <v>426</v>
      </c>
      <c r="Q906" s="47">
        <f t="shared" si="115"/>
        <v>0</v>
      </c>
      <c r="R906" s="47">
        <f t="shared" si="116"/>
        <v>0</v>
      </c>
    </row>
    <row r="907" spans="13:18" x14ac:dyDescent="0.15">
      <c r="M907" s="46">
        <v>2022</v>
      </c>
      <c r="N907" s="26" t="s">
        <v>404</v>
      </c>
      <c r="O907" s="26" t="s">
        <v>45</v>
      </c>
      <c r="P907" s="26" t="s">
        <v>428</v>
      </c>
      <c r="Q907" s="47">
        <f t="shared" si="115"/>
        <v>0</v>
      </c>
      <c r="R907" s="47">
        <f t="shared" si="116"/>
        <v>0</v>
      </c>
    </row>
    <row r="908" spans="13:18" x14ac:dyDescent="0.15">
      <c r="M908" s="46">
        <v>2022</v>
      </c>
      <c r="N908" s="26" t="s">
        <v>404</v>
      </c>
      <c r="O908" s="26" t="s">
        <v>45</v>
      </c>
      <c r="P908" s="26" t="s">
        <v>429</v>
      </c>
      <c r="Q908" s="47">
        <f t="shared" si="115"/>
        <v>0</v>
      </c>
      <c r="R908" s="47">
        <f t="shared" si="116"/>
        <v>0</v>
      </c>
    </row>
    <row r="909" spans="13:18" x14ac:dyDescent="0.15">
      <c r="M909" s="46">
        <v>2022</v>
      </c>
      <c r="N909" s="26" t="s">
        <v>404</v>
      </c>
      <c r="O909" s="26" t="s">
        <v>45</v>
      </c>
      <c r="P909" s="26" t="s">
        <v>430</v>
      </c>
      <c r="Q909" s="47">
        <f t="shared" si="115"/>
        <v>19.110134157450052</v>
      </c>
      <c r="R909" s="47">
        <f t="shared" si="116"/>
        <v>76.440536629800206</v>
      </c>
    </row>
    <row r="910" spans="13:18" x14ac:dyDescent="0.15">
      <c r="M910" s="46">
        <v>2022</v>
      </c>
      <c r="N910" s="26" t="s">
        <v>406</v>
      </c>
      <c r="O910" s="26" t="s">
        <v>40</v>
      </c>
      <c r="P910" s="26" t="s">
        <v>426</v>
      </c>
      <c r="Q910" s="47">
        <f t="shared" si="115"/>
        <v>0</v>
      </c>
      <c r="R910" s="47">
        <f t="shared" si="116"/>
        <v>0</v>
      </c>
    </row>
    <row r="911" spans="13:18" x14ac:dyDescent="0.15">
      <c r="M911" s="46">
        <v>2022</v>
      </c>
      <c r="N911" s="26" t="s">
        <v>406</v>
      </c>
      <c r="O911" s="26" t="s">
        <v>40</v>
      </c>
      <c r="P911" s="26" t="s">
        <v>428</v>
      </c>
      <c r="Q911" s="47">
        <f t="shared" si="115"/>
        <v>0</v>
      </c>
      <c r="R911" s="47">
        <f t="shared" si="116"/>
        <v>0</v>
      </c>
    </row>
    <row r="912" spans="13:18" x14ac:dyDescent="0.15">
      <c r="M912" s="46">
        <v>2022</v>
      </c>
      <c r="N912" s="26" t="s">
        <v>406</v>
      </c>
      <c r="O912" s="26" t="s">
        <v>40</v>
      </c>
      <c r="P912" s="26" t="s">
        <v>429</v>
      </c>
      <c r="Q912" s="47">
        <f t="shared" si="115"/>
        <v>0</v>
      </c>
      <c r="R912" s="47">
        <f t="shared" si="116"/>
        <v>0</v>
      </c>
    </row>
    <row r="913" spans="13:18" x14ac:dyDescent="0.15">
      <c r="M913" s="46">
        <v>2022</v>
      </c>
      <c r="N913" s="26" t="s">
        <v>406</v>
      </c>
      <c r="O913" s="26" t="s">
        <v>40</v>
      </c>
      <c r="P913" s="26" t="s">
        <v>430</v>
      </c>
      <c r="Q913" s="47">
        <f t="shared" si="115"/>
        <v>0</v>
      </c>
      <c r="R913" s="47">
        <f t="shared" si="116"/>
        <v>0</v>
      </c>
    </row>
    <row r="914" spans="13:18" x14ac:dyDescent="0.15">
      <c r="M914" s="46">
        <v>2022</v>
      </c>
      <c r="N914" s="26" t="s">
        <v>406</v>
      </c>
      <c r="O914" s="26" t="s">
        <v>45</v>
      </c>
      <c r="P914" s="26" t="s">
        <v>426</v>
      </c>
      <c r="Q914" s="47">
        <f t="shared" si="115"/>
        <v>0</v>
      </c>
      <c r="R914" s="47">
        <f t="shared" si="116"/>
        <v>0</v>
      </c>
    </row>
    <row r="915" spans="13:18" x14ac:dyDescent="0.15">
      <c r="M915" s="46">
        <v>2022</v>
      </c>
      <c r="N915" s="26" t="s">
        <v>406</v>
      </c>
      <c r="O915" s="26" t="s">
        <v>45</v>
      </c>
      <c r="P915" s="26" t="s">
        <v>428</v>
      </c>
      <c r="Q915" s="47">
        <f t="shared" si="115"/>
        <v>0</v>
      </c>
      <c r="R915" s="47">
        <f t="shared" si="116"/>
        <v>0</v>
      </c>
    </row>
    <row r="916" spans="13:18" x14ac:dyDescent="0.15">
      <c r="M916" s="46">
        <v>2022</v>
      </c>
      <c r="N916" s="26" t="s">
        <v>406</v>
      </c>
      <c r="O916" s="26" t="s">
        <v>45</v>
      </c>
      <c r="P916" s="26" t="s">
        <v>429</v>
      </c>
      <c r="Q916" s="47">
        <f t="shared" si="115"/>
        <v>0</v>
      </c>
      <c r="R916" s="47">
        <f t="shared" si="116"/>
        <v>0</v>
      </c>
    </row>
    <row r="917" spans="13:18" x14ac:dyDescent="0.15">
      <c r="M917" s="46">
        <v>2022</v>
      </c>
      <c r="N917" s="26" t="s">
        <v>406</v>
      </c>
      <c r="O917" s="26" t="s">
        <v>45</v>
      </c>
      <c r="P917" s="26" t="s">
        <v>430</v>
      </c>
      <c r="Q917" s="47">
        <f t="shared" si="115"/>
        <v>0</v>
      </c>
      <c r="R917" s="47">
        <f t="shared" si="116"/>
        <v>0</v>
      </c>
    </row>
    <row r="918" spans="13:18" x14ac:dyDescent="0.15">
      <c r="M918" s="46">
        <v>2022</v>
      </c>
      <c r="N918" s="26" t="s">
        <v>406</v>
      </c>
      <c r="O918" s="26" t="s">
        <v>46</v>
      </c>
      <c r="P918" s="26" t="s">
        <v>426</v>
      </c>
      <c r="Q918" s="47">
        <f t="shared" si="115"/>
        <v>0</v>
      </c>
      <c r="R918" s="47">
        <f t="shared" si="116"/>
        <v>0</v>
      </c>
    </row>
    <row r="919" spans="13:18" x14ac:dyDescent="0.15">
      <c r="M919" s="46">
        <v>2022</v>
      </c>
      <c r="N919" s="26" t="s">
        <v>406</v>
      </c>
      <c r="O919" s="26" t="s">
        <v>46</v>
      </c>
      <c r="P919" s="26" t="s">
        <v>428</v>
      </c>
      <c r="Q919" s="47">
        <f t="shared" si="115"/>
        <v>0</v>
      </c>
      <c r="R919" s="47">
        <f t="shared" si="116"/>
        <v>0</v>
      </c>
    </row>
    <row r="920" spans="13:18" x14ac:dyDescent="0.15">
      <c r="M920" s="46">
        <v>2022</v>
      </c>
      <c r="N920" s="26" t="s">
        <v>406</v>
      </c>
      <c r="O920" s="26" t="s">
        <v>46</v>
      </c>
      <c r="P920" s="26" t="s">
        <v>429</v>
      </c>
      <c r="Q920" s="47">
        <f t="shared" si="115"/>
        <v>0</v>
      </c>
      <c r="R920" s="47">
        <f t="shared" si="116"/>
        <v>0</v>
      </c>
    </row>
    <row r="921" spans="13:18" x14ac:dyDescent="0.15">
      <c r="M921" s="46">
        <v>2022</v>
      </c>
      <c r="N921" s="26" t="s">
        <v>406</v>
      </c>
      <c r="O921" s="26" t="s">
        <v>46</v>
      </c>
      <c r="P921" s="26" t="s">
        <v>430</v>
      </c>
      <c r="Q921" s="47">
        <f t="shared" si="115"/>
        <v>0</v>
      </c>
      <c r="R921" s="47">
        <f t="shared" si="116"/>
        <v>0</v>
      </c>
    </row>
    <row r="922" spans="13:18" x14ac:dyDescent="0.15">
      <c r="M922" s="46">
        <v>2022</v>
      </c>
      <c r="N922" s="26" t="s">
        <v>406</v>
      </c>
      <c r="O922" s="26" t="s">
        <v>39</v>
      </c>
      <c r="P922" s="26" t="s">
        <v>426</v>
      </c>
      <c r="Q922" s="47">
        <f t="shared" si="115"/>
        <v>0</v>
      </c>
      <c r="R922" s="47">
        <f t="shared" si="116"/>
        <v>0</v>
      </c>
    </row>
    <row r="923" spans="13:18" x14ac:dyDescent="0.15">
      <c r="M923" s="46">
        <v>2022</v>
      </c>
      <c r="N923" s="26" t="s">
        <v>406</v>
      </c>
      <c r="O923" s="26" t="s">
        <v>39</v>
      </c>
      <c r="P923" s="26" t="s">
        <v>428</v>
      </c>
      <c r="Q923" s="47">
        <f t="shared" si="115"/>
        <v>0</v>
      </c>
      <c r="R923" s="47">
        <f t="shared" si="116"/>
        <v>0</v>
      </c>
    </row>
    <row r="924" spans="13:18" x14ac:dyDescent="0.15">
      <c r="M924" s="46">
        <v>2022</v>
      </c>
      <c r="N924" s="26" t="s">
        <v>406</v>
      </c>
      <c r="O924" s="26" t="s">
        <v>39</v>
      </c>
      <c r="P924" s="26" t="s">
        <v>429</v>
      </c>
      <c r="Q924" s="47">
        <f t="shared" si="115"/>
        <v>0</v>
      </c>
      <c r="R924" s="47">
        <f t="shared" si="116"/>
        <v>0</v>
      </c>
    </row>
    <row r="925" spans="13:18" x14ac:dyDescent="0.15">
      <c r="M925" s="46">
        <v>2022</v>
      </c>
      <c r="N925" s="26" t="s">
        <v>406</v>
      </c>
      <c r="O925" s="26" t="s">
        <v>39</v>
      </c>
      <c r="P925" s="26" t="s">
        <v>430</v>
      </c>
      <c r="Q925" s="47">
        <f t="shared" si="115"/>
        <v>0</v>
      </c>
      <c r="R925" s="47">
        <f t="shared" si="116"/>
        <v>0</v>
      </c>
    </row>
    <row r="926" spans="13:18" x14ac:dyDescent="0.15">
      <c r="M926" s="46">
        <v>2022</v>
      </c>
      <c r="N926" s="26" t="s">
        <v>406</v>
      </c>
      <c r="O926" s="26" t="s">
        <v>408</v>
      </c>
      <c r="P926" s="26" t="s">
        <v>426</v>
      </c>
      <c r="Q926" s="47">
        <f t="shared" si="115"/>
        <v>0</v>
      </c>
      <c r="R926" s="47">
        <f t="shared" si="116"/>
        <v>0</v>
      </c>
    </row>
    <row r="927" spans="13:18" x14ac:dyDescent="0.15">
      <c r="M927" s="46">
        <v>2022</v>
      </c>
      <c r="N927" s="26" t="s">
        <v>406</v>
      </c>
      <c r="O927" s="26" t="s">
        <v>408</v>
      </c>
      <c r="P927" s="26" t="s">
        <v>428</v>
      </c>
      <c r="Q927" s="47">
        <f t="shared" si="115"/>
        <v>0</v>
      </c>
      <c r="R927" s="47">
        <f t="shared" si="116"/>
        <v>0</v>
      </c>
    </row>
    <row r="928" spans="13:18" x14ac:dyDescent="0.15">
      <c r="M928" s="46">
        <v>2022</v>
      </c>
      <c r="N928" s="26" t="s">
        <v>406</v>
      </c>
      <c r="O928" s="26" t="s">
        <v>408</v>
      </c>
      <c r="P928" s="26" t="s">
        <v>429</v>
      </c>
      <c r="Q928" s="47">
        <f t="shared" si="115"/>
        <v>0</v>
      </c>
      <c r="R928" s="47">
        <f t="shared" si="116"/>
        <v>0</v>
      </c>
    </row>
    <row r="929" spans="13:18" x14ac:dyDescent="0.15">
      <c r="M929" s="46">
        <v>2022</v>
      </c>
      <c r="N929" s="26" t="s">
        <v>406</v>
      </c>
      <c r="O929" s="26" t="s">
        <v>408</v>
      </c>
      <c r="P929" s="26" t="s">
        <v>430</v>
      </c>
      <c r="Q929" s="47">
        <f t="shared" si="115"/>
        <v>0</v>
      </c>
      <c r="R929" s="47">
        <f t="shared" si="116"/>
        <v>0</v>
      </c>
    </row>
    <row r="930" spans="13:18" x14ac:dyDescent="0.15">
      <c r="M930" s="46">
        <v>2022</v>
      </c>
      <c r="N930" s="26" t="s">
        <v>409</v>
      </c>
      <c r="O930" s="26" t="s">
        <v>45</v>
      </c>
      <c r="P930" s="26" t="s">
        <v>426</v>
      </c>
      <c r="Q930" s="47">
        <f t="shared" si="115"/>
        <v>0</v>
      </c>
      <c r="R930" s="47">
        <f t="shared" si="116"/>
        <v>0</v>
      </c>
    </row>
    <row r="931" spans="13:18" x14ac:dyDescent="0.15">
      <c r="M931" s="46">
        <v>2022</v>
      </c>
      <c r="N931" s="26" t="s">
        <v>409</v>
      </c>
      <c r="O931" s="26" t="s">
        <v>45</v>
      </c>
      <c r="P931" s="26" t="s">
        <v>428</v>
      </c>
      <c r="Q931" s="47">
        <f t="shared" si="115"/>
        <v>0</v>
      </c>
      <c r="R931" s="47">
        <f t="shared" si="116"/>
        <v>0</v>
      </c>
    </row>
    <row r="932" spans="13:18" x14ac:dyDescent="0.15">
      <c r="M932" s="46">
        <v>2022</v>
      </c>
      <c r="N932" s="26" t="s">
        <v>409</v>
      </c>
      <c r="O932" s="26" t="s">
        <v>45</v>
      </c>
      <c r="P932" s="26" t="s">
        <v>429</v>
      </c>
      <c r="Q932" s="47">
        <f t="shared" si="115"/>
        <v>0</v>
      </c>
      <c r="R932" s="47">
        <f t="shared" si="116"/>
        <v>0</v>
      </c>
    </row>
    <row r="933" spans="13:18" x14ac:dyDescent="0.15">
      <c r="M933" s="46">
        <v>2022</v>
      </c>
      <c r="N933" s="26" t="s">
        <v>409</v>
      </c>
      <c r="O933" s="26" t="s">
        <v>45</v>
      </c>
      <c r="P933" s="26" t="s">
        <v>430</v>
      </c>
      <c r="Q933" s="47">
        <f t="shared" si="115"/>
        <v>7.9676830143220876</v>
      </c>
      <c r="R933" s="47">
        <f t="shared" si="116"/>
        <v>159.35366028644174</v>
      </c>
    </row>
    <row r="934" spans="13:18" x14ac:dyDescent="0.15">
      <c r="M934" s="46">
        <v>2022</v>
      </c>
      <c r="N934" s="26" t="s">
        <v>409</v>
      </c>
      <c r="O934" s="26" t="s">
        <v>40</v>
      </c>
      <c r="P934" s="26" t="s">
        <v>426</v>
      </c>
      <c r="Q934" s="47">
        <f t="shared" si="115"/>
        <v>0</v>
      </c>
      <c r="R934" s="47">
        <f t="shared" si="116"/>
        <v>0</v>
      </c>
    </row>
    <row r="935" spans="13:18" x14ac:dyDescent="0.15">
      <c r="M935" s="46">
        <v>2022</v>
      </c>
      <c r="N935" s="26" t="s">
        <v>409</v>
      </c>
      <c r="O935" s="26" t="s">
        <v>40</v>
      </c>
      <c r="P935" s="26" t="s">
        <v>428</v>
      </c>
      <c r="Q935" s="47">
        <f t="shared" si="115"/>
        <v>0</v>
      </c>
      <c r="R935" s="47">
        <f t="shared" si="116"/>
        <v>0</v>
      </c>
    </row>
    <row r="936" spans="13:18" x14ac:dyDescent="0.15">
      <c r="M936" s="46">
        <v>2022</v>
      </c>
      <c r="N936" s="26" t="s">
        <v>409</v>
      </c>
      <c r="O936" s="26" t="s">
        <v>40</v>
      </c>
      <c r="P936" s="26" t="s">
        <v>429</v>
      </c>
      <c r="Q936" s="47">
        <f t="shared" si="115"/>
        <v>0</v>
      </c>
      <c r="R936" s="47">
        <f t="shared" si="116"/>
        <v>0</v>
      </c>
    </row>
    <row r="937" spans="13:18" x14ac:dyDescent="0.15">
      <c r="M937" s="46">
        <v>2022</v>
      </c>
      <c r="N937" s="26" t="s">
        <v>409</v>
      </c>
      <c r="O937" s="26" t="s">
        <v>40</v>
      </c>
      <c r="P937" s="26" t="s">
        <v>430</v>
      </c>
      <c r="Q937" s="47">
        <f t="shared" si="115"/>
        <v>17.437299702633936</v>
      </c>
      <c r="R937" s="47">
        <f t="shared" si="116"/>
        <v>348.74599405267872</v>
      </c>
    </row>
    <row r="938" spans="13:18" x14ac:dyDescent="0.15">
      <c r="M938" s="46">
        <v>2022</v>
      </c>
      <c r="N938" s="26" t="s">
        <v>409</v>
      </c>
      <c r="O938" s="26" t="s">
        <v>46</v>
      </c>
      <c r="P938" s="26" t="s">
        <v>426</v>
      </c>
      <c r="Q938" s="47">
        <f t="shared" si="115"/>
        <v>0</v>
      </c>
      <c r="R938" s="47">
        <f t="shared" si="116"/>
        <v>0</v>
      </c>
    </row>
    <row r="939" spans="13:18" x14ac:dyDescent="0.15">
      <c r="M939" s="46">
        <v>2022</v>
      </c>
      <c r="N939" s="26" t="s">
        <v>409</v>
      </c>
      <c r="O939" s="26" t="s">
        <v>46</v>
      </c>
      <c r="P939" s="26" t="s">
        <v>428</v>
      </c>
      <c r="Q939" s="47">
        <f t="shared" si="115"/>
        <v>0</v>
      </c>
      <c r="R939" s="47">
        <f t="shared" si="116"/>
        <v>0</v>
      </c>
    </row>
    <row r="940" spans="13:18" x14ac:dyDescent="0.15">
      <c r="M940" s="46">
        <v>2022</v>
      </c>
      <c r="N940" s="26" t="s">
        <v>409</v>
      </c>
      <c r="O940" s="26" t="s">
        <v>46</v>
      </c>
      <c r="P940" s="26" t="s">
        <v>429</v>
      </c>
      <c r="Q940" s="47">
        <f t="shared" si="115"/>
        <v>0</v>
      </c>
      <c r="R940" s="47">
        <f t="shared" si="116"/>
        <v>0</v>
      </c>
    </row>
    <row r="941" spans="13:18" x14ac:dyDescent="0.15">
      <c r="M941" s="46">
        <v>2022</v>
      </c>
      <c r="N941" s="26" t="s">
        <v>409</v>
      </c>
      <c r="O941" s="26" t="s">
        <v>46</v>
      </c>
      <c r="P941" s="26" t="s">
        <v>430</v>
      </c>
      <c r="Q941" s="47">
        <f t="shared" si="115"/>
        <v>1.3522100971376341</v>
      </c>
      <c r="R941" s="47">
        <f t="shared" si="116"/>
        <v>27.044201942752682</v>
      </c>
    </row>
    <row r="942" spans="13:18" x14ac:dyDescent="0.15">
      <c r="M942" s="46">
        <v>2022</v>
      </c>
      <c r="N942" s="26" t="s">
        <v>409</v>
      </c>
      <c r="O942" s="26" t="s">
        <v>44</v>
      </c>
      <c r="P942" s="26" t="s">
        <v>426</v>
      </c>
      <c r="Q942" s="47">
        <f t="shared" si="115"/>
        <v>0</v>
      </c>
      <c r="R942" s="47">
        <f t="shared" si="116"/>
        <v>0</v>
      </c>
    </row>
    <row r="943" spans="13:18" x14ac:dyDescent="0.15">
      <c r="M943" s="46">
        <v>2022</v>
      </c>
      <c r="N943" s="26" t="s">
        <v>409</v>
      </c>
      <c r="O943" s="26" t="s">
        <v>44</v>
      </c>
      <c r="P943" s="26" t="s">
        <v>428</v>
      </c>
      <c r="Q943" s="47">
        <f t="shared" si="115"/>
        <v>0</v>
      </c>
      <c r="R943" s="47">
        <f t="shared" si="116"/>
        <v>0</v>
      </c>
    </row>
    <row r="944" spans="13:18" x14ac:dyDescent="0.15">
      <c r="M944" s="46">
        <v>2022</v>
      </c>
      <c r="N944" s="26" t="s">
        <v>409</v>
      </c>
      <c r="O944" s="26" t="s">
        <v>44</v>
      </c>
      <c r="P944" s="26" t="s">
        <v>429</v>
      </c>
      <c r="Q944" s="47">
        <f t="shared" si="115"/>
        <v>0</v>
      </c>
      <c r="R944" s="47">
        <f t="shared" si="116"/>
        <v>0</v>
      </c>
    </row>
    <row r="945" spans="13:18" x14ac:dyDescent="0.15">
      <c r="M945" s="46">
        <v>2022</v>
      </c>
      <c r="N945" s="26" t="s">
        <v>409</v>
      </c>
      <c r="O945" s="26" t="s">
        <v>44</v>
      </c>
      <c r="P945" s="26" t="s">
        <v>430</v>
      </c>
      <c r="Q945" s="47">
        <f t="shared" si="115"/>
        <v>3.2428071859063459</v>
      </c>
      <c r="R945" s="47">
        <f t="shared" si="116"/>
        <v>64.856143718126916</v>
      </c>
    </row>
    <row r="946" spans="13:18" x14ac:dyDescent="0.15">
      <c r="M946" s="46">
        <v>2022</v>
      </c>
      <c r="N946" s="26" t="s">
        <v>411</v>
      </c>
      <c r="O946" s="26" t="s">
        <v>35</v>
      </c>
      <c r="P946" s="26" t="s">
        <v>426</v>
      </c>
      <c r="Q946" s="47">
        <f t="shared" si="115"/>
        <v>0</v>
      </c>
      <c r="R946" s="47">
        <f t="shared" si="116"/>
        <v>0</v>
      </c>
    </row>
    <row r="947" spans="13:18" x14ac:dyDescent="0.15">
      <c r="M947" s="46">
        <v>2022</v>
      </c>
      <c r="N947" s="26" t="s">
        <v>411</v>
      </c>
      <c r="O947" s="26" t="s">
        <v>35</v>
      </c>
      <c r="P947" s="26" t="s">
        <v>428</v>
      </c>
      <c r="Q947" s="47">
        <f t="shared" si="115"/>
        <v>0</v>
      </c>
      <c r="R947" s="47">
        <f t="shared" si="116"/>
        <v>0</v>
      </c>
    </row>
    <row r="948" spans="13:18" x14ac:dyDescent="0.15">
      <c r="M948" s="46">
        <v>2022</v>
      </c>
      <c r="N948" s="26" t="s">
        <v>411</v>
      </c>
      <c r="O948" s="26" t="s">
        <v>35</v>
      </c>
      <c r="P948" s="26" t="s">
        <v>429</v>
      </c>
      <c r="Q948" s="47">
        <f t="shared" si="115"/>
        <v>0</v>
      </c>
      <c r="R948" s="47">
        <f t="shared" si="116"/>
        <v>0</v>
      </c>
    </row>
    <row r="949" spans="13:18" x14ac:dyDescent="0.15">
      <c r="M949" s="46">
        <v>2022</v>
      </c>
      <c r="N949" s="26" t="s">
        <v>411</v>
      </c>
      <c r="O949" s="26" t="s">
        <v>35</v>
      </c>
      <c r="P949" s="26" t="s">
        <v>430</v>
      </c>
      <c r="Q949" s="47">
        <f t="shared" si="115"/>
        <v>0</v>
      </c>
      <c r="R949" s="47">
        <f t="shared" si="116"/>
        <v>0</v>
      </c>
    </row>
    <row r="950" spans="13:18" x14ac:dyDescent="0.15">
      <c r="M950" s="46">
        <v>2022</v>
      </c>
      <c r="N950" s="26" t="s">
        <v>411</v>
      </c>
      <c r="O950" s="26" t="s">
        <v>45</v>
      </c>
      <c r="P950" s="26" t="s">
        <v>426</v>
      </c>
      <c r="Q950" s="47">
        <f t="shared" si="115"/>
        <v>0</v>
      </c>
      <c r="R950" s="47">
        <f t="shared" si="116"/>
        <v>0</v>
      </c>
    </row>
    <row r="951" spans="13:18" x14ac:dyDescent="0.15">
      <c r="M951" s="46">
        <v>2022</v>
      </c>
      <c r="N951" s="26" t="s">
        <v>411</v>
      </c>
      <c r="O951" s="26" t="s">
        <v>45</v>
      </c>
      <c r="P951" s="26" t="s">
        <v>428</v>
      </c>
      <c r="Q951" s="47">
        <f t="shared" si="115"/>
        <v>0</v>
      </c>
      <c r="R951" s="47">
        <f t="shared" si="116"/>
        <v>0</v>
      </c>
    </row>
    <row r="952" spans="13:18" x14ac:dyDescent="0.15">
      <c r="M952" s="46">
        <v>2022</v>
      </c>
      <c r="N952" s="26" t="s">
        <v>411</v>
      </c>
      <c r="O952" s="26" t="s">
        <v>45</v>
      </c>
      <c r="P952" s="26" t="s">
        <v>429</v>
      </c>
      <c r="Q952" s="47">
        <f t="shared" si="115"/>
        <v>0</v>
      </c>
      <c r="R952" s="47">
        <f t="shared" si="116"/>
        <v>0</v>
      </c>
    </row>
    <row r="953" spans="13:18" x14ac:dyDescent="0.15">
      <c r="M953" s="46">
        <v>2022</v>
      </c>
      <c r="N953" s="26" t="s">
        <v>411</v>
      </c>
      <c r="O953" s="26" t="s">
        <v>45</v>
      </c>
      <c r="P953" s="26" t="s">
        <v>430</v>
      </c>
      <c r="Q953" s="47">
        <f t="shared" si="115"/>
        <v>0</v>
      </c>
      <c r="R953" s="47">
        <f t="shared" si="116"/>
        <v>0</v>
      </c>
    </row>
    <row r="954" spans="13:18" x14ac:dyDescent="0.15">
      <c r="M954" s="46">
        <v>2022</v>
      </c>
      <c r="N954" s="26" t="s">
        <v>411</v>
      </c>
      <c r="O954" s="26" t="s">
        <v>46</v>
      </c>
      <c r="P954" s="26" t="s">
        <v>426</v>
      </c>
      <c r="Q954" s="47">
        <f t="shared" si="115"/>
        <v>0</v>
      </c>
      <c r="R954" s="47">
        <f t="shared" si="116"/>
        <v>0</v>
      </c>
    </row>
    <row r="955" spans="13:18" x14ac:dyDescent="0.15">
      <c r="M955" s="46">
        <v>2022</v>
      </c>
      <c r="N955" s="26" t="s">
        <v>411</v>
      </c>
      <c r="O955" s="26" t="s">
        <v>46</v>
      </c>
      <c r="P955" s="26" t="s">
        <v>428</v>
      </c>
      <c r="Q955" s="47">
        <f t="shared" si="115"/>
        <v>0</v>
      </c>
      <c r="R955" s="47">
        <f t="shared" si="116"/>
        <v>0</v>
      </c>
    </row>
    <row r="956" spans="13:18" x14ac:dyDescent="0.15">
      <c r="M956" s="46">
        <v>2022</v>
      </c>
      <c r="N956" s="26" t="s">
        <v>411</v>
      </c>
      <c r="O956" s="26" t="s">
        <v>46</v>
      </c>
      <c r="P956" s="26" t="s">
        <v>429</v>
      </c>
      <c r="Q956" s="47">
        <f t="shared" si="115"/>
        <v>0</v>
      </c>
      <c r="R956" s="47">
        <f t="shared" si="116"/>
        <v>0</v>
      </c>
    </row>
    <row r="957" spans="13:18" x14ac:dyDescent="0.15">
      <c r="M957" s="46">
        <v>2022</v>
      </c>
      <c r="N957" s="26" t="s">
        <v>411</v>
      </c>
      <c r="O957" s="26" t="s">
        <v>46</v>
      </c>
      <c r="P957" s="26" t="s">
        <v>430</v>
      </c>
      <c r="Q957" s="47">
        <f t="shared" si="115"/>
        <v>0</v>
      </c>
      <c r="R957" s="47">
        <f t="shared" si="116"/>
        <v>0</v>
      </c>
    </row>
    <row r="958" spans="13:18" x14ac:dyDescent="0.15">
      <c r="M958" s="46">
        <v>2022</v>
      </c>
      <c r="N958" s="26" t="s">
        <v>411</v>
      </c>
      <c r="O958" s="26" t="s">
        <v>40</v>
      </c>
      <c r="P958" s="26" t="s">
        <v>426</v>
      </c>
      <c r="Q958" s="47">
        <f t="shared" si="115"/>
        <v>0</v>
      </c>
      <c r="R958" s="47">
        <f t="shared" si="116"/>
        <v>0</v>
      </c>
    </row>
    <row r="959" spans="13:18" x14ac:dyDescent="0.15">
      <c r="M959" s="46">
        <v>2022</v>
      </c>
      <c r="N959" s="26" t="s">
        <v>411</v>
      </c>
      <c r="O959" s="26" t="s">
        <v>40</v>
      </c>
      <c r="P959" s="26" t="s">
        <v>428</v>
      </c>
      <c r="Q959" s="47">
        <f t="shared" si="115"/>
        <v>0</v>
      </c>
      <c r="R959" s="47">
        <f t="shared" si="116"/>
        <v>0</v>
      </c>
    </row>
    <row r="960" spans="13:18" x14ac:dyDescent="0.15">
      <c r="M960" s="46">
        <v>2022</v>
      </c>
      <c r="N960" s="26" t="s">
        <v>411</v>
      </c>
      <c r="O960" s="26" t="s">
        <v>40</v>
      </c>
      <c r="P960" s="26" t="s">
        <v>429</v>
      </c>
      <c r="Q960" s="47">
        <f t="shared" si="115"/>
        <v>0</v>
      </c>
      <c r="R960" s="47">
        <f t="shared" si="116"/>
        <v>0</v>
      </c>
    </row>
    <row r="961" spans="13:18" x14ac:dyDescent="0.15">
      <c r="M961" s="46">
        <v>2022</v>
      </c>
      <c r="N961" s="26" t="s">
        <v>411</v>
      </c>
      <c r="O961" s="26" t="s">
        <v>40</v>
      </c>
      <c r="P961" s="26" t="s">
        <v>430</v>
      </c>
      <c r="Q961" s="47">
        <f t="shared" si="115"/>
        <v>0</v>
      </c>
      <c r="R961" s="47">
        <f t="shared" si="116"/>
        <v>0</v>
      </c>
    </row>
    <row r="962" spans="13:18" x14ac:dyDescent="0.15">
      <c r="M962" s="46">
        <v>2022</v>
      </c>
      <c r="N962" s="26" t="s">
        <v>84</v>
      </c>
      <c r="O962" s="26" t="s">
        <v>53</v>
      </c>
      <c r="P962" s="26" t="s">
        <v>426</v>
      </c>
      <c r="Q962" s="47">
        <f t="shared" ref="Q962:Q1025" si="117">SUMIFS(D:D,B:B,N962,C:C,P962,A:A,M962)*SUMIFS(K:K,G:G,N962,I:I,O962)</f>
        <v>57.069368519255327</v>
      </c>
      <c r="R962" s="47">
        <f t="shared" ref="R962:R1025" si="118">SUMIFS(E:E,B:B,N962,C:C,P962,A:A,M962)*SUMIFS(K:K,G:G,N962,I:I,O962)</f>
        <v>517.40211154115593</v>
      </c>
    </row>
    <row r="963" spans="13:18" x14ac:dyDescent="0.15">
      <c r="M963" s="46">
        <v>2022</v>
      </c>
      <c r="N963" s="26" t="s">
        <v>84</v>
      </c>
      <c r="O963" s="26" t="s">
        <v>53</v>
      </c>
      <c r="P963" s="26" t="s">
        <v>428</v>
      </c>
      <c r="Q963" s="47">
        <f t="shared" si="117"/>
        <v>0</v>
      </c>
      <c r="R963" s="47">
        <f t="shared" si="118"/>
        <v>0</v>
      </c>
    </row>
    <row r="964" spans="13:18" x14ac:dyDescent="0.15">
      <c r="M964" s="46">
        <v>2022</v>
      </c>
      <c r="N964" s="26" t="s">
        <v>84</v>
      </c>
      <c r="O964" s="26" t="s">
        <v>53</v>
      </c>
      <c r="P964" s="26" t="s">
        <v>429</v>
      </c>
      <c r="Q964" s="47">
        <f t="shared" si="117"/>
        <v>0</v>
      </c>
      <c r="R964" s="47">
        <f t="shared" si="118"/>
        <v>0</v>
      </c>
    </row>
    <row r="965" spans="13:18" x14ac:dyDescent="0.15">
      <c r="M965" s="46">
        <v>2022</v>
      </c>
      <c r="N965" s="26" t="s">
        <v>84</v>
      </c>
      <c r="O965" s="26" t="s">
        <v>53</v>
      </c>
      <c r="P965" s="26" t="s">
        <v>430</v>
      </c>
      <c r="Q965" s="47">
        <f t="shared" si="117"/>
        <v>0</v>
      </c>
      <c r="R965" s="47">
        <f t="shared" si="118"/>
        <v>0</v>
      </c>
    </row>
    <row r="966" spans="13:18" x14ac:dyDescent="0.15">
      <c r="M966" s="46">
        <v>2022</v>
      </c>
      <c r="N966" s="26" t="s">
        <v>84</v>
      </c>
      <c r="O966" s="26" t="s">
        <v>43</v>
      </c>
      <c r="P966" s="26" t="s">
        <v>426</v>
      </c>
      <c r="Q966" s="47">
        <f t="shared" si="117"/>
        <v>23.204092696247709</v>
      </c>
      <c r="R966" s="47">
        <f t="shared" si="118"/>
        <v>210.3728649701894</v>
      </c>
    </row>
    <row r="967" spans="13:18" x14ac:dyDescent="0.15">
      <c r="M967" s="46">
        <v>2022</v>
      </c>
      <c r="N967" s="26" t="s">
        <v>84</v>
      </c>
      <c r="O967" s="26" t="s">
        <v>43</v>
      </c>
      <c r="P967" s="26" t="s">
        <v>428</v>
      </c>
      <c r="Q967" s="47">
        <f t="shared" si="117"/>
        <v>0</v>
      </c>
      <c r="R967" s="47">
        <f t="shared" si="118"/>
        <v>0</v>
      </c>
    </row>
    <row r="968" spans="13:18" x14ac:dyDescent="0.15">
      <c r="M968" s="46">
        <v>2022</v>
      </c>
      <c r="N968" s="26" t="s">
        <v>84</v>
      </c>
      <c r="O968" s="26" t="s">
        <v>43</v>
      </c>
      <c r="P968" s="26" t="s">
        <v>429</v>
      </c>
      <c r="Q968" s="47">
        <f t="shared" si="117"/>
        <v>0</v>
      </c>
      <c r="R968" s="47">
        <f t="shared" si="118"/>
        <v>0</v>
      </c>
    </row>
    <row r="969" spans="13:18" x14ac:dyDescent="0.15">
      <c r="M969" s="46">
        <v>2022</v>
      </c>
      <c r="N969" s="26" t="s">
        <v>84</v>
      </c>
      <c r="O969" s="26" t="s">
        <v>43</v>
      </c>
      <c r="P969" s="26" t="s">
        <v>430</v>
      </c>
      <c r="Q969" s="47">
        <f t="shared" si="117"/>
        <v>0</v>
      </c>
      <c r="R969" s="47">
        <f t="shared" si="118"/>
        <v>0</v>
      </c>
    </row>
    <row r="970" spans="13:18" x14ac:dyDescent="0.15">
      <c r="M970" s="46">
        <v>2022</v>
      </c>
      <c r="N970" s="26" t="s">
        <v>84</v>
      </c>
      <c r="O970" s="26" t="s">
        <v>415</v>
      </c>
      <c r="P970" s="26" t="s">
        <v>426</v>
      </c>
      <c r="Q970" s="47">
        <f t="shared" si="117"/>
        <v>0</v>
      </c>
      <c r="R970" s="47">
        <f t="shared" si="118"/>
        <v>0</v>
      </c>
    </row>
    <row r="971" spans="13:18" x14ac:dyDescent="0.15">
      <c r="M971" s="46">
        <v>2022</v>
      </c>
      <c r="N971" s="26" t="s">
        <v>84</v>
      </c>
      <c r="O971" s="26" t="s">
        <v>415</v>
      </c>
      <c r="P971" s="26" t="s">
        <v>428</v>
      </c>
      <c r="Q971" s="47">
        <f t="shared" si="117"/>
        <v>0</v>
      </c>
      <c r="R971" s="47">
        <f t="shared" si="118"/>
        <v>0</v>
      </c>
    </row>
    <row r="972" spans="13:18" x14ac:dyDescent="0.15">
      <c r="M972" s="46">
        <v>2022</v>
      </c>
      <c r="N972" s="26" t="s">
        <v>84</v>
      </c>
      <c r="O972" s="26" t="s">
        <v>415</v>
      </c>
      <c r="P972" s="26" t="s">
        <v>429</v>
      </c>
      <c r="Q972" s="47">
        <f t="shared" si="117"/>
        <v>0</v>
      </c>
      <c r="R972" s="47">
        <f t="shared" si="118"/>
        <v>0</v>
      </c>
    </row>
    <row r="973" spans="13:18" x14ac:dyDescent="0.15">
      <c r="M973" s="46">
        <v>2022</v>
      </c>
      <c r="N973" s="26" t="s">
        <v>84</v>
      </c>
      <c r="O973" s="26" t="s">
        <v>415</v>
      </c>
      <c r="P973" s="26" t="s">
        <v>430</v>
      </c>
      <c r="Q973" s="47">
        <f t="shared" si="117"/>
        <v>0</v>
      </c>
      <c r="R973" s="47">
        <f t="shared" si="118"/>
        <v>0</v>
      </c>
    </row>
    <row r="974" spans="13:18" x14ac:dyDescent="0.15">
      <c r="M974" s="46">
        <v>2022</v>
      </c>
      <c r="N974" s="26" t="s">
        <v>84</v>
      </c>
      <c r="O974" s="26" t="s">
        <v>49</v>
      </c>
      <c r="P974" s="26" t="s">
        <v>426</v>
      </c>
      <c r="Q974" s="47">
        <f t="shared" si="117"/>
        <v>41.122906629790251</v>
      </c>
      <c r="R974" s="47">
        <f t="shared" si="118"/>
        <v>372.82835389679042</v>
      </c>
    </row>
    <row r="975" spans="13:18" x14ac:dyDescent="0.15">
      <c r="M975" s="46">
        <v>2022</v>
      </c>
      <c r="N975" s="26" t="s">
        <v>84</v>
      </c>
      <c r="O975" s="26" t="s">
        <v>49</v>
      </c>
      <c r="P975" s="26" t="s">
        <v>428</v>
      </c>
      <c r="Q975" s="47">
        <f t="shared" si="117"/>
        <v>0</v>
      </c>
      <c r="R975" s="47">
        <f t="shared" si="118"/>
        <v>0</v>
      </c>
    </row>
    <row r="976" spans="13:18" x14ac:dyDescent="0.15">
      <c r="M976" s="46">
        <v>2022</v>
      </c>
      <c r="N976" s="26" t="s">
        <v>84</v>
      </c>
      <c r="O976" s="26" t="s">
        <v>49</v>
      </c>
      <c r="P976" s="26" t="s">
        <v>429</v>
      </c>
      <c r="Q976" s="47">
        <f t="shared" si="117"/>
        <v>0</v>
      </c>
      <c r="R976" s="47">
        <f t="shared" si="118"/>
        <v>0</v>
      </c>
    </row>
    <row r="977" spans="13:18" x14ac:dyDescent="0.15">
      <c r="M977" s="46">
        <v>2022</v>
      </c>
      <c r="N977" s="26" t="s">
        <v>84</v>
      </c>
      <c r="O977" s="26" t="s">
        <v>49</v>
      </c>
      <c r="P977" s="26" t="s">
        <v>430</v>
      </c>
      <c r="Q977" s="47">
        <f t="shared" si="117"/>
        <v>0</v>
      </c>
      <c r="R977" s="47">
        <f t="shared" si="118"/>
        <v>0</v>
      </c>
    </row>
    <row r="978" spans="13:18" x14ac:dyDescent="0.15">
      <c r="M978" s="46">
        <v>2022</v>
      </c>
      <c r="N978" s="26" t="s">
        <v>84</v>
      </c>
      <c r="O978" s="26" t="s">
        <v>51</v>
      </c>
      <c r="P978" s="26" t="s">
        <v>426</v>
      </c>
      <c r="Q978" s="47">
        <f t="shared" si="117"/>
        <v>35.603632154706709</v>
      </c>
      <c r="R978" s="47">
        <f t="shared" si="118"/>
        <v>322.78952673472156</v>
      </c>
    </row>
    <row r="979" spans="13:18" x14ac:dyDescent="0.15">
      <c r="M979" s="46">
        <v>2022</v>
      </c>
      <c r="N979" s="26" t="s">
        <v>84</v>
      </c>
      <c r="O979" s="26" t="s">
        <v>51</v>
      </c>
      <c r="P979" s="26" t="s">
        <v>428</v>
      </c>
      <c r="Q979" s="47">
        <f t="shared" si="117"/>
        <v>0</v>
      </c>
      <c r="R979" s="47">
        <f t="shared" si="118"/>
        <v>0</v>
      </c>
    </row>
    <row r="980" spans="13:18" x14ac:dyDescent="0.15">
      <c r="M980" s="46">
        <v>2022</v>
      </c>
      <c r="N980" s="26" t="s">
        <v>84</v>
      </c>
      <c r="O980" s="26" t="s">
        <v>51</v>
      </c>
      <c r="P980" s="26" t="s">
        <v>429</v>
      </c>
      <c r="Q980" s="47">
        <f t="shared" si="117"/>
        <v>0</v>
      </c>
      <c r="R980" s="47">
        <f t="shared" si="118"/>
        <v>0</v>
      </c>
    </row>
    <row r="981" spans="13:18" x14ac:dyDescent="0.15">
      <c r="M981" s="46">
        <v>2022</v>
      </c>
      <c r="N981" s="26" t="s">
        <v>84</v>
      </c>
      <c r="O981" s="26" t="s">
        <v>51</v>
      </c>
      <c r="P981" s="26" t="s">
        <v>430</v>
      </c>
      <c r="Q981" s="47">
        <f t="shared" si="117"/>
        <v>0</v>
      </c>
      <c r="R981" s="47">
        <f t="shared" si="118"/>
        <v>0</v>
      </c>
    </row>
    <row r="982" spans="13:18" x14ac:dyDescent="0.15">
      <c r="M982" s="46">
        <v>2022</v>
      </c>
      <c r="N982" s="26" t="s">
        <v>418</v>
      </c>
      <c r="O982" s="26" t="s">
        <v>34</v>
      </c>
      <c r="P982" s="26" t="s">
        <v>426</v>
      </c>
      <c r="Q982" s="47">
        <f t="shared" si="117"/>
        <v>0</v>
      </c>
      <c r="R982" s="47">
        <f t="shared" si="118"/>
        <v>0</v>
      </c>
    </row>
    <row r="983" spans="13:18" x14ac:dyDescent="0.15">
      <c r="M983" s="46">
        <v>2022</v>
      </c>
      <c r="N983" s="26" t="s">
        <v>418</v>
      </c>
      <c r="O983" s="26" t="s">
        <v>34</v>
      </c>
      <c r="P983" s="26" t="s">
        <v>428</v>
      </c>
      <c r="Q983" s="47">
        <f t="shared" si="117"/>
        <v>0</v>
      </c>
      <c r="R983" s="47">
        <f t="shared" si="118"/>
        <v>0</v>
      </c>
    </row>
    <row r="984" spans="13:18" x14ac:dyDescent="0.15">
      <c r="M984" s="46">
        <v>2022</v>
      </c>
      <c r="N984" s="26" t="s">
        <v>418</v>
      </c>
      <c r="O984" s="26" t="s">
        <v>34</v>
      </c>
      <c r="P984" s="26" t="s">
        <v>429</v>
      </c>
      <c r="Q984" s="47">
        <f t="shared" si="117"/>
        <v>0</v>
      </c>
      <c r="R984" s="47">
        <f t="shared" si="118"/>
        <v>0</v>
      </c>
    </row>
    <row r="985" spans="13:18" x14ac:dyDescent="0.15">
      <c r="M985" s="46">
        <v>2022</v>
      </c>
      <c r="N985" s="26" t="s">
        <v>418</v>
      </c>
      <c r="O985" s="26" t="s">
        <v>34</v>
      </c>
      <c r="P985" s="26" t="s">
        <v>430</v>
      </c>
      <c r="Q985" s="47">
        <f t="shared" si="117"/>
        <v>1.9727519133436637</v>
      </c>
      <c r="R985" s="47">
        <f t="shared" si="118"/>
        <v>13.151679422291092</v>
      </c>
    </row>
    <row r="986" spans="13:18" x14ac:dyDescent="0.15">
      <c r="M986" s="46">
        <v>2022</v>
      </c>
      <c r="N986" s="26" t="s">
        <v>418</v>
      </c>
      <c r="O986" s="26" t="s">
        <v>35</v>
      </c>
      <c r="P986" s="26" t="s">
        <v>426</v>
      </c>
      <c r="Q986" s="47">
        <f t="shared" si="117"/>
        <v>0</v>
      </c>
      <c r="R986" s="47">
        <f t="shared" si="118"/>
        <v>0</v>
      </c>
    </row>
    <row r="987" spans="13:18" x14ac:dyDescent="0.15">
      <c r="M987" s="46">
        <v>2022</v>
      </c>
      <c r="N987" s="26" t="s">
        <v>418</v>
      </c>
      <c r="O987" s="26" t="s">
        <v>35</v>
      </c>
      <c r="P987" s="26" t="s">
        <v>428</v>
      </c>
      <c r="Q987" s="47">
        <f t="shared" si="117"/>
        <v>0</v>
      </c>
      <c r="R987" s="47">
        <f t="shared" si="118"/>
        <v>0</v>
      </c>
    </row>
    <row r="988" spans="13:18" x14ac:dyDescent="0.15">
      <c r="M988" s="46">
        <v>2022</v>
      </c>
      <c r="N988" s="26" t="s">
        <v>418</v>
      </c>
      <c r="O988" s="26" t="s">
        <v>35</v>
      </c>
      <c r="P988" s="26" t="s">
        <v>429</v>
      </c>
      <c r="Q988" s="47">
        <f t="shared" si="117"/>
        <v>0</v>
      </c>
      <c r="R988" s="47">
        <f t="shared" si="118"/>
        <v>0</v>
      </c>
    </row>
    <row r="989" spans="13:18" x14ac:dyDescent="0.15">
      <c r="M989" s="46">
        <v>2022</v>
      </c>
      <c r="N989" s="26" t="s">
        <v>418</v>
      </c>
      <c r="O989" s="26" t="s">
        <v>35</v>
      </c>
      <c r="P989" s="26" t="s">
        <v>430</v>
      </c>
      <c r="Q989" s="47">
        <f t="shared" si="117"/>
        <v>2.3723923412246495</v>
      </c>
      <c r="R989" s="47">
        <f t="shared" si="118"/>
        <v>15.815948941497666</v>
      </c>
    </row>
    <row r="990" spans="13:18" x14ac:dyDescent="0.15">
      <c r="M990" s="46">
        <v>2022</v>
      </c>
      <c r="N990" s="26" t="s">
        <v>418</v>
      </c>
      <c r="O990" s="26" t="s">
        <v>36</v>
      </c>
      <c r="P990" s="26" t="s">
        <v>426</v>
      </c>
      <c r="Q990" s="47">
        <f t="shared" si="117"/>
        <v>0</v>
      </c>
      <c r="R990" s="47">
        <f t="shared" si="118"/>
        <v>0</v>
      </c>
    </row>
    <row r="991" spans="13:18" x14ac:dyDescent="0.15">
      <c r="M991" s="46">
        <v>2022</v>
      </c>
      <c r="N991" s="26" t="s">
        <v>418</v>
      </c>
      <c r="O991" s="26" t="s">
        <v>36</v>
      </c>
      <c r="P991" s="26" t="s">
        <v>428</v>
      </c>
      <c r="Q991" s="47">
        <f t="shared" si="117"/>
        <v>0</v>
      </c>
      <c r="R991" s="47">
        <f t="shared" si="118"/>
        <v>0</v>
      </c>
    </row>
    <row r="992" spans="13:18" x14ac:dyDescent="0.15">
      <c r="M992" s="46">
        <v>2022</v>
      </c>
      <c r="N992" s="26" t="s">
        <v>418</v>
      </c>
      <c r="O992" s="26" t="s">
        <v>36</v>
      </c>
      <c r="P992" s="26" t="s">
        <v>429</v>
      </c>
      <c r="Q992" s="47">
        <f t="shared" si="117"/>
        <v>0</v>
      </c>
      <c r="R992" s="47">
        <f t="shared" si="118"/>
        <v>0</v>
      </c>
    </row>
    <row r="993" spans="13:18" x14ac:dyDescent="0.15">
      <c r="M993" s="46">
        <v>2022</v>
      </c>
      <c r="N993" s="26" t="s">
        <v>418</v>
      </c>
      <c r="O993" s="26" t="s">
        <v>36</v>
      </c>
      <c r="P993" s="26" t="s">
        <v>430</v>
      </c>
      <c r="Q993" s="47">
        <f t="shared" si="117"/>
        <v>0.87274961178747668</v>
      </c>
      <c r="R993" s="47">
        <f t="shared" si="118"/>
        <v>5.8183307452498445</v>
      </c>
    </row>
    <row r="994" spans="13:18" x14ac:dyDescent="0.15">
      <c r="M994" s="46">
        <v>2022</v>
      </c>
      <c r="N994" s="26" t="s">
        <v>418</v>
      </c>
      <c r="O994" s="26" t="s">
        <v>422</v>
      </c>
      <c r="P994" s="26" t="s">
        <v>426</v>
      </c>
      <c r="Q994" s="47">
        <f t="shared" si="117"/>
        <v>0</v>
      </c>
      <c r="R994" s="47">
        <f t="shared" si="118"/>
        <v>0</v>
      </c>
    </row>
    <row r="995" spans="13:18" x14ac:dyDescent="0.15">
      <c r="M995" s="46">
        <v>2022</v>
      </c>
      <c r="N995" s="26" t="s">
        <v>418</v>
      </c>
      <c r="O995" s="26" t="s">
        <v>422</v>
      </c>
      <c r="P995" s="26" t="s">
        <v>428</v>
      </c>
      <c r="Q995" s="47">
        <f t="shared" si="117"/>
        <v>0</v>
      </c>
      <c r="R995" s="47">
        <f t="shared" si="118"/>
        <v>0</v>
      </c>
    </row>
    <row r="996" spans="13:18" x14ac:dyDescent="0.15">
      <c r="M996" s="46">
        <v>2022</v>
      </c>
      <c r="N996" s="26" t="s">
        <v>418</v>
      </c>
      <c r="O996" s="26" t="s">
        <v>422</v>
      </c>
      <c r="P996" s="26" t="s">
        <v>429</v>
      </c>
      <c r="Q996" s="47">
        <f t="shared" si="117"/>
        <v>0</v>
      </c>
      <c r="R996" s="47">
        <f t="shared" si="118"/>
        <v>0</v>
      </c>
    </row>
    <row r="997" spans="13:18" x14ac:dyDescent="0.15">
      <c r="M997" s="46">
        <v>2022</v>
      </c>
      <c r="N997" s="26" t="s">
        <v>418</v>
      </c>
      <c r="O997" s="26" t="s">
        <v>422</v>
      </c>
      <c r="P997" s="26" t="s">
        <v>430</v>
      </c>
      <c r="Q997" s="47">
        <f t="shared" si="117"/>
        <v>0.67061083582663417</v>
      </c>
      <c r="R997" s="47">
        <f t="shared" si="118"/>
        <v>4.4707389055108946</v>
      </c>
    </row>
    <row r="998" spans="13:18" x14ac:dyDescent="0.15">
      <c r="M998" s="46">
        <v>2022</v>
      </c>
      <c r="N998" s="26" t="s">
        <v>418</v>
      </c>
      <c r="O998" s="26" t="s">
        <v>41</v>
      </c>
      <c r="P998" s="26" t="s">
        <v>426</v>
      </c>
      <c r="Q998" s="47">
        <f t="shared" si="117"/>
        <v>0</v>
      </c>
      <c r="R998" s="47">
        <f t="shared" si="118"/>
        <v>0</v>
      </c>
    </row>
    <row r="999" spans="13:18" x14ac:dyDescent="0.15">
      <c r="M999" s="46">
        <v>2022</v>
      </c>
      <c r="N999" s="26" t="s">
        <v>418</v>
      </c>
      <c r="O999" s="26" t="s">
        <v>41</v>
      </c>
      <c r="P999" s="26" t="s">
        <v>428</v>
      </c>
      <c r="Q999" s="47">
        <f t="shared" si="117"/>
        <v>0</v>
      </c>
      <c r="R999" s="47">
        <f t="shared" si="118"/>
        <v>0</v>
      </c>
    </row>
    <row r="1000" spans="13:18" x14ac:dyDescent="0.15">
      <c r="M1000" s="46">
        <v>2022</v>
      </c>
      <c r="N1000" s="26" t="s">
        <v>418</v>
      </c>
      <c r="O1000" s="26" t="s">
        <v>41</v>
      </c>
      <c r="P1000" s="26" t="s">
        <v>429</v>
      </c>
      <c r="Q1000" s="47">
        <f t="shared" si="117"/>
        <v>0</v>
      </c>
      <c r="R1000" s="47">
        <f t="shared" si="118"/>
        <v>0</v>
      </c>
    </row>
    <row r="1001" spans="13:18" x14ac:dyDescent="0.15">
      <c r="M1001" s="46">
        <v>2022</v>
      </c>
      <c r="N1001" s="26" t="s">
        <v>418</v>
      </c>
      <c r="O1001" s="26" t="s">
        <v>41</v>
      </c>
      <c r="P1001" s="26" t="s">
        <v>430</v>
      </c>
      <c r="Q1001" s="47">
        <f t="shared" si="117"/>
        <v>14.242873902071713</v>
      </c>
      <c r="R1001" s="47">
        <f t="shared" si="118"/>
        <v>94.952492680478088</v>
      </c>
    </row>
    <row r="1002" spans="13:18" x14ac:dyDescent="0.15">
      <c r="M1002" s="46">
        <v>2022</v>
      </c>
      <c r="N1002" s="26" t="s">
        <v>418</v>
      </c>
      <c r="O1002" s="26" t="s">
        <v>45</v>
      </c>
      <c r="P1002" s="26" t="s">
        <v>426</v>
      </c>
      <c r="Q1002" s="47">
        <f t="shared" si="117"/>
        <v>0</v>
      </c>
      <c r="R1002" s="47">
        <f t="shared" si="118"/>
        <v>0</v>
      </c>
    </row>
    <row r="1003" spans="13:18" x14ac:dyDescent="0.15">
      <c r="M1003" s="46">
        <v>2022</v>
      </c>
      <c r="N1003" s="26" t="s">
        <v>418</v>
      </c>
      <c r="O1003" s="26" t="s">
        <v>45</v>
      </c>
      <c r="P1003" s="26" t="s">
        <v>428</v>
      </c>
      <c r="Q1003" s="47">
        <f t="shared" si="117"/>
        <v>0</v>
      </c>
      <c r="R1003" s="47">
        <f t="shared" si="118"/>
        <v>0</v>
      </c>
    </row>
    <row r="1004" spans="13:18" x14ac:dyDescent="0.15">
      <c r="M1004" s="46">
        <v>2022</v>
      </c>
      <c r="N1004" s="26" t="s">
        <v>418</v>
      </c>
      <c r="O1004" s="26" t="s">
        <v>45</v>
      </c>
      <c r="P1004" s="26" t="s">
        <v>429</v>
      </c>
      <c r="Q1004" s="47">
        <f t="shared" si="117"/>
        <v>0</v>
      </c>
      <c r="R1004" s="47">
        <f t="shared" si="118"/>
        <v>0</v>
      </c>
    </row>
    <row r="1005" spans="13:18" x14ac:dyDescent="0.15">
      <c r="M1005" s="46">
        <v>2022</v>
      </c>
      <c r="N1005" s="26" t="s">
        <v>418</v>
      </c>
      <c r="O1005" s="26" t="s">
        <v>45</v>
      </c>
      <c r="P1005" s="26" t="s">
        <v>430</v>
      </c>
      <c r="Q1005" s="47">
        <f t="shared" si="117"/>
        <v>22.828086007272198</v>
      </c>
      <c r="R1005" s="47">
        <f t="shared" si="118"/>
        <v>152.18724004848133</v>
      </c>
    </row>
    <row r="1006" spans="13:18" x14ac:dyDescent="0.15">
      <c r="M1006" s="46">
        <v>2022</v>
      </c>
      <c r="N1006" s="26" t="s">
        <v>418</v>
      </c>
      <c r="O1006" s="26" t="s">
        <v>408</v>
      </c>
      <c r="P1006" s="26" t="s">
        <v>426</v>
      </c>
      <c r="Q1006" s="47">
        <f t="shared" si="117"/>
        <v>0</v>
      </c>
      <c r="R1006" s="47">
        <f t="shared" si="118"/>
        <v>0</v>
      </c>
    </row>
    <row r="1007" spans="13:18" x14ac:dyDescent="0.15">
      <c r="M1007" s="46">
        <v>2022</v>
      </c>
      <c r="N1007" s="26" t="s">
        <v>418</v>
      </c>
      <c r="O1007" s="26" t="s">
        <v>408</v>
      </c>
      <c r="P1007" s="26" t="s">
        <v>428</v>
      </c>
      <c r="Q1007" s="47">
        <f t="shared" si="117"/>
        <v>0</v>
      </c>
      <c r="R1007" s="47">
        <f t="shared" si="118"/>
        <v>0</v>
      </c>
    </row>
    <row r="1008" spans="13:18" x14ac:dyDescent="0.15">
      <c r="M1008" s="46">
        <v>2022</v>
      </c>
      <c r="N1008" s="26" t="s">
        <v>418</v>
      </c>
      <c r="O1008" s="26" t="s">
        <v>408</v>
      </c>
      <c r="P1008" s="26" t="s">
        <v>429</v>
      </c>
      <c r="Q1008" s="47">
        <f t="shared" si="117"/>
        <v>0</v>
      </c>
      <c r="R1008" s="47">
        <f t="shared" si="118"/>
        <v>0</v>
      </c>
    </row>
    <row r="1009" spans="13:18" x14ac:dyDescent="0.15">
      <c r="M1009" s="46">
        <v>2022</v>
      </c>
      <c r="N1009" s="26" t="s">
        <v>418</v>
      </c>
      <c r="O1009" s="26" t="s">
        <v>408</v>
      </c>
      <c r="P1009" s="26" t="s">
        <v>430</v>
      </c>
      <c r="Q1009" s="47">
        <f t="shared" si="117"/>
        <v>0.46257351205159514</v>
      </c>
      <c r="R1009" s="47">
        <f t="shared" si="118"/>
        <v>3.0838234136773011</v>
      </c>
    </row>
    <row r="1010" spans="13:18" x14ac:dyDescent="0.15">
      <c r="M1010" s="46">
        <v>2022</v>
      </c>
      <c r="N1010" s="26" t="s">
        <v>423</v>
      </c>
      <c r="O1010" s="26" t="s">
        <v>40</v>
      </c>
      <c r="P1010" s="26" t="s">
        <v>426</v>
      </c>
      <c r="Q1010" s="47">
        <f t="shared" si="117"/>
        <v>0</v>
      </c>
      <c r="R1010" s="47">
        <f t="shared" si="118"/>
        <v>0</v>
      </c>
    </row>
    <row r="1011" spans="13:18" x14ac:dyDescent="0.15">
      <c r="M1011" s="46">
        <v>2022</v>
      </c>
      <c r="N1011" s="26" t="s">
        <v>423</v>
      </c>
      <c r="O1011" s="26" t="s">
        <v>40</v>
      </c>
      <c r="P1011" s="26" t="s">
        <v>428</v>
      </c>
      <c r="Q1011" s="47">
        <f t="shared" si="117"/>
        <v>0</v>
      </c>
      <c r="R1011" s="47">
        <f t="shared" si="118"/>
        <v>0</v>
      </c>
    </row>
    <row r="1012" spans="13:18" x14ac:dyDescent="0.15">
      <c r="M1012" s="46">
        <v>2022</v>
      </c>
      <c r="N1012" s="26" t="s">
        <v>423</v>
      </c>
      <c r="O1012" s="26" t="s">
        <v>40</v>
      </c>
      <c r="P1012" s="26" t="s">
        <v>429</v>
      </c>
      <c r="Q1012" s="47">
        <f t="shared" si="117"/>
        <v>0</v>
      </c>
      <c r="R1012" s="47">
        <f t="shared" si="118"/>
        <v>0</v>
      </c>
    </row>
    <row r="1013" spans="13:18" x14ac:dyDescent="0.15">
      <c r="M1013" s="46">
        <v>2022</v>
      </c>
      <c r="N1013" s="26" t="s">
        <v>423</v>
      </c>
      <c r="O1013" s="26" t="s">
        <v>40</v>
      </c>
      <c r="P1013" s="26" t="s">
        <v>430</v>
      </c>
      <c r="Q1013" s="47">
        <f t="shared" si="117"/>
        <v>5.7350681553087934</v>
      </c>
      <c r="R1013" s="47">
        <f t="shared" si="118"/>
        <v>11.470136310617587</v>
      </c>
    </row>
    <row r="1014" spans="13:18" x14ac:dyDescent="0.15">
      <c r="M1014" s="46">
        <v>2022</v>
      </c>
      <c r="N1014" s="26" t="s">
        <v>423</v>
      </c>
      <c r="O1014" s="26" t="s">
        <v>45</v>
      </c>
      <c r="P1014" s="26" t="s">
        <v>426</v>
      </c>
      <c r="Q1014" s="47">
        <f t="shared" si="117"/>
        <v>0</v>
      </c>
      <c r="R1014" s="47">
        <f t="shared" si="118"/>
        <v>0</v>
      </c>
    </row>
    <row r="1015" spans="13:18" x14ac:dyDescent="0.15">
      <c r="M1015" s="46">
        <v>2022</v>
      </c>
      <c r="N1015" s="26" t="s">
        <v>423</v>
      </c>
      <c r="O1015" s="26" t="s">
        <v>45</v>
      </c>
      <c r="P1015" s="26" t="s">
        <v>428</v>
      </c>
      <c r="Q1015" s="47">
        <f t="shared" si="117"/>
        <v>0</v>
      </c>
      <c r="R1015" s="47">
        <f t="shared" si="118"/>
        <v>0</v>
      </c>
    </row>
    <row r="1016" spans="13:18" x14ac:dyDescent="0.15">
      <c r="M1016" s="46">
        <v>2022</v>
      </c>
      <c r="N1016" s="26" t="s">
        <v>423</v>
      </c>
      <c r="O1016" s="26" t="s">
        <v>45</v>
      </c>
      <c r="P1016" s="26" t="s">
        <v>429</v>
      </c>
      <c r="Q1016" s="47">
        <f t="shared" si="117"/>
        <v>0</v>
      </c>
      <c r="R1016" s="47">
        <f t="shared" si="118"/>
        <v>0</v>
      </c>
    </row>
    <row r="1017" spans="13:18" x14ac:dyDescent="0.15">
      <c r="M1017" s="46">
        <v>2022</v>
      </c>
      <c r="N1017" s="26" t="s">
        <v>423</v>
      </c>
      <c r="O1017" s="26" t="s">
        <v>45</v>
      </c>
      <c r="P1017" s="26" t="s">
        <v>430</v>
      </c>
      <c r="Q1017" s="47">
        <f t="shared" si="117"/>
        <v>2.6205436567756557</v>
      </c>
      <c r="R1017" s="47">
        <f t="shared" si="118"/>
        <v>5.2410873135513114</v>
      </c>
    </row>
    <row r="1018" spans="13:18" x14ac:dyDescent="0.15">
      <c r="M1018" s="46">
        <v>2022</v>
      </c>
      <c r="N1018" s="26" t="s">
        <v>423</v>
      </c>
      <c r="O1018" s="26" t="s">
        <v>393</v>
      </c>
      <c r="P1018" s="26" t="s">
        <v>426</v>
      </c>
      <c r="Q1018" s="47">
        <f t="shared" si="117"/>
        <v>0</v>
      </c>
      <c r="R1018" s="47">
        <f t="shared" si="118"/>
        <v>0</v>
      </c>
    </row>
    <row r="1019" spans="13:18" x14ac:dyDescent="0.15">
      <c r="M1019" s="46">
        <v>2022</v>
      </c>
      <c r="N1019" s="26" t="s">
        <v>423</v>
      </c>
      <c r="O1019" s="26" t="s">
        <v>393</v>
      </c>
      <c r="P1019" s="26" t="s">
        <v>428</v>
      </c>
      <c r="Q1019" s="47">
        <f t="shared" si="117"/>
        <v>0</v>
      </c>
      <c r="R1019" s="47">
        <f t="shared" si="118"/>
        <v>0</v>
      </c>
    </row>
    <row r="1020" spans="13:18" x14ac:dyDescent="0.15">
      <c r="M1020" s="46">
        <v>2022</v>
      </c>
      <c r="N1020" s="26" t="s">
        <v>423</v>
      </c>
      <c r="O1020" s="26" t="s">
        <v>393</v>
      </c>
      <c r="P1020" s="26" t="s">
        <v>429</v>
      </c>
      <c r="Q1020" s="47">
        <f t="shared" si="117"/>
        <v>0</v>
      </c>
      <c r="R1020" s="47">
        <f t="shared" si="118"/>
        <v>0</v>
      </c>
    </row>
    <row r="1021" spans="13:18" x14ac:dyDescent="0.15">
      <c r="M1021" s="46">
        <v>2022</v>
      </c>
      <c r="N1021" s="26" t="s">
        <v>423</v>
      </c>
      <c r="O1021" s="26" t="s">
        <v>393</v>
      </c>
      <c r="P1021" s="26" t="s">
        <v>430</v>
      </c>
      <c r="Q1021" s="47">
        <f t="shared" si="117"/>
        <v>0.17385108819250811</v>
      </c>
      <c r="R1021" s="47">
        <f t="shared" si="118"/>
        <v>0.34770217638501622</v>
      </c>
    </row>
    <row r="1022" spans="13:18" x14ac:dyDescent="0.15">
      <c r="M1022" s="46">
        <v>2022</v>
      </c>
      <c r="N1022" s="26" t="s">
        <v>423</v>
      </c>
      <c r="O1022" s="26" t="s">
        <v>37</v>
      </c>
      <c r="P1022" s="26" t="s">
        <v>426</v>
      </c>
      <c r="Q1022" s="47">
        <f t="shared" si="117"/>
        <v>0</v>
      </c>
      <c r="R1022" s="47">
        <f t="shared" si="118"/>
        <v>0</v>
      </c>
    </row>
    <row r="1023" spans="13:18" x14ac:dyDescent="0.15">
      <c r="M1023" s="46">
        <v>2022</v>
      </c>
      <c r="N1023" s="26" t="s">
        <v>423</v>
      </c>
      <c r="O1023" s="26" t="s">
        <v>37</v>
      </c>
      <c r="P1023" s="26" t="s">
        <v>428</v>
      </c>
      <c r="Q1023" s="47">
        <f t="shared" si="117"/>
        <v>0</v>
      </c>
      <c r="R1023" s="47">
        <f t="shared" si="118"/>
        <v>0</v>
      </c>
    </row>
    <row r="1024" spans="13:18" x14ac:dyDescent="0.15">
      <c r="M1024" s="46">
        <v>2022</v>
      </c>
      <c r="N1024" s="26" t="s">
        <v>423</v>
      </c>
      <c r="O1024" s="26" t="s">
        <v>37</v>
      </c>
      <c r="P1024" s="26" t="s">
        <v>429</v>
      </c>
      <c r="Q1024" s="47">
        <f t="shared" si="117"/>
        <v>0</v>
      </c>
      <c r="R1024" s="47">
        <f t="shared" si="118"/>
        <v>0</v>
      </c>
    </row>
    <row r="1025" spans="13:18" x14ac:dyDescent="0.15">
      <c r="M1025" s="46">
        <v>2022</v>
      </c>
      <c r="N1025" s="26" t="s">
        <v>423</v>
      </c>
      <c r="O1025" s="26" t="s">
        <v>37</v>
      </c>
      <c r="P1025" s="26" t="s">
        <v>430</v>
      </c>
      <c r="Q1025" s="47">
        <f t="shared" si="117"/>
        <v>0.17460069749837787</v>
      </c>
      <c r="R1025" s="47">
        <f t="shared" si="118"/>
        <v>0.34920139499675573</v>
      </c>
    </row>
    <row r="1026" spans="13:18" x14ac:dyDescent="0.15">
      <c r="M1026" s="46">
        <v>2022</v>
      </c>
      <c r="N1026" s="26" t="s">
        <v>399</v>
      </c>
      <c r="O1026" s="26" t="s">
        <v>34</v>
      </c>
      <c r="P1026" s="26" t="s">
        <v>426</v>
      </c>
      <c r="Q1026" s="47">
        <f t="shared" ref="Q1026:Q1089" si="119">SUMIFS(D:D,B:B,N1026,C:C,P1026,A:A,M1026)*SUMIFS(K:K,G:G,N1026,I:I,O1026)</f>
        <v>0</v>
      </c>
      <c r="R1026" s="47">
        <f t="shared" ref="R1026:R1089" si="120">SUMIFS(E:E,B:B,N1026,C:C,P1026,A:A,M1026)*SUMIFS(K:K,G:G,N1026,I:I,O1026)</f>
        <v>0</v>
      </c>
    </row>
    <row r="1027" spans="13:18" x14ac:dyDescent="0.15">
      <c r="M1027" s="46">
        <v>2022</v>
      </c>
      <c r="N1027" s="26" t="s">
        <v>399</v>
      </c>
      <c r="O1027" s="26" t="s">
        <v>34</v>
      </c>
      <c r="P1027" s="26" t="s">
        <v>428</v>
      </c>
      <c r="Q1027" s="47">
        <f t="shared" si="119"/>
        <v>0</v>
      </c>
      <c r="R1027" s="47">
        <f t="shared" si="120"/>
        <v>0</v>
      </c>
    </row>
    <row r="1028" spans="13:18" x14ac:dyDescent="0.15">
      <c r="M1028" s="46">
        <v>2022</v>
      </c>
      <c r="N1028" s="26" t="s">
        <v>399</v>
      </c>
      <c r="O1028" s="26" t="s">
        <v>34</v>
      </c>
      <c r="P1028" s="26" t="s">
        <v>429</v>
      </c>
      <c r="Q1028" s="47">
        <f t="shared" si="119"/>
        <v>0</v>
      </c>
      <c r="R1028" s="47">
        <f t="shared" si="120"/>
        <v>0</v>
      </c>
    </row>
    <row r="1029" spans="13:18" x14ac:dyDescent="0.15">
      <c r="M1029" s="46">
        <v>2022</v>
      </c>
      <c r="N1029" s="26" t="s">
        <v>399</v>
      </c>
      <c r="O1029" s="26" t="s">
        <v>34</v>
      </c>
      <c r="P1029" s="26" t="s">
        <v>430</v>
      </c>
      <c r="Q1029" s="47">
        <f t="shared" si="119"/>
        <v>0.93962787843907214</v>
      </c>
      <c r="R1029" s="47">
        <f t="shared" si="120"/>
        <v>7.7478088222169106</v>
      </c>
    </row>
    <row r="1030" spans="13:18" x14ac:dyDescent="0.15">
      <c r="M1030" s="46">
        <v>2022</v>
      </c>
      <c r="N1030" s="26" t="s">
        <v>399</v>
      </c>
      <c r="O1030" s="26" t="s">
        <v>35</v>
      </c>
      <c r="P1030" s="26" t="s">
        <v>426</v>
      </c>
      <c r="Q1030" s="47">
        <f t="shared" si="119"/>
        <v>0</v>
      </c>
      <c r="R1030" s="47">
        <f t="shared" si="120"/>
        <v>0</v>
      </c>
    </row>
    <row r="1031" spans="13:18" x14ac:dyDescent="0.15">
      <c r="M1031" s="46">
        <v>2022</v>
      </c>
      <c r="N1031" s="26" t="s">
        <v>399</v>
      </c>
      <c r="O1031" s="26" t="s">
        <v>35</v>
      </c>
      <c r="P1031" s="26" t="s">
        <v>428</v>
      </c>
      <c r="Q1031" s="47">
        <f t="shared" si="119"/>
        <v>0</v>
      </c>
      <c r="R1031" s="47">
        <f t="shared" si="120"/>
        <v>0</v>
      </c>
    </row>
    <row r="1032" spans="13:18" x14ac:dyDescent="0.15">
      <c r="M1032" s="46">
        <v>2022</v>
      </c>
      <c r="N1032" s="26" t="s">
        <v>399</v>
      </c>
      <c r="O1032" s="26" t="s">
        <v>35</v>
      </c>
      <c r="P1032" s="26" t="s">
        <v>429</v>
      </c>
      <c r="Q1032" s="47">
        <f t="shared" si="119"/>
        <v>0</v>
      </c>
      <c r="R1032" s="47">
        <f t="shared" si="120"/>
        <v>0</v>
      </c>
    </row>
    <row r="1033" spans="13:18" x14ac:dyDescent="0.15">
      <c r="M1033" s="46">
        <v>2022</v>
      </c>
      <c r="N1033" s="26" t="s">
        <v>399</v>
      </c>
      <c r="O1033" s="26" t="s">
        <v>35</v>
      </c>
      <c r="P1033" s="26" t="s">
        <v>430</v>
      </c>
      <c r="Q1033" s="47">
        <f t="shared" si="119"/>
        <v>1.1299778585092106</v>
      </c>
      <c r="R1033" s="47">
        <f t="shared" si="120"/>
        <v>9.3173612894619122</v>
      </c>
    </row>
    <row r="1034" spans="13:18" x14ac:dyDescent="0.15">
      <c r="M1034" s="46">
        <v>2022</v>
      </c>
      <c r="N1034" s="26" t="s">
        <v>399</v>
      </c>
      <c r="O1034" s="26" t="s">
        <v>36</v>
      </c>
      <c r="P1034" s="26" t="s">
        <v>426</v>
      </c>
      <c r="Q1034" s="47">
        <f t="shared" si="119"/>
        <v>0</v>
      </c>
      <c r="R1034" s="47">
        <f t="shared" si="120"/>
        <v>0</v>
      </c>
    </row>
    <row r="1035" spans="13:18" x14ac:dyDescent="0.15">
      <c r="M1035" s="46">
        <v>2022</v>
      </c>
      <c r="N1035" s="26" t="s">
        <v>399</v>
      </c>
      <c r="O1035" s="26" t="s">
        <v>36</v>
      </c>
      <c r="P1035" s="26" t="s">
        <v>428</v>
      </c>
      <c r="Q1035" s="47">
        <f t="shared" si="119"/>
        <v>0</v>
      </c>
      <c r="R1035" s="47">
        <f t="shared" si="120"/>
        <v>0</v>
      </c>
    </row>
    <row r="1036" spans="13:18" x14ac:dyDescent="0.15">
      <c r="M1036" s="46">
        <v>2022</v>
      </c>
      <c r="N1036" s="26" t="s">
        <v>399</v>
      </c>
      <c r="O1036" s="26" t="s">
        <v>36</v>
      </c>
      <c r="P1036" s="26" t="s">
        <v>429</v>
      </c>
      <c r="Q1036" s="47">
        <f t="shared" si="119"/>
        <v>0</v>
      </c>
      <c r="R1036" s="47">
        <f t="shared" si="120"/>
        <v>0</v>
      </c>
    </row>
    <row r="1037" spans="13:18" x14ac:dyDescent="0.15">
      <c r="M1037" s="46">
        <v>2022</v>
      </c>
      <c r="N1037" s="26" t="s">
        <v>399</v>
      </c>
      <c r="O1037" s="26" t="s">
        <v>36</v>
      </c>
      <c r="P1037" s="26" t="s">
        <v>430</v>
      </c>
      <c r="Q1037" s="47">
        <f t="shared" si="119"/>
        <v>0.41569335737834956</v>
      </c>
      <c r="R1037" s="47">
        <f t="shared" si="120"/>
        <v>3.4276469818916544</v>
      </c>
    </row>
    <row r="1038" spans="13:18" x14ac:dyDescent="0.15">
      <c r="M1038" s="46">
        <v>2022</v>
      </c>
      <c r="N1038" s="26" t="s">
        <v>399</v>
      </c>
      <c r="O1038" s="26" t="s">
        <v>422</v>
      </c>
      <c r="P1038" s="26" t="s">
        <v>426</v>
      </c>
      <c r="Q1038" s="47">
        <f t="shared" si="119"/>
        <v>0</v>
      </c>
      <c r="R1038" s="47">
        <f t="shared" si="120"/>
        <v>0</v>
      </c>
    </row>
    <row r="1039" spans="13:18" x14ac:dyDescent="0.15">
      <c r="M1039" s="46">
        <v>2022</v>
      </c>
      <c r="N1039" s="26" t="s">
        <v>399</v>
      </c>
      <c r="O1039" s="26" t="s">
        <v>422</v>
      </c>
      <c r="P1039" s="26" t="s">
        <v>428</v>
      </c>
      <c r="Q1039" s="47">
        <f t="shared" si="119"/>
        <v>0</v>
      </c>
      <c r="R1039" s="47">
        <f t="shared" si="120"/>
        <v>0</v>
      </c>
    </row>
    <row r="1040" spans="13:18" x14ac:dyDescent="0.15">
      <c r="M1040" s="46">
        <v>2022</v>
      </c>
      <c r="N1040" s="26" t="s">
        <v>399</v>
      </c>
      <c r="O1040" s="26" t="s">
        <v>422</v>
      </c>
      <c r="P1040" s="26" t="s">
        <v>429</v>
      </c>
      <c r="Q1040" s="47">
        <f t="shared" si="119"/>
        <v>0</v>
      </c>
      <c r="R1040" s="47">
        <f t="shared" si="120"/>
        <v>0</v>
      </c>
    </row>
    <row r="1041" spans="13:18" x14ac:dyDescent="0.15">
      <c r="M1041" s="46">
        <v>2022</v>
      </c>
      <c r="N1041" s="26" t="s">
        <v>399</v>
      </c>
      <c r="O1041" s="26" t="s">
        <v>422</v>
      </c>
      <c r="P1041" s="26" t="s">
        <v>430</v>
      </c>
      <c r="Q1041" s="47">
        <f t="shared" si="119"/>
        <v>0.3194140290342033</v>
      </c>
      <c r="R1041" s="47">
        <f t="shared" si="120"/>
        <v>2.633764800808343</v>
      </c>
    </row>
    <row r="1042" spans="13:18" x14ac:dyDescent="0.15">
      <c r="M1042" s="46">
        <v>2022</v>
      </c>
      <c r="N1042" s="26" t="s">
        <v>399</v>
      </c>
      <c r="O1042" s="26" t="s">
        <v>393</v>
      </c>
      <c r="P1042" s="26" t="s">
        <v>426</v>
      </c>
      <c r="Q1042" s="47">
        <f t="shared" si="119"/>
        <v>0</v>
      </c>
      <c r="R1042" s="47">
        <f t="shared" si="120"/>
        <v>0</v>
      </c>
    </row>
    <row r="1043" spans="13:18" x14ac:dyDescent="0.15">
      <c r="M1043" s="46">
        <v>2022</v>
      </c>
      <c r="N1043" s="26" t="s">
        <v>399</v>
      </c>
      <c r="O1043" s="26" t="s">
        <v>393</v>
      </c>
      <c r="P1043" s="26" t="s">
        <v>428</v>
      </c>
      <c r="Q1043" s="47">
        <f t="shared" si="119"/>
        <v>0</v>
      </c>
      <c r="R1043" s="47">
        <f t="shared" si="120"/>
        <v>0</v>
      </c>
    </row>
    <row r="1044" spans="13:18" x14ac:dyDescent="0.15">
      <c r="M1044" s="46">
        <v>2022</v>
      </c>
      <c r="N1044" s="26" t="s">
        <v>399</v>
      </c>
      <c r="O1044" s="26" t="s">
        <v>393</v>
      </c>
      <c r="P1044" s="26" t="s">
        <v>429</v>
      </c>
      <c r="Q1044" s="47">
        <f t="shared" si="119"/>
        <v>0</v>
      </c>
      <c r="R1044" s="47">
        <f t="shared" si="120"/>
        <v>0</v>
      </c>
    </row>
    <row r="1045" spans="13:18" x14ac:dyDescent="0.15">
      <c r="M1045" s="46">
        <v>2022</v>
      </c>
      <c r="N1045" s="26" t="s">
        <v>399</v>
      </c>
      <c r="O1045" s="26" t="s">
        <v>393</v>
      </c>
      <c r="P1045" s="26" t="s">
        <v>430</v>
      </c>
      <c r="Q1045" s="47">
        <f t="shared" si="119"/>
        <v>0.72133820492119893</v>
      </c>
      <c r="R1045" s="47">
        <f t="shared" si="120"/>
        <v>5.9478764265432194</v>
      </c>
    </row>
    <row r="1046" spans="13:18" x14ac:dyDescent="0.15">
      <c r="M1046" s="46">
        <v>2022</v>
      </c>
      <c r="N1046" s="26" t="s">
        <v>399</v>
      </c>
      <c r="O1046" s="26" t="s">
        <v>37</v>
      </c>
      <c r="P1046" s="26" t="s">
        <v>426</v>
      </c>
      <c r="Q1046" s="47">
        <f t="shared" si="119"/>
        <v>0</v>
      </c>
      <c r="R1046" s="47">
        <f t="shared" si="120"/>
        <v>0</v>
      </c>
    </row>
    <row r="1047" spans="13:18" x14ac:dyDescent="0.15">
      <c r="M1047" s="46">
        <v>2022</v>
      </c>
      <c r="N1047" s="26" t="s">
        <v>399</v>
      </c>
      <c r="O1047" s="26" t="s">
        <v>37</v>
      </c>
      <c r="P1047" s="26" t="s">
        <v>428</v>
      </c>
      <c r="Q1047" s="47">
        <f t="shared" si="119"/>
        <v>0</v>
      </c>
      <c r="R1047" s="47">
        <f t="shared" si="120"/>
        <v>0</v>
      </c>
    </row>
    <row r="1048" spans="13:18" x14ac:dyDescent="0.15">
      <c r="M1048" s="46">
        <v>2022</v>
      </c>
      <c r="N1048" s="26" t="s">
        <v>399</v>
      </c>
      <c r="O1048" s="26" t="s">
        <v>37</v>
      </c>
      <c r="P1048" s="26" t="s">
        <v>429</v>
      </c>
      <c r="Q1048" s="47">
        <f t="shared" si="119"/>
        <v>0</v>
      </c>
      <c r="R1048" s="47">
        <f t="shared" si="120"/>
        <v>0</v>
      </c>
    </row>
    <row r="1049" spans="13:18" x14ac:dyDescent="0.15">
      <c r="M1049" s="46">
        <v>2022</v>
      </c>
      <c r="N1049" s="26" t="s">
        <v>399</v>
      </c>
      <c r="O1049" s="26" t="s">
        <v>37</v>
      </c>
      <c r="P1049" s="26" t="s">
        <v>430</v>
      </c>
      <c r="Q1049" s="47">
        <f t="shared" si="119"/>
        <v>0.72444846345745606</v>
      </c>
      <c r="R1049" s="47">
        <f t="shared" si="120"/>
        <v>5.9735224179825321</v>
      </c>
    </row>
    <row r="1050" spans="13:18" x14ac:dyDescent="0.15">
      <c r="M1050" s="46">
        <v>2022</v>
      </c>
      <c r="N1050" s="26" t="s">
        <v>399</v>
      </c>
      <c r="O1050" s="26" t="s">
        <v>38</v>
      </c>
      <c r="P1050" s="26" t="s">
        <v>426</v>
      </c>
      <c r="Q1050" s="47">
        <f t="shared" si="119"/>
        <v>0</v>
      </c>
      <c r="R1050" s="47">
        <f t="shared" si="120"/>
        <v>0</v>
      </c>
    </row>
    <row r="1051" spans="13:18" x14ac:dyDescent="0.15">
      <c r="M1051" s="46">
        <v>2022</v>
      </c>
      <c r="N1051" s="26" t="s">
        <v>399</v>
      </c>
      <c r="O1051" s="26" t="s">
        <v>38</v>
      </c>
      <c r="P1051" s="26" t="s">
        <v>428</v>
      </c>
      <c r="Q1051" s="47">
        <f t="shared" si="119"/>
        <v>0</v>
      </c>
      <c r="R1051" s="47">
        <f t="shared" si="120"/>
        <v>0</v>
      </c>
    </row>
    <row r="1052" spans="13:18" x14ac:dyDescent="0.15">
      <c r="M1052" s="46">
        <v>2022</v>
      </c>
      <c r="N1052" s="26" t="s">
        <v>399</v>
      </c>
      <c r="O1052" s="26" t="s">
        <v>38</v>
      </c>
      <c r="P1052" s="26" t="s">
        <v>429</v>
      </c>
      <c r="Q1052" s="47">
        <f t="shared" si="119"/>
        <v>0</v>
      </c>
      <c r="R1052" s="47">
        <f t="shared" si="120"/>
        <v>0</v>
      </c>
    </row>
    <row r="1053" spans="13:18" x14ac:dyDescent="0.15">
      <c r="M1053" s="46">
        <v>2022</v>
      </c>
      <c r="N1053" s="26" t="s">
        <v>399</v>
      </c>
      <c r="O1053" s="26" t="s">
        <v>38</v>
      </c>
      <c r="P1053" s="26" t="s">
        <v>430</v>
      </c>
      <c r="Q1053" s="47">
        <f t="shared" si="119"/>
        <v>0.12858035274077759</v>
      </c>
      <c r="R1053" s="47">
        <f t="shared" si="120"/>
        <v>1.0602239611958852</v>
      </c>
    </row>
    <row r="1054" spans="13:18" x14ac:dyDescent="0.15">
      <c r="M1054" s="46">
        <v>2022</v>
      </c>
      <c r="N1054" s="26" t="s">
        <v>399</v>
      </c>
      <c r="O1054" s="26" t="s">
        <v>39</v>
      </c>
      <c r="P1054" s="26" t="s">
        <v>426</v>
      </c>
      <c r="Q1054" s="47">
        <f t="shared" si="119"/>
        <v>0</v>
      </c>
      <c r="R1054" s="47">
        <f t="shared" si="120"/>
        <v>0</v>
      </c>
    </row>
    <row r="1055" spans="13:18" x14ac:dyDescent="0.15">
      <c r="M1055" s="46">
        <v>2022</v>
      </c>
      <c r="N1055" s="26" t="s">
        <v>399</v>
      </c>
      <c r="O1055" s="26" t="s">
        <v>39</v>
      </c>
      <c r="P1055" s="26" t="s">
        <v>428</v>
      </c>
      <c r="Q1055" s="47">
        <f t="shared" si="119"/>
        <v>0</v>
      </c>
      <c r="R1055" s="47">
        <f t="shared" si="120"/>
        <v>0</v>
      </c>
    </row>
    <row r="1056" spans="13:18" x14ac:dyDescent="0.15">
      <c r="M1056" s="46">
        <v>2022</v>
      </c>
      <c r="N1056" s="26" t="s">
        <v>399</v>
      </c>
      <c r="O1056" s="26" t="s">
        <v>39</v>
      </c>
      <c r="P1056" s="26" t="s">
        <v>429</v>
      </c>
      <c r="Q1056" s="47">
        <f t="shared" si="119"/>
        <v>0</v>
      </c>
      <c r="R1056" s="47">
        <f t="shared" si="120"/>
        <v>0</v>
      </c>
    </row>
    <row r="1057" spans="13:18" x14ac:dyDescent="0.15">
      <c r="M1057" s="46">
        <v>2022</v>
      </c>
      <c r="N1057" s="26" t="s">
        <v>399</v>
      </c>
      <c r="O1057" s="26" t="s">
        <v>39</v>
      </c>
      <c r="P1057" s="26" t="s">
        <v>430</v>
      </c>
      <c r="Q1057" s="47">
        <f t="shared" si="119"/>
        <v>0.47828730122187646</v>
      </c>
      <c r="R1057" s="47">
        <f t="shared" si="120"/>
        <v>3.9437724837593322</v>
      </c>
    </row>
    <row r="1058" spans="13:18" x14ac:dyDescent="0.15">
      <c r="M1058" s="46">
        <v>2022</v>
      </c>
      <c r="N1058" s="26" t="s">
        <v>399</v>
      </c>
      <c r="O1058" s="26" t="s">
        <v>40</v>
      </c>
      <c r="P1058" s="26" t="s">
        <v>426</v>
      </c>
      <c r="Q1058" s="47">
        <f t="shared" si="119"/>
        <v>0</v>
      </c>
      <c r="R1058" s="47">
        <f t="shared" si="120"/>
        <v>0</v>
      </c>
    </row>
    <row r="1059" spans="13:18" x14ac:dyDescent="0.15">
      <c r="M1059" s="46">
        <v>2022</v>
      </c>
      <c r="N1059" s="26" t="s">
        <v>399</v>
      </c>
      <c r="O1059" s="26" t="s">
        <v>40</v>
      </c>
      <c r="P1059" s="26" t="s">
        <v>428</v>
      </c>
      <c r="Q1059" s="47">
        <f t="shared" si="119"/>
        <v>0</v>
      </c>
      <c r="R1059" s="47">
        <f t="shared" si="120"/>
        <v>0</v>
      </c>
    </row>
    <row r="1060" spans="13:18" x14ac:dyDescent="0.15">
      <c r="M1060" s="46">
        <v>2022</v>
      </c>
      <c r="N1060" s="26" t="s">
        <v>399</v>
      </c>
      <c r="O1060" s="26" t="s">
        <v>40</v>
      </c>
      <c r="P1060" s="26" t="s">
        <v>429</v>
      </c>
      <c r="Q1060" s="47">
        <f t="shared" si="119"/>
        <v>0</v>
      </c>
      <c r="R1060" s="47">
        <f t="shared" si="120"/>
        <v>0</v>
      </c>
    </row>
    <row r="1061" spans="13:18" x14ac:dyDescent="0.15">
      <c r="M1061" s="46">
        <v>2022</v>
      </c>
      <c r="N1061" s="26" t="s">
        <v>399</v>
      </c>
      <c r="O1061" s="26" t="s">
        <v>40</v>
      </c>
      <c r="P1061" s="26" t="s">
        <v>430</v>
      </c>
      <c r="Q1061" s="47">
        <f t="shared" si="119"/>
        <v>23.795788748070965</v>
      </c>
      <c r="R1061" s="47">
        <f t="shared" si="120"/>
        <v>196.21088967707638</v>
      </c>
    </row>
    <row r="1062" spans="13:18" x14ac:dyDescent="0.15">
      <c r="M1062" s="46">
        <v>2022</v>
      </c>
      <c r="N1062" s="26" t="s">
        <v>399</v>
      </c>
      <c r="O1062" s="26" t="s">
        <v>41</v>
      </c>
      <c r="P1062" s="26" t="s">
        <v>426</v>
      </c>
      <c r="Q1062" s="47">
        <f t="shared" si="119"/>
        <v>0</v>
      </c>
      <c r="R1062" s="47">
        <f t="shared" si="120"/>
        <v>0</v>
      </c>
    </row>
    <row r="1063" spans="13:18" x14ac:dyDescent="0.15">
      <c r="M1063" s="46">
        <v>2022</v>
      </c>
      <c r="N1063" s="26" t="s">
        <v>399</v>
      </c>
      <c r="O1063" s="26" t="s">
        <v>41</v>
      </c>
      <c r="P1063" s="26" t="s">
        <v>428</v>
      </c>
      <c r="Q1063" s="47">
        <f t="shared" si="119"/>
        <v>0</v>
      </c>
      <c r="R1063" s="47">
        <f t="shared" si="120"/>
        <v>0</v>
      </c>
    </row>
    <row r="1064" spans="13:18" x14ac:dyDescent="0.15">
      <c r="M1064" s="46">
        <v>2022</v>
      </c>
      <c r="N1064" s="26" t="s">
        <v>399</v>
      </c>
      <c r="O1064" s="26" t="s">
        <v>41</v>
      </c>
      <c r="P1064" s="26" t="s">
        <v>429</v>
      </c>
      <c r="Q1064" s="47">
        <f t="shared" si="119"/>
        <v>0</v>
      </c>
      <c r="R1064" s="47">
        <f t="shared" si="120"/>
        <v>0</v>
      </c>
    </row>
    <row r="1065" spans="13:18" x14ac:dyDescent="0.15">
      <c r="M1065" s="46">
        <v>2022</v>
      </c>
      <c r="N1065" s="26" t="s">
        <v>399</v>
      </c>
      <c r="O1065" s="26" t="s">
        <v>41</v>
      </c>
      <c r="P1065" s="26" t="s">
        <v>430</v>
      </c>
      <c r="Q1065" s="47">
        <f t="shared" si="119"/>
        <v>6.78392518438657</v>
      </c>
      <c r="R1065" s="47">
        <f t="shared" si="120"/>
        <v>55.937628713362948</v>
      </c>
    </row>
    <row r="1066" spans="13:18" x14ac:dyDescent="0.15">
      <c r="M1066" s="46">
        <v>2022</v>
      </c>
      <c r="N1066" s="26" t="s">
        <v>399</v>
      </c>
      <c r="O1066" s="26" t="s">
        <v>42</v>
      </c>
      <c r="P1066" s="26" t="s">
        <v>426</v>
      </c>
      <c r="Q1066" s="47">
        <f t="shared" si="119"/>
        <v>0</v>
      </c>
      <c r="R1066" s="47">
        <f t="shared" si="120"/>
        <v>0</v>
      </c>
    </row>
    <row r="1067" spans="13:18" x14ac:dyDescent="0.15">
      <c r="M1067" s="46">
        <v>2022</v>
      </c>
      <c r="N1067" s="26" t="s">
        <v>399</v>
      </c>
      <c r="O1067" s="26" t="s">
        <v>42</v>
      </c>
      <c r="P1067" s="26" t="s">
        <v>428</v>
      </c>
      <c r="Q1067" s="47">
        <f t="shared" si="119"/>
        <v>0</v>
      </c>
      <c r="R1067" s="47">
        <f t="shared" si="120"/>
        <v>0</v>
      </c>
    </row>
    <row r="1068" spans="13:18" x14ac:dyDescent="0.15">
      <c r="M1068" s="46">
        <v>2022</v>
      </c>
      <c r="N1068" s="26" t="s">
        <v>399</v>
      </c>
      <c r="O1068" s="26" t="s">
        <v>42</v>
      </c>
      <c r="P1068" s="26" t="s">
        <v>429</v>
      </c>
      <c r="Q1068" s="47">
        <f t="shared" si="119"/>
        <v>0</v>
      </c>
      <c r="R1068" s="47">
        <f t="shared" si="120"/>
        <v>0</v>
      </c>
    </row>
    <row r="1069" spans="13:18" x14ac:dyDescent="0.15">
      <c r="M1069" s="46">
        <v>2022</v>
      </c>
      <c r="N1069" s="26" t="s">
        <v>399</v>
      </c>
      <c r="O1069" s="26" t="s">
        <v>42</v>
      </c>
      <c r="P1069" s="26" t="s">
        <v>430</v>
      </c>
      <c r="Q1069" s="47">
        <f t="shared" si="119"/>
        <v>0.35698721310786363</v>
      </c>
      <c r="R1069" s="47">
        <f t="shared" si="120"/>
        <v>2.9435787747490507</v>
      </c>
    </row>
    <row r="1070" spans="13:18" x14ac:dyDescent="0.15">
      <c r="M1070" s="46">
        <v>2022</v>
      </c>
      <c r="N1070" s="26" t="s">
        <v>399</v>
      </c>
      <c r="O1070" s="26" t="s">
        <v>43</v>
      </c>
      <c r="P1070" s="26" t="s">
        <v>426</v>
      </c>
      <c r="Q1070" s="47">
        <f t="shared" si="119"/>
        <v>0</v>
      </c>
      <c r="R1070" s="47">
        <f t="shared" si="120"/>
        <v>0</v>
      </c>
    </row>
    <row r="1071" spans="13:18" x14ac:dyDescent="0.15">
      <c r="M1071" s="46">
        <v>2022</v>
      </c>
      <c r="N1071" s="26" t="s">
        <v>399</v>
      </c>
      <c r="O1071" s="26" t="s">
        <v>43</v>
      </c>
      <c r="P1071" s="26" t="s">
        <v>428</v>
      </c>
      <c r="Q1071" s="47">
        <f t="shared" si="119"/>
        <v>0</v>
      </c>
      <c r="R1071" s="47">
        <f t="shared" si="120"/>
        <v>0</v>
      </c>
    </row>
    <row r="1072" spans="13:18" x14ac:dyDescent="0.15">
      <c r="M1072" s="46">
        <v>2022</v>
      </c>
      <c r="N1072" s="26" t="s">
        <v>399</v>
      </c>
      <c r="O1072" s="26" t="s">
        <v>43</v>
      </c>
      <c r="P1072" s="26" t="s">
        <v>429</v>
      </c>
      <c r="Q1072" s="47">
        <f t="shared" si="119"/>
        <v>0</v>
      </c>
      <c r="R1072" s="47">
        <f t="shared" si="120"/>
        <v>0</v>
      </c>
    </row>
    <row r="1073" spans="13:18" x14ac:dyDescent="0.15">
      <c r="M1073" s="46">
        <v>2022</v>
      </c>
      <c r="N1073" s="26" t="s">
        <v>399</v>
      </c>
      <c r="O1073" s="26" t="s">
        <v>43</v>
      </c>
      <c r="P1073" s="26" t="s">
        <v>430</v>
      </c>
      <c r="Q1073" s="47">
        <f t="shared" si="119"/>
        <v>0.11963142078824106</v>
      </c>
      <c r="R1073" s="47">
        <f t="shared" si="120"/>
        <v>0.98643452228900519</v>
      </c>
    </row>
    <row r="1074" spans="13:18" x14ac:dyDescent="0.15">
      <c r="M1074" s="46">
        <v>2022</v>
      </c>
      <c r="N1074" s="26" t="s">
        <v>399</v>
      </c>
      <c r="O1074" s="26" t="s">
        <v>44</v>
      </c>
      <c r="P1074" s="26" t="s">
        <v>426</v>
      </c>
      <c r="Q1074" s="47">
        <f t="shared" si="119"/>
        <v>0</v>
      </c>
      <c r="R1074" s="47">
        <f t="shared" si="120"/>
        <v>0</v>
      </c>
    </row>
    <row r="1075" spans="13:18" x14ac:dyDescent="0.15">
      <c r="M1075" s="46">
        <v>2022</v>
      </c>
      <c r="N1075" s="26" t="s">
        <v>399</v>
      </c>
      <c r="O1075" s="26" t="s">
        <v>44</v>
      </c>
      <c r="P1075" s="26" t="s">
        <v>428</v>
      </c>
      <c r="Q1075" s="47">
        <f t="shared" si="119"/>
        <v>0</v>
      </c>
      <c r="R1075" s="47">
        <f t="shared" si="120"/>
        <v>0</v>
      </c>
    </row>
    <row r="1076" spans="13:18" x14ac:dyDescent="0.15">
      <c r="M1076" s="46">
        <v>2022</v>
      </c>
      <c r="N1076" s="26" t="s">
        <v>399</v>
      </c>
      <c r="O1076" s="26" t="s">
        <v>44</v>
      </c>
      <c r="P1076" s="26" t="s">
        <v>429</v>
      </c>
      <c r="Q1076" s="47">
        <f t="shared" si="119"/>
        <v>0</v>
      </c>
      <c r="R1076" s="47">
        <f t="shared" si="120"/>
        <v>0</v>
      </c>
    </row>
    <row r="1077" spans="13:18" x14ac:dyDescent="0.15">
      <c r="M1077" s="46">
        <v>2022</v>
      </c>
      <c r="N1077" s="26" t="s">
        <v>399</v>
      </c>
      <c r="O1077" s="26" t="s">
        <v>44</v>
      </c>
      <c r="P1077" s="26" t="s">
        <v>430</v>
      </c>
      <c r="Q1077" s="47">
        <f t="shared" si="119"/>
        <v>4.4252926807754509</v>
      </c>
      <c r="R1077" s="47">
        <f t="shared" si="120"/>
        <v>36.489255437973014</v>
      </c>
    </row>
    <row r="1078" spans="13:18" x14ac:dyDescent="0.15">
      <c r="M1078" s="46">
        <v>2022</v>
      </c>
      <c r="N1078" s="26" t="s">
        <v>399</v>
      </c>
      <c r="O1078" s="26" t="s">
        <v>45</v>
      </c>
      <c r="P1078" s="26" t="s">
        <v>426</v>
      </c>
      <c r="Q1078" s="47">
        <f t="shared" si="119"/>
        <v>0</v>
      </c>
      <c r="R1078" s="47">
        <f t="shared" si="120"/>
        <v>0</v>
      </c>
    </row>
    <row r="1079" spans="13:18" x14ac:dyDescent="0.15">
      <c r="M1079" s="46">
        <v>2022</v>
      </c>
      <c r="N1079" s="26" t="s">
        <v>399</v>
      </c>
      <c r="O1079" s="26" t="s">
        <v>45</v>
      </c>
      <c r="P1079" s="26" t="s">
        <v>428</v>
      </c>
      <c r="Q1079" s="47">
        <f t="shared" si="119"/>
        <v>0</v>
      </c>
      <c r="R1079" s="47">
        <f t="shared" si="120"/>
        <v>0</v>
      </c>
    </row>
    <row r="1080" spans="13:18" x14ac:dyDescent="0.15">
      <c r="M1080" s="46">
        <v>2022</v>
      </c>
      <c r="N1080" s="26" t="s">
        <v>399</v>
      </c>
      <c r="O1080" s="26" t="s">
        <v>45</v>
      </c>
      <c r="P1080" s="26" t="s">
        <v>429</v>
      </c>
      <c r="Q1080" s="47">
        <f t="shared" si="119"/>
        <v>0</v>
      </c>
      <c r="R1080" s="47">
        <f t="shared" si="120"/>
        <v>0</v>
      </c>
    </row>
    <row r="1081" spans="13:18" x14ac:dyDescent="0.15">
      <c r="M1081" s="46">
        <v>2022</v>
      </c>
      <c r="N1081" s="26" t="s">
        <v>399</v>
      </c>
      <c r="O1081" s="26" t="s">
        <v>45</v>
      </c>
      <c r="P1081" s="26" t="s">
        <v>430</v>
      </c>
      <c r="Q1081" s="47">
        <f t="shared" si="119"/>
        <v>10.873088439935609</v>
      </c>
      <c r="R1081" s="47">
        <f t="shared" si="120"/>
        <v>89.655290645083099</v>
      </c>
    </row>
    <row r="1082" spans="13:18" x14ac:dyDescent="0.15">
      <c r="M1082" s="46">
        <v>2022</v>
      </c>
      <c r="N1082" s="26" t="s">
        <v>399</v>
      </c>
      <c r="O1082" s="26" t="s">
        <v>46</v>
      </c>
      <c r="P1082" s="26" t="s">
        <v>426</v>
      </c>
      <c r="Q1082" s="47">
        <f t="shared" si="119"/>
        <v>0</v>
      </c>
      <c r="R1082" s="47">
        <f t="shared" si="120"/>
        <v>0</v>
      </c>
    </row>
    <row r="1083" spans="13:18" x14ac:dyDescent="0.15">
      <c r="M1083" s="46">
        <v>2022</v>
      </c>
      <c r="N1083" s="26" t="s">
        <v>399</v>
      </c>
      <c r="O1083" s="26" t="s">
        <v>46</v>
      </c>
      <c r="P1083" s="26" t="s">
        <v>428</v>
      </c>
      <c r="Q1083" s="47">
        <f t="shared" si="119"/>
        <v>0</v>
      </c>
      <c r="R1083" s="47">
        <f t="shared" si="120"/>
        <v>0</v>
      </c>
    </row>
    <row r="1084" spans="13:18" x14ac:dyDescent="0.15">
      <c r="M1084" s="46">
        <v>2022</v>
      </c>
      <c r="N1084" s="26" t="s">
        <v>399</v>
      </c>
      <c r="O1084" s="26" t="s">
        <v>46</v>
      </c>
      <c r="P1084" s="26" t="s">
        <v>429</v>
      </c>
      <c r="Q1084" s="47">
        <f t="shared" si="119"/>
        <v>0</v>
      </c>
      <c r="R1084" s="47">
        <f t="shared" si="120"/>
        <v>0</v>
      </c>
    </row>
    <row r="1085" spans="13:18" x14ac:dyDescent="0.15">
      <c r="M1085" s="46">
        <v>2022</v>
      </c>
      <c r="N1085" s="26" t="s">
        <v>399</v>
      </c>
      <c r="O1085" s="26" t="s">
        <v>46</v>
      </c>
      <c r="P1085" s="26" t="s">
        <v>430</v>
      </c>
      <c r="Q1085" s="47">
        <f t="shared" si="119"/>
        <v>1.8452917804489695</v>
      </c>
      <c r="R1085" s="47">
        <f t="shared" si="120"/>
        <v>15.215563803702029</v>
      </c>
    </row>
    <row r="1086" spans="13:18" x14ac:dyDescent="0.15">
      <c r="M1086" s="46">
        <v>2022</v>
      </c>
      <c r="N1086" s="26" t="s">
        <v>399</v>
      </c>
      <c r="O1086" s="26" t="s">
        <v>47</v>
      </c>
      <c r="P1086" s="26" t="s">
        <v>426</v>
      </c>
      <c r="Q1086" s="47">
        <f t="shared" si="119"/>
        <v>0</v>
      </c>
      <c r="R1086" s="47">
        <f t="shared" si="120"/>
        <v>0</v>
      </c>
    </row>
    <row r="1087" spans="13:18" x14ac:dyDescent="0.15">
      <c r="M1087" s="46">
        <v>2022</v>
      </c>
      <c r="N1087" s="26" t="s">
        <v>399</v>
      </c>
      <c r="O1087" s="26" t="s">
        <v>47</v>
      </c>
      <c r="P1087" s="26" t="s">
        <v>428</v>
      </c>
      <c r="Q1087" s="47">
        <f t="shared" si="119"/>
        <v>0</v>
      </c>
      <c r="R1087" s="47">
        <f t="shared" si="120"/>
        <v>0</v>
      </c>
    </row>
    <row r="1088" spans="13:18" x14ac:dyDescent="0.15">
      <c r="M1088" s="46">
        <v>2022</v>
      </c>
      <c r="N1088" s="26" t="s">
        <v>399</v>
      </c>
      <c r="O1088" s="26" t="s">
        <v>47</v>
      </c>
      <c r="P1088" s="26" t="s">
        <v>429</v>
      </c>
      <c r="Q1088" s="47">
        <f t="shared" si="119"/>
        <v>0</v>
      </c>
      <c r="R1088" s="47">
        <f t="shared" si="120"/>
        <v>0</v>
      </c>
    </row>
    <row r="1089" spans="13:18" x14ac:dyDescent="0.15">
      <c r="M1089" s="46">
        <v>2022</v>
      </c>
      <c r="N1089" s="26" t="s">
        <v>399</v>
      </c>
      <c r="O1089" s="26" t="s">
        <v>47</v>
      </c>
      <c r="P1089" s="26" t="s">
        <v>430</v>
      </c>
      <c r="Q1089" s="47">
        <f t="shared" si="119"/>
        <v>0.68956539454128785</v>
      </c>
      <c r="R1089" s="47">
        <f t="shared" si="120"/>
        <v>5.6858900953404437</v>
      </c>
    </row>
    <row r="1090" spans="13:18" x14ac:dyDescent="0.15">
      <c r="M1090" s="46">
        <v>2022</v>
      </c>
      <c r="N1090" s="26" t="s">
        <v>399</v>
      </c>
      <c r="O1090" s="26" t="s">
        <v>48</v>
      </c>
      <c r="P1090" s="26" t="s">
        <v>426</v>
      </c>
      <c r="Q1090" s="47">
        <f t="shared" ref="Q1090:Q1153" si="121">SUMIFS(D:D,B:B,N1090,C:C,P1090,A:A,M1090)*SUMIFS(K:K,G:G,N1090,I:I,O1090)</f>
        <v>0</v>
      </c>
      <c r="R1090" s="47">
        <f t="shared" ref="R1090:R1153" si="122">SUMIFS(E:E,B:B,N1090,C:C,P1090,A:A,M1090)*SUMIFS(K:K,G:G,N1090,I:I,O1090)</f>
        <v>0</v>
      </c>
    </row>
    <row r="1091" spans="13:18" x14ac:dyDescent="0.15">
      <c r="M1091" s="46">
        <v>2022</v>
      </c>
      <c r="N1091" s="26" t="s">
        <v>399</v>
      </c>
      <c r="O1091" s="26" t="s">
        <v>48</v>
      </c>
      <c r="P1091" s="26" t="s">
        <v>428</v>
      </c>
      <c r="Q1091" s="47">
        <f t="shared" si="121"/>
        <v>0</v>
      </c>
      <c r="R1091" s="47">
        <f t="shared" si="122"/>
        <v>0</v>
      </c>
    </row>
    <row r="1092" spans="13:18" x14ac:dyDescent="0.15">
      <c r="M1092" s="46">
        <v>2022</v>
      </c>
      <c r="N1092" s="26" t="s">
        <v>399</v>
      </c>
      <c r="O1092" s="26" t="s">
        <v>48</v>
      </c>
      <c r="P1092" s="26" t="s">
        <v>429</v>
      </c>
      <c r="Q1092" s="47">
        <f t="shared" si="121"/>
        <v>0</v>
      </c>
      <c r="R1092" s="47">
        <f t="shared" si="122"/>
        <v>0</v>
      </c>
    </row>
    <row r="1093" spans="13:18" x14ac:dyDescent="0.15">
      <c r="M1093" s="46">
        <v>2022</v>
      </c>
      <c r="N1093" s="26" t="s">
        <v>399</v>
      </c>
      <c r="O1093" s="26" t="s">
        <v>48</v>
      </c>
      <c r="P1093" s="26" t="s">
        <v>430</v>
      </c>
      <c r="Q1093" s="47">
        <f t="shared" si="121"/>
        <v>0.41833291271785444</v>
      </c>
      <c r="R1093" s="47">
        <f t="shared" si="122"/>
        <v>3.4494117364454664</v>
      </c>
    </row>
    <row r="1094" spans="13:18" x14ac:dyDescent="0.15">
      <c r="M1094" s="46">
        <v>2022</v>
      </c>
      <c r="N1094" s="26" t="s">
        <v>399</v>
      </c>
      <c r="O1094" s="26" t="s">
        <v>49</v>
      </c>
      <c r="P1094" s="26" t="s">
        <v>426</v>
      </c>
      <c r="Q1094" s="47">
        <f t="shared" si="121"/>
        <v>0</v>
      </c>
      <c r="R1094" s="47">
        <f t="shared" si="122"/>
        <v>0</v>
      </c>
    </row>
    <row r="1095" spans="13:18" x14ac:dyDescent="0.15">
      <c r="M1095" s="46">
        <v>2022</v>
      </c>
      <c r="N1095" s="26" t="s">
        <v>399</v>
      </c>
      <c r="O1095" s="26" t="s">
        <v>49</v>
      </c>
      <c r="P1095" s="26" t="s">
        <v>428</v>
      </c>
      <c r="Q1095" s="47">
        <f t="shared" si="121"/>
        <v>0</v>
      </c>
      <c r="R1095" s="47">
        <f t="shared" si="122"/>
        <v>0</v>
      </c>
    </row>
    <row r="1096" spans="13:18" x14ac:dyDescent="0.15">
      <c r="M1096" s="46">
        <v>2022</v>
      </c>
      <c r="N1096" s="26" t="s">
        <v>399</v>
      </c>
      <c r="O1096" s="26" t="s">
        <v>49</v>
      </c>
      <c r="P1096" s="26" t="s">
        <v>429</v>
      </c>
      <c r="Q1096" s="47">
        <f t="shared" si="121"/>
        <v>0</v>
      </c>
      <c r="R1096" s="47">
        <f t="shared" si="122"/>
        <v>0</v>
      </c>
    </row>
    <row r="1097" spans="13:18" x14ac:dyDescent="0.15">
      <c r="M1097" s="46">
        <v>2022</v>
      </c>
      <c r="N1097" s="26" t="s">
        <v>399</v>
      </c>
      <c r="O1097" s="26" t="s">
        <v>49</v>
      </c>
      <c r="P1097" s="26" t="s">
        <v>430</v>
      </c>
      <c r="Q1097" s="47">
        <f t="shared" si="121"/>
        <v>0.21201396716793516</v>
      </c>
      <c r="R1097" s="47">
        <f t="shared" si="122"/>
        <v>1.7481853433145531</v>
      </c>
    </row>
    <row r="1098" spans="13:18" x14ac:dyDescent="0.15">
      <c r="M1098" s="46">
        <v>2022</v>
      </c>
      <c r="N1098" s="26" t="s">
        <v>399</v>
      </c>
      <c r="O1098" s="26" t="s">
        <v>50</v>
      </c>
      <c r="P1098" s="26" t="s">
        <v>426</v>
      </c>
      <c r="Q1098" s="47">
        <f t="shared" si="121"/>
        <v>0</v>
      </c>
      <c r="R1098" s="47">
        <f t="shared" si="122"/>
        <v>0</v>
      </c>
    </row>
    <row r="1099" spans="13:18" x14ac:dyDescent="0.15">
      <c r="M1099" s="46">
        <v>2022</v>
      </c>
      <c r="N1099" s="26" t="s">
        <v>399</v>
      </c>
      <c r="O1099" s="26" t="s">
        <v>50</v>
      </c>
      <c r="P1099" s="26" t="s">
        <v>428</v>
      </c>
      <c r="Q1099" s="47">
        <f t="shared" si="121"/>
        <v>0</v>
      </c>
      <c r="R1099" s="47">
        <f t="shared" si="122"/>
        <v>0</v>
      </c>
    </row>
    <row r="1100" spans="13:18" x14ac:dyDescent="0.15">
      <c r="M1100" s="46">
        <v>2022</v>
      </c>
      <c r="N1100" s="26" t="s">
        <v>399</v>
      </c>
      <c r="O1100" s="26" t="s">
        <v>50</v>
      </c>
      <c r="P1100" s="26" t="s">
        <v>429</v>
      </c>
      <c r="Q1100" s="47">
        <f t="shared" si="121"/>
        <v>0</v>
      </c>
      <c r="R1100" s="47">
        <f t="shared" si="122"/>
        <v>0</v>
      </c>
    </row>
    <row r="1101" spans="13:18" x14ac:dyDescent="0.15">
      <c r="M1101" s="46">
        <v>2022</v>
      </c>
      <c r="N1101" s="26" t="s">
        <v>399</v>
      </c>
      <c r="O1101" s="26" t="s">
        <v>50</v>
      </c>
      <c r="P1101" s="26" t="s">
        <v>430</v>
      </c>
      <c r="Q1101" s="47">
        <f t="shared" si="121"/>
        <v>0.13136502549859727</v>
      </c>
      <c r="R1101" s="47">
        <f t="shared" si="122"/>
        <v>1.0831852979708896</v>
      </c>
    </row>
    <row r="1102" spans="13:18" x14ac:dyDescent="0.15">
      <c r="M1102" s="46">
        <v>2022</v>
      </c>
      <c r="N1102" s="26" t="s">
        <v>399</v>
      </c>
      <c r="O1102" s="26" t="s">
        <v>51</v>
      </c>
      <c r="P1102" s="26" t="s">
        <v>426</v>
      </c>
      <c r="Q1102" s="47">
        <f t="shared" si="121"/>
        <v>0</v>
      </c>
      <c r="R1102" s="47">
        <f t="shared" si="122"/>
        <v>0</v>
      </c>
    </row>
    <row r="1103" spans="13:18" x14ac:dyDescent="0.15">
      <c r="M1103" s="46">
        <v>2022</v>
      </c>
      <c r="N1103" s="26" t="s">
        <v>399</v>
      </c>
      <c r="O1103" s="26" t="s">
        <v>51</v>
      </c>
      <c r="P1103" s="26" t="s">
        <v>428</v>
      </c>
      <c r="Q1103" s="47">
        <f t="shared" si="121"/>
        <v>0</v>
      </c>
      <c r="R1103" s="47">
        <f t="shared" si="122"/>
        <v>0</v>
      </c>
    </row>
    <row r="1104" spans="13:18" x14ac:dyDescent="0.15">
      <c r="M1104" s="46">
        <v>2022</v>
      </c>
      <c r="N1104" s="26" t="s">
        <v>399</v>
      </c>
      <c r="O1104" s="26" t="s">
        <v>51</v>
      </c>
      <c r="P1104" s="26" t="s">
        <v>429</v>
      </c>
      <c r="Q1104" s="47">
        <f t="shared" si="121"/>
        <v>0</v>
      </c>
      <c r="R1104" s="47">
        <f t="shared" si="122"/>
        <v>0</v>
      </c>
    </row>
    <row r="1105" spans="13:18" x14ac:dyDescent="0.15">
      <c r="M1105" s="46">
        <v>2022</v>
      </c>
      <c r="N1105" s="26" t="s">
        <v>399</v>
      </c>
      <c r="O1105" s="26" t="s">
        <v>51</v>
      </c>
      <c r="P1105" s="26" t="s">
        <v>430</v>
      </c>
      <c r="Q1105" s="47">
        <f t="shared" si="121"/>
        <v>0.18355870042607761</v>
      </c>
      <c r="R1105" s="47">
        <f t="shared" si="122"/>
        <v>1.5135541964957275</v>
      </c>
    </row>
    <row r="1106" spans="13:18" x14ac:dyDescent="0.15">
      <c r="M1106" s="46">
        <v>2022</v>
      </c>
      <c r="N1106" s="26" t="s">
        <v>399</v>
      </c>
      <c r="O1106" s="26" t="s">
        <v>52</v>
      </c>
      <c r="P1106" s="26" t="s">
        <v>426</v>
      </c>
      <c r="Q1106" s="47">
        <f t="shared" si="121"/>
        <v>0</v>
      </c>
      <c r="R1106" s="47">
        <f t="shared" si="122"/>
        <v>0</v>
      </c>
    </row>
    <row r="1107" spans="13:18" x14ac:dyDescent="0.15">
      <c r="M1107" s="46">
        <v>2022</v>
      </c>
      <c r="N1107" s="26" t="s">
        <v>399</v>
      </c>
      <c r="O1107" s="26" t="s">
        <v>52</v>
      </c>
      <c r="P1107" s="26" t="s">
        <v>428</v>
      </c>
      <c r="Q1107" s="47">
        <f t="shared" si="121"/>
        <v>0</v>
      </c>
      <c r="R1107" s="47">
        <f t="shared" si="122"/>
        <v>0</v>
      </c>
    </row>
    <row r="1108" spans="13:18" x14ac:dyDescent="0.15">
      <c r="M1108" s="46">
        <v>2022</v>
      </c>
      <c r="N1108" s="26" t="s">
        <v>399</v>
      </c>
      <c r="O1108" s="26" t="s">
        <v>52</v>
      </c>
      <c r="P1108" s="26" t="s">
        <v>429</v>
      </c>
      <c r="Q1108" s="47">
        <f t="shared" si="121"/>
        <v>0</v>
      </c>
      <c r="R1108" s="47">
        <f t="shared" si="122"/>
        <v>0</v>
      </c>
    </row>
    <row r="1109" spans="13:18" x14ac:dyDescent="0.15">
      <c r="M1109" s="46">
        <v>2022</v>
      </c>
      <c r="N1109" s="26" t="s">
        <v>399</v>
      </c>
      <c r="O1109" s="26" t="s">
        <v>52</v>
      </c>
      <c r="P1109" s="26" t="s">
        <v>430</v>
      </c>
      <c r="Q1109" s="47">
        <f t="shared" si="121"/>
        <v>0.11208358472616808</v>
      </c>
      <c r="R1109" s="47">
        <f t="shared" si="122"/>
        <v>0.92419797932103509</v>
      </c>
    </row>
    <row r="1110" spans="13:18" x14ac:dyDescent="0.15">
      <c r="M1110" s="46">
        <v>2022</v>
      </c>
      <c r="N1110" s="26" t="s">
        <v>399</v>
      </c>
      <c r="O1110" s="26" t="s">
        <v>53</v>
      </c>
      <c r="P1110" s="26" t="s">
        <v>426</v>
      </c>
      <c r="Q1110" s="47">
        <f t="shared" si="121"/>
        <v>0</v>
      </c>
      <c r="R1110" s="47">
        <f t="shared" si="122"/>
        <v>0</v>
      </c>
    </row>
    <row r="1111" spans="13:18" x14ac:dyDescent="0.15">
      <c r="M1111" s="46">
        <v>2022</v>
      </c>
      <c r="N1111" s="26" t="s">
        <v>399</v>
      </c>
      <c r="O1111" s="26" t="s">
        <v>53</v>
      </c>
      <c r="P1111" s="26" t="s">
        <v>428</v>
      </c>
      <c r="Q1111" s="47">
        <f t="shared" si="121"/>
        <v>0</v>
      </c>
      <c r="R1111" s="47">
        <f t="shared" si="122"/>
        <v>0</v>
      </c>
    </row>
    <row r="1112" spans="13:18" x14ac:dyDescent="0.15">
      <c r="M1112" s="46">
        <v>2022</v>
      </c>
      <c r="N1112" s="26" t="s">
        <v>399</v>
      </c>
      <c r="O1112" s="26" t="s">
        <v>53</v>
      </c>
      <c r="P1112" s="26" t="s">
        <v>429</v>
      </c>
      <c r="Q1112" s="47">
        <f t="shared" si="121"/>
        <v>0</v>
      </c>
      <c r="R1112" s="47">
        <f t="shared" si="122"/>
        <v>0</v>
      </c>
    </row>
    <row r="1113" spans="13:18" x14ac:dyDescent="0.15">
      <c r="M1113" s="46">
        <v>2022</v>
      </c>
      <c r="N1113" s="26" t="s">
        <v>399</v>
      </c>
      <c r="O1113" s="26" t="s">
        <v>53</v>
      </c>
      <c r="P1113" s="26" t="s">
        <v>430</v>
      </c>
      <c r="Q1113" s="47">
        <f t="shared" si="121"/>
        <v>0.294227821308017</v>
      </c>
      <c r="R1113" s="47">
        <f t="shared" si="122"/>
        <v>2.4260890528906662</v>
      </c>
    </row>
    <row r="1114" spans="13:18" x14ac:dyDescent="0.15">
      <c r="M1114" s="46">
        <v>2022</v>
      </c>
      <c r="N1114" s="26" t="s">
        <v>399</v>
      </c>
      <c r="O1114" s="26" t="s">
        <v>54</v>
      </c>
      <c r="P1114" s="26" t="s">
        <v>426</v>
      </c>
      <c r="Q1114" s="47">
        <f t="shared" si="121"/>
        <v>0</v>
      </c>
      <c r="R1114" s="47">
        <f t="shared" si="122"/>
        <v>0</v>
      </c>
    </row>
    <row r="1115" spans="13:18" x14ac:dyDescent="0.15">
      <c r="M1115" s="46">
        <v>2022</v>
      </c>
      <c r="N1115" s="26" t="s">
        <v>399</v>
      </c>
      <c r="O1115" s="26" t="s">
        <v>54</v>
      </c>
      <c r="P1115" s="26" t="s">
        <v>428</v>
      </c>
      <c r="Q1115" s="47">
        <f t="shared" si="121"/>
        <v>0</v>
      </c>
      <c r="R1115" s="47">
        <f t="shared" si="122"/>
        <v>0</v>
      </c>
    </row>
    <row r="1116" spans="13:18" x14ac:dyDescent="0.15">
      <c r="M1116" s="46">
        <v>2022</v>
      </c>
      <c r="N1116" s="26" t="s">
        <v>399</v>
      </c>
      <c r="O1116" s="26" t="s">
        <v>54</v>
      </c>
      <c r="P1116" s="26" t="s">
        <v>429</v>
      </c>
      <c r="Q1116" s="47">
        <f t="shared" si="121"/>
        <v>0</v>
      </c>
      <c r="R1116" s="47">
        <f t="shared" si="122"/>
        <v>0</v>
      </c>
    </row>
    <row r="1117" spans="13:18" x14ac:dyDescent="0.15">
      <c r="M1117" s="46">
        <v>2022</v>
      </c>
      <c r="N1117" s="26" t="s">
        <v>399</v>
      </c>
      <c r="O1117" s="26" t="s">
        <v>54</v>
      </c>
      <c r="P1117" s="26" t="s">
        <v>430</v>
      </c>
      <c r="Q1117" s="47">
        <f t="shared" si="121"/>
        <v>0.5464124168040464</v>
      </c>
      <c r="R1117" s="47">
        <f t="shared" si="122"/>
        <v>4.5055058929456457</v>
      </c>
    </row>
    <row r="1118" spans="13:18" x14ac:dyDescent="0.15">
      <c r="M1118" s="46">
        <v>2022</v>
      </c>
      <c r="N1118" s="26" t="s">
        <v>399</v>
      </c>
      <c r="O1118" s="26" t="s">
        <v>408</v>
      </c>
      <c r="P1118" s="26" t="s">
        <v>426</v>
      </c>
      <c r="Q1118" s="47">
        <f t="shared" si="121"/>
        <v>0</v>
      </c>
      <c r="R1118" s="47">
        <f t="shared" si="122"/>
        <v>0</v>
      </c>
    </row>
    <row r="1119" spans="13:18" x14ac:dyDescent="0.15">
      <c r="M1119" s="46">
        <v>2022</v>
      </c>
      <c r="N1119" s="26" t="s">
        <v>399</v>
      </c>
      <c r="O1119" s="26" t="s">
        <v>408</v>
      </c>
      <c r="P1119" s="26" t="s">
        <v>428</v>
      </c>
      <c r="Q1119" s="47">
        <f t="shared" si="121"/>
        <v>0</v>
      </c>
      <c r="R1119" s="47">
        <f t="shared" si="122"/>
        <v>0</v>
      </c>
    </row>
    <row r="1120" spans="13:18" x14ac:dyDescent="0.15">
      <c r="M1120" s="46">
        <v>2022</v>
      </c>
      <c r="N1120" s="26" t="s">
        <v>399</v>
      </c>
      <c r="O1120" s="26" t="s">
        <v>408</v>
      </c>
      <c r="P1120" s="26" t="s">
        <v>429</v>
      </c>
      <c r="Q1120" s="47">
        <f t="shared" si="121"/>
        <v>0</v>
      </c>
      <c r="R1120" s="47">
        <f t="shared" si="122"/>
        <v>0</v>
      </c>
    </row>
    <row r="1121" spans="13:18" x14ac:dyDescent="0.15">
      <c r="M1121" s="46">
        <v>2022</v>
      </c>
      <c r="N1121" s="26" t="s">
        <v>399</v>
      </c>
      <c r="O1121" s="26" t="s">
        <v>408</v>
      </c>
      <c r="P1121" s="26" t="s">
        <v>430</v>
      </c>
      <c r="Q1121" s="47">
        <f t="shared" si="121"/>
        <v>0.22032520400117492</v>
      </c>
      <c r="R1121" s="47">
        <f t="shared" si="122"/>
        <v>1.8167165943956529</v>
      </c>
    </row>
    <row r="1122" spans="13:18" x14ac:dyDescent="0.15">
      <c r="M1122" s="46">
        <v>2022</v>
      </c>
      <c r="N1122" s="26" t="s">
        <v>399</v>
      </c>
      <c r="O1122" s="26" t="s">
        <v>55</v>
      </c>
      <c r="P1122" s="26" t="s">
        <v>426</v>
      </c>
      <c r="Q1122" s="47">
        <f t="shared" si="121"/>
        <v>0</v>
      </c>
      <c r="R1122" s="47">
        <f t="shared" si="122"/>
        <v>0</v>
      </c>
    </row>
    <row r="1123" spans="13:18" x14ac:dyDescent="0.15">
      <c r="M1123" s="46">
        <v>2022</v>
      </c>
      <c r="N1123" s="26" t="s">
        <v>399</v>
      </c>
      <c r="O1123" s="26" t="s">
        <v>55</v>
      </c>
      <c r="P1123" s="26" t="s">
        <v>428</v>
      </c>
      <c r="Q1123" s="47">
        <f t="shared" si="121"/>
        <v>0</v>
      </c>
      <c r="R1123" s="47">
        <f t="shared" si="122"/>
        <v>0</v>
      </c>
    </row>
    <row r="1124" spans="13:18" x14ac:dyDescent="0.15">
      <c r="M1124" s="46">
        <v>2022</v>
      </c>
      <c r="N1124" s="26" t="s">
        <v>399</v>
      </c>
      <c r="O1124" s="26" t="s">
        <v>55</v>
      </c>
      <c r="P1124" s="26" t="s">
        <v>429</v>
      </c>
      <c r="Q1124" s="47">
        <f t="shared" si="121"/>
        <v>0</v>
      </c>
      <c r="R1124" s="47">
        <f t="shared" si="122"/>
        <v>0</v>
      </c>
    </row>
    <row r="1125" spans="13:18" x14ac:dyDescent="0.15">
      <c r="M1125" s="46">
        <v>2022</v>
      </c>
      <c r="N1125" s="26" t="s">
        <v>399</v>
      </c>
      <c r="O1125" s="26" t="s">
        <v>55</v>
      </c>
      <c r="P1125" s="26" t="s">
        <v>430</v>
      </c>
      <c r="Q1125" s="47">
        <f t="shared" si="121"/>
        <v>1.134742059593018</v>
      </c>
      <c r="R1125" s="47">
        <f t="shared" si="122"/>
        <v>9.3566450527845344</v>
      </c>
    </row>
    <row r="1126" spans="13:18" x14ac:dyDescent="0.15">
      <c r="M1126" s="46">
        <v>2022</v>
      </c>
      <c r="N1126" s="26" t="s">
        <v>403</v>
      </c>
      <c r="O1126" s="26" t="s">
        <v>34</v>
      </c>
      <c r="P1126" s="26" t="s">
        <v>426</v>
      </c>
      <c r="Q1126" s="47">
        <f t="shared" si="121"/>
        <v>0</v>
      </c>
      <c r="R1126" s="47">
        <f t="shared" si="122"/>
        <v>0</v>
      </c>
    </row>
    <row r="1127" spans="13:18" x14ac:dyDescent="0.15">
      <c r="M1127" s="46">
        <v>2022</v>
      </c>
      <c r="N1127" s="26" t="s">
        <v>403</v>
      </c>
      <c r="O1127" s="26" t="s">
        <v>34</v>
      </c>
      <c r="P1127" s="26" t="s">
        <v>428</v>
      </c>
      <c r="Q1127" s="47">
        <f t="shared" si="121"/>
        <v>0</v>
      </c>
      <c r="R1127" s="47">
        <f t="shared" si="122"/>
        <v>0</v>
      </c>
    </row>
    <row r="1128" spans="13:18" x14ac:dyDescent="0.15">
      <c r="M1128" s="46">
        <v>2022</v>
      </c>
      <c r="N1128" s="26" t="s">
        <v>403</v>
      </c>
      <c r="O1128" s="26" t="s">
        <v>34</v>
      </c>
      <c r="P1128" s="26" t="s">
        <v>429</v>
      </c>
      <c r="Q1128" s="47">
        <f t="shared" si="121"/>
        <v>0</v>
      </c>
      <c r="R1128" s="47">
        <f t="shared" si="122"/>
        <v>0</v>
      </c>
    </row>
    <row r="1129" spans="13:18" x14ac:dyDescent="0.15">
      <c r="M1129" s="46">
        <v>2022</v>
      </c>
      <c r="N1129" s="26" t="s">
        <v>403</v>
      </c>
      <c r="O1129" s="26" t="s">
        <v>34</v>
      </c>
      <c r="P1129" s="26" t="s">
        <v>430</v>
      </c>
      <c r="Q1129" s="47">
        <f t="shared" si="121"/>
        <v>0</v>
      </c>
      <c r="R1129" s="47">
        <f t="shared" si="122"/>
        <v>0</v>
      </c>
    </row>
    <row r="1130" spans="13:18" x14ac:dyDescent="0.15">
      <c r="M1130" s="46">
        <v>2022</v>
      </c>
      <c r="N1130" s="26" t="s">
        <v>403</v>
      </c>
      <c r="O1130" s="26" t="s">
        <v>35</v>
      </c>
      <c r="P1130" s="26" t="s">
        <v>426</v>
      </c>
      <c r="Q1130" s="47">
        <f t="shared" si="121"/>
        <v>0</v>
      </c>
      <c r="R1130" s="47">
        <f t="shared" si="122"/>
        <v>0</v>
      </c>
    </row>
    <row r="1131" spans="13:18" x14ac:dyDescent="0.15">
      <c r="M1131" s="46">
        <v>2022</v>
      </c>
      <c r="N1131" s="26" t="s">
        <v>403</v>
      </c>
      <c r="O1131" s="26" t="s">
        <v>35</v>
      </c>
      <c r="P1131" s="26" t="s">
        <v>428</v>
      </c>
      <c r="Q1131" s="47">
        <f t="shared" si="121"/>
        <v>0</v>
      </c>
      <c r="R1131" s="47">
        <f t="shared" si="122"/>
        <v>0</v>
      </c>
    </row>
    <row r="1132" spans="13:18" x14ac:dyDescent="0.15">
      <c r="M1132" s="46">
        <v>2022</v>
      </c>
      <c r="N1132" s="26" t="s">
        <v>403</v>
      </c>
      <c r="O1132" s="26" t="s">
        <v>35</v>
      </c>
      <c r="P1132" s="26" t="s">
        <v>429</v>
      </c>
      <c r="Q1132" s="47">
        <f t="shared" si="121"/>
        <v>0</v>
      </c>
      <c r="R1132" s="47">
        <f t="shared" si="122"/>
        <v>0</v>
      </c>
    </row>
    <row r="1133" spans="13:18" x14ac:dyDescent="0.15">
      <c r="M1133" s="46">
        <v>2022</v>
      </c>
      <c r="N1133" s="26" t="s">
        <v>403</v>
      </c>
      <c r="O1133" s="26" t="s">
        <v>35</v>
      </c>
      <c r="P1133" s="26" t="s">
        <v>430</v>
      </c>
      <c r="Q1133" s="47">
        <f t="shared" si="121"/>
        <v>0</v>
      </c>
      <c r="R1133" s="47">
        <f t="shared" si="122"/>
        <v>0</v>
      </c>
    </row>
    <row r="1134" spans="13:18" x14ac:dyDescent="0.15">
      <c r="M1134" s="46">
        <v>2022</v>
      </c>
      <c r="N1134" s="26" t="s">
        <v>403</v>
      </c>
      <c r="O1134" s="26" t="s">
        <v>36</v>
      </c>
      <c r="P1134" s="26" t="s">
        <v>426</v>
      </c>
      <c r="Q1134" s="47">
        <f t="shared" si="121"/>
        <v>0</v>
      </c>
      <c r="R1134" s="47">
        <f t="shared" si="122"/>
        <v>0</v>
      </c>
    </row>
    <row r="1135" spans="13:18" x14ac:dyDescent="0.15">
      <c r="M1135" s="46">
        <v>2022</v>
      </c>
      <c r="N1135" s="26" t="s">
        <v>403</v>
      </c>
      <c r="O1135" s="26" t="s">
        <v>36</v>
      </c>
      <c r="P1135" s="26" t="s">
        <v>428</v>
      </c>
      <c r="Q1135" s="47">
        <f t="shared" si="121"/>
        <v>0</v>
      </c>
      <c r="R1135" s="47">
        <f t="shared" si="122"/>
        <v>0</v>
      </c>
    </row>
    <row r="1136" spans="13:18" x14ac:dyDescent="0.15">
      <c r="M1136" s="46">
        <v>2022</v>
      </c>
      <c r="N1136" s="26" t="s">
        <v>403</v>
      </c>
      <c r="O1136" s="26" t="s">
        <v>36</v>
      </c>
      <c r="P1136" s="26" t="s">
        <v>429</v>
      </c>
      <c r="Q1136" s="47">
        <f t="shared" si="121"/>
        <v>0</v>
      </c>
      <c r="R1136" s="47">
        <f t="shared" si="122"/>
        <v>0</v>
      </c>
    </row>
    <row r="1137" spans="13:18" x14ac:dyDescent="0.15">
      <c r="M1137" s="46">
        <v>2022</v>
      </c>
      <c r="N1137" s="26" t="s">
        <v>403</v>
      </c>
      <c r="O1137" s="26" t="s">
        <v>36</v>
      </c>
      <c r="P1137" s="26" t="s">
        <v>430</v>
      </c>
      <c r="Q1137" s="47">
        <f t="shared" si="121"/>
        <v>0</v>
      </c>
      <c r="R1137" s="47">
        <f t="shared" si="122"/>
        <v>0</v>
      </c>
    </row>
    <row r="1138" spans="13:18" x14ac:dyDescent="0.15">
      <c r="M1138" s="46">
        <v>2022</v>
      </c>
      <c r="N1138" s="26" t="s">
        <v>403</v>
      </c>
      <c r="O1138" s="26" t="s">
        <v>422</v>
      </c>
      <c r="P1138" s="26" t="s">
        <v>426</v>
      </c>
      <c r="Q1138" s="47">
        <f t="shared" si="121"/>
        <v>0</v>
      </c>
      <c r="R1138" s="47">
        <f t="shared" si="122"/>
        <v>0</v>
      </c>
    </row>
    <row r="1139" spans="13:18" x14ac:dyDescent="0.15">
      <c r="M1139" s="46">
        <v>2022</v>
      </c>
      <c r="N1139" s="26" t="s">
        <v>403</v>
      </c>
      <c r="O1139" s="26" t="s">
        <v>422</v>
      </c>
      <c r="P1139" s="26" t="s">
        <v>428</v>
      </c>
      <c r="Q1139" s="47">
        <f t="shared" si="121"/>
        <v>0</v>
      </c>
      <c r="R1139" s="47">
        <f t="shared" si="122"/>
        <v>0</v>
      </c>
    </row>
    <row r="1140" spans="13:18" x14ac:dyDescent="0.15">
      <c r="M1140" s="46">
        <v>2022</v>
      </c>
      <c r="N1140" s="26" t="s">
        <v>403</v>
      </c>
      <c r="O1140" s="26" t="s">
        <v>422</v>
      </c>
      <c r="P1140" s="26" t="s">
        <v>429</v>
      </c>
      <c r="Q1140" s="47">
        <f t="shared" si="121"/>
        <v>0</v>
      </c>
      <c r="R1140" s="47">
        <f t="shared" si="122"/>
        <v>0</v>
      </c>
    </row>
    <row r="1141" spans="13:18" x14ac:dyDescent="0.15">
      <c r="M1141" s="46">
        <v>2022</v>
      </c>
      <c r="N1141" s="26" t="s">
        <v>403</v>
      </c>
      <c r="O1141" s="26" t="s">
        <v>422</v>
      </c>
      <c r="P1141" s="26" t="s">
        <v>430</v>
      </c>
      <c r="Q1141" s="47">
        <f t="shared" si="121"/>
        <v>0</v>
      </c>
      <c r="R1141" s="47">
        <f t="shared" si="122"/>
        <v>0</v>
      </c>
    </row>
    <row r="1142" spans="13:18" x14ac:dyDescent="0.15">
      <c r="M1142" s="46">
        <v>2022</v>
      </c>
      <c r="N1142" s="26" t="s">
        <v>403</v>
      </c>
      <c r="O1142" s="26" t="s">
        <v>393</v>
      </c>
      <c r="P1142" s="26" t="s">
        <v>426</v>
      </c>
      <c r="Q1142" s="47">
        <f t="shared" si="121"/>
        <v>0</v>
      </c>
      <c r="R1142" s="47">
        <f t="shared" si="122"/>
        <v>0</v>
      </c>
    </row>
    <row r="1143" spans="13:18" x14ac:dyDescent="0.15">
      <c r="M1143" s="46">
        <v>2022</v>
      </c>
      <c r="N1143" s="26" t="s">
        <v>403</v>
      </c>
      <c r="O1143" s="26" t="s">
        <v>393</v>
      </c>
      <c r="P1143" s="26" t="s">
        <v>428</v>
      </c>
      <c r="Q1143" s="47">
        <f t="shared" si="121"/>
        <v>0</v>
      </c>
      <c r="R1143" s="47">
        <f t="shared" si="122"/>
        <v>0</v>
      </c>
    </row>
    <row r="1144" spans="13:18" x14ac:dyDescent="0.15">
      <c r="M1144" s="46">
        <v>2022</v>
      </c>
      <c r="N1144" s="26" t="s">
        <v>403</v>
      </c>
      <c r="O1144" s="26" t="s">
        <v>393</v>
      </c>
      <c r="P1144" s="26" t="s">
        <v>429</v>
      </c>
      <c r="Q1144" s="47">
        <f t="shared" si="121"/>
        <v>0</v>
      </c>
      <c r="R1144" s="47">
        <f t="shared" si="122"/>
        <v>0</v>
      </c>
    </row>
    <row r="1145" spans="13:18" x14ac:dyDescent="0.15">
      <c r="M1145" s="46">
        <v>2022</v>
      </c>
      <c r="N1145" s="26" t="s">
        <v>403</v>
      </c>
      <c r="O1145" s="26" t="s">
        <v>393</v>
      </c>
      <c r="P1145" s="26" t="s">
        <v>430</v>
      </c>
      <c r="Q1145" s="47">
        <f t="shared" si="121"/>
        <v>0</v>
      </c>
      <c r="R1145" s="47">
        <f t="shared" si="122"/>
        <v>0</v>
      </c>
    </row>
    <row r="1146" spans="13:18" x14ac:dyDescent="0.15">
      <c r="M1146" s="46">
        <v>2022</v>
      </c>
      <c r="N1146" s="26" t="s">
        <v>403</v>
      </c>
      <c r="O1146" s="26" t="s">
        <v>37</v>
      </c>
      <c r="P1146" s="26" t="s">
        <v>426</v>
      </c>
      <c r="Q1146" s="47">
        <f t="shared" si="121"/>
        <v>0</v>
      </c>
      <c r="R1146" s="47">
        <f t="shared" si="122"/>
        <v>0</v>
      </c>
    </row>
    <row r="1147" spans="13:18" x14ac:dyDescent="0.15">
      <c r="M1147" s="46">
        <v>2022</v>
      </c>
      <c r="N1147" s="26" t="s">
        <v>403</v>
      </c>
      <c r="O1147" s="26" t="s">
        <v>37</v>
      </c>
      <c r="P1147" s="26" t="s">
        <v>428</v>
      </c>
      <c r="Q1147" s="47">
        <f t="shared" si="121"/>
        <v>0</v>
      </c>
      <c r="R1147" s="47">
        <f t="shared" si="122"/>
        <v>0</v>
      </c>
    </row>
    <row r="1148" spans="13:18" x14ac:dyDescent="0.15">
      <c r="M1148" s="46">
        <v>2022</v>
      </c>
      <c r="N1148" s="26" t="s">
        <v>403</v>
      </c>
      <c r="O1148" s="26" t="s">
        <v>37</v>
      </c>
      <c r="P1148" s="26" t="s">
        <v>429</v>
      </c>
      <c r="Q1148" s="47">
        <f t="shared" si="121"/>
        <v>0</v>
      </c>
      <c r="R1148" s="47">
        <f t="shared" si="122"/>
        <v>0</v>
      </c>
    </row>
    <row r="1149" spans="13:18" x14ac:dyDescent="0.15">
      <c r="M1149" s="46">
        <v>2022</v>
      </c>
      <c r="N1149" s="26" t="s">
        <v>403</v>
      </c>
      <c r="O1149" s="26" t="s">
        <v>37</v>
      </c>
      <c r="P1149" s="26" t="s">
        <v>430</v>
      </c>
      <c r="Q1149" s="47">
        <f t="shared" si="121"/>
        <v>0</v>
      </c>
      <c r="R1149" s="47">
        <f t="shared" si="122"/>
        <v>0</v>
      </c>
    </row>
    <row r="1150" spans="13:18" x14ac:dyDescent="0.15">
      <c r="M1150" s="46">
        <v>2022</v>
      </c>
      <c r="N1150" s="26" t="s">
        <v>403</v>
      </c>
      <c r="O1150" s="26" t="s">
        <v>38</v>
      </c>
      <c r="P1150" s="26" t="s">
        <v>426</v>
      </c>
      <c r="Q1150" s="47">
        <f t="shared" si="121"/>
        <v>0</v>
      </c>
      <c r="R1150" s="47">
        <f t="shared" si="122"/>
        <v>0</v>
      </c>
    </row>
    <row r="1151" spans="13:18" x14ac:dyDescent="0.15">
      <c r="M1151" s="46">
        <v>2022</v>
      </c>
      <c r="N1151" s="26" t="s">
        <v>403</v>
      </c>
      <c r="O1151" s="26" t="s">
        <v>38</v>
      </c>
      <c r="P1151" s="26" t="s">
        <v>428</v>
      </c>
      <c r="Q1151" s="47">
        <f t="shared" si="121"/>
        <v>0</v>
      </c>
      <c r="R1151" s="47">
        <f t="shared" si="122"/>
        <v>0</v>
      </c>
    </row>
    <row r="1152" spans="13:18" x14ac:dyDescent="0.15">
      <c r="M1152" s="46">
        <v>2022</v>
      </c>
      <c r="N1152" s="26" t="s">
        <v>403</v>
      </c>
      <c r="O1152" s="26" t="s">
        <v>38</v>
      </c>
      <c r="P1152" s="26" t="s">
        <v>429</v>
      </c>
      <c r="Q1152" s="47">
        <f t="shared" si="121"/>
        <v>0</v>
      </c>
      <c r="R1152" s="47">
        <f t="shared" si="122"/>
        <v>0</v>
      </c>
    </row>
    <row r="1153" spans="13:18" x14ac:dyDescent="0.15">
      <c r="M1153" s="46">
        <v>2022</v>
      </c>
      <c r="N1153" s="26" t="s">
        <v>403</v>
      </c>
      <c r="O1153" s="26" t="s">
        <v>38</v>
      </c>
      <c r="P1153" s="26" t="s">
        <v>430</v>
      </c>
      <c r="Q1153" s="47">
        <f t="shared" si="121"/>
        <v>0</v>
      </c>
      <c r="R1153" s="47">
        <f t="shared" si="122"/>
        <v>0</v>
      </c>
    </row>
    <row r="1154" spans="13:18" x14ac:dyDescent="0.15">
      <c r="M1154" s="46">
        <v>2022</v>
      </c>
      <c r="N1154" s="26" t="s">
        <v>403</v>
      </c>
      <c r="O1154" s="26" t="s">
        <v>39</v>
      </c>
      <c r="P1154" s="26" t="s">
        <v>426</v>
      </c>
      <c r="Q1154" s="47">
        <f t="shared" ref="Q1154:Q1217" si="123">SUMIFS(D:D,B:B,N1154,C:C,P1154,A:A,M1154)*SUMIFS(K:K,G:G,N1154,I:I,O1154)</f>
        <v>0</v>
      </c>
      <c r="R1154" s="47">
        <f t="shared" ref="R1154:R1217" si="124">SUMIFS(E:E,B:B,N1154,C:C,P1154,A:A,M1154)*SUMIFS(K:K,G:G,N1154,I:I,O1154)</f>
        <v>0</v>
      </c>
    </row>
    <row r="1155" spans="13:18" x14ac:dyDescent="0.15">
      <c r="M1155" s="46">
        <v>2022</v>
      </c>
      <c r="N1155" s="26" t="s">
        <v>403</v>
      </c>
      <c r="O1155" s="26" t="s">
        <v>39</v>
      </c>
      <c r="P1155" s="26" t="s">
        <v>428</v>
      </c>
      <c r="Q1155" s="47">
        <f t="shared" si="123"/>
        <v>0</v>
      </c>
      <c r="R1155" s="47">
        <f t="shared" si="124"/>
        <v>0</v>
      </c>
    </row>
    <row r="1156" spans="13:18" x14ac:dyDescent="0.15">
      <c r="M1156" s="46">
        <v>2022</v>
      </c>
      <c r="N1156" s="26" t="s">
        <v>403</v>
      </c>
      <c r="O1156" s="26" t="s">
        <v>39</v>
      </c>
      <c r="P1156" s="26" t="s">
        <v>429</v>
      </c>
      <c r="Q1156" s="47">
        <f t="shared" si="123"/>
        <v>0</v>
      </c>
      <c r="R1156" s="47">
        <f t="shared" si="124"/>
        <v>0</v>
      </c>
    </row>
    <row r="1157" spans="13:18" x14ac:dyDescent="0.15">
      <c r="M1157" s="46">
        <v>2022</v>
      </c>
      <c r="N1157" s="26" t="s">
        <v>403</v>
      </c>
      <c r="O1157" s="26" t="s">
        <v>39</v>
      </c>
      <c r="P1157" s="26" t="s">
        <v>430</v>
      </c>
      <c r="Q1157" s="47">
        <f t="shared" si="123"/>
        <v>0</v>
      </c>
      <c r="R1157" s="47">
        <f t="shared" si="124"/>
        <v>0</v>
      </c>
    </row>
    <row r="1158" spans="13:18" x14ac:dyDescent="0.15">
      <c r="M1158" s="46">
        <v>2022</v>
      </c>
      <c r="N1158" s="26" t="s">
        <v>403</v>
      </c>
      <c r="O1158" s="26" t="s">
        <v>40</v>
      </c>
      <c r="P1158" s="26" t="s">
        <v>426</v>
      </c>
      <c r="Q1158" s="47">
        <f t="shared" si="123"/>
        <v>0</v>
      </c>
      <c r="R1158" s="47">
        <f t="shared" si="124"/>
        <v>0</v>
      </c>
    </row>
    <row r="1159" spans="13:18" x14ac:dyDescent="0.15">
      <c r="M1159" s="46">
        <v>2022</v>
      </c>
      <c r="N1159" s="26" t="s">
        <v>403</v>
      </c>
      <c r="O1159" s="26" t="s">
        <v>40</v>
      </c>
      <c r="P1159" s="26" t="s">
        <v>428</v>
      </c>
      <c r="Q1159" s="47">
        <f t="shared" si="123"/>
        <v>0</v>
      </c>
      <c r="R1159" s="47">
        <f t="shared" si="124"/>
        <v>0</v>
      </c>
    </row>
    <row r="1160" spans="13:18" x14ac:dyDescent="0.15">
      <c r="M1160" s="46">
        <v>2022</v>
      </c>
      <c r="N1160" s="26" t="s">
        <v>403</v>
      </c>
      <c r="O1160" s="26" t="s">
        <v>40</v>
      </c>
      <c r="P1160" s="26" t="s">
        <v>429</v>
      </c>
      <c r="Q1160" s="47">
        <f t="shared" si="123"/>
        <v>0</v>
      </c>
      <c r="R1160" s="47">
        <f t="shared" si="124"/>
        <v>0</v>
      </c>
    </row>
    <row r="1161" spans="13:18" x14ac:dyDescent="0.15">
      <c r="M1161" s="46">
        <v>2022</v>
      </c>
      <c r="N1161" s="26" t="s">
        <v>403</v>
      </c>
      <c r="O1161" s="26" t="s">
        <v>40</v>
      </c>
      <c r="P1161" s="26" t="s">
        <v>430</v>
      </c>
      <c r="Q1161" s="47">
        <f t="shared" si="123"/>
        <v>0</v>
      </c>
      <c r="R1161" s="47">
        <f t="shared" si="124"/>
        <v>0</v>
      </c>
    </row>
    <row r="1162" spans="13:18" x14ac:dyDescent="0.15">
      <c r="M1162" s="46">
        <v>2022</v>
      </c>
      <c r="N1162" s="26" t="s">
        <v>403</v>
      </c>
      <c r="O1162" s="26" t="s">
        <v>41</v>
      </c>
      <c r="P1162" s="26" t="s">
        <v>426</v>
      </c>
      <c r="Q1162" s="47">
        <f t="shared" si="123"/>
        <v>0</v>
      </c>
      <c r="R1162" s="47">
        <f t="shared" si="124"/>
        <v>0</v>
      </c>
    </row>
    <row r="1163" spans="13:18" x14ac:dyDescent="0.15">
      <c r="M1163" s="46">
        <v>2022</v>
      </c>
      <c r="N1163" s="26" t="s">
        <v>403</v>
      </c>
      <c r="O1163" s="26" t="s">
        <v>41</v>
      </c>
      <c r="P1163" s="26" t="s">
        <v>428</v>
      </c>
      <c r="Q1163" s="47">
        <f t="shared" si="123"/>
        <v>0</v>
      </c>
      <c r="R1163" s="47">
        <f t="shared" si="124"/>
        <v>0</v>
      </c>
    </row>
    <row r="1164" spans="13:18" x14ac:dyDescent="0.15">
      <c r="M1164" s="46">
        <v>2022</v>
      </c>
      <c r="N1164" s="26" t="s">
        <v>403</v>
      </c>
      <c r="O1164" s="26" t="s">
        <v>41</v>
      </c>
      <c r="P1164" s="26" t="s">
        <v>429</v>
      </c>
      <c r="Q1164" s="47">
        <f t="shared" si="123"/>
        <v>0</v>
      </c>
      <c r="R1164" s="47">
        <f t="shared" si="124"/>
        <v>0</v>
      </c>
    </row>
    <row r="1165" spans="13:18" x14ac:dyDescent="0.15">
      <c r="M1165" s="46">
        <v>2022</v>
      </c>
      <c r="N1165" s="26" t="s">
        <v>403</v>
      </c>
      <c r="O1165" s="26" t="s">
        <v>41</v>
      </c>
      <c r="P1165" s="26" t="s">
        <v>430</v>
      </c>
      <c r="Q1165" s="47">
        <f t="shared" si="123"/>
        <v>0</v>
      </c>
      <c r="R1165" s="47">
        <f t="shared" si="124"/>
        <v>0</v>
      </c>
    </row>
    <row r="1166" spans="13:18" x14ac:dyDescent="0.15">
      <c r="M1166" s="46">
        <v>2022</v>
      </c>
      <c r="N1166" s="26" t="s">
        <v>403</v>
      </c>
      <c r="O1166" s="26" t="s">
        <v>42</v>
      </c>
      <c r="P1166" s="26" t="s">
        <v>426</v>
      </c>
      <c r="Q1166" s="47">
        <f t="shared" si="123"/>
        <v>0</v>
      </c>
      <c r="R1166" s="47">
        <f t="shared" si="124"/>
        <v>0</v>
      </c>
    </row>
    <row r="1167" spans="13:18" x14ac:dyDescent="0.15">
      <c r="M1167" s="46">
        <v>2022</v>
      </c>
      <c r="N1167" s="26" t="s">
        <v>403</v>
      </c>
      <c r="O1167" s="26" t="s">
        <v>42</v>
      </c>
      <c r="P1167" s="26" t="s">
        <v>428</v>
      </c>
      <c r="Q1167" s="47">
        <f t="shared" si="123"/>
        <v>0</v>
      </c>
      <c r="R1167" s="47">
        <f t="shared" si="124"/>
        <v>0</v>
      </c>
    </row>
    <row r="1168" spans="13:18" x14ac:dyDescent="0.15">
      <c r="M1168" s="46">
        <v>2022</v>
      </c>
      <c r="N1168" s="26" t="s">
        <v>403</v>
      </c>
      <c r="O1168" s="26" t="s">
        <v>42</v>
      </c>
      <c r="P1168" s="26" t="s">
        <v>429</v>
      </c>
      <c r="Q1168" s="47">
        <f t="shared" si="123"/>
        <v>0</v>
      </c>
      <c r="R1168" s="47">
        <f t="shared" si="124"/>
        <v>0</v>
      </c>
    </row>
    <row r="1169" spans="13:18" x14ac:dyDescent="0.15">
      <c r="M1169" s="46">
        <v>2022</v>
      </c>
      <c r="N1169" s="26" t="s">
        <v>403</v>
      </c>
      <c r="O1169" s="26" t="s">
        <v>42</v>
      </c>
      <c r="P1169" s="26" t="s">
        <v>430</v>
      </c>
      <c r="Q1169" s="47">
        <f t="shared" si="123"/>
        <v>0</v>
      </c>
      <c r="R1169" s="47">
        <f t="shared" si="124"/>
        <v>0</v>
      </c>
    </row>
    <row r="1170" spans="13:18" x14ac:dyDescent="0.15">
      <c r="M1170" s="46">
        <v>2022</v>
      </c>
      <c r="N1170" s="26" t="s">
        <v>403</v>
      </c>
      <c r="O1170" s="26" t="s">
        <v>43</v>
      </c>
      <c r="P1170" s="26" t="s">
        <v>426</v>
      </c>
      <c r="Q1170" s="47">
        <f t="shared" si="123"/>
        <v>0</v>
      </c>
      <c r="R1170" s="47">
        <f t="shared" si="124"/>
        <v>0</v>
      </c>
    </row>
    <row r="1171" spans="13:18" x14ac:dyDescent="0.15">
      <c r="M1171" s="46">
        <v>2022</v>
      </c>
      <c r="N1171" s="26" t="s">
        <v>403</v>
      </c>
      <c r="O1171" s="26" t="s">
        <v>43</v>
      </c>
      <c r="P1171" s="26" t="s">
        <v>428</v>
      </c>
      <c r="Q1171" s="47">
        <f t="shared" si="123"/>
        <v>0</v>
      </c>
      <c r="R1171" s="47">
        <f t="shared" si="124"/>
        <v>0</v>
      </c>
    </row>
    <row r="1172" spans="13:18" x14ac:dyDescent="0.15">
      <c r="M1172" s="46">
        <v>2022</v>
      </c>
      <c r="N1172" s="26" t="s">
        <v>403</v>
      </c>
      <c r="O1172" s="26" t="s">
        <v>43</v>
      </c>
      <c r="P1172" s="26" t="s">
        <v>429</v>
      </c>
      <c r="Q1172" s="47">
        <f t="shared" si="123"/>
        <v>0</v>
      </c>
      <c r="R1172" s="47">
        <f t="shared" si="124"/>
        <v>0</v>
      </c>
    </row>
    <row r="1173" spans="13:18" x14ac:dyDescent="0.15">
      <c r="M1173" s="46">
        <v>2022</v>
      </c>
      <c r="N1173" s="26" t="s">
        <v>403</v>
      </c>
      <c r="O1173" s="26" t="s">
        <v>43</v>
      </c>
      <c r="P1173" s="26" t="s">
        <v>430</v>
      </c>
      <c r="Q1173" s="47">
        <f t="shared" si="123"/>
        <v>0</v>
      </c>
      <c r="R1173" s="47">
        <f t="shared" si="124"/>
        <v>0</v>
      </c>
    </row>
    <row r="1174" spans="13:18" x14ac:dyDescent="0.15">
      <c r="M1174" s="46">
        <v>2022</v>
      </c>
      <c r="N1174" s="26" t="s">
        <v>403</v>
      </c>
      <c r="O1174" s="26" t="s">
        <v>44</v>
      </c>
      <c r="P1174" s="26" t="s">
        <v>426</v>
      </c>
      <c r="Q1174" s="47">
        <f t="shared" si="123"/>
        <v>0</v>
      </c>
      <c r="R1174" s="47">
        <f t="shared" si="124"/>
        <v>0</v>
      </c>
    </row>
    <row r="1175" spans="13:18" x14ac:dyDescent="0.15">
      <c r="M1175" s="46">
        <v>2022</v>
      </c>
      <c r="N1175" s="26" t="s">
        <v>403</v>
      </c>
      <c r="O1175" s="26" t="s">
        <v>44</v>
      </c>
      <c r="P1175" s="26" t="s">
        <v>428</v>
      </c>
      <c r="Q1175" s="47">
        <f t="shared" si="123"/>
        <v>0</v>
      </c>
      <c r="R1175" s="47">
        <f t="shared" si="124"/>
        <v>0</v>
      </c>
    </row>
    <row r="1176" spans="13:18" x14ac:dyDescent="0.15">
      <c r="M1176" s="46">
        <v>2022</v>
      </c>
      <c r="N1176" s="26" t="s">
        <v>403</v>
      </c>
      <c r="O1176" s="26" t="s">
        <v>44</v>
      </c>
      <c r="P1176" s="26" t="s">
        <v>429</v>
      </c>
      <c r="Q1176" s="47">
        <f t="shared" si="123"/>
        <v>0</v>
      </c>
      <c r="R1176" s="47">
        <f t="shared" si="124"/>
        <v>0</v>
      </c>
    </row>
    <row r="1177" spans="13:18" x14ac:dyDescent="0.15">
      <c r="M1177" s="46">
        <v>2022</v>
      </c>
      <c r="N1177" s="26" t="s">
        <v>403</v>
      </c>
      <c r="O1177" s="26" t="s">
        <v>44</v>
      </c>
      <c r="P1177" s="26" t="s">
        <v>430</v>
      </c>
      <c r="Q1177" s="47">
        <f t="shared" si="123"/>
        <v>0</v>
      </c>
      <c r="R1177" s="47">
        <f t="shared" si="124"/>
        <v>0</v>
      </c>
    </row>
    <row r="1178" spans="13:18" x14ac:dyDescent="0.15">
      <c r="M1178" s="46">
        <v>2022</v>
      </c>
      <c r="N1178" s="26" t="s">
        <v>403</v>
      </c>
      <c r="O1178" s="26" t="s">
        <v>45</v>
      </c>
      <c r="P1178" s="26" t="s">
        <v>426</v>
      </c>
      <c r="Q1178" s="47">
        <f t="shared" si="123"/>
        <v>0</v>
      </c>
      <c r="R1178" s="47">
        <f t="shared" si="124"/>
        <v>0</v>
      </c>
    </row>
    <row r="1179" spans="13:18" x14ac:dyDescent="0.15">
      <c r="M1179" s="46">
        <v>2022</v>
      </c>
      <c r="N1179" s="26" t="s">
        <v>403</v>
      </c>
      <c r="O1179" s="26" t="s">
        <v>45</v>
      </c>
      <c r="P1179" s="26" t="s">
        <v>428</v>
      </c>
      <c r="Q1179" s="47">
        <f t="shared" si="123"/>
        <v>0</v>
      </c>
      <c r="R1179" s="47">
        <f t="shared" si="124"/>
        <v>0</v>
      </c>
    </row>
    <row r="1180" spans="13:18" x14ac:dyDescent="0.15">
      <c r="M1180" s="46">
        <v>2022</v>
      </c>
      <c r="N1180" s="26" t="s">
        <v>403</v>
      </c>
      <c r="O1180" s="26" t="s">
        <v>45</v>
      </c>
      <c r="P1180" s="26" t="s">
        <v>429</v>
      </c>
      <c r="Q1180" s="47">
        <f t="shared" si="123"/>
        <v>0</v>
      </c>
      <c r="R1180" s="47">
        <f t="shared" si="124"/>
        <v>0</v>
      </c>
    </row>
    <row r="1181" spans="13:18" x14ac:dyDescent="0.15">
      <c r="M1181" s="46">
        <v>2022</v>
      </c>
      <c r="N1181" s="26" t="s">
        <v>403</v>
      </c>
      <c r="O1181" s="26" t="s">
        <v>45</v>
      </c>
      <c r="P1181" s="26" t="s">
        <v>430</v>
      </c>
      <c r="Q1181" s="47">
        <f t="shared" si="123"/>
        <v>0</v>
      </c>
      <c r="R1181" s="47">
        <f t="shared" si="124"/>
        <v>0</v>
      </c>
    </row>
    <row r="1182" spans="13:18" x14ac:dyDescent="0.15">
      <c r="M1182" s="46">
        <v>2022</v>
      </c>
      <c r="N1182" s="26" t="s">
        <v>403</v>
      </c>
      <c r="O1182" s="26" t="s">
        <v>46</v>
      </c>
      <c r="P1182" s="26" t="s">
        <v>426</v>
      </c>
      <c r="Q1182" s="47">
        <f t="shared" si="123"/>
        <v>0</v>
      </c>
      <c r="R1182" s="47">
        <f t="shared" si="124"/>
        <v>0</v>
      </c>
    </row>
    <row r="1183" spans="13:18" x14ac:dyDescent="0.15">
      <c r="M1183" s="46">
        <v>2022</v>
      </c>
      <c r="N1183" s="26" t="s">
        <v>403</v>
      </c>
      <c r="O1183" s="26" t="s">
        <v>46</v>
      </c>
      <c r="P1183" s="26" t="s">
        <v>428</v>
      </c>
      <c r="Q1183" s="47">
        <f t="shared" si="123"/>
        <v>0</v>
      </c>
      <c r="R1183" s="47">
        <f t="shared" si="124"/>
        <v>0</v>
      </c>
    </row>
    <row r="1184" spans="13:18" x14ac:dyDescent="0.15">
      <c r="M1184" s="46">
        <v>2022</v>
      </c>
      <c r="N1184" s="26" t="s">
        <v>403</v>
      </c>
      <c r="O1184" s="26" t="s">
        <v>46</v>
      </c>
      <c r="P1184" s="26" t="s">
        <v>429</v>
      </c>
      <c r="Q1184" s="47">
        <f t="shared" si="123"/>
        <v>0</v>
      </c>
      <c r="R1184" s="47">
        <f t="shared" si="124"/>
        <v>0</v>
      </c>
    </row>
    <row r="1185" spans="13:18" x14ac:dyDescent="0.15">
      <c r="M1185" s="46">
        <v>2022</v>
      </c>
      <c r="N1185" s="26" t="s">
        <v>403</v>
      </c>
      <c r="O1185" s="26" t="s">
        <v>46</v>
      </c>
      <c r="P1185" s="26" t="s">
        <v>430</v>
      </c>
      <c r="Q1185" s="47">
        <f t="shared" si="123"/>
        <v>0</v>
      </c>
      <c r="R1185" s="47">
        <f t="shared" si="124"/>
        <v>0</v>
      </c>
    </row>
    <row r="1186" spans="13:18" x14ac:dyDescent="0.15">
      <c r="M1186" s="46">
        <v>2022</v>
      </c>
      <c r="N1186" s="26" t="s">
        <v>403</v>
      </c>
      <c r="O1186" s="26" t="s">
        <v>47</v>
      </c>
      <c r="P1186" s="26" t="s">
        <v>426</v>
      </c>
      <c r="Q1186" s="47">
        <f t="shared" si="123"/>
        <v>0</v>
      </c>
      <c r="R1186" s="47">
        <f t="shared" si="124"/>
        <v>0</v>
      </c>
    </row>
    <row r="1187" spans="13:18" x14ac:dyDescent="0.15">
      <c r="M1187" s="46">
        <v>2022</v>
      </c>
      <c r="N1187" s="26" t="s">
        <v>403</v>
      </c>
      <c r="O1187" s="26" t="s">
        <v>47</v>
      </c>
      <c r="P1187" s="26" t="s">
        <v>428</v>
      </c>
      <c r="Q1187" s="47">
        <f t="shared" si="123"/>
        <v>0</v>
      </c>
      <c r="R1187" s="47">
        <f t="shared" si="124"/>
        <v>0</v>
      </c>
    </row>
    <row r="1188" spans="13:18" x14ac:dyDescent="0.15">
      <c r="M1188" s="46">
        <v>2022</v>
      </c>
      <c r="N1188" s="26" t="s">
        <v>403</v>
      </c>
      <c r="O1188" s="26" t="s">
        <v>47</v>
      </c>
      <c r="P1188" s="26" t="s">
        <v>429</v>
      </c>
      <c r="Q1188" s="47">
        <f t="shared" si="123"/>
        <v>0</v>
      </c>
      <c r="R1188" s="47">
        <f t="shared" si="124"/>
        <v>0</v>
      </c>
    </row>
    <row r="1189" spans="13:18" x14ac:dyDescent="0.15">
      <c r="M1189" s="46">
        <v>2022</v>
      </c>
      <c r="N1189" s="26" t="s">
        <v>403</v>
      </c>
      <c r="O1189" s="26" t="s">
        <v>47</v>
      </c>
      <c r="P1189" s="26" t="s">
        <v>430</v>
      </c>
      <c r="Q1189" s="47">
        <f t="shared" si="123"/>
        <v>0</v>
      </c>
      <c r="R1189" s="47">
        <f t="shared" si="124"/>
        <v>0</v>
      </c>
    </row>
    <row r="1190" spans="13:18" x14ac:dyDescent="0.15">
      <c r="M1190" s="46">
        <v>2022</v>
      </c>
      <c r="N1190" s="26" t="s">
        <v>403</v>
      </c>
      <c r="O1190" s="26" t="s">
        <v>48</v>
      </c>
      <c r="P1190" s="26" t="s">
        <v>426</v>
      </c>
      <c r="Q1190" s="47">
        <f t="shared" si="123"/>
        <v>0</v>
      </c>
      <c r="R1190" s="47">
        <f t="shared" si="124"/>
        <v>0</v>
      </c>
    </row>
    <row r="1191" spans="13:18" x14ac:dyDescent="0.15">
      <c r="M1191" s="46">
        <v>2022</v>
      </c>
      <c r="N1191" s="26" t="s">
        <v>403</v>
      </c>
      <c r="O1191" s="26" t="s">
        <v>48</v>
      </c>
      <c r="P1191" s="26" t="s">
        <v>428</v>
      </c>
      <c r="Q1191" s="47">
        <f t="shared" si="123"/>
        <v>0</v>
      </c>
      <c r="R1191" s="47">
        <f t="shared" si="124"/>
        <v>0</v>
      </c>
    </row>
    <row r="1192" spans="13:18" x14ac:dyDescent="0.15">
      <c r="M1192" s="46">
        <v>2022</v>
      </c>
      <c r="N1192" s="26" t="s">
        <v>403</v>
      </c>
      <c r="O1192" s="26" t="s">
        <v>48</v>
      </c>
      <c r="P1192" s="26" t="s">
        <v>429</v>
      </c>
      <c r="Q1192" s="47">
        <f t="shared" si="123"/>
        <v>0</v>
      </c>
      <c r="R1192" s="47">
        <f t="shared" si="124"/>
        <v>0</v>
      </c>
    </row>
    <row r="1193" spans="13:18" x14ac:dyDescent="0.15">
      <c r="M1193" s="46">
        <v>2022</v>
      </c>
      <c r="N1193" s="26" t="s">
        <v>403</v>
      </c>
      <c r="O1193" s="26" t="s">
        <v>48</v>
      </c>
      <c r="P1193" s="26" t="s">
        <v>430</v>
      </c>
      <c r="Q1193" s="47">
        <f t="shared" si="123"/>
        <v>0</v>
      </c>
      <c r="R1193" s="47">
        <f t="shared" si="124"/>
        <v>0</v>
      </c>
    </row>
    <row r="1194" spans="13:18" x14ac:dyDescent="0.15">
      <c r="M1194" s="46">
        <v>2022</v>
      </c>
      <c r="N1194" s="26" t="s">
        <v>403</v>
      </c>
      <c r="O1194" s="26" t="s">
        <v>49</v>
      </c>
      <c r="P1194" s="26" t="s">
        <v>426</v>
      </c>
      <c r="Q1194" s="47">
        <f t="shared" si="123"/>
        <v>0</v>
      </c>
      <c r="R1194" s="47">
        <f t="shared" si="124"/>
        <v>0</v>
      </c>
    </row>
    <row r="1195" spans="13:18" x14ac:dyDescent="0.15">
      <c r="M1195" s="46">
        <v>2022</v>
      </c>
      <c r="N1195" s="26" t="s">
        <v>403</v>
      </c>
      <c r="O1195" s="26" t="s">
        <v>49</v>
      </c>
      <c r="P1195" s="26" t="s">
        <v>428</v>
      </c>
      <c r="Q1195" s="47">
        <f t="shared" si="123"/>
        <v>0</v>
      </c>
      <c r="R1195" s="47">
        <f t="shared" si="124"/>
        <v>0</v>
      </c>
    </row>
    <row r="1196" spans="13:18" x14ac:dyDescent="0.15">
      <c r="M1196" s="46">
        <v>2022</v>
      </c>
      <c r="N1196" s="26" t="s">
        <v>403</v>
      </c>
      <c r="O1196" s="26" t="s">
        <v>49</v>
      </c>
      <c r="P1196" s="26" t="s">
        <v>429</v>
      </c>
      <c r="Q1196" s="47">
        <f t="shared" si="123"/>
        <v>0</v>
      </c>
      <c r="R1196" s="47">
        <f t="shared" si="124"/>
        <v>0</v>
      </c>
    </row>
    <row r="1197" spans="13:18" x14ac:dyDescent="0.15">
      <c r="M1197" s="46">
        <v>2022</v>
      </c>
      <c r="N1197" s="26" t="s">
        <v>403</v>
      </c>
      <c r="O1197" s="26" t="s">
        <v>49</v>
      </c>
      <c r="P1197" s="26" t="s">
        <v>430</v>
      </c>
      <c r="Q1197" s="47">
        <f t="shared" si="123"/>
        <v>0</v>
      </c>
      <c r="R1197" s="47">
        <f t="shared" si="124"/>
        <v>0</v>
      </c>
    </row>
    <row r="1198" spans="13:18" x14ac:dyDescent="0.15">
      <c r="M1198" s="46">
        <v>2022</v>
      </c>
      <c r="N1198" s="26" t="s">
        <v>403</v>
      </c>
      <c r="O1198" s="26" t="s">
        <v>50</v>
      </c>
      <c r="P1198" s="26" t="s">
        <v>426</v>
      </c>
      <c r="Q1198" s="47">
        <f t="shared" si="123"/>
        <v>0</v>
      </c>
      <c r="R1198" s="47">
        <f t="shared" si="124"/>
        <v>0</v>
      </c>
    </row>
    <row r="1199" spans="13:18" x14ac:dyDescent="0.15">
      <c r="M1199" s="46">
        <v>2022</v>
      </c>
      <c r="N1199" s="26" t="s">
        <v>403</v>
      </c>
      <c r="O1199" s="26" t="s">
        <v>50</v>
      </c>
      <c r="P1199" s="26" t="s">
        <v>428</v>
      </c>
      <c r="Q1199" s="47">
        <f t="shared" si="123"/>
        <v>0</v>
      </c>
      <c r="R1199" s="47">
        <f t="shared" si="124"/>
        <v>0</v>
      </c>
    </row>
    <row r="1200" spans="13:18" x14ac:dyDescent="0.15">
      <c r="M1200" s="46">
        <v>2022</v>
      </c>
      <c r="N1200" s="26" t="s">
        <v>403</v>
      </c>
      <c r="O1200" s="26" t="s">
        <v>50</v>
      </c>
      <c r="P1200" s="26" t="s">
        <v>429</v>
      </c>
      <c r="Q1200" s="47">
        <f t="shared" si="123"/>
        <v>0</v>
      </c>
      <c r="R1200" s="47">
        <f t="shared" si="124"/>
        <v>0</v>
      </c>
    </row>
    <row r="1201" spans="13:18" x14ac:dyDescent="0.15">
      <c r="M1201" s="46">
        <v>2022</v>
      </c>
      <c r="N1201" s="26" t="s">
        <v>403</v>
      </c>
      <c r="O1201" s="26" t="s">
        <v>50</v>
      </c>
      <c r="P1201" s="26" t="s">
        <v>430</v>
      </c>
      <c r="Q1201" s="47">
        <f t="shared" si="123"/>
        <v>0</v>
      </c>
      <c r="R1201" s="47">
        <f t="shared" si="124"/>
        <v>0</v>
      </c>
    </row>
    <row r="1202" spans="13:18" x14ac:dyDescent="0.15">
      <c r="M1202" s="46">
        <v>2022</v>
      </c>
      <c r="N1202" s="26" t="s">
        <v>403</v>
      </c>
      <c r="O1202" s="26" t="s">
        <v>51</v>
      </c>
      <c r="P1202" s="26" t="s">
        <v>426</v>
      </c>
      <c r="Q1202" s="47">
        <f t="shared" si="123"/>
        <v>0</v>
      </c>
      <c r="R1202" s="47">
        <f t="shared" si="124"/>
        <v>0</v>
      </c>
    </row>
    <row r="1203" spans="13:18" x14ac:dyDescent="0.15">
      <c r="M1203" s="46">
        <v>2022</v>
      </c>
      <c r="N1203" s="26" t="s">
        <v>403</v>
      </c>
      <c r="O1203" s="26" t="s">
        <v>51</v>
      </c>
      <c r="P1203" s="26" t="s">
        <v>428</v>
      </c>
      <c r="Q1203" s="47">
        <f t="shared" si="123"/>
        <v>0</v>
      </c>
      <c r="R1203" s="47">
        <f t="shared" si="124"/>
        <v>0</v>
      </c>
    </row>
    <row r="1204" spans="13:18" x14ac:dyDescent="0.15">
      <c r="M1204" s="46">
        <v>2022</v>
      </c>
      <c r="N1204" s="26" t="s">
        <v>403</v>
      </c>
      <c r="O1204" s="26" t="s">
        <v>51</v>
      </c>
      <c r="P1204" s="26" t="s">
        <v>429</v>
      </c>
      <c r="Q1204" s="47">
        <f t="shared" si="123"/>
        <v>0</v>
      </c>
      <c r="R1204" s="47">
        <f t="shared" si="124"/>
        <v>0</v>
      </c>
    </row>
    <row r="1205" spans="13:18" x14ac:dyDescent="0.15">
      <c r="M1205" s="46">
        <v>2022</v>
      </c>
      <c r="N1205" s="26" t="s">
        <v>403</v>
      </c>
      <c r="O1205" s="26" t="s">
        <v>51</v>
      </c>
      <c r="P1205" s="26" t="s">
        <v>430</v>
      </c>
      <c r="Q1205" s="47">
        <f t="shared" si="123"/>
        <v>0</v>
      </c>
      <c r="R1205" s="47">
        <f t="shared" si="124"/>
        <v>0</v>
      </c>
    </row>
    <row r="1206" spans="13:18" x14ac:dyDescent="0.15">
      <c r="M1206" s="46">
        <v>2022</v>
      </c>
      <c r="N1206" s="26" t="s">
        <v>403</v>
      </c>
      <c r="O1206" s="26" t="s">
        <v>52</v>
      </c>
      <c r="P1206" s="26" t="s">
        <v>426</v>
      </c>
      <c r="Q1206" s="47">
        <f t="shared" si="123"/>
        <v>0</v>
      </c>
      <c r="R1206" s="47">
        <f t="shared" si="124"/>
        <v>0</v>
      </c>
    </row>
    <row r="1207" spans="13:18" x14ac:dyDescent="0.15">
      <c r="M1207" s="46">
        <v>2022</v>
      </c>
      <c r="N1207" s="26" t="s">
        <v>403</v>
      </c>
      <c r="O1207" s="26" t="s">
        <v>52</v>
      </c>
      <c r="P1207" s="26" t="s">
        <v>428</v>
      </c>
      <c r="Q1207" s="47">
        <f t="shared" si="123"/>
        <v>0</v>
      </c>
      <c r="R1207" s="47">
        <f t="shared" si="124"/>
        <v>0</v>
      </c>
    </row>
    <row r="1208" spans="13:18" x14ac:dyDescent="0.15">
      <c r="M1208" s="46">
        <v>2022</v>
      </c>
      <c r="N1208" s="26" t="s">
        <v>403</v>
      </c>
      <c r="O1208" s="26" t="s">
        <v>52</v>
      </c>
      <c r="P1208" s="26" t="s">
        <v>429</v>
      </c>
      <c r="Q1208" s="47">
        <f t="shared" si="123"/>
        <v>0</v>
      </c>
      <c r="R1208" s="47">
        <f t="shared" si="124"/>
        <v>0</v>
      </c>
    </row>
    <row r="1209" spans="13:18" x14ac:dyDescent="0.15">
      <c r="M1209" s="46">
        <v>2022</v>
      </c>
      <c r="N1209" s="26" t="s">
        <v>403</v>
      </c>
      <c r="O1209" s="26" t="s">
        <v>52</v>
      </c>
      <c r="P1209" s="26" t="s">
        <v>430</v>
      </c>
      <c r="Q1209" s="47">
        <f t="shared" si="123"/>
        <v>0</v>
      </c>
      <c r="R1209" s="47">
        <f t="shared" si="124"/>
        <v>0</v>
      </c>
    </row>
    <row r="1210" spans="13:18" x14ac:dyDescent="0.15">
      <c r="M1210" s="46">
        <v>2022</v>
      </c>
      <c r="N1210" s="26" t="s">
        <v>403</v>
      </c>
      <c r="O1210" s="26" t="s">
        <v>53</v>
      </c>
      <c r="P1210" s="26" t="s">
        <v>426</v>
      </c>
      <c r="Q1210" s="47">
        <f t="shared" si="123"/>
        <v>0</v>
      </c>
      <c r="R1210" s="47">
        <f t="shared" si="124"/>
        <v>0</v>
      </c>
    </row>
    <row r="1211" spans="13:18" x14ac:dyDescent="0.15">
      <c r="M1211" s="46">
        <v>2022</v>
      </c>
      <c r="N1211" s="26" t="s">
        <v>403</v>
      </c>
      <c r="O1211" s="26" t="s">
        <v>53</v>
      </c>
      <c r="P1211" s="26" t="s">
        <v>428</v>
      </c>
      <c r="Q1211" s="47">
        <f t="shared" si="123"/>
        <v>0</v>
      </c>
      <c r="R1211" s="47">
        <f t="shared" si="124"/>
        <v>0</v>
      </c>
    </row>
    <row r="1212" spans="13:18" x14ac:dyDescent="0.15">
      <c r="M1212" s="46">
        <v>2022</v>
      </c>
      <c r="N1212" s="26" t="s">
        <v>403</v>
      </c>
      <c r="O1212" s="26" t="s">
        <v>53</v>
      </c>
      <c r="P1212" s="26" t="s">
        <v>429</v>
      </c>
      <c r="Q1212" s="47">
        <f t="shared" si="123"/>
        <v>0</v>
      </c>
      <c r="R1212" s="47">
        <f t="shared" si="124"/>
        <v>0</v>
      </c>
    </row>
    <row r="1213" spans="13:18" x14ac:dyDescent="0.15">
      <c r="M1213" s="46">
        <v>2022</v>
      </c>
      <c r="N1213" s="26" t="s">
        <v>403</v>
      </c>
      <c r="O1213" s="26" t="s">
        <v>53</v>
      </c>
      <c r="P1213" s="26" t="s">
        <v>430</v>
      </c>
      <c r="Q1213" s="47">
        <f t="shared" si="123"/>
        <v>0</v>
      </c>
      <c r="R1213" s="47">
        <f t="shared" si="124"/>
        <v>0</v>
      </c>
    </row>
    <row r="1214" spans="13:18" x14ac:dyDescent="0.15">
      <c r="M1214" s="46">
        <v>2022</v>
      </c>
      <c r="N1214" s="26" t="s">
        <v>403</v>
      </c>
      <c r="O1214" s="26" t="s">
        <v>54</v>
      </c>
      <c r="P1214" s="26" t="s">
        <v>426</v>
      </c>
      <c r="Q1214" s="47">
        <f t="shared" si="123"/>
        <v>0</v>
      </c>
      <c r="R1214" s="47">
        <f t="shared" si="124"/>
        <v>0</v>
      </c>
    </row>
    <row r="1215" spans="13:18" x14ac:dyDescent="0.15">
      <c r="M1215" s="46">
        <v>2022</v>
      </c>
      <c r="N1215" s="26" t="s">
        <v>403</v>
      </c>
      <c r="O1215" s="26" t="s">
        <v>54</v>
      </c>
      <c r="P1215" s="26" t="s">
        <v>428</v>
      </c>
      <c r="Q1215" s="47">
        <f t="shared" si="123"/>
        <v>0</v>
      </c>
      <c r="R1215" s="47">
        <f t="shared" si="124"/>
        <v>0</v>
      </c>
    </row>
    <row r="1216" spans="13:18" x14ac:dyDescent="0.15">
      <c r="M1216" s="46">
        <v>2022</v>
      </c>
      <c r="N1216" s="26" t="s">
        <v>403</v>
      </c>
      <c r="O1216" s="26" t="s">
        <v>54</v>
      </c>
      <c r="P1216" s="26" t="s">
        <v>429</v>
      </c>
      <c r="Q1216" s="47">
        <f t="shared" si="123"/>
        <v>0</v>
      </c>
      <c r="R1216" s="47">
        <f t="shared" si="124"/>
        <v>0</v>
      </c>
    </row>
    <row r="1217" spans="13:18" x14ac:dyDescent="0.15">
      <c r="M1217" s="46">
        <v>2022</v>
      </c>
      <c r="N1217" s="26" t="s">
        <v>403</v>
      </c>
      <c r="O1217" s="26" t="s">
        <v>54</v>
      </c>
      <c r="P1217" s="26" t="s">
        <v>430</v>
      </c>
      <c r="Q1217" s="47">
        <f t="shared" si="123"/>
        <v>0</v>
      </c>
      <c r="R1217" s="47">
        <f t="shared" si="124"/>
        <v>0</v>
      </c>
    </row>
    <row r="1218" spans="13:18" x14ac:dyDescent="0.15">
      <c r="M1218" s="46">
        <v>2022</v>
      </c>
      <c r="N1218" s="26" t="s">
        <v>403</v>
      </c>
      <c r="O1218" s="26" t="s">
        <v>408</v>
      </c>
      <c r="P1218" s="26" t="s">
        <v>426</v>
      </c>
      <c r="Q1218" s="47">
        <f t="shared" ref="Q1218:Q1225" si="125">SUMIFS(D:D,B:B,N1218,C:C,P1218,A:A,M1218)*SUMIFS(K:K,G:G,N1218,I:I,O1218)</f>
        <v>0</v>
      </c>
      <c r="R1218" s="47">
        <f t="shared" ref="R1218:R1225" si="126">SUMIFS(E:E,B:B,N1218,C:C,P1218,A:A,M1218)*SUMIFS(K:K,G:G,N1218,I:I,O1218)</f>
        <v>0</v>
      </c>
    </row>
    <row r="1219" spans="13:18" x14ac:dyDescent="0.15">
      <c r="M1219" s="46">
        <v>2022</v>
      </c>
      <c r="N1219" s="26" t="s">
        <v>403</v>
      </c>
      <c r="O1219" s="26" t="s">
        <v>408</v>
      </c>
      <c r="P1219" s="26" t="s">
        <v>428</v>
      </c>
      <c r="Q1219" s="47">
        <f t="shared" si="125"/>
        <v>0</v>
      </c>
      <c r="R1219" s="47">
        <f t="shared" si="126"/>
        <v>0</v>
      </c>
    </row>
    <row r="1220" spans="13:18" x14ac:dyDescent="0.15">
      <c r="M1220" s="46">
        <v>2022</v>
      </c>
      <c r="N1220" s="26" t="s">
        <v>403</v>
      </c>
      <c r="O1220" s="26" t="s">
        <v>408</v>
      </c>
      <c r="P1220" s="26" t="s">
        <v>429</v>
      </c>
      <c r="Q1220" s="47">
        <f t="shared" si="125"/>
        <v>0</v>
      </c>
      <c r="R1220" s="47">
        <f t="shared" si="126"/>
        <v>0</v>
      </c>
    </row>
    <row r="1221" spans="13:18" x14ac:dyDescent="0.15">
      <c r="M1221" s="46">
        <v>2022</v>
      </c>
      <c r="N1221" s="26" t="s">
        <v>403</v>
      </c>
      <c r="O1221" s="26" t="s">
        <v>408</v>
      </c>
      <c r="P1221" s="26" t="s">
        <v>430</v>
      </c>
      <c r="Q1221" s="47">
        <f t="shared" si="125"/>
        <v>0</v>
      </c>
      <c r="R1221" s="47">
        <f t="shared" si="126"/>
        <v>0</v>
      </c>
    </row>
    <row r="1222" spans="13:18" x14ac:dyDescent="0.15">
      <c r="M1222" s="46">
        <v>2022</v>
      </c>
      <c r="N1222" s="26" t="s">
        <v>403</v>
      </c>
      <c r="O1222" s="26" t="s">
        <v>55</v>
      </c>
      <c r="P1222" s="26" t="s">
        <v>426</v>
      </c>
      <c r="Q1222" s="47">
        <f t="shared" si="125"/>
        <v>0</v>
      </c>
      <c r="R1222" s="47">
        <f t="shared" si="126"/>
        <v>0</v>
      </c>
    </row>
    <row r="1223" spans="13:18" x14ac:dyDescent="0.15">
      <c r="M1223" s="46">
        <v>2022</v>
      </c>
      <c r="N1223" s="26" t="s">
        <v>403</v>
      </c>
      <c r="O1223" s="26" t="s">
        <v>55</v>
      </c>
      <c r="P1223" s="26" t="s">
        <v>428</v>
      </c>
      <c r="Q1223" s="47">
        <f t="shared" si="125"/>
        <v>0</v>
      </c>
      <c r="R1223" s="47">
        <f t="shared" si="126"/>
        <v>0</v>
      </c>
    </row>
    <row r="1224" spans="13:18" x14ac:dyDescent="0.15">
      <c r="M1224" s="46">
        <v>2022</v>
      </c>
      <c r="N1224" s="26" t="s">
        <v>403</v>
      </c>
      <c r="O1224" s="26" t="s">
        <v>55</v>
      </c>
      <c r="P1224" s="26" t="s">
        <v>429</v>
      </c>
      <c r="Q1224" s="47">
        <f t="shared" si="125"/>
        <v>0</v>
      </c>
      <c r="R1224" s="47">
        <f t="shared" si="126"/>
        <v>0</v>
      </c>
    </row>
    <row r="1225" spans="13:18" x14ac:dyDescent="0.15">
      <c r="M1225" s="46">
        <v>2022</v>
      </c>
      <c r="N1225" s="26" t="s">
        <v>403</v>
      </c>
      <c r="O1225" s="26" t="s">
        <v>55</v>
      </c>
      <c r="P1225" s="26" t="s">
        <v>430</v>
      </c>
      <c r="Q1225" s="47">
        <f t="shared" si="125"/>
        <v>0</v>
      </c>
      <c r="R1225" s="47">
        <f t="shared" si="126"/>
        <v>0</v>
      </c>
    </row>
  </sheetData>
  <autoFilter ref="N1:R409" xr:uid="{B88FBBBD-9468-4731-B53B-7A22E5C2748A}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F92A-17E3-418F-A808-25FAC9FAB230}">
  <dimension ref="A1:T88"/>
  <sheetViews>
    <sheetView workbookViewId="0">
      <selection activeCell="M6" sqref="M6"/>
    </sheetView>
  </sheetViews>
  <sheetFormatPr defaultColWidth="9" defaultRowHeight="12" x14ac:dyDescent="0.15"/>
  <cols>
    <col min="1" max="1" width="27" style="21" customWidth="1"/>
    <col min="2" max="2" width="11" style="21" customWidth="1"/>
    <col min="3" max="9" width="9.375" style="21" customWidth="1"/>
    <col min="10" max="10" width="10.125" style="21" customWidth="1"/>
    <col min="11" max="11" width="9" style="21" customWidth="1"/>
    <col min="12" max="12" width="20.375" style="21" customWidth="1"/>
    <col min="13" max="16384" width="9" style="21"/>
  </cols>
  <sheetData>
    <row r="1" spans="1:20" x14ac:dyDescent="0.15">
      <c r="A1" s="51" t="s">
        <v>103</v>
      </c>
      <c r="B1" s="51" t="s">
        <v>460</v>
      </c>
      <c r="C1" s="51"/>
      <c r="D1" s="51"/>
      <c r="E1" s="51"/>
      <c r="F1" s="51"/>
      <c r="G1" s="51"/>
      <c r="H1" s="51"/>
      <c r="I1" s="51"/>
      <c r="K1" s="21" t="s">
        <v>440</v>
      </c>
      <c r="L1" s="51" t="s">
        <v>103</v>
      </c>
      <c r="M1" s="51" t="s">
        <v>461</v>
      </c>
      <c r="N1" s="51"/>
      <c r="O1" s="51"/>
      <c r="P1" s="51"/>
      <c r="Q1" s="51"/>
      <c r="R1" s="51"/>
      <c r="S1" s="51"/>
      <c r="T1" s="51"/>
    </row>
    <row r="2" spans="1:20" x14ac:dyDescent="0.15">
      <c r="A2" s="26" t="s">
        <v>384</v>
      </c>
      <c r="B2" s="46" t="s">
        <v>437</v>
      </c>
      <c r="C2" s="20">
        <v>2021</v>
      </c>
      <c r="D2" s="20">
        <v>2022</v>
      </c>
      <c r="E2" s="20">
        <v>2023</v>
      </c>
      <c r="F2" s="20">
        <v>2024</v>
      </c>
      <c r="G2" s="20">
        <v>2025</v>
      </c>
      <c r="H2" s="20">
        <v>2026</v>
      </c>
      <c r="I2" s="20">
        <v>2027</v>
      </c>
      <c r="K2" s="21">
        <v>277782450000</v>
      </c>
      <c r="L2" s="26" t="s">
        <v>384</v>
      </c>
      <c r="M2" s="46" t="s">
        <v>437</v>
      </c>
      <c r="N2" s="20">
        <v>2021</v>
      </c>
      <c r="O2" s="20">
        <v>2022</v>
      </c>
      <c r="P2" s="20">
        <v>2023</v>
      </c>
      <c r="Q2" s="20">
        <v>2024</v>
      </c>
      <c r="R2" s="20">
        <v>2025</v>
      </c>
      <c r="S2" s="20">
        <v>2026</v>
      </c>
      <c r="T2" s="20">
        <v>2027</v>
      </c>
    </row>
    <row r="3" spans="1:20" x14ac:dyDescent="0.15">
      <c r="A3" s="26" t="s">
        <v>99</v>
      </c>
      <c r="B3" s="50">
        <f>SUMIFS(工业节能技术装备推荐目录!L:L,工业节能技术装备推荐目录!D:D,'Early Facility Retirement'!A3,工业节能技术装备推荐目录!F:F,'Early Facility Retirement'!$A$1)+SUMIFS(用能设备节能分配!R:R,用能设备节能分配!O:O,'Early Facility Retirement'!A3,用能设备节能分配!P:P,'Early Facility Retirement'!$A$1)</f>
        <v>7.6653853241082204E-2</v>
      </c>
      <c r="C3" s="73">
        <f>SUMIFS(工业节能技术装备推荐目录!K:K,工业节能技术装备推荐目录!D:D,'Early Facility Retirement'!A3,工业节能技术装备推荐目录!F:F,'Early Facility Retirement'!$A$1,工业节能技术装备推荐目录!A:A,"2020")+SUMIFS(用能设备节能分配!Q:Q,用能设备节能分配!O:O,'Early Facility Retirement'!A3,用能设备节能分配!P:P,'Early Facility Retirement'!$A$1,用能设备节能分配!M:M,"2020")</f>
        <v>0</v>
      </c>
      <c r="D3" s="73">
        <f>SUMIFS(工业节能技术装备推荐目录!K:K,工业节能技术装备推荐目录!D:D,'Early Facility Retirement'!A3,工业节能技术装备推荐目录!F:F,'Early Facility Retirement'!$A$1,工业节能技术装备推荐目录!A:A,"2020")+SUMIFS(用能设备节能分配!Q:Q,用能设备节能分配!O:O,'Early Facility Retirement'!A3,用能设备节能分配!P:P,'Early Facility Retirement'!$A$1,用能设备节能分配!M:M,"2020")+SUMIFS(工业节能技术装备推荐目录!K:K,工业节能技术装备推荐目录!D:D,'Early Facility Retirement'!A3,工业节能技术装备推荐目录!F:F,'Early Facility Retirement'!$A$1,工业节能技术装备推荐目录!A:A,"2021")+SUMIFS(用能设备节能分配!Q:Q,用能设备节能分配!O:O,'Early Facility Retirement'!A3,用能设备节能分配!P:P,'Early Facility Retirement'!$A$1,用能设备节能分配!M:M,"2021")</f>
        <v>1.5330770648216441E-2</v>
      </c>
      <c r="E3" s="73">
        <f>SUMIFS(工业节能技术装备推荐目录!K:K,工业节能技术装备推荐目录!D:D,'Early Facility Retirement'!A3,工业节能技术装备推荐目录!F:F,'Early Facility Retirement'!$A$1,工业节能技术装备推荐目录!A:A,"2020")+SUMIFS(用能设备节能分配!Q:Q,用能设备节能分配!O:O,'Early Facility Retirement'!A3,用能设备节能分配!P:P,'Early Facility Retirement'!$A$1,用能设备节能分配!M:M,"2020")+SUMIFS(工业节能技术装备推荐目录!K:K,工业节能技术装备推荐目录!D:D,'Early Facility Retirement'!A3,工业节能技术装备推荐目录!F:F,'Early Facility Retirement'!$A$1,工业节能技术装备推荐目录!A:A,"2021")+SUMIFS(用能设备节能分配!Q:Q,用能设备节能分配!O:O,'Early Facility Retirement'!A3,用能设备节能分配!P:P,'Early Facility Retirement'!$A$1,用能设备节能分配!M:M,"2021")+SUMIFS(工业节能技术装备推荐目录!K:K,工业节能技术装备推荐目录!D:D,'Early Facility Retirement'!A3,工业节能技术装备推荐目录!F:F,'Early Facility Retirement'!$A$1,工业节能技术装备推荐目录!A:A,"2022")+SUMIFS(用能设备节能分配!Q:Q,用能设备节能分配!O:O,'Early Facility Retirement'!A3,用能设备节能分配!P:P,'Early Facility Retirement'!$A$1,用能设备节能分配!M:M,"2022")</f>
        <v>1.5330770648216441E-2</v>
      </c>
      <c r="F3" s="73">
        <f>SUMIFS(工业节能技术装备推荐目录!K:K,工业节能技术装备推荐目录!D:D,'Early Facility Retirement'!A3,工业节能技术装备推荐目录!F:F,'Early Facility Retirement'!$A$1,工业节能技术装备推荐目录!A:A,"2020")+SUMIFS(用能设备节能分配!Q:Q,用能设备节能分配!O:O,'Early Facility Retirement'!A3,用能设备节能分配!P:P,'Early Facility Retirement'!$A$1,用能设备节能分配!M:M,"2020")+SUMIFS(工业节能技术装备推荐目录!K:K,工业节能技术装备推荐目录!D:D,'Early Facility Retirement'!A3,工业节能技术装备推荐目录!F:F,'Early Facility Retirement'!$A$1,工业节能技术装备推荐目录!A:A,"2021")+SUMIFS(用能设备节能分配!Q:Q,用能设备节能分配!O:O,'Early Facility Retirement'!A3,用能设备节能分配!P:P,'Early Facility Retirement'!$A$1,用能设备节能分配!M:M,"2021")+SUMIFS(工业节能技术装备推荐目录!K:K,工业节能技术装备推荐目录!D:D,'Early Facility Retirement'!A3,工业节能技术装备推荐目录!F:F,'Early Facility Retirement'!$A$1,工业节能技术装备推荐目录!A:A,"2022")+SUMIFS(用能设备节能分配!Q:Q,用能设备节能分配!O:O,'Early Facility Retirement'!A3,用能设备节能分配!P:P,'Early Facility Retirement'!$A$1,用能设备节能分配!M:M,"2022")</f>
        <v>1.5330770648216441E-2</v>
      </c>
      <c r="G3" s="73">
        <f>SUMIFS(工业节能技术装备推荐目录!K:K,工业节能技术装备推荐目录!D:D,'Early Facility Retirement'!A3,工业节能技术装备推荐目录!F:F,'Early Facility Retirement'!$A$1,工业节能技术装备推荐目录!A:A,"2020")+SUMIFS(用能设备节能分配!Q:Q,用能设备节能分配!O:O,'Early Facility Retirement'!A3,用能设备节能分配!P:P,'Early Facility Retirement'!$A$1,用能设备节能分配!M:M,"2020")+SUMIFS(工业节能技术装备推荐目录!K:K,工业节能技术装备推荐目录!D:D,'Early Facility Retirement'!A3,工业节能技术装备推荐目录!F:F,'Early Facility Retirement'!$A$1,工业节能技术装备推荐目录!A:A,"2022")+SUMIFS(用能设备节能分配!Q:Q,用能设备节能分配!O:O,'Early Facility Retirement'!A3,用能设备节能分配!P:P,'Early Facility Retirement'!$A$1,用能设备节能分配!M:M,"2022")</f>
        <v>0</v>
      </c>
      <c r="H3" s="73">
        <f>SUMIFS(工业节能技术装备推荐目录!K:K,工业节能技术装备推荐目录!D:D,'Early Facility Retirement'!A3,工业节能技术装备推荐目录!F:F,'Early Facility Retirement'!$A$1,工业节能技术装备推荐目录!A:A,"2022")+SUMIFS(用能设备节能分配!Q:Q,用能设备节能分配!O:O,'Early Facility Retirement'!A3,用能设备节能分配!P:P,'Early Facility Retirement'!$A$1,用能设备节能分配!M:M,"2022")</f>
        <v>0</v>
      </c>
      <c r="I3" s="73">
        <f>SUMIFS(工业节能技术装备推荐目录!K:K,工业节能技术装备推荐目录!D:D,'Early Facility Retirement'!A3,工业节能技术装备推荐目录!F:F,'Early Facility Retirement'!$A$1,工业节能技术装备推荐目录!A:A,"2022")+SUMIFS(用能设备节能分配!Q:Q,用能设备节能分配!O:O,'Early Facility Retirement'!A3,用能设备节能分配!P:P,'Early Facility Retirement'!$A$1,用能设备节能分配!M:M,"2022")</f>
        <v>0</v>
      </c>
      <c r="K3" s="52"/>
      <c r="L3" s="26" t="s">
        <v>99</v>
      </c>
      <c r="M3" s="50">
        <f>SUMIFS(工业节能技术装备推荐目录!L:L,工业节能技术装备推荐目录!D:D,'Early Facility Retirement'!A3,工业节能技术装备推荐目录!F:F,'Early Facility Retirement'!$A$1)</f>
        <v>0</v>
      </c>
      <c r="N3" s="73">
        <f>SUMIFS(工业节能技术装备推荐目录!K:K,工业节能技术装备推荐目录!D:D,'Early Facility Retirement'!A3,工业节能技术装备推荐目录!F:F,'Early Facility Retirement'!$A$1,工业节能技术装备推荐目录!A:A,"2020")</f>
        <v>0</v>
      </c>
      <c r="O3" s="73">
        <f>SUMIFS(工业节能技术装备推荐目录!K:K,工业节能技术装备推荐目录!D:D,'Early Facility Retirement'!A3,工业节能技术装备推荐目录!F:F,'Early Facility Retirement'!$A$1,工业节能技术装备推荐目录!A:A,"2020")+SUMIFS(工业节能技术装备推荐目录!K:K,工业节能技术装备推荐目录!D:D,'Early Facility Retirement'!A3,工业节能技术装备推荐目录!F:F,'Early Facility Retirement'!$A$1,工业节能技术装备推荐目录!A:A,"2021")</f>
        <v>0</v>
      </c>
      <c r="P3" s="73">
        <f>SUMIFS(工业节能技术装备推荐目录!K:K,工业节能技术装备推荐目录!D:D,'Early Facility Retirement'!A3,工业节能技术装备推荐目录!F:F,'Early Facility Retirement'!$A$1,工业节能技术装备推荐目录!A:A,"2020")+SUMIFS(工业节能技术装备推荐目录!K:K,工业节能技术装备推荐目录!D:D,'Early Facility Retirement'!A3,工业节能技术装备推荐目录!F:F,'Early Facility Retirement'!$A$1,工业节能技术装备推荐目录!A:A,"2021")+SUMIFS(工业节能技术装备推荐目录!K:K,工业节能技术装备推荐目录!D:D,'Early Facility Retirement'!A3,工业节能技术装备推荐目录!F:F,'Early Facility Retirement'!$A$1,工业节能技术装备推荐目录!A:A,"2022")</f>
        <v>0</v>
      </c>
      <c r="Q3" s="73">
        <f>SUMIFS(工业节能技术装备推荐目录!K:K,工业节能技术装备推荐目录!D:D,'Early Facility Retirement'!A3,工业节能技术装备推荐目录!F:F,'Early Facility Retirement'!$A$1,工业节能技术装备推荐目录!A:A,"2020")+SUMIFS(工业节能技术装备推荐目录!K:K,工业节能技术装备推荐目录!D:D,'Early Facility Retirement'!A3,工业节能技术装备推荐目录!F:F,'Early Facility Retirement'!$A$1,工业节能技术装备推荐目录!A:A,"2021")+SUMIFS(工业节能技术装备推荐目录!K:K,工业节能技术装备推荐目录!D:D,'Early Facility Retirement'!A3,工业节能技术装备推荐目录!F:F,'Early Facility Retirement'!$A$1,工业节能技术装备推荐目录!A:A,"2022")</f>
        <v>0</v>
      </c>
      <c r="R3" s="73">
        <f>SUMIFS(工业节能技术装备推荐目录!K:K,工业节能技术装备推荐目录!D:D,'Early Facility Retirement'!A3,工业节能技术装备推荐目录!F:F,'Early Facility Retirement'!$A$1,工业节能技术装备推荐目录!A:A,"2020")+SUMIFS(工业节能技术装备推荐目录!K:K,工业节能技术装备推荐目录!D:D,'Early Facility Retirement'!A3,工业节能技术装备推荐目录!F:F,'Early Facility Retirement'!$A$1,工业节能技术装备推荐目录!A:A,"2022")</f>
        <v>0</v>
      </c>
      <c r="S3" s="73">
        <f>SUMIFS(工业节能技术装备推荐目录!K:K,工业节能技术装备推荐目录!D:D,'Early Facility Retirement'!A3,工业节能技术装备推荐目录!F:F,'Early Facility Retirement'!$A$1,工业节能技术装备推荐目录!A:A,"2022")</f>
        <v>0</v>
      </c>
      <c r="T3" s="73">
        <f>SUMIFS(工业节能技术装备推荐目录!K:K,工业节能技术装备推荐目录!D:D,'Early Facility Retirement'!A3,工业节能技术装备推荐目录!F:F,'Early Facility Retirement'!$A$1,工业节能技术装备推荐目录!A:A,"2022")</f>
        <v>0</v>
      </c>
    </row>
    <row r="4" spans="1:20" x14ac:dyDescent="0.15">
      <c r="A4" s="26" t="s">
        <v>35</v>
      </c>
      <c r="B4" s="50">
        <f>SUMIFS(工业节能技术装备推荐目录!L:L,工业节能技术装备推荐目录!D:D,'Early Facility Retirement'!A4,工业节能技术装备推荐目录!F:F,'Early Facility Retirement'!$A$1)+SUMIFS(用能设备节能分配!R:R,用能设备节能分配!O:O,'Early Facility Retirement'!A4,用能设备节能分配!P:P,'Early Facility Retirement'!$A$1)</f>
        <v>118.52984954798222</v>
      </c>
      <c r="C4" s="73">
        <f>SUMIFS(工业节能技术装备推荐目录!K:K,工业节能技术装备推荐目录!D:D,'Early Facility Retirement'!A4,工业节能技术装备推荐目录!F:F,'Early Facility Retirement'!$A$1,工业节能技术装备推荐目录!A:A,"2020")+SUMIFS(用能设备节能分配!Q:Q,用能设备节能分配!O:O,'Early Facility Retirement'!A4,用能设备节能分配!P:P,'Early Facility Retirement'!$A$1,用能设备节能分配!M:M,"2020")</f>
        <v>0</v>
      </c>
      <c r="D4" s="73">
        <f>SUMIFS(工业节能技术装备推荐目录!K:K,工业节能技术装备推荐目录!D:D,'Early Facility Retirement'!A4,工业节能技术装备推荐目录!F:F,'Early Facility Retirement'!$A$1,工业节能技术装备推荐目录!A:A,"2020")+SUMIFS(用能设备节能分配!Q:Q,用能设备节能分配!O:O,'Early Facility Retirement'!A4,用能设备节能分配!P:P,'Early Facility Retirement'!$A$1,用能设备节能分配!M:M,"2020")+SUMIFS(工业节能技术装备推荐目录!K:K,工业节能技术装备推荐目录!D:D,'Early Facility Retirement'!A4,工业节能技术装备推荐目录!F:F,'Early Facility Retirement'!$A$1,工业节能技术装备推荐目录!A:A,"2021")+SUMIFS(用能设备节能分配!Q:Q,用能设备节能分配!O:O,'Early Facility Retirement'!A4,用能设备节能分配!P:P,'Early Facility Retirement'!$A$1,用能设备节能分配!M:M,"2021")</f>
        <v>0.14634082600547907</v>
      </c>
      <c r="E4" s="73">
        <f>SUMIFS(工业节能技术装备推荐目录!K:K,工业节能技术装备推荐目录!D:D,'Early Facility Retirement'!A4,工业节能技术装备推荐目录!F:F,'Early Facility Retirement'!$A$1,工业节能技术装备推荐目录!A:A,"2020")+SUMIFS(用能设备节能分配!Q:Q,用能设备节能分配!O:O,'Early Facility Retirement'!A4,用能设备节能分配!P:P,'Early Facility Retirement'!$A$1,用能设备节能分配!M:M,"2020")+SUMIFS(工业节能技术装备推荐目录!K:K,工业节能技术装备推荐目录!D:D,'Early Facility Retirement'!A4,工业节能技术装备推荐目录!F:F,'Early Facility Retirement'!$A$1,工业节能技术装备推荐目录!A:A,"2021")+SUMIFS(用能设备节能分配!Q:Q,用能设备节能分配!O:O,'Early Facility Retirement'!A4,用能设备节能分配!P:P,'Early Facility Retirement'!$A$1,用能设备节能分配!M:M,"2021")+SUMIFS(工业节能技术装备推荐目录!K:K,工业节能技术装备推荐目录!D:D,'Early Facility Retirement'!A4,工业节能技术装备推荐目录!F:F,'Early Facility Retirement'!$A$1,工业节能技术装备推荐目录!A:A,"2022")+SUMIFS(用能设备节能分配!Q:Q,用能设备节能分配!O:O,'Early Facility Retirement'!A4,用能设备节能分配!P:P,'Early Facility Retirement'!$A$1,用能设备节能分配!M:M,"2022")</f>
        <v>45.146340826005478</v>
      </c>
      <c r="F4" s="73">
        <f>SUMIFS(工业节能技术装备推荐目录!K:K,工业节能技术装备推荐目录!D:D,'Early Facility Retirement'!A4,工业节能技术装备推荐目录!F:F,'Early Facility Retirement'!$A$1,工业节能技术装备推荐目录!A:A,"2020")+SUMIFS(用能设备节能分配!Q:Q,用能设备节能分配!O:O,'Early Facility Retirement'!A4,用能设备节能分配!P:P,'Early Facility Retirement'!$A$1,用能设备节能分配!M:M,"2020")+SUMIFS(工业节能技术装备推荐目录!K:K,工业节能技术装备推荐目录!D:D,'Early Facility Retirement'!A4,工业节能技术装备推荐目录!F:F,'Early Facility Retirement'!$A$1,工业节能技术装备推荐目录!A:A,"2021")+SUMIFS(用能设备节能分配!Q:Q,用能设备节能分配!O:O,'Early Facility Retirement'!A4,用能设备节能分配!P:P,'Early Facility Retirement'!$A$1,用能设备节能分配!M:M,"2021")+SUMIFS(工业节能技术装备推荐目录!K:K,工业节能技术装备推荐目录!D:D,'Early Facility Retirement'!A4,工业节能技术装备推荐目录!F:F,'Early Facility Retirement'!$A$1,工业节能技术装备推荐目录!A:A,"2022")+SUMIFS(用能设备节能分配!Q:Q,用能设备节能分配!O:O,'Early Facility Retirement'!A4,用能设备节能分配!P:P,'Early Facility Retirement'!$A$1,用能设备节能分配!M:M,"2022")</f>
        <v>45.146340826005478</v>
      </c>
      <c r="G4" s="73">
        <f>SUMIFS(工业节能技术装备推荐目录!K:K,工业节能技术装备推荐目录!D:D,'Early Facility Retirement'!A4,工业节能技术装备推荐目录!F:F,'Early Facility Retirement'!$A$1,工业节能技术装备推荐目录!A:A,"2020")+SUMIFS(用能设备节能分配!Q:Q,用能设备节能分配!O:O,'Early Facility Retirement'!A4,用能设备节能分配!P:P,'Early Facility Retirement'!$A$1,用能设备节能分配!M:M,"2020")+SUMIFS(工业节能技术装备推荐目录!K:K,工业节能技术装备推荐目录!D:D,'Early Facility Retirement'!A4,工业节能技术装备推荐目录!F:F,'Early Facility Retirement'!$A$1,工业节能技术装备推荐目录!A:A,"2022")+SUMIFS(用能设备节能分配!Q:Q,用能设备节能分配!O:O,'Early Facility Retirement'!A4,用能设备节能分配!P:P,'Early Facility Retirement'!$A$1,用能设备节能分配!M:M,"2022")</f>
        <v>45</v>
      </c>
      <c r="H4" s="73">
        <f>SUMIFS(工业节能技术装备推荐目录!K:K,工业节能技术装备推荐目录!D:D,'Early Facility Retirement'!A4,工业节能技术装备推荐目录!F:F,'Early Facility Retirement'!$A$1,工业节能技术装备推荐目录!A:A,"2022")+SUMIFS(用能设备节能分配!Q:Q,用能设备节能分配!O:O,'Early Facility Retirement'!A4,用能设备节能分配!P:P,'Early Facility Retirement'!$A$1,用能设备节能分配!M:M,"2022")</f>
        <v>45</v>
      </c>
      <c r="I4" s="73">
        <f>SUMIFS(工业节能技术装备推荐目录!K:K,工业节能技术装备推荐目录!D:D,'Early Facility Retirement'!A4,工业节能技术装备推荐目录!F:F,'Early Facility Retirement'!$A$1,工业节能技术装备推荐目录!A:A,"2022")+SUMIFS(用能设备节能分配!Q:Q,用能设备节能分配!O:O,'Early Facility Retirement'!A4,用能设备节能分配!P:P,'Early Facility Retirement'!$A$1,用能设备节能分配!M:M,"2022")</f>
        <v>45</v>
      </c>
      <c r="K4" s="52"/>
      <c r="L4" s="26" t="s">
        <v>35</v>
      </c>
      <c r="M4" s="50">
        <f>SUMIFS(工业节能技术装备推荐目录!L:L,工业节能技术装备推荐目录!D:D,'Early Facility Retirement'!A4,工业节能技术装备推荐目录!F:F,'Early Facility Retirement'!$A$1)</f>
        <v>118.02197802197803</v>
      </c>
      <c r="N4" s="73">
        <f>SUMIFS(工业节能技术装备推荐目录!K:K,工业节能技术装备推荐目录!D:D,'Early Facility Retirement'!A4,工业节能技术装备推荐目录!F:F,'Early Facility Retirement'!$A$1,工业节能技术装备推荐目录!A:A,"2020")</f>
        <v>0</v>
      </c>
      <c r="O4" s="73">
        <f>SUMIFS(工业节能技术装备推荐目录!K:K,工业节能技术装备推荐目录!D:D,'Early Facility Retirement'!A4,工业节能技术装备推荐目录!F:F,'Early Facility Retirement'!$A$1,工业节能技术装备推荐目录!A:A,"2020")+SUMIFS(工业节能技术装备推荐目录!K:K,工业节能技术装备推荐目录!D:D,'Early Facility Retirement'!A4,工业节能技术装备推荐目录!F:F,'Early Facility Retirement'!$A$1,工业节能技术装备推荐目录!A:A,"2021")</f>
        <v>0</v>
      </c>
      <c r="P4" s="73">
        <f>SUMIFS(工业节能技术装备推荐目录!K:K,工业节能技术装备推荐目录!D:D,'Early Facility Retirement'!A4,工业节能技术装备推荐目录!F:F,'Early Facility Retirement'!$A$1,工业节能技术装备推荐目录!A:A,"2020")+SUMIFS(工业节能技术装备推荐目录!K:K,工业节能技术装备推荐目录!D:D,'Early Facility Retirement'!A4,工业节能技术装备推荐目录!F:F,'Early Facility Retirement'!$A$1,工业节能技术装备推荐目录!A:A,"2021")+SUMIFS(工业节能技术装备推荐目录!K:K,工业节能技术装备推荐目录!D:D,'Early Facility Retirement'!A4,工业节能技术装备推荐目录!F:F,'Early Facility Retirement'!$A$1,工业节能技术装备推荐目录!A:A,"2022")</f>
        <v>45</v>
      </c>
      <c r="Q4" s="73">
        <f>SUMIFS(工业节能技术装备推荐目录!K:K,工业节能技术装备推荐目录!D:D,'Early Facility Retirement'!A4,工业节能技术装备推荐目录!F:F,'Early Facility Retirement'!$A$1,工业节能技术装备推荐目录!A:A,"2020")+SUMIFS(工业节能技术装备推荐目录!K:K,工业节能技术装备推荐目录!D:D,'Early Facility Retirement'!A4,工业节能技术装备推荐目录!F:F,'Early Facility Retirement'!$A$1,工业节能技术装备推荐目录!A:A,"2021")+SUMIFS(工业节能技术装备推荐目录!K:K,工业节能技术装备推荐目录!D:D,'Early Facility Retirement'!A4,工业节能技术装备推荐目录!F:F,'Early Facility Retirement'!$A$1,工业节能技术装备推荐目录!A:A,"2022")</f>
        <v>45</v>
      </c>
      <c r="R4" s="73">
        <f>SUMIFS(工业节能技术装备推荐目录!K:K,工业节能技术装备推荐目录!D:D,'Early Facility Retirement'!A4,工业节能技术装备推荐目录!F:F,'Early Facility Retirement'!$A$1,工业节能技术装备推荐目录!A:A,"2020")+SUMIFS(工业节能技术装备推荐目录!K:K,工业节能技术装备推荐目录!D:D,'Early Facility Retirement'!A4,工业节能技术装备推荐目录!F:F,'Early Facility Retirement'!$A$1,工业节能技术装备推荐目录!A:A,"2022")</f>
        <v>45</v>
      </c>
      <c r="S4" s="73">
        <f>SUMIFS(工业节能技术装备推荐目录!K:K,工业节能技术装备推荐目录!D:D,'Early Facility Retirement'!A4,工业节能技术装备推荐目录!F:F,'Early Facility Retirement'!$A$1,工业节能技术装备推荐目录!A:A,"2022")</f>
        <v>45</v>
      </c>
      <c r="T4" s="73">
        <f>SUMIFS(工业节能技术装备推荐目录!K:K,工业节能技术装备推荐目录!D:D,'Early Facility Retirement'!A4,工业节能技术装备推荐目录!F:F,'Early Facility Retirement'!$A$1,工业节能技术装备推荐目录!A:A,"2022")</f>
        <v>45</v>
      </c>
    </row>
    <row r="5" spans="1:20" x14ac:dyDescent="0.15">
      <c r="A5" s="26" t="s">
        <v>67</v>
      </c>
      <c r="B5" s="50">
        <f>SUMIFS(工业节能技术装备推荐目录!L:L,工业节能技术装备推荐目录!D:D,'Early Facility Retirement'!A5,工业节能技术装备推荐目录!F:F,'Early Facility Retirement'!$A$1)+SUMIFS(用能设备节能分配!R:R,用能设备节能分配!O:O,'Early Facility Retirement'!A5,用能设备节能分配!P:P,'Early Facility Retirement'!$A$1)</f>
        <v>3.3911826522970624E-2</v>
      </c>
      <c r="C5" s="73">
        <f>SUMIFS(工业节能技术装备推荐目录!K:K,工业节能技术装备推荐目录!D:D,'Early Facility Retirement'!A5,工业节能技术装备推荐目录!F:F,'Early Facility Retirement'!$A$1,工业节能技术装备推荐目录!A:A,"2020")+SUMIFS(用能设备节能分配!Q:Q,用能设备节能分配!O:O,'Early Facility Retirement'!A5,用能设备节能分配!P:P,'Early Facility Retirement'!$A$1,用能设备节能分配!M:M,"2020")</f>
        <v>0</v>
      </c>
      <c r="D5" s="73">
        <f>SUMIFS(工业节能技术装备推荐目录!K:K,工业节能技术装备推荐目录!D:D,'Early Facility Retirement'!A5,工业节能技术装备推荐目录!F:F,'Early Facility Retirement'!$A$1,工业节能技术装备推荐目录!A:A,"2020")+SUMIFS(用能设备节能分配!Q:Q,用能设备节能分配!O:O,'Early Facility Retirement'!A5,用能设备节能分配!P:P,'Early Facility Retirement'!$A$1,用能设备节能分配!M:M,"2020")+SUMIFS(工业节能技术装备推荐目录!K:K,工业节能技术装备推荐目录!D:D,'Early Facility Retirement'!A5,工业节能技术装备推荐目录!F:F,'Early Facility Retirement'!$A$1,工业节能技术装备推荐目录!A:A,"2021")+SUMIFS(用能设备节能分配!Q:Q,用能设备节能分配!O:O,'Early Facility Retirement'!A5,用能设备节能分配!P:P,'Early Facility Retirement'!$A$1,用能设备节能分配!M:M,"2021")</f>
        <v>6.7823653045941254E-3</v>
      </c>
      <c r="E5" s="73">
        <f>SUMIFS(工业节能技术装备推荐目录!K:K,工业节能技术装备推荐目录!D:D,'Early Facility Retirement'!A5,工业节能技术装备推荐目录!F:F,'Early Facility Retirement'!$A$1,工业节能技术装备推荐目录!A:A,"2020")+SUMIFS(用能设备节能分配!Q:Q,用能设备节能分配!O:O,'Early Facility Retirement'!A5,用能设备节能分配!P:P,'Early Facility Retirement'!$A$1,用能设备节能分配!M:M,"2020")+SUMIFS(工业节能技术装备推荐目录!K:K,工业节能技术装备推荐目录!D:D,'Early Facility Retirement'!A5,工业节能技术装备推荐目录!F:F,'Early Facility Retirement'!$A$1,工业节能技术装备推荐目录!A:A,"2021")+SUMIFS(用能设备节能分配!Q:Q,用能设备节能分配!O:O,'Early Facility Retirement'!A5,用能设备节能分配!P:P,'Early Facility Retirement'!$A$1,用能设备节能分配!M:M,"2021")+SUMIFS(工业节能技术装备推荐目录!K:K,工业节能技术装备推荐目录!D:D,'Early Facility Retirement'!A5,工业节能技术装备推荐目录!F:F,'Early Facility Retirement'!$A$1,工业节能技术装备推荐目录!A:A,"2022")+SUMIFS(用能设备节能分配!Q:Q,用能设备节能分配!O:O,'Early Facility Retirement'!A5,用能设备节能分配!P:P,'Early Facility Retirement'!$A$1,用能设备节能分配!M:M,"2022")</f>
        <v>6.7823653045941254E-3</v>
      </c>
      <c r="F5" s="73">
        <f>SUMIFS(工业节能技术装备推荐目录!K:K,工业节能技术装备推荐目录!D:D,'Early Facility Retirement'!A5,工业节能技术装备推荐目录!F:F,'Early Facility Retirement'!$A$1,工业节能技术装备推荐目录!A:A,"2020")+SUMIFS(用能设备节能分配!Q:Q,用能设备节能分配!O:O,'Early Facility Retirement'!A5,用能设备节能分配!P:P,'Early Facility Retirement'!$A$1,用能设备节能分配!M:M,"2020")+SUMIFS(工业节能技术装备推荐目录!K:K,工业节能技术装备推荐目录!D:D,'Early Facility Retirement'!A5,工业节能技术装备推荐目录!F:F,'Early Facility Retirement'!$A$1,工业节能技术装备推荐目录!A:A,"2021")+SUMIFS(用能设备节能分配!Q:Q,用能设备节能分配!O:O,'Early Facility Retirement'!A5,用能设备节能分配!P:P,'Early Facility Retirement'!$A$1,用能设备节能分配!M:M,"2021")+SUMIFS(工业节能技术装备推荐目录!K:K,工业节能技术装备推荐目录!D:D,'Early Facility Retirement'!A5,工业节能技术装备推荐目录!F:F,'Early Facility Retirement'!$A$1,工业节能技术装备推荐目录!A:A,"2022")+SUMIFS(用能设备节能分配!Q:Q,用能设备节能分配!O:O,'Early Facility Retirement'!A5,用能设备节能分配!P:P,'Early Facility Retirement'!$A$1,用能设备节能分配!M:M,"2022")</f>
        <v>6.7823653045941254E-3</v>
      </c>
      <c r="G5" s="73">
        <f>SUMIFS(工业节能技术装备推荐目录!K:K,工业节能技术装备推荐目录!D:D,'Early Facility Retirement'!A5,工业节能技术装备推荐目录!F:F,'Early Facility Retirement'!$A$1,工业节能技术装备推荐目录!A:A,"2020")+SUMIFS(用能设备节能分配!Q:Q,用能设备节能分配!O:O,'Early Facility Retirement'!A5,用能设备节能分配!P:P,'Early Facility Retirement'!$A$1,用能设备节能分配!M:M,"2020")+SUMIFS(工业节能技术装备推荐目录!K:K,工业节能技术装备推荐目录!D:D,'Early Facility Retirement'!A5,工业节能技术装备推荐目录!F:F,'Early Facility Retirement'!$A$1,工业节能技术装备推荐目录!A:A,"2022")+SUMIFS(用能设备节能分配!Q:Q,用能设备节能分配!O:O,'Early Facility Retirement'!A5,用能设备节能分配!P:P,'Early Facility Retirement'!$A$1,用能设备节能分配!M:M,"2022")</f>
        <v>0</v>
      </c>
      <c r="H5" s="73">
        <f>SUMIFS(工业节能技术装备推荐目录!K:K,工业节能技术装备推荐目录!D:D,'Early Facility Retirement'!A5,工业节能技术装备推荐目录!F:F,'Early Facility Retirement'!$A$1,工业节能技术装备推荐目录!A:A,"2022")+SUMIFS(用能设备节能分配!Q:Q,用能设备节能分配!O:O,'Early Facility Retirement'!A5,用能设备节能分配!P:P,'Early Facility Retirement'!$A$1,用能设备节能分配!M:M,"2022")</f>
        <v>0</v>
      </c>
      <c r="I5" s="73">
        <f>SUMIFS(工业节能技术装备推荐目录!K:K,工业节能技术装备推荐目录!D:D,'Early Facility Retirement'!A5,工业节能技术装备推荐目录!F:F,'Early Facility Retirement'!$A$1,工业节能技术装备推荐目录!A:A,"2022")+SUMIFS(用能设备节能分配!Q:Q,用能设备节能分配!O:O,'Early Facility Retirement'!A5,用能设备节能分配!P:P,'Early Facility Retirement'!$A$1,用能设备节能分配!M:M,"2022")</f>
        <v>0</v>
      </c>
      <c r="K5" s="52"/>
      <c r="L5" s="26" t="s">
        <v>67</v>
      </c>
      <c r="M5" s="50">
        <f>SUMIFS(工业节能技术装备推荐目录!L:L,工业节能技术装备推荐目录!D:D,'Early Facility Retirement'!A5,工业节能技术装备推荐目录!F:F,'Early Facility Retirement'!$A$1)</f>
        <v>0</v>
      </c>
      <c r="N5" s="73">
        <f>SUMIFS(工业节能技术装备推荐目录!K:K,工业节能技术装备推荐目录!D:D,'Early Facility Retirement'!A5,工业节能技术装备推荐目录!F:F,'Early Facility Retirement'!$A$1,工业节能技术装备推荐目录!A:A,"2020")</f>
        <v>0</v>
      </c>
      <c r="O5" s="73">
        <f>SUMIFS(工业节能技术装备推荐目录!K:K,工业节能技术装备推荐目录!D:D,'Early Facility Retirement'!A5,工业节能技术装备推荐目录!F:F,'Early Facility Retirement'!$A$1,工业节能技术装备推荐目录!A:A,"2020")+SUMIFS(工业节能技术装备推荐目录!K:K,工业节能技术装备推荐目录!D:D,'Early Facility Retirement'!A5,工业节能技术装备推荐目录!F:F,'Early Facility Retirement'!$A$1,工业节能技术装备推荐目录!A:A,"2021")</f>
        <v>0</v>
      </c>
      <c r="P5" s="73">
        <f>SUMIFS(工业节能技术装备推荐目录!K:K,工业节能技术装备推荐目录!D:D,'Early Facility Retirement'!A5,工业节能技术装备推荐目录!F:F,'Early Facility Retirement'!$A$1,工业节能技术装备推荐目录!A:A,"2020")+SUMIFS(工业节能技术装备推荐目录!K:K,工业节能技术装备推荐目录!D:D,'Early Facility Retirement'!A5,工业节能技术装备推荐目录!F:F,'Early Facility Retirement'!$A$1,工业节能技术装备推荐目录!A:A,"2021")+SUMIFS(工业节能技术装备推荐目录!K:K,工业节能技术装备推荐目录!D:D,'Early Facility Retirement'!A5,工业节能技术装备推荐目录!F:F,'Early Facility Retirement'!$A$1,工业节能技术装备推荐目录!A:A,"2022")</f>
        <v>0</v>
      </c>
      <c r="Q5" s="73">
        <f>SUMIFS(工业节能技术装备推荐目录!K:K,工业节能技术装备推荐目录!D:D,'Early Facility Retirement'!A5,工业节能技术装备推荐目录!F:F,'Early Facility Retirement'!$A$1,工业节能技术装备推荐目录!A:A,"2020")+SUMIFS(工业节能技术装备推荐目录!K:K,工业节能技术装备推荐目录!D:D,'Early Facility Retirement'!A5,工业节能技术装备推荐目录!F:F,'Early Facility Retirement'!$A$1,工业节能技术装备推荐目录!A:A,"2021")+SUMIFS(工业节能技术装备推荐目录!K:K,工业节能技术装备推荐目录!D:D,'Early Facility Retirement'!A5,工业节能技术装备推荐目录!F:F,'Early Facility Retirement'!$A$1,工业节能技术装备推荐目录!A:A,"2022")</f>
        <v>0</v>
      </c>
      <c r="R5" s="73">
        <f>SUMIFS(工业节能技术装备推荐目录!K:K,工业节能技术装备推荐目录!D:D,'Early Facility Retirement'!A5,工业节能技术装备推荐目录!F:F,'Early Facility Retirement'!$A$1,工业节能技术装备推荐目录!A:A,"2020")+SUMIFS(工业节能技术装备推荐目录!K:K,工业节能技术装备推荐目录!D:D,'Early Facility Retirement'!A5,工业节能技术装备推荐目录!F:F,'Early Facility Retirement'!$A$1,工业节能技术装备推荐目录!A:A,"2022")</f>
        <v>0</v>
      </c>
      <c r="S5" s="73">
        <f>SUMIFS(工业节能技术装备推荐目录!K:K,工业节能技术装备推荐目录!D:D,'Early Facility Retirement'!A5,工业节能技术装备推荐目录!F:F,'Early Facility Retirement'!$A$1,工业节能技术装备推荐目录!A:A,"2022")</f>
        <v>0</v>
      </c>
      <c r="T5" s="73">
        <f>SUMIFS(工业节能技术装备推荐目录!K:K,工业节能技术装备推荐目录!D:D,'Early Facility Retirement'!A5,工业节能技术装备推荐目录!F:F,'Early Facility Retirement'!$A$1,工业节能技术装备推荐目录!A:A,"2022")</f>
        <v>0</v>
      </c>
    </row>
    <row r="6" spans="1:20" x14ac:dyDescent="0.15">
      <c r="A6" s="26" t="s">
        <v>100</v>
      </c>
      <c r="B6" s="50">
        <f>SUMIFS(工业节能技术装备推荐目录!L:L,工业节能技术装备推荐目录!D:D,'Early Facility Retirement'!A6,工业节能技术装备推荐目录!F:F,'Early Facility Retirement'!$A$1)+SUMIFS(用能设备节能分配!R:R,用能设备节能分配!O:O,'Early Facility Retirement'!A6,用能设备节能分配!P:P,'Early Facility Retirement'!$A$1)</f>
        <v>2.6057460263316588E-2</v>
      </c>
      <c r="C6" s="73">
        <f>SUMIFS(工业节能技术装备推荐目录!K:K,工业节能技术装备推荐目录!D:D,'Early Facility Retirement'!A6,工业节能技术装备推荐目录!F:F,'Early Facility Retirement'!$A$1,工业节能技术装备推荐目录!A:A,"2020")+SUMIFS(用能设备节能分配!Q:Q,用能设备节能分配!O:O,'Early Facility Retirement'!A6,用能设备节能分配!P:P,'Early Facility Retirement'!$A$1,用能设备节能分配!M:M,"2020")</f>
        <v>0</v>
      </c>
      <c r="D6" s="73">
        <f>SUMIFS(工业节能技术装备推荐目录!K:K,工业节能技术装备推荐目录!D:D,'Early Facility Retirement'!A6,工业节能技术装备推荐目录!F:F,'Early Facility Retirement'!$A$1,工业节能技术装备推荐目录!A:A,"2020")+SUMIFS(用能设备节能分配!Q:Q,用能设备节能分配!O:O,'Early Facility Retirement'!A6,用能设备节能分配!P:P,'Early Facility Retirement'!$A$1,用能设备节能分配!M:M,"2020")+SUMIFS(工业节能技术装备推荐目录!K:K,工业节能技术装备推荐目录!D:D,'Early Facility Retirement'!A6,工业节能技术装备推荐目录!F:F,'Early Facility Retirement'!$A$1,工业节能技术装备推荐目录!A:A,"2021")+SUMIFS(用能设备节能分配!Q:Q,用能设备节能分配!O:O,'Early Facility Retirement'!A6,用能设备节能分配!P:P,'Early Facility Retirement'!$A$1,用能设备节能分配!M:M,"2021")</f>
        <v>5.2114920526633171E-3</v>
      </c>
      <c r="E6" s="73">
        <f>SUMIFS(工业节能技术装备推荐目录!K:K,工业节能技术装备推荐目录!D:D,'Early Facility Retirement'!A6,工业节能技术装备推荐目录!F:F,'Early Facility Retirement'!$A$1,工业节能技术装备推荐目录!A:A,"2020")+SUMIFS(用能设备节能分配!Q:Q,用能设备节能分配!O:O,'Early Facility Retirement'!A6,用能设备节能分配!P:P,'Early Facility Retirement'!$A$1,用能设备节能分配!M:M,"2020")+SUMIFS(工业节能技术装备推荐目录!K:K,工业节能技术装备推荐目录!D:D,'Early Facility Retirement'!A6,工业节能技术装备推荐目录!F:F,'Early Facility Retirement'!$A$1,工业节能技术装备推荐目录!A:A,"2021")+SUMIFS(用能设备节能分配!Q:Q,用能设备节能分配!O:O,'Early Facility Retirement'!A6,用能设备节能分配!P:P,'Early Facility Retirement'!$A$1,用能设备节能分配!M:M,"2021")+SUMIFS(工业节能技术装备推荐目录!K:K,工业节能技术装备推荐目录!D:D,'Early Facility Retirement'!A6,工业节能技术装备推荐目录!F:F,'Early Facility Retirement'!$A$1,工业节能技术装备推荐目录!A:A,"2022")+SUMIFS(用能设备节能分配!Q:Q,用能设备节能分配!O:O,'Early Facility Retirement'!A6,用能设备节能分配!P:P,'Early Facility Retirement'!$A$1,用能设备节能分配!M:M,"2022")</f>
        <v>5.2114920526633171E-3</v>
      </c>
      <c r="F6" s="73">
        <f>SUMIFS(工业节能技术装备推荐目录!K:K,工业节能技术装备推荐目录!D:D,'Early Facility Retirement'!A6,工业节能技术装备推荐目录!F:F,'Early Facility Retirement'!$A$1,工业节能技术装备推荐目录!A:A,"2020")+SUMIFS(用能设备节能分配!Q:Q,用能设备节能分配!O:O,'Early Facility Retirement'!A6,用能设备节能分配!P:P,'Early Facility Retirement'!$A$1,用能设备节能分配!M:M,"2020")+SUMIFS(工业节能技术装备推荐目录!K:K,工业节能技术装备推荐目录!D:D,'Early Facility Retirement'!A6,工业节能技术装备推荐目录!F:F,'Early Facility Retirement'!$A$1,工业节能技术装备推荐目录!A:A,"2021")+SUMIFS(用能设备节能分配!Q:Q,用能设备节能分配!O:O,'Early Facility Retirement'!A6,用能设备节能分配!P:P,'Early Facility Retirement'!$A$1,用能设备节能分配!M:M,"2021")+SUMIFS(工业节能技术装备推荐目录!K:K,工业节能技术装备推荐目录!D:D,'Early Facility Retirement'!A6,工业节能技术装备推荐目录!F:F,'Early Facility Retirement'!$A$1,工业节能技术装备推荐目录!A:A,"2022")+SUMIFS(用能设备节能分配!Q:Q,用能设备节能分配!O:O,'Early Facility Retirement'!A6,用能设备节能分配!P:P,'Early Facility Retirement'!$A$1,用能设备节能分配!M:M,"2022")</f>
        <v>5.2114920526633171E-3</v>
      </c>
      <c r="G6" s="73">
        <f>SUMIFS(工业节能技术装备推荐目录!K:K,工业节能技术装备推荐目录!D:D,'Early Facility Retirement'!A6,工业节能技术装备推荐目录!F:F,'Early Facility Retirement'!$A$1,工业节能技术装备推荐目录!A:A,"2020")+SUMIFS(用能设备节能分配!Q:Q,用能设备节能分配!O:O,'Early Facility Retirement'!A6,用能设备节能分配!P:P,'Early Facility Retirement'!$A$1,用能设备节能分配!M:M,"2020")+SUMIFS(工业节能技术装备推荐目录!K:K,工业节能技术装备推荐目录!D:D,'Early Facility Retirement'!A6,工业节能技术装备推荐目录!F:F,'Early Facility Retirement'!$A$1,工业节能技术装备推荐目录!A:A,"2022")+SUMIFS(用能设备节能分配!Q:Q,用能设备节能分配!O:O,'Early Facility Retirement'!A6,用能设备节能分配!P:P,'Early Facility Retirement'!$A$1,用能设备节能分配!M:M,"2022")</f>
        <v>0</v>
      </c>
      <c r="H6" s="73">
        <f>SUMIFS(工业节能技术装备推荐目录!K:K,工业节能技术装备推荐目录!D:D,'Early Facility Retirement'!A6,工业节能技术装备推荐目录!F:F,'Early Facility Retirement'!$A$1,工业节能技术装备推荐目录!A:A,"2022")+SUMIFS(用能设备节能分配!Q:Q,用能设备节能分配!O:O,'Early Facility Retirement'!A6,用能设备节能分配!P:P,'Early Facility Retirement'!$A$1,用能设备节能分配!M:M,"2022")</f>
        <v>0</v>
      </c>
      <c r="I6" s="73">
        <f>SUMIFS(工业节能技术装备推荐目录!K:K,工业节能技术装备推荐目录!D:D,'Early Facility Retirement'!A6,工业节能技术装备推荐目录!F:F,'Early Facility Retirement'!$A$1,工业节能技术装备推荐目录!A:A,"2022")+SUMIFS(用能设备节能分配!Q:Q,用能设备节能分配!O:O,'Early Facility Retirement'!A6,用能设备节能分配!P:P,'Early Facility Retirement'!$A$1,用能设备节能分配!M:M,"2022")</f>
        <v>0</v>
      </c>
      <c r="K6" s="52"/>
      <c r="L6" s="26" t="s">
        <v>100</v>
      </c>
      <c r="M6" s="50">
        <f>SUMIFS(工业节能技术装备推荐目录!L:L,工业节能技术装备推荐目录!D:D,'Early Facility Retirement'!A6,工业节能技术装备推荐目录!F:F,'Early Facility Retirement'!$A$1)</f>
        <v>0</v>
      </c>
      <c r="N6" s="73">
        <f>SUMIFS(工业节能技术装备推荐目录!K:K,工业节能技术装备推荐目录!D:D,'Early Facility Retirement'!A6,工业节能技术装备推荐目录!F:F,'Early Facility Retirement'!$A$1,工业节能技术装备推荐目录!A:A,"2020")</f>
        <v>0</v>
      </c>
      <c r="O6" s="73">
        <f>SUMIFS(工业节能技术装备推荐目录!K:K,工业节能技术装备推荐目录!D:D,'Early Facility Retirement'!A6,工业节能技术装备推荐目录!F:F,'Early Facility Retirement'!$A$1,工业节能技术装备推荐目录!A:A,"2020")+SUMIFS(工业节能技术装备推荐目录!K:K,工业节能技术装备推荐目录!D:D,'Early Facility Retirement'!A6,工业节能技术装备推荐目录!F:F,'Early Facility Retirement'!$A$1,工业节能技术装备推荐目录!A:A,"2021")</f>
        <v>0</v>
      </c>
      <c r="P6" s="73">
        <f>SUMIFS(工业节能技术装备推荐目录!K:K,工业节能技术装备推荐目录!D:D,'Early Facility Retirement'!A6,工业节能技术装备推荐目录!F:F,'Early Facility Retirement'!$A$1,工业节能技术装备推荐目录!A:A,"2020")+SUMIFS(工业节能技术装备推荐目录!K:K,工业节能技术装备推荐目录!D:D,'Early Facility Retirement'!A6,工业节能技术装备推荐目录!F:F,'Early Facility Retirement'!$A$1,工业节能技术装备推荐目录!A:A,"2021")+SUMIFS(工业节能技术装备推荐目录!K:K,工业节能技术装备推荐目录!D:D,'Early Facility Retirement'!A6,工业节能技术装备推荐目录!F:F,'Early Facility Retirement'!$A$1,工业节能技术装备推荐目录!A:A,"2022")</f>
        <v>0</v>
      </c>
      <c r="Q6" s="73">
        <f>SUMIFS(工业节能技术装备推荐目录!K:K,工业节能技术装备推荐目录!D:D,'Early Facility Retirement'!A6,工业节能技术装备推荐目录!F:F,'Early Facility Retirement'!$A$1,工业节能技术装备推荐目录!A:A,"2020")+SUMIFS(工业节能技术装备推荐目录!K:K,工业节能技术装备推荐目录!D:D,'Early Facility Retirement'!A6,工业节能技术装备推荐目录!F:F,'Early Facility Retirement'!$A$1,工业节能技术装备推荐目录!A:A,"2021")+SUMIFS(工业节能技术装备推荐目录!K:K,工业节能技术装备推荐目录!D:D,'Early Facility Retirement'!A6,工业节能技术装备推荐目录!F:F,'Early Facility Retirement'!$A$1,工业节能技术装备推荐目录!A:A,"2022")</f>
        <v>0</v>
      </c>
      <c r="R6" s="73">
        <f>SUMIFS(工业节能技术装备推荐目录!K:K,工业节能技术装备推荐目录!D:D,'Early Facility Retirement'!A6,工业节能技术装备推荐目录!F:F,'Early Facility Retirement'!$A$1,工业节能技术装备推荐目录!A:A,"2020")+SUMIFS(工业节能技术装备推荐目录!K:K,工业节能技术装备推荐目录!D:D,'Early Facility Retirement'!A6,工业节能技术装备推荐目录!F:F,'Early Facility Retirement'!$A$1,工业节能技术装备推荐目录!A:A,"2022")</f>
        <v>0</v>
      </c>
      <c r="S6" s="73">
        <f>SUMIFS(工业节能技术装备推荐目录!K:K,工业节能技术装备推荐目录!D:D,'Early Facility Retirement'!A6,工业节能技术装备推荐目录!F:F,'Early Facility Retirement'!$A$1,工业节能技术装备推荐目录!A:A,"2022")</f>
        <v>0</v>
      </c>
      <c r="T6" s="73">
        <f>SUMIFS(工业节能技术装备推荐目录!K:K,工业节能技术装备推荐目录!D:D,'Early Facility Retirement'!A6,工业节能技术装备推荐目录!F:F,'Early Facility Retirement'!$A$1,工业节能技术装备推荐目录!A:A,"2022")</f>
        <v>0</v>
      </c>
    </row>
    <row r="7" spans="1:20" x14ac:dyDescent="0.15">
      <c r="A7" s="26" t="s">
        <v>101</v>
      </c>
      <c r="B7" s="50">
        <f>SUMIFS(工业节能技术装备推荐目录!L:L,工业节能技术装备推荐目录!D:D,'Early Facility Retirement'!A7,工业节能技术装备推荐目录!F:F,'Early Facility Retirement'!$A$1)+SUMIFS(用能设备节能分配!R:R,用能设备节能分配!O:O,'Early Facility Retirement'!A7,用能设备节能分配!P:P,'Early Facility Retirement'!$A$1)</f>
        <v>2.5331273779110339</v>
      </c>
      <c r="C7" s="73">
        <f>SUMIFS(工业节能技术装备推荐目录!K:K,工业节能技术装备推荐目录!D:D,'Early Facility Retirement'!A7,工业节能技术装备推荐目录!F:F,'Early Facility Retirement'!$A$1,工业节能技术装备推荐目录!A:A,"2020")+SUMIFS(用能设备节能分配!Q:Q,用能设备节能分配!O:O,'Early Facility Retirement'!A7,用能设备节能分配!P:P,'Early Facility Retirement'!$A$1,用能设备节能分配!M:M,"2020")</f>
        <v>0.58218385093104386</v>
      </c>
      <c r="D7" s="73">
        <f>SUMIFS(工业节能技术装备推荐目录!K:K,工业节能技术装备推荐目录!D:D,'Early Facility Retirement'!A7,工业节能技术装备推荐目录!F:F,'Early Facility Retirement'!$A$1,工业节能技术装备推荐目录!A:A,"2020")+SUMIFS(用能设备节能分配!Q:Q,用能设备节能分配!O:O,'Early Facility Retirement'!A7,用能设备节能分配!P:P,'Early Facility Retirement'!$A$1,用能设备节能分配!M:M,"2020")+SUMIFS(工业节能技术装备推荐目录!K:K,工业节能技术装备推荐目录!D:D,'Early Facility Retirement'!A7,工业节能技术装备推荐目录!F:F,'Early Facility Retirement'!$A$1,工业节能技术装备推荐目录!A:A,"2021")+SUMIFS(用能设备节能分配!Q:Q,用能设备节能分配!O:O,'Early Facility Retirement'!A7,用能设备节能分配!P:P,'Early Facility Retirement'!$A$1,用能设备节能分配!M:M,"2021")</f>
        <v>0.59395305322186343</v>
      </c>
      <c r="E7" s="73">
        <f>SUMIFS(工业节能技术装备推荐目录!K:K,工业节能技术装备推荐目录!D:D,'Early Facility Retirement'!A7,工业节能技术装备推荐目录!F:F,'Early Facility Retirement'!$A$1,工业节能技术装备推荐目录!A:A,"2020")+SUMIFS(用能设备节能分配!Q:Q,用能设备节能分配!O:O,'Early Facility Retirement'!A7,用能设备节能分配!P:P,'Early Facility Retirement'!$A$1,用能设备节能分配!M:M,"2020")+SUMIFS(工业节能技术装备推荐目录!K:K,工业节能技术装备推荐目录!D:D,'Early Facility Retirement'!A7,工业节能技术装备推荐目录!F:F,'Early Facility Retirement'!$A$1,工业节能技术装备推荐目录!A:A,"2021")+SUMIFS(用能设备节能分配!Q:Q,用能设备节能分配!O:O,'Early Facility Retirement'!A7,用能设备节能分配!P:P,'Early Facility Retirement'!$A$1,用能设备节能分配!M:M,"2021")+SUMIFS(工业节能技术装备推荐目录!K:K,工业节能技术装备推荐目录!D:D,'Early Facility Retirement'!A7,工业节能技术装备推荐目录!F:F,'Early Facility Retirement'!$A$1,工业节能技术装备推荐目录!A:A,"2022")+SUMIFS(用能设备节能分配!Q:Q,用能设备节能分配!O:O,'Early Facility Retirement'!A7,用能设备节能分配!P:P,'Early Facility Retirement'!$A$1,用能设备节能分配!M:M,"2022")</f>
        <v>0.59395305322186343</v>
      </c>
      <c r="F7" s="73">
        <f>SUMIFS(工业节能技术装备推荐目录!K:K,工业节能技术装备推荐目录!D:D,'Early Facility Retirement'!A7,工业节能技术装备推荐目录!F:F,'Early Facility Retirement'!$A$1,工业节能技术装备推荐目录!A:A,"2020")+SUMIFS(用能设备节能分配!Q:Q,用能设备节能分配!O:O,'Early Facility Retirement'!A7,用能设备节能分配!P:P,'Early Facility Retirement'!$A$1,用能设备节能分配!M:M,"2020")+SUMIFS(工业节能技术装备推荐目录!K:K,工业节能技术装备推荐目录!D:D,'Early Facility Retirement'!A7,工业节能技术装备推荐目录!F:F,'Early Facility Retirement'!$A$1,工业节能技术装备推荐目录!A:A,"2021")+SUMIFS(用能设备节能分配!Q:Q,用能设备节能分配!O:O,'Early Facility Retirement'!A7,用能设备节能分配!P:P,'Early Facility Retirement'!$A$1,用能设备节能分配!M:M,"2021")+SUMIFS(工业节能技术装备推荐目录!K:K,工业节能技术装备推荐目录!D:D,'Early Facility Retirement'!A7,工业节能技术装备推荐目录!F:F,'Early Facility Retirement'!$A$1,工业节能技术装备推荐目录!A:A,"2022")+SUMIFS(用能设备节能分配!Q:Q,用能设备节能分配!O:O,'Early Facility Retirement'!A7,用能设备节能分配!P:P,'Early Facility Retirement'!$A$1,用能设备节能分配!M:M,"2022")</f>
        <v>0.59395305322186343</v>
      </c>
      <c r="G7" s="73">
        <f>SUMIFS(工业节能技术装备推荐目录!K:K,工业节能技术装备推荐目录!D:D,'Early Facility Retirement'!A7,工业节能技术装备推荐目录!F:F,'Early Facility Retirement'!$A$1,工业节能技术装备推荐目录!A:A,"2020")+SUMIFS(用能设备节能分配!Q:Q,用能设备节能分配!O:O,'Early Facility Retirement'!A7,用能设备节能分配!P:P,'Early Facility Retirement'!$A$1,用能设备节能分配!M:M,"2020")+SUMIFS(工业节能技术装备推荐目录!K:K,工业节能技术装备推荐目录!D:D,'Early Facility Retirement'!A7,工业节能技术装备推荐目录!F:F,'Early Facility Retirement'!$A$1,工业节能技术装备推荐目录!A:A,"2022")+SUMIFS(用能设备节能分配!Q:Q,用能设备节能分配!O:O,'Early Facility Retirement'!A7,用能设备节能分配!P:P,'Early Facility Retirement'!$A$1,用能设备节能分配!M:M,"2022")</f>
        <v>0.58218385093104386</v>
      </c>
      <c r="H7" s="73">
        <f>SUMIFS(工业节能技术装备推荐目录!K:K,工业节能技术装备推荐目录!D:D,'Early Facility Retirement'!A7,工业节能技术装备推荐目录!F:F,'Early Facility Retirement'!$A$1,工业节能技术装备推荐目录!A:A,"2022")+SUMIFS(用能设备节能分配!Q:Q,用能设备节能分配!O:O,'Early Facility Retirement'!A7,用能设备节能分配!P:P,'Early Facility Retirement'!$A$1,用能设备节能分配!M:M,"2022")</f>
        <v>0</v>
      </c>
      <c r="I7" s="73">
        <f>SUMIFS(工业节能技术装备推荐目录!K:K,工业节能技术装备推荐目录!D:D,'Early Facility Retirement'!A7,工业节能技术装备推荐目录!F:F,'Early Facility Retirement'!$A$1,工业节能技术装备推荐目录!A:A,"2022")+SUMIFS(用能设备节能分配!Q:Q,用能设备节能分配!O:O,'Early Facility Retirement'!A7,用能设备节能分配!P:P,'Early Facility Retirement'!$A$1,用能设备节能分配!M:M,"2022")</f>
        <v>0</v>
      </c>
      <c r="K7" s="52"/>
      <c r="L7" s="26" t="s">
        <v>101</v>
      </c>
      <c r="M7" s="50">
        <f>SUMIFS(工业节能技术装备推荐目录!L:L,工业节能技术装备推荐目录!D:D,'Early Facility Retirement'!A7,工业节能技术装备推荐目录!F:F,'Early Facility Retirement'!$A$1)</f>
        <v>0</v>
      </c>
      <c r="N7" s="73">
        <f>SUMIFS(工业节能技术装备推荐目录!K:K,工业节能技术装备推荐目录!D:D,'Early Facility Retirement'!A7,工业节能技术装备推荐目录!F:F,'Early Facility Retirement'!$A$1,工业节能技术装备推荐目录!A:A,"2020")</f>
        <v>0</v>
      </c>
      <c r="O7" s="73">
        <f>SUMIFS(工业节能技术装备推荐目录!K:K,工业节能技术装备推荐目录!D:D,'Early Facility Retirement'!A7,工业节能技术装备推荐目录!F:F,'Early Facility Retirement'!$A$1,工业节能技术装备推荐目录!A:A,"2020")+SUMIFS(工业节能技术装备推荐目录!K:K,工业节能技术装备推荐目录!D:D,'Early Facility Retirement'!A7,工业节能技术装备推荐目录!F:F,'Early Facility Retirement'!$A$1,工业节能技术装备推荐目录!A:A,"2021")</f>
        <v>0</v>
      </c>
      <c r="P7" s="73">
        <f>SUMIFS(工业节能技术装备推荐目录!K:K,工业节能技术装备推荐目录!D:D,'Early Facility Retirement'!A7,工业节能技术装备推荐目录!F:F,'Early Facility Retirement'!$A$1,工业节能技术装备推荐目录!A:A,"2020")+SUMIFS(工业节能技术装备推荐目录!K:K,工业节能技术装备推荐目录!D:D,'Early Facility Retirement'!A7,工业节能技术装备推荐目录!F:F,'Early Facility Retirement'!$A$1,工业节能技术装备推荐目录!A:A,"2021")+SUMIFS(工业节能技术装备推荐目录!K:K,工业节能技术装备推荐目录!D:D,'Early Facility Retirement'!A7,工业节能技术装备推荐目录!F:F,'Early Facility Retirement'!$A$1,工业节能技术装备推荐目录!A:A,"2022")</f>
        <v>0</v>
      </c>
      <c r="Q7" s="73">
        <f>SUMIFS(工业节能技术装备推荐目录!K:K,工业节能技术装备推荐目录!D:D,'Early Facility Retirement'!A7,工业节能技术装备推荐目录!F:F,'Early Facility Retirement'!$A$1,工业节能技术装备推荐目录!A:A,"2020")+SUMIFS(工业节能技术装备推荐目录!K:K,工业节能技术装备推荐目录!D:D,'Early Facility Retirement'!A7,工业节能技术装备推荐目录!F:F,'Early Facility Retirement'!$A$1,工业节能技术装备推荐目录!A:A,"2021")+SUMIFS(工业节能技术装备推荐目录!K:K,工业节能技术装备推荐目录!D:D,'Early Facility Retirement'!A7,工业节能技术装备推荐目录!F:F,'Early Facility Retirement'!$A$1,工业节能技术装备推荐目录!A:A,"2022")</f>
        <v>0</v>
      </c>
      <c r="R7" s="73">
        <f>SUMIFS(工业节能技术装备推荐目录!K:K,工业节能技术装备推荐目录!D:D,'Early Facility Retirement'!A7,工业节能技术装备推荐目录!F:F,'Early Facility Retirement'!$A$1,工业节能技术装备推荐目录!A:A,"2020")+SUMIFS(工业节能技术装备推荐目录!K:K,工业节能技术装备推荐目录!D:D,'Early Facility Retirement'!A7,工业节能技术装备推荐目录!F:F,'Early Facility Retirement'!$A$1,工业节能技术装备推荐目录!A:A,"2022")</f>
        <v>0</v>
      </c>
      <c r="S7" s="73">
        <f>SUMIFS(工业节能技术装备推荐目录!K:K,工业节能技术装备推荐目录!D:D,'Early Facility Retirement'!A7,工业节能技术装备推荐目录!F:F,'Early Facility Retirement'!$A$1,工业节能技术装备推荐目录!A:A,"2022")</f>
        <v>0</v>
      </c>
      <c r="T7" s="73">
        <f>SUMIFS(工业节能技术装备推荐目录!K:K,工业节能技术装备推荐目录!D:D,'Early Facility Retirement'!A7,工业节能技术装备推荐目录!F:F,'Early Facility Retirement'!$A$1,工业节能技术装备推荐目录!A:A,"2022")</f>
        <v>0</v>
      </c>
    </row>
    <row r="8" spans="1:20" x14ac:dyDescent="0.15">
      <c r="A8" s="26" t="s">
        <v>72</v>
      </c>
      <c r="B8" s="50">
        <f>SUMIFS(工业节能技术装备推荐目录!L:L,工业节能技术装备推荐目录!D:D,'Early Facility Retirement'!A8,工业节能技术装备推荐目录!F:F,'Early Facility Retirement'!$A$1)+SUMIFS(用能设备节能分配!R:R,用能设备节能分配!O:O,'Early Facility Retirement'!A8,用能设备节能分配!P:P,'Early Facility Retirement'!$A$1)</f>
        <v>322.54404969007589</v>
      </c>
      <c r="C8" s="73">
        <f>SUMIFS(工业节能技术装备推荐目录!K:K,工业节能技术装备推荐目录!D:D,'Early Facility Retirement'!A8,工业节能技术装备推荐目录!F:F,'Early Facility Retirement'!$A$1,工业节能技术装备推荐目录!A:A,"2020")+SUMIFS(用能设备节能分配!Q:Q,用能设备节能分配!O:O,'Early Facility Retirement'!A8,用能设备节能分配!P:P,'Early Facility Retirement'!$A$1,用能设备节能分配!M:M,"2020")</f>
        <v>0.58469410517749276</v>
      </c>
      <c r="D8" s="73">
        <f>SUMIFS(工业节能技术装备推荐目录!K:K,工业节能技术装备推荐目录!D:D,'Early Facility Retirement'!A8,工业节能技术装备推荐目录!F:F,'Early Facility Retirement'!$A$1,工业节能技术装备推荐目录!A:A,"2020")+SUMIFS(用能设备节能分配!Q:Q,用能设备节能分配!O:O,'Early Facility Retirement'!A8,用能设备节能分配!P:P,'Early Facility Retirement'!$A$1,用能设备节能分配!M:M,"2020")+SUMIFS(工业节能技术装备推荐目录!K:K,工业节能技术装备推荐目录!D:D,'Early Facility Retirement'!A8,工业节能技术装备推荐目录!F:F,'Early Facility Retirement'!$A$1,工业节能技术装备推荐目录!A:A,"2021")+SUMIFS(用能设备节能分配!Q:Q,用能设备节能分配!O:O,'Early Facility Retirement'!A8,用能设备节能分配!P:P,'Early Facility Retirement'!$A$1,用能设备节能分配!M:M,"2021")</f>
        <v>0.59651405379179867</v>
      </c>
      <c r="E8" s="73">
        <f>SUMIFS(工业节能技术装备推荐目录!K:K,工业节能技术装备推荐目录!D:D,'Early Facility Retirement'!A8,工业节能技术装备推荐目录!F:F,'Early Facility Retirement'!$A$1,工业节能技术装备推荐目录!A:A,"2020")+SUMIFS(用能设备节能分配!Q:Q,用能设备节能分配!O:O,'Early Facility Retirement'!A8,用能设备节能分配!P:P,'Early Facility Retirement'!$A$1,用能设备节能分配!M:M,"2020")+SUMIFS(工业节能技术装备推荐目录!K:K,工业节能技术装备推荐目录!D:D,'Early Facility Retirement'!A8,工业节能技术装备推荐目录!F:F,'Early Facility Retirement'!$A$1,工业节能技术装备推荐目录!A:A,"2021")+SUMIFS(用能设备节能分配!Q:Q,用能设备节能分配!O:O,'Early Facility Retirement'!A8,用能设备节能分配!P:P,'Early Facility Retirement'!$A$1,用能设备节能分配!M:M,"2021")+SUMIFS(工业节能技术装备推荐目录!K:K,工业节能技术装备推荐目录!D:D,'Early Facility Retirement'!A8,工业节能技术装备推荐目录!F:F,'Early Facility Retirement'!$A$1,工业节能技术装备推荐目录!A:A,"2022")+SUMIFS(用能设备节能分配!Q:Q,用能设备节能分配!O:O,'Early Facility Retirement'!A8,用能设备节能分配!P:P,'Early Facility Retirement'!$A$1,用能设备节能分配!M:M,"2022")</f>
        <v>96.596514053791793</v>
      </c>
      <c r="F8" s="73">
        <f>SUMIFS(工业节能技术装备推荐目录!K:K,工业节能技术装备推荐目录!D:D,'Early Facility Retirement'!A8,工业节能技术装备推荐目录!F:F,'Early Facility Retirement'!$A$1,工业节能技术装备推荐目录!A:A,"2020")+SUMIFS(用能设备节能分配!Q:Q,用能设备节能分配!O:O,'Early Facility Retirement'!A8,用能设备节能分配!P:P,'Early Facility Retirement'!$A$1,用能设备节能分配!M:M,"2020")+SUMIFS(工业节能技术装备推荐目录!K:K,工业节能技术装备推荐目录!D:D,'Early Facility Retirement'!A8,工业节能技术装备推荐目录!F:F,'Early Facility Retirement'!$A$1,工业节能技术装备推荐目录!A:A,"2021")+SUMIFS(用能设备节能分配!Q:Q,用能设备节能分配!O:O,'Early Facility Retirement'!A8,用能设备节能分配!P:P,'Early Facility Retirement'!$A$1,用能设备节能分配!M:M,"2021")+SUMIFS(工业节能技术装备推荐目录!K:K,工业节能技术装备推荐目录!D:D,'Early Facility Retirement'!A8,工业节能技术装备推荐目录!F:F,'Early Facility Retirement'!$A$1,工业节能技术装备推荐目录!A:A,"2022")+SUMIFS(用能设备节能分配!Q:Q,用能设备节能分配!O:O,'Early Facility Retirement'!A8,用能设备节能分配!P:P,'Early Facility Retirement'!$A$1,用能设备节能分配!M:M,"2022")</f>
        <v>96.596514053791793</v>
      </c>
      <c r="G8" s="73">
        <f>SUMIFS(工业节能技术装备推荐目录!K:K,工业节能技术装备推荐目录!D:D,'Early Facility Retirement'!A8,工业节能技术装备推荐目录!F:F,'Early Facility Retirement'!$A$1,工业节能技术装备推荐目录!A:A,"2020")+SUMIFS(用能设备节能分配!Q:Q,用能设备节能分配!O:O,'Early Facility Retirement'!A8,用能设备节能分配!P:P,'Early Facility Retirement'!$A$1,用能设备节能分配!M:M,"2020")+SUMIFS(工业节能技术装备推荐目录!K:K,工业节能技术装备推荐目录!D:D,'Early Facility Retirement'!A8,工业节能技术装备推荐目录!F:F,'Early Facility Retirement'!$A$1,工业节能技术装备推荐目录!A:A,"2022")+SUMIFS(用能设备节能分配!Q:Q,用能设备节能分配!O:O,'Early Facility Retirement'!A8,用能设备节能分配!P:P,'Early Facility Retirement'!$A$1,用能设备节能分配!M:M,"2022")</f>
        <v>96.584694105177491</v>
      </c>
      <c r="H8" s="73">
        <f>SUMIFS(工业节能技术装备推荐目录!K:K,工业节能技术装备推荐目录!D:D,'Early Facility Retirement'!A8,工业节能技术装备推荐目录!F:F,'Early Facility Retirement'!$A$1,工业节能技术装备推荐目录!A:A,"2022")+SUMIFS(用能设备节能分配!Q:Q,用能设备节能分配!O:O,'Early Facility Retirement'!A8,用能设备节能分配!P:P,'Early Facility Retirement'!$A$1,用能设备节能分配!M:M,"2022")</f>
        <v>96</v>
      </c>
      <c r="I8" s="73">
        <f>SUMIFS(工业节能技术装备推荐目录!K:K,工业节能技术装备推荐目录!D:D,'Early Facility Retirement'!A8,工业节能技术装备推荐目录!F:F,'Early Facility Retirement'!$A$1,工业节能技术装备推荐目录!A:A,"2022")+SUMIFS(用能设备节能分配!Q:Q,用能设备节能分配!O:O,'Early Facility Retirement'!A8,用能设备节能分配!P:P,'Early Facility Retirement'!$A$1,用能设备节能分配!M:M,"2022")</f>
        <v>96</v>
      </c>
      <c r="K8" s="52"/>
      <c r="L8" s="26" t="s">
        <v>72</v>
      </c>
      <c r="M8" s="50">
        <f>SUMIFS(工业节能技术装备推荐目录!L:L,工业节能技术装备推荐目录!D:D,'Early Facility Retirement'!A8,工业节能技术装备推荐目录!F:F,'Early Facility Retirement'!$A$1)</f>
        <v>320</v>
      </c>
      <c r="N8" s="73">
        <f>SUMIFS(工业节能技术装备推荐目录!K:K,工业节能技术装备推荐目录!D:D,'Early Facility Retirement'!A8,工业节能技术装备推荐目录!F:F,'Early Facility Retirement'!$A$1,工业节能技术装备推荐目录!A:A,"2020")</f>
        <v>0</v>
      </c>
      <c r="O8" s="73">
        <f>SUMIFS(工业节能技术装备推荐目录!K:K,工业节能技术装备推荐目录!D:D,'Early Facility Retirement'!A8,工业节能技术装备推荐目录!F:F,'Early Facility Retirement'!$A$1,工业节能技术装备推荐目录!A:A,"2020")+SUMIFS(工业节能技术装备推荐目录!K:K,工业节能技术装备推荐目录!D:D,'Early Facility Retirement'!A8,工业节能技术装备推荐目录!F:F,'Early Facility Retirement'!$A$1,工业节能技术装备推荐目录!A:A,"2021")</f>
        <v>0</v>
      </c>
      <c r="P8" s="73">
        <f>SUMIFS(工业节能技术装备推荐目录!K:K,工业节能技术装备推荐目录!D:D,'Early Facility Retirement'!A8,工业节能技术装备推荐目录!F:F,'Early Facility Retirement'!$A$1,工业节能技术装备推荐目录!A:A,"2020")+SUMIFS(工业节能技术装备推荐目录!K:K,工业节能技术装备推荐目录!D:D,'Early Facility Retirement'!A8,工业节能技术装备推荐目录!F:F,'Early Facility Retirement'!$A$1,工业节能技术装备推荐目录!A:A,"2021")+SUMIFS(工业节能技术装备推荐目录!K:K,工业节能技术装备推荐目录!D:D,'Early Facility Retirement'!A8,工业节能技术装备推荐目录!F:F,'Early Facility Retirement'!$A$1,工业节能技术装备推荐目录!A:A,"2022")</f>
        <v>96</v>
      </c>
      <c r="Q8" s="73">
        <f>SUMIFS(工业节能技术装备推荐目录!K:K,工业节能技术装备推荐目录!D:D,'Early Facility Retirement'!A8,工业节能技术装备推荐目录!F:F,'Early Facility Retirement'!$A$1,工业节能技术装备推荐目录!A:A,"2020")+SUMIFS(工业节能技术装备推荐目录!K:K,工业节能技术装备推荐目录!D:D,'Early Facility Retirement'!A8,工业节能技术装备推荐目录!F:F,'Early Facility Retirement'!$A$1,工业节能技术装备推荐目录!A:A,"2021")+SUMIFS(工业节能技术装备推荐目录!K:K,工业节能技术装备推荐目录!D:D,'Early Facility Retirement'!A8,工业节能技术装备推荐目录!F:F,'Early Facility Retirement'!$A$1,工业节能技术装备推荐目录!A:A,"2022")</f>
        <v>96</v>
      </c>
      <c r="R8" s="73">
        <f>SUMIFS(工业节能技术装备推荐目录!K:K,工业节能技术装备推荐目录!D:D,'Early Facility Retirement'!A8,工业节能技术装备推荐目录!F:F,'Early Facility Retirement'!$A$1,工业节能技术装备推荐目录!A:A,"2020")+SUMIFS(工业节能技术装备推荐目录!K:K,工业节能技术装备推荐目录!D:D,'Early Facility Retirement'!A8,工业节能技术装备推荐目录!F:F,'Early Facility Retirement'!$A$1,工业节能技术装备推荐目录!A:A,"2022")</f>
        <v>96</v>
      </c>
      <c r="S8" s="73">
        <f>SUMIFS(工业节能技术装备推荐目录!K:K,工业节能技术装备推荐目录!D:D,'Early Facility Retirement'!A8,工业节能技术装备推荐目录!F:F,'Early Facility Retirement'!$A$1,工业节能技术装备推荐目录!A:A,"2022")</f>
        <v>96</v>
      </c>
      <c r="T8" s="73">
        <f>SUMIFS(工业节能技术装备推荐目录!K:K,工业节能技术装备推荐目录!D:D,'Early Facility Retirement'!A8,工业节能技术装备推荐目录!F:F,'Early Facility Retirement'!$A$1,工业节能技术装备推荐目录!A:A,"2022")</f>
        <v>96</v>
      </c>
    </row>
    <row r="9" spans="1:20" x14ac:dyDescent="0.15">
      <c r="A9" s="26" t="s">
        <v>38</v>
      </c>
      <c r="B9" s="50">
        <f>SUMIFS(工业节能技术装备推荐目录!L:L,工业节能技术装备推荐目录!D:D,'Early Facility Retirement'!A9,工业节能技术装备推荐目录!F:F,'Early Facility Retirement'!$A$1)+SUMIFS(用能设备节能分配!R:R,用能设备节能分配!O:O,'Early Facility Retirement'!A9,用能设备节能分配!P:P,'Early Facility Retirement'!$A$1)</f>
        <v>1.048944982885291E-2</v>
      </c>
      <c r="C9" s="73">
        <f>SUMIFS(工业节能技术装备推荐目录!K:K,工业节能技术装备推荐目录!D:D,'Early Facility Retirement'!A9,工业节能技术装备推荐目录!F:F,'Early Facility Retirement'!$A$1,工业节能技术装备推荐目录!A:A,"2020")+SUMIFS(用能设备节能分配!Q:Q,用能设备节能分配!O:O,'Early Facility Retirement'!A9,用能设备节能分配!P:P,'Early Facility Retirement'!$A$1,用能设备节能分配!M:M,"2020")</f>
        <v>0</v>
      </c>
      <c r="D9" s="73">
        <f>SUMIFS(工业节能技术装备推荐目录!K:K,工业节能技术装备推荐目录!D:D,'Early Facility Retirement'!A9,工业节能技术装备推荐目录!F:F,'Early Facility Retirement'!$A$1,工业节能技术装备推荐目录!A:A,"2020")+SUMIFS(用能设备节能分配!Q:Q,用能设备节能分配!O:O,'Early Facility Retirement'!A9,用能设备节能分配!P:P,'Early Facility Retirement'!$A$1,用能设备节能分配!M:M,"2020")+SUMIFS(工业节能技术装备推荐目录!K:K,工业节能技术装备推荐目录!D:D,'Early Facility Retirement'!A9,工业节能技术装备推荐目录!F:F,'Early Facility Retirement'!$A$1,工业节能技术装备推荐目录!A:A,"2021")+SUMIFS(用能设备节能分配!Q:Q,用能设备节能分配!O:O,'Early Facility Retirement'!A9,用能设备节能分配!P:P,'Early Facility Retirement'!$A$1,用能设备节能分配!M:M,"2021")</f>
        <v>2.0978899657705819E-3</v>
      </c>
      <c r="E9" s="73">
        <f>SUMIFS(工业节能技术装备推荐目录!K:K,工业节能技术装备推荐目录!D:D,'Early Facility Retirement'!A9,工业节能技术装备推荐目录!F:F,'Early Facility Retirement'!$A$1,工业节能技术装备推荐目录!A:A,"2020")+SUMIFS(用能设备节能分配!Q:Q,用能设备节能分配!O:O,'Early Facility Retirement'!A9,用能设备节能分配!P:P,'Early Facility Retirement'!$A$1,用能设备节能分配!M:M,"2020")+SUMIFS(工业节能技术装备推荐目录!K:K,工业节能技术装备推荐目录!D:D,'Early Facility Retirement'!A9,工业节能技术装备推荐目录!F:F,'Early Facility Retirement'!$A$1,工业节能技术装备推荐目录!A:A,"2021")+SUMIFS(用能设备节能分配!Q:Q,用能设备节能分配!O:O,'Early Facility Retirement'!A9,用能设备节能分配!P:P,'Early Facility Retirement'!$A$1,用能设备节能分配!M:M,"2021")+SUMIFS(工业节能技术装备推荐目录!K:K,工业节能技术装备推荐目录!D:D,'Early Facility Retirement'!A9,工业节能技术装备推荐目录!F:F,'Early Facility Retirement'!$A$1,工业节能技术装备推荐目录!A:A,"2022")+SUMIFS(用能设备节能分配!Q:Q,用能设备节能分配!O:O,'Early Facility Retirement'!A9,用能设备节能分配!P:P,'Early Facility Retirement'!$A$1,用能设备节能分配!M:M,"2022")</f>
        <v>2.0978899657705819E-3</v>
      </c>
      <c r="F9" s="73">
        <f>SUMIFS(工业节能技术装备推荐目录!K:K,工业节能技术装备推荐目录!D:D,'Early Facility Retirement'!A9,工业节能技术装备推荐目录!F:F,'Early Facility Retirement'!$A$1,工业节能技术装备推荐目录!A:A,"2020")+SUMIFS(用能设备节能分配!Q:Q,用能设备节能分配!O:O,'Early Facility Retirement'!A9,用能设备节能分配!P:P,'Early Facility Retirement'!$A$1,用能设备节能分配!M:M,"2020")+SUMIFS(工业节能技术装备推荐目录!K:K,工业节能技术装备推荐目录!D:D,'Early Facility Retirement'!A9,工业节能技术装备推荐目录!F:F,'Early Facility Retirement'!$A$1,工业节能技术装备推荐目录!A:A,"2021")+SUMIFS(用能设备节能分配!Q:Q,用能设备节能分配!O:O,'Early Facility Retirement'!A9,用能设备节能分配!P:P,'Early Facility Retirement'!$A$1,用能设备节能分配!M:M,"2021")+SUMIFS(工业节能技术装备推荐目录!K:K,工业节能技术装备推荐目录!D:D,'Early Facility Retirement'!A9,工业节能技术装备推荐目录!F:F,'Early Facility Retirement'!$A$1,工业节能技术装备推荐目录!A:A,"2022")+SUMIFS(用能设备节能分配!Q:Q,用能设备节能分配!O:O,'Early Facility Retirement'!A9,用能设备节能分配!P:P,'Early Facility Retirement'!$A$1,用能设备节能分配!M:M,"2022")</f>
        <v>2.0978899657705819E-3</v>
      </c>
      <c r="G9" s="73">
        <f>SUMIFS(工业节能技术装备推荐目录!K:K,工业节能技术装备推荐目录!D:D,'Early Facility Retirement'!A9,工业节能技术装备推荐目录!F:F,'Early Facility Retirement'!$A$1,工业节能技术装备推荐目录!A:A,"2020")+SUMIFS(用能设备节能分配!Q:Q,用能设备节能分配!O:O,'Early Facility Retirement'!A9,用能设备节能分配!P:P,'Early Facility Retirement'!$A$1,用能设备节能分配!M:M,"2020")+SUMIFS(工业节能技术装备推荐目录!K:K,工业节能技术装备推荐目录!D:D,'Early Facility Retirement'!A9,工业节能技术装备推荐目录!F:F,'Early Facility Retirement'!$A$1,工业节能技术装备推荐目录!A:A,"2022")+SUMIFS(用能设备节能分配!Q:Q,用能设备节能分配!O:O,'Early Facility Retirement'!A9,用能设备节能分配!P:P,'Early Facility Retirement'!$A$1,用能设备节能分配!M:M,"2022")</f>
        <v>0</v>
      </c>
      <c r="H9" s="73">
        <f>SUMIFS(工业节能技术装备推荐目录!K:K,工业节能技术装备推荐目录!D:D,'Early Facility Retirement'!A9,工业节能技术装备推荐目录!F:F,'Early Facility Retirement'!$A$1,工业节能技术装备推荐目录!A:A,"2022")+SUMIFS(用能设备节能分配!Q:Q,用能设备节能分配!O:O,'Early Facility Retirement'!A9,用能设备节能分配!P:P,'Early Facility Retirement'!$A$1,用能设备节能分配!M:M,"2022")</f>
        <v>0</v>
      </c>
      <c r="I9" s="73">
        <f>SUMIFS(工业节能技术装备推荐目录!K:K,工业节能技术装备推荐目录!D:D,'Early Facility Retirement'!A9,工业节能技术装备推荐目录!F:F,'Early Facility Retirement'!$A$1,工业节能技术装备推荐目录!A:A,"2022")+SUMIFS(用能设备节能分配!Q:Q,用能设备节能分配!O:O,'Early Facility Retirement'!A9,用能设备节能分配!P:P,'Early Facility Retirement'!$A$1,用能设备节能分配!M:M,"2022")</f>
        <v>0</v>
      </c>
      <c r="K9" s="52"/>
      <c r="L9" s="26" t="s">
        <v>38</v>
      </c>
      <c r="M9" s="50">
        <f>SUMIFS(工业节能技术装备推荐目录!L:L,工业节能技术装备推荐目录!D:D,'Early Facility Retirement'!A9,工业节能技术装备推荐目录!F:F,'Early Facility Retirement'!$A$1)</f>
        <v>0</v>
      </c>
      <c r="N9" s="73">
        <f>SUMIFS(工业节能技术装备推荐目录!K:K,工业节能技术装备推荐目录!D:D,'Early Facility Retirement'!A9,工业节能技术装备推荐目录!F:F,'Early Facility Retirement'!$A$1,工业节能技术装备推荐目录!A:A,"2020")</f>
        <v>0</v>
      </c>
      <c r="O9" s="73">
        <f>SUMIFS(工业节能技术装备推荐目录!K:K,工业节能技术装备推荐目录!D:D,'Early Facility Retirement'!A9,工业节能技术装备推荐目录!F:F,'Early Facility Retirement'!$A$1,工业节能技术装备推荐目录!A:A,"2020")+SUMIFS(工业节能技术装备推荐目录!K:K,工业节能技术装备推荐目录!D:D,'Early Facility Retirement'!A9,工业节能技术装备推荐目录!F:F,'Early Facility Retirement'!$A$1,工业节能技术装备推荐目录!A:A,"2021")</f>
        <v>0</v>
      </c>
      <c r="P9" s="73">
        <f>SUMIFS(工业节能技术装备推荐目录!K:K,工业节能技术装备推荐目录!D:D,'Early Facility Retirement'!A9,工业节能技术装备推荐目录!F:F,'Early Facility Retirement'!$A$1,工业节能技术装备推荐目录!A:A,"2020")+SUMIFS(工业节能技术装备推荐目录!K:K,工业节能技术装备推荐目录!D:D,'Early Facility Retirement'!A9,工业节能技术装备推荐目录!F:F,'Early Facility Retirement'!$A$1,工业节能技术装备推荐目录!A:A,"2021")+SUMIFS(工业节能技术装备推荐目录!K:K,工业节能技术装备推荐目录!D:D,'Early Facility Retirement'!A9,工业节能技术装备推荐目录!F:F,'Early Facility Retirement'!$A$1,工业节能技术装备推荐目录!A:A,"2022")</f>
        <v>0</v>
      </c>
      <c r="Q9" s="73">
        <f>SUMIFS(工业节能技术装备推荐目录!K:K,工业节能技术装备推荐目录!D:D,'Early Facility Retirement'!A9,工业节能技术装备推荐目录!F:F,'Early Facility Retirement'!$A$1,工业节能技术装备推荐目录!A:A,"2020")+SUMIFS(工业节能技术装备推荐目录!K:K,工业节能技术装备推荐目录!D:D,'Early Facility Retirement'!A9,工业节能技术装备推荐目录!F:F,'Early Facility Retirement'!$A$1,工业节能技术装备推荐目录!A:A,"2021")+SUMIFS(工业节能技术装备推荐目录!K:K,工业节能技术装备推荐目录!D:D,'Early Facility Retirement'!A9,工业节能技术装备推荐目录!F:F,'Early Facility Retirement'!$A$1,工业节能技术装备推荐目录!A:A,"2022")</f>
        <v>0</v>
      </c>
      <c r="R9" s="73">
        <f>SUMIFS(工业节能技术装备推荐目录!K:K,工业节能技术装备推荐目录!D:D,'Early Facility Retirement'!A9,工业节能技术装备推荐目录!F:F,'Early Facility Retirement'!$A$1,工业节能技术装备推荐目录!A:A,"2020")+SUMIFS(工业节能技术装备推荐目录!K:K,工业节能技术装备推荐目录!D:D,'Early Facility Retirement'!A9,工业节能技术装备推荐目录!F:F,'Early Facility Retirement'!$A$1,工业节能技术装备推荐目录!A:A,"2022")</f>
        <v>0</v>
      </c>
      <c r="S9" s="73">
        <f>SUMIFS(工业节能技术装备推荐目录!K:K,工业节能技术装备推荐目录!D:D,'Early Facility Retirement'!A9,工业节能技术装备推荐目录!F:F,'Early Facility Retirement'!$A$1,工业节能技术装备推荐目录!A:A,"2022")</f>
        <v>0</v>
      </c>
      <c r="T9" s="73">
        <f>SUMIFS(工业节能技术装备推荐目录!K:K,工业节能技术装备推荐目录!D:D,'Early Facility Retirement'!A9,工业节能技术装备推荐目录!F:F,'Early Facility Retirement'!$A$1,工业节能技术装备推荐目录!A:A,"2022")</f>
        <v>0</v>
      </c>
    </row>
    <row r="10" spans="1:20" x14ac:dyDescent="0.15">
      <c r="A10" s="26" t="s">
        <v>68</v>
      </c>
      <c r="B10" s="50">
        <f>SUMIFS(工业节能技术装备推荐目录!L:L,工业节能技术装备推荐目录!D:D,'Early Facility Retirement'!A10,工业节能技术装备推荐目录!F:F,'Early Facility Retirement'!$A$1)+SUMIFS(用能设备节能分配!R:R,用能设备节能分配!O:O,'Early Facility Retirement'!A10,用能设备节能分配!P:P,'Early Facility Retirement'!$A$1)</f>
        <v>1.6796041703692535</v>
      </c>
      <c r="C10" s="73">
        <f>SUMIFS(工业节能技术装备推荐目录!K:K,工业节能技术装备推荐目录!D:D,'Early Facility Retirement'!A10,工业节能技术装备推荐目录!F:F,'Early Facility Retirement'!$A$1,工业节能技术装备推荐目录!A:A,"2020")+SUMIFS(用能设备节能分配!Q:Q,用能设备节能分配!O:O,'Early Facility Retirement'!A10,用能设备节能分配!P:P,'Early Facility Retirement'!$A$1,用能设备节能分配!M:M,"2020")</f>
        <v>0.38602023430491528</v>
      </c>
      <c r="D10" s="73">
        <f>SUMIFS(工业节能技术装备推荐目录!K:K,工业节能技术装备推荐目录!D:D,'Early Facility Retirement'!A10,工业节能技术装备推荐目录!F:F,'Early Facility Retirement'!$A$1,工业节能技术装备推荐目录!A:A,"2020")+SUMIFS(用能设备节能分配!Q:Q,用能设备节能分配!O:O,'Early Facility Retirement'!A10,用能设备节能分配!P:P,'Early Facility Retirement'!$A$1,用能设备节能分配!M:M,"2020")+SUMIFS(工业节能技术装备推荐目录!K:K,工业节能技术装备推荐目录!D:D,'Early Facility Retirement'!A10,工业节能技术装备推荐目录!F:F,'Early Facility Retirement'!$A$1,工业节能技术装备推荐目录!A:A,"2021")+SUMIFS(用能设备节能分配!Q:Q,用能设备节能分配!O:O,'Early Facility Retirement'!A10,用能设备节能分配!P:P,'Early Facility Retirement'!$A$1,用能设备节能分配!M:M,"2021")</f>
        <v>0.39382386921958801</v>
      </c>
      <c r="E10" s="73">
        <f>SUMIFS(工业节能技术装备推荐目录!K:K,工业节能技术装备推荐目录!D:D,'Early Facility Retirement'!A10,工业节能技术装备推荐目录!F:F,'Early Facility Retirement'!$A$1,工业节能技术装备推荐目录!A:A,"2020")+SUMIFS(用能设备节能分配!Q:Q,用能设备节能分配!O:O,'Early Facility Retirement'!A10,用能设备节能分配!P:P,'Early Facility Retirement'!$A$1,用能设备节能分配!M:M,"2020")+SUMIFS(工业节能技术装备推荐目录!K:K,工业节能技术装备推荐目录!D:D,'Early Facility Retirement'!A10,工业节能技术装备推荐目录!F:F,'Early Facility Retirement'!$A$1,工业节能技术装备推荐目录!A:A,"2021")+SUMIFS(用能设备节能分配!Q:Q,用能设备节能分配!O:O,'Early Facility Retirement'!A10,用能设备节能分配!P:P,'Early Facility Retirement'!$A$1,用能设备节能分配!M:M,"2021")+SUMIFS(工业节能技术装备推荐目录!K:K,工业节能技术装备推荐目录!D:D,'Early Facility Retirement'!A10,工业节能技术装备推荐目录!F:F,'Early Facility Retirement'!$A$1,工业节能技术装备推荐目录!A:A,"2022")+SUMIFS(用能设备节能分配!Q:Q,用能设备节能分配!O:O,'Early Facility Retirement'!A10,用能设备节能分配!P:P,'Early Facility Retirement'!$A$1,用能设备节能分配!M:M,"2022")</f>
        <v>0.39382386921958801</v>
      </c>
      <c r="F10" s="73">
        <f>SUMIFS(工业节能技术装备推荐目录!K:K,工业节能技术装备推荐目录!D:D,'Early Facility Retirement'!A10,工业节能技术装备推荐目录!F:F,'Early Facility Retirement'!$A$1,工业节能技术装备推荐目录!A:A,"2020")+SUMIFS(用能设备节能分配!Q:Q,用能设备节能分配!O:O,'Early Facility Retirement'!A10,用能设备节能分配!P:P,'Early Facility Retirement'!$A$1,用能设备节能分配!M:M,"2020")+SUMIFS(工业节能技术装备推荐目录!K:K,工业节能技术装备推荐目录!D:D,'Early Facility Retirement'!A10,工业节能技术装备推荐目录!F:F,'Early Facility Retirement'!$A$1,工业节能技术装备推荐目录!A:A,"2021")+SUMIFS(用能设备节能分配!Q:Q,用能设备节能分配!O:O,'Early Facility Retirement'!A10,用能设备节能分配!P:P,'Early Facility Retirement'!$A$1,用能设备节能分配!M:M,"2021")+SUMIFS(工业节能技术装备推荐目录!K:K,工业节能技术装备推荐目录!D:D,'Early Facility Retirement'!A10,工业节能技术装备推荐目录!F:F,'Early Facility Retirement'!$A$1,工业节能技术装备推荐目录!A:A,"2022")+SUMIFS(用能设备节能分配!Q:Q,用能设备节能分配!O:O,'Early Facility Retirement'!A10,用能设备节能分配!P:P,'Early Facility Retirement'!$A$1,用能设备节能分配!M:M,"2022")</f>
        <v>0.39382386921958801</v>
      </c>
      <c r="G10" s="73">
        <f>SUMIFS(工业节能技术装备推荐目录!K:K,工业节能技术装备推荐目录!D:D,'Early Facility Retirement'!A10,工业节能技术装备推荐目录!F:F,'Early Facility Retirement'!$A$1,工业节能技术装备推荐目录!A:A,"2020")+SUMIFS(用能设备节能分配!Q:Q,用能设备节能分配!O:O,'Early Facility Retirement'!A10,用能设备节能分配!P:P,'Early Facility Retirement'!$A$1,用能设备节能分配!M:M,"2020")+SUMIFS(工业节能技术装备推荐目录!K:K,工业节能技术装备推荐目录!D:D,'Early Facility Retirement'!A10,工业节能技术装备推荐目录!F:F,'Early Facility Retirement'!$A$1,工业节能技术装备推荐目录!A:A,"2022")+SUMIFS(用能设备节能分配!Q:Q,用能设备节能分配!O:O,'Early Facility Retirement'!A10,用能设备节能分配!P:P,'Early Facility Retirement'!$A$1,用能设备节能分配!M:M,"2022")</f>
        <v>0.38602023430491528</v>
      </c>
      <c r="H10" s="73">
        <f>SUMIFS(工业节能技术装备推荐目录!K:K,工业节能技术装备推荐目录!D:D,'Early Facility Retirement'!A10,工业节能技术装备推荐目录!F:F,'Early Facility Retirement'!$A$1,工业节能技术装备推荐目录!A:A,"2022")+SUMIFS(用能设备节能分配!Q:Q,用能设备节能分配!O:O,'Early Facility Retirement'!A10,用能设备节能分配!P:P,'Early Facility Retirement'!$A$1,用能设备节能分配!M:M,"2022")</f>
        <v>0</v>
      </c>
      <c r="I10" s="73">
        <f>SUMIFS(工业节能技术装备推荐目录!K:K,工业节能技术装备推荐目录!D:D,'Early Facility Retirement'!A10,工业节能技术装备推荐目录!F:F,'Early Facility Retirement'!$A$1,工业节能技术装备推荐目录!A:A,"2022")+SUMIFS(用能设备节能分配!Q:Q,用能设备节能分配!O:O,'Early Facility Retirement'!A10,用能设备节能分配!P:P,'Early Facility Retirement'!$A$1,用能设备节能分配!M:M,"2022")</f>
        <v>0</v>
      </c>
      <c r="K10" s="52"/>
      <c r="L10" s="26" t="s">
        <v>68</v>
      </c>
      <c r="M10" s="50">
        <f>SUMIFS(工业节能技术装备推荐目录!L:L,工业节能技术装备推荐目录!D:D,'Early Facility Retirement'!A10,工业节能技术装备推荐目录!F:F,'Early Facility Retirement'!$A$1)</f>
        <v>0</v>
      </c>
      <c r="N10" s="73">
        <f>SUMIFS(工业节能技术装备推荐目录!K:K,工业节能技术装备推荐目录!D:D,'Early Facility Retirement'!A10,工业节能技术装备推荐目录!F:F,'Early Facility Retirement'!$A$1,工业节能技术装备推荐目录!A:A,"2020")</f>
        <v>0</v>
      </c>
      <c r="O10" s="73">
        <f>SUMIFS(工业节能技术装备推荐目录!K:K,工业节能技术装备推荐目录!D:D,'Early Facility Retirement'!A10,工业节能技术装备推荐目录!F:F,'Early Facility Retirement'!$A$1,工业节能技术装备推荐目录!A:A,"2020")+SUMIFS(工业节能技术装备推荐目录!K:K,工业节能技术装备推荐目录!D:D,'Early Facility Retirement'!A10,工业节能技术装备推荐目录!F:F,'Early Facility Retirement'!$A$1,工业节能技术装备推荐目录!A:A,"2021")</f>
        <v>0</v>
      </c>
      <c r="P10" s="73">
        <f>SUMIFS(工业节能技术装备推荐目录!K:K,工业节能技术装备推荐目录!D:D,'Early Facility Retirement'!A10,工业节能技术装备推荐目录!F:F,'Early Facility Retirement'!$A$1,工业节能技术装备推荐目录!A:A,"2020")+SUMIFS(工业节能技术装备推荐目录!K:K,工业节能技术装备推荐目录!D:D,'Early Facility Retirement'!A10,工业节能技术装备推荐目录!F:F,'Early Facility Retirement'!$A$1,工业节能技术装备推荐目录!A:A,"2021")+SUMIFS(工业节能技术装备推荐目录!K:K,工业节能技术装备推荐目录!D:D,'Early Facility Retirement'!A10,工业节能技术装备推荐目录!F:F,'Early Facility Retirement'!$A$1,工业节能技术装备推荐目录!A:A,"2022")</f>
        <v>0</v>
      </c>
      <c r="Q10" s="73">
        <f>SUMIFS(工业节能技术装备推荐目录!K:K,工业节能技术装备推荐目录!D:D,'Early Facility Retirement'!A10,工业节能技术装备推荐目录!F:F,'Early Facility Retirement'!$A$1,工业节能技术装备推荐目录!A:A,"2020")+SUMIFS(工业节能技术装备推荐目录!K:K,工业节能技术装备推荐目录!D:D,'Early Facility Retirement'!A10,工业节能技术装备推荐目录!F:F,'Early Facility Retirement'!$A$1,工业节能技术装备推荐目录!A:A,"2021")+SUMIFS(工业节能技术装备推荐目录!K:K,工业节能技术装备推荐目录!D:D,'Early Facility Retirement'!A10,工业节能技术装备推荐目录!F:F,'Early Facility Retirement'!$A$1,工业节能技术装备推荐目录!A:A,"2022")</f>
        <v>0</v>
      </c>
      <c r="R10" s="73">
        <f>SUMIFS(工业节能技术装备推荐目录!K:K,工业节能技术装备推荐目录!D:D,'Early Facility Retirement'!A10,工业节能技术装备推荐目录!F:F,'Early Facility Retirement'!$A$1,工业节能技术装备推荐目录!A:A,"2020")+SUMIFS(工业节能技术装备推荐目录!K:K,工业节能技术装备推荐目录!D:D,'Early Facility Retirement'!A10,工业节能技术装备推荐目录!F:F,'Early Facility Retirement'!$A$1,工业节能技术装备推荐目录!A:A,"2022")</f>
        <v>0</v>
      </c>
      <c r="S10" s="73">
        <f>SUMIFS(工业节能技术装备推荐目录!K:K,工业节能技术装备推荐目录!D:D,'Early Facility Retirement'!A10,工业节能技术装备推荐目录!F:F,'Early Facility Retirement'!$A$1,工业节能技术装备推荐目录!A:A,"2022")</f>
        <v>0</v>
      </c>
      <c r="T10" s="73">
        <f>SUMIFS(工业节能技术装备推荐目录!K:K,工业节能技术装备推荐目录!D:D,'Early Facility Retirement'!A10,工业节能技术装备推荐目录!F:F,'Early Facility Retirement'!$A$1,工业节能技术装备推荐目录!A:A,"2022")</f>
        <v>0</v>
      </c>
    </row>
    <row r="11" spans="1:20" x14ac:dyDescent="0.15">
      <c r="A11" s="26" t="s">
        <v>40</v>
      </c>
      <c r="B11" s="50">
        <f>SUMIFS(工业节能技术装备推荐目录!L:L,工业节能技术装备推荐目录!D:D,'Early Facility Retirement'!A11,工业节能技术装备推荐目录!F:F,'Early Facility Retirement'!$A$1)+SUMIFS(用能设备节能分配!R:R,用能设备节能分配!O:O,'Early Facility Retirement'!A11,用能设备节能分配!P:P,'Early Facility Retirement'!$A$1)</f>
        <v>16172.666116603157</v>
      </c>
      <c r="C11" s="73">
        <f>SUMIFS(工业节能技术装备推荐目录!K:K,工业节能技术装备推荐目录!D:D,'Early Facility Retirement'!A11,工业节能技术装备推荐目录!F:F,'Early Facility Retirement'!$A$1,工业节能技术装备推荐目录!A:A,"2020")+SUMIFS(用能设备节能分配!Q:Q,用能设备节能分配!O:O,'Early Facility Retirement'!A11,用能设备节能分配!P:P,'Early Facility Retirement'!$A$1,用能设备节能分配!M:M,"2020")</f>
        <v>19.205310123296403</v>
      </c>
      <c r="D11" s="73">
        <f>SUMIFS(工业节能技术装备推荐目录!K:K,工业节能技术装备推荐目录!D:D,'Early Facility Retirement'!A11,工业节能技术装备推荐目录!F:F,'Early Facility Retirement'!$A$1,工业节能技术装备推荐目录!A:A,"2020")+SUMIFS(用能设备节能分配!Q:Q,用能设备节能分配!O:O,'Early Facility Retirement'!A11,用能设备节能分配!P:P,'Early Facility Retirement'!$A$1,用能设备节能分配!M:M,"2020")+SUMIFS(工业节能技术装备推荐目录!K:K,工业节能技术装备推荐目录!D:D,'Early Facility Retirement'!A11,工业节能技术装备推荐目录!F:F,'Early Facility Retirement'!$A$1,工业节能技术装备推荐目录!A:A,"2021")+SUMIFS(用能设备节能分配!Q:Q,用能设备节能分配!O:O,'Early Facility Retirement'!A11,用能设备节能分配!P:P,'Early Facility Retirement'!$A$1,用能设备节能分配!M:M,"2021")</f>
        <v>385.28704783578468</v>
      </c>
      <c r="E11" s="73">
        <f>SUMIFS(工业节能技术装备推荐目录!K:K,工业节能技术装备推荐目录!D:D,'Early Facility Retirement'!A11,工业节能技术装备推荐目录!F:F,'Early Facility Retirement'!$A$1,工业节能技术装备推荐目录!A:A,"2020")+SUMIFS(用能设备节能分配!Q:Q,用能设备节能分配!O:O,'Early Facility Retirement'!A11,用能设备节能分配!P:P,'Early Facility Retirement'!$A$1,用能设备节能分配!M:M,"2020")+SUMIFS(工业节能技术装备推荐目录!K:K,工业节能技术装备推荐目录!D:D,'Early Facility Retirement'!A11,工业节能技术装备推荐目录!F:F,'Early Facility Retirement'!$A$1,工业节能技术装备推荐目录!A:A,"2021")+SUMIFS(用能设备节能分配!Q:Q,用能设备节能分配!O:O,'Early Facility Retirement'!A11,用能设备节能分配!P:P,'Early Facility Retirement'!$A$1,用能设备节能分配!M:M,"2021")+SUMIFS(工业节能技术装备推荐目录!K:K,工业节能技术装备推荐目录!D:D,'Early Facility Retirement'!A11,工业节能技术装备推荐目录!F:F,'Early Facility Retirement'!$A$1,工业节能技术装备推荐目录!A:A,"2022")+SUMIFS(用能设备节能分配!Q:Q,用能设备节能分配!O:O,'Early Facility Retirement'!A11,用能设备节能分配!P:P,'Early Facility Retirement'!$A$1,用能设备节能分配!M:M,"2022")</f>
        <v>916.55574473638194</v>
      </c>
      <c r="F11" s="73">
        <f>SUMIFS(工业节能技术装备推荐目录!K:K,工业节能技术装备推荐目录!D:D,'Early Facility Retirement'!A11,工业节能技术装备推荐目录!F:F,'Early Facility Retirement'!$A$1,工业节能技术装备推荐目录!A:A,"2020")+SUMIFS(用能设备节能分配!Q:Q,用能设备节能分配!O:O,'Early Facility Retirement'!A11,用能设备节能分配!P:P,'Early Facility Retirement'!$A$1,用能设备节能分配!M:M,"2020")+SUMIFS(工业节能技术装备推荐目录!K:K,工业节能技术装备推荐目录!D:D,'Early Facility Retirement'!A11,工业节能技术装备推荐目录!F:F,'Early Facility Retirement'!$A$1,工业节能技术装备推荐目录!A:A,"2021")+SUMIFS(用能设备节能分配!Q:Q,用能设备节能分配!O:O,'Early Facility Retirement'!A11,用能设备节能分配!P:P,'Early Facility Retirement'!$A$1,用能设备节能分配!M:M,"2021")+SUMIFS(工业节能技术装备推荐目录!K:K,工业节能技术装备推荐目录!D:D,'Early Facility Retirement'!A11,工业节能技术装备推荐目录!F:F,'Early Facility Retirement'!$A$1,工业节能技术装备推荐目录!A:A,"2022")+SUMIFS(用能设备节能分配!Q:Q,用能设备节能分配!O:O,'Early Facility Retirement'!A11,用能设备节能分配!P:P,'Early Facility Retirement'!$A$1,用能设备节能分配!M:M,"2022")</f>
        <v>916.55574473638194</v>
      </c>
      <c r="G11" s="73">
        <f>SUMIFS(工业节能技术装备推荐目录!K:K,工业节能技术装备推荐目录!D:D,'Early Facility Retirement'!A11,工业节能技术装备推荐目录!F:F,'Early Facility Retirement'!$A$1,工业节能技术装备推荐目录!A:A,"2020")+SUMIFS(用能设备节能分配!Q:Q,用能设备节能分配!O:O,'Early Facility Retirement'!A11,用能设备节能分配!P:P,'Early Facility Retirement'!$A$1,用能设备节能分配!M:M,"2020")+SUMIFS(工业节能技术装备推荐目录!K:K,工业节能技术装备推荐目录!D:D,'Early Facility Retirement'!A11,工业节能技术装备推荐目录!F:F,'Early Facility Retirement'!$A$1,工业节能技术装备推荐目录!A:A,"2022")+SUMIFS(用能设备节能分配!Q:Q,用能设备节能分配!O:O,'Early Facility Retirement'!A11,用能设备节能分配!P:P,'Early Facility Retirement'!$A$1,用能设备节能分配!M:M,"2022")</f>
        <v>550.47400702389371</v>
      </c>
      <c r="H11" s="73">
        <f>SUMIFS(工业节能技术装备推荐目录!K:K,工业节能技术装备推荐目录!D:D,'Early Facility Retirement'!A11,工业节能技术装备推荐目录!F:F,'Early Facility Retirement'!$A$1,工业节能技术装备推荐目录!A:A,"2022")+SUMIFS(用能设备节能分配!Q:Q,用能设备节能分配!O:O,'Early Facility Retirement'!A11,用能设备节能分配!P:P,'Early Facility Retirement'!$A$1,用能设备节能分配!M:M,"2022")</f>
        <v>531.26869690059732</v>
      </c>
      <c r="I11" s="73">
        <f>SUMIFS(工业节能技术装备推荐目录!K:K,工业节能技术装备推荐目录!D:D,'Early Facility Retirement'!A11,工业节能技术装备推荐目录!F:F,'Early Facility Retirement'!$A$1,工业节能技术装备推荐目录!A:A,"2022")+SUMIFS(用能设备节能分配!Q:Q,用能设备节能分配!O:O,'Early Facility Retirement'!A11,用能设备节能分配!P:P,'Early Facility Retirement'!$A$1,用能设备节能分配!M:M,"2022")</f>
        <v>531.26869690059732</v>
      </c>
      <c r="K11" s="52"/>
      <c r="L11" s="26" t="s">
        <v>40</v>
      </c>
      <c r="M11" s="50">
        <f>SUMIFS(工业节能技术装备推荐目录!L:L,工业节能技术装备推荐目录!D:D,'Early Facility Retirement'!A11,工业节能技术装备推荐目录!F:F,'Early Facility Retirement'!$A$1)</f>
        <v>16080.348468624306</v>
      </c>
      <c r="N11" s="73">
        <f>SUMIFS(工业节能技术装备推荐目录!K:K,工业节能技术装备推荐目录!D:D,'Early Facility Retirement'!A11,工业节能技术装备推荐目录!F:F,'Early Facility Retirement'!$A$1,工业节能技术装备推荐目录!A:A,"2020")</f>
        <v>0</v>
      </c>
      <c r="O11" s="73">
        <f>SUMIFS(工业节能技术装备推荐目录!K:K,工业节能技术装备推荐目录!D:D,'Early Facility Retirement'!A11,工业节能技术装备推荐目录!F:F,'Early Facility Retirement'!$A$1,工业节能技术装备推荐目录!A:A,"2020")+SUMIFS(工业节能技术装备推荐目录!K:K,工业节能技术装备推荐目录!D:D,'Early Facility Retirement'!A11,工业节能技术装备推荐目录!F:F,'Early Facility Retirement'!$A$1,工业节能技术装备推荐目录!A:A,"2021")</f>
        <v>363</v>
      </c>
      <c r="P11" s="73">
        <f>SUMIFS(工业节能技术装备推荐目录!K:K,工业节能技术装备推荐目录!D:D,'Early Facility Retirement'!A11,工业节能技术装备推荐目录!F:F,'Early Facility Retirement'!$A$1,工业节能技术装备推荐目录!A:A,"2020")+SUMIFS(工业节能技术装备推荐目录!K:K,工业节能技术装备推荐目录!D:D,'Early Facility Retirement'!A11,工业节能技术装备推荐目录!F:F,'Early Facility Retirement'!$A$1,工业节能技术装备推荐目录!A:A,"2021")+SUMIFS(工业节能技术装备推荐目录!K:K,工业节能技术装备推荐目录!D:D,'Early Facility Retirement'!A11,工业节能技术装备推荐目录!F:F,'Early Facility Retirement'!$A$1,工业节能技术装备推荐目录!A:A,"2022")</f>
        <v>894.26869690059732</v>
      </c>
      <c r="Q11" s="73">
        <f>SUMIFS(工业节能技术装备推荐目录!K:K,工业节能技术装备推荐目录!D:D,'Early Facility Retirement'!A11,工业节能技术装备推荐目录!F:F,'Early Facility Retirement'!$A$1,工业节能技术装备推荐目录!A:A,"2020")+SUMIFS(工业节能技术装备推荐目录!K:K,工业节能技术装备推荐目录!D:D,'Early Facility Retirement'!A11,工业节能技术装备推荐目录!F:F,'Early Facility Retirement'!$A$1,工业节能技术装备推荐目录!A:A,"2021")+SUMIFS(工业节能技术装备推荐目录!K:K,工业节能技术装备推荐目录!D:D,'Early Facility Retirement'!A11,工业节能技术装备推荐目录!F:F,'Early Facility Retirement'!$A$1,工业节能技术装备推荐目录!A:A,"2022")</f>
        <v>894.26869690059732</v>
      </c>
      <c r="R11" s="73">
        <f>SUMIFS(工业节能技术装备推荐目录!K:K,工业节能技术装备推荐目录!D:D,'Early Facility Retirement'!A11,工业节能技术装备推荐目录!F:F,'Early Facility Retirement'!$A$1,工业节能技术装备推荐目录!A:A,"2020")+SUMIFS(工业节能技术装备推荐目录!K:K,工业节能技术装备推荐目录!D:D,'Early Facility Retirement'!A11,工业节能技术装备推荐目录!F:F,'Early Facility Retirement'!$A$1,工业节能技术装备推荐目录!A:A,"2022")</f>
        <v>531.26869690059732</v>
      </c>
      <c r="S11" s="73">
        <f>SUMIFS(工业节能技术装备推荐目录!K:K,工业节能技术装备推荐目录!D:D,'Early Facility Retirement'!A11,工业节能技术装备推荐目录!F:F,'Early Facility Retirement'!$A$1,工业节能技术装备推荐目录!A:A,"2022")</f>
        <v>531.26869690059732</v>
      </c>
      <c r="T11" s="73">
        <f>SUMIFS(工业节能技术装备推荐目录!K:K,工业节能技术装备推荐目录!D:D,'Early Facility Retirement'!A11,工业节能技术装备推荐目录!F:F,'Early Facility Retirement'!$A$1,工业节能技术装备推荐目录!A:A,"2022")</f>
        <v>531.26869690059732</v>
      </c>
    </row>
    <row r="12" spans="1:20" x14ac:dyDescent="0.15">
      <c r="A12" s="26" t="s">
        <v>41</v>
      </c>
      <c r="B12" s="50">
        <f>SUMIFS(工业节能技术装备推荐目录!L:L,工业节能技术装备推荐目录!D:D,'Early Facility Retirement'!A12,工业节能技术装备推荐目录!F:F,'Early Facility Retirement'!$A$1)+SUMIFS(用能设备节能分配!R:R,用能设备节能分配!O:O,'Early Facility Retirement'!A12,用能设备节能分配!P:P,'Early Facility Retirement'!$A$1)</f>
        <v>5706.1140257541492</v>
      </c>
      <c r="C12" s="73">
        <f>SUMIFS(工业节能技术装备推荐目录!K:K,工业节能技术装备推荐目录!D:D,'Early Facility Retirement'!A12,工业节能技术装备推荐目录!F:F,'Early Facility Retirement'!$A$1,工业节能技术装备推荐目录!A:A,"2020")+SUMIFS(用能设备节能分配!Q:Q,用能设备节能分配!O:O,'Early Facility Retirement'!A12,用能设备节能分配!P:P,'Early Facility Retirement'!$A$1,用能设备节能分配!M:M,"2020")</f>
        <v>54.475228764163013</v>
      </c>
      <c r="D12" s="73">
        <f>SUMIFS(工业节能技术装备推荐目录!K:K,工业节能技术装备推荐目录!D:D,'Early Facility Retirement'!A12,工业节能技术装备推荐目录!F:F,'Early Facility Retirement'!$A$1,工业节能技术装备推荐目录!A:A,"2020")+SUMIFS(用能设备节能分配!Q:Q,用能设备节能分配!O:O,'Early Facility Retirement'!A12,用能设备节能分配!P:P,'Early Facility Retirement'!$A$1,用能设备节能分配!M:M,"2020")+SUMIFS(工业节能技术装备推荐目录!K:K,工业节能技术装备推荐目录!D:D,'Early Facility Retirement'!A12,工业节能技术装备推荐目录!F:F,'Early Facility Retirement'!$A$1,工业节能技术装备推荐目录!A:A,"2021")+SUMIFS(用能设备节能分配!Q:Q,用能设备节能分配!O:O,'Early Facility Retirement'!A12,用能设备节能分配!P:P,'Early Facility Retirement'!$A$1,用能设备节能分配!M:M,"2021")</f>
        <v>448.13591385927674</v>
      </c>
      <c r="E12" s="73">
        <f>SUMIFS(工业节能技术装备推荐目录!K:K,工业节能技术装备推荐目录!D:D,'Early Facility Retirement'!A12,工业节能技术装备推荐目录!F:F,'Early Facility Retirement'!$A$1,工业节能技术装备推荐目录!A:A,"2020")+SUMIFS(用能设备节能分配!Q:Q,用能设备节能分配!O:O,'Early Facility Retirement'!A12,用能设备节能分配!P:P,'Early Facility Retirement'!$A$1,用能设备节能分配!M:M,"2020")+SUMIFS(工业节能技术装备推荐目录!K:K,工业节能技术装备推荐目录!D:D,'Early Facility Retirement'!A12,工业节能技术装备推荐目录!F:F,'Early Facility Retirement'!$A$1,工业节能技术装备推荐目录!A:A,"2021")+SUMIFS(用能设备节能分配!Q:Q,用能设备节能分配!O:O,'Early Facility Retirement'!A12,用能设备节能分配!P:P,'Early Facility Retirement'!$A$1,用能设备节能分配!M:M,"2021")+SUMIFS(工业节能技术装备推荐目录!K:K,工业节能技术装备推荐目录!D:D,'Early Facility Retirement'!A12,工业节能技术装备推荐目录!F:F,'Early Facility Retirement'!$A$1,工业节能技术装备推荐目录!A:A,"2022")+SUMIFS(用能设备节能分配!Q:Q,用能设备节能分配!O:O,'Early Facility Retirement'!A12,用能设备节能分配!P:P,'Early Facility Retirement'!$A$1,用能设备节能分配!M:M,"2022")</f>
        <v>722.76826886725007</v>
      </c>
      <c r="F12" s="73">
        <f>SUMIFS(工业节能技术装备推荐目录!K:K,工业节能技术装备推荐目录!D:D,'Early Facility Retirement'!A12,工业节能技术装备推荐目录!F:F,'Early Facility Retirement'!$A$1,工业节能技术装备推荐目录!A:A,"2020")+SUMIFS(用能设备节能分配!Q:Q,用能设备节能分配!O:O,'Early Facility Retirement'!A12,用能设备节能分配!P:P,'Early Facility Retirement'!$A$1,用能设备节能分配!M:M,"2020")+SUMIFS(工业节能技术装备推荐目录!K:K,工业节能技术装备推荐目录!D:D,'Early Facility Retirement'!A12,工业节能技术装备推荐目录!F:F,'Early Facility Retirement'!$A$1,工业节能技术装备推荐目录!A:A,"2021")+SUMIFS(用能设备节能分配!Q:Q,用能设备节能分配!O:O,'Early Facility Retirement'!A12,用能设备节能分配!P:P,'Early Facility Retirement'!$A$1,用能设备节能分配!M:M,"2021")+SUMIFS(工业节能技术装备推荐目录!K:K,工业节能技术装备推荐目录!D:D,'Early Facility Retirement'!A12,工业节能技术装备推荐目录!F:F,'Early Facility Retirement'!$A$1,工业节能技术装备推荐目录!A:A,"2022")+SUMIFS(用能设备节能分配!Q:Q,用能设备节能分配!O:O,'Early Facility Retirement'!A12,用能设备节能分配!P:P,'Early Facility Retirement'!$A$1,用能设备节能分配!M:M,"2022")</f>
        <v>722.76826886725007</v>
      </c>
      <c r="G12" s="73">
        <f>SUMIFS(工业节能技术装备推荐目录!K:K,工业节能技术装备推荐目录!D:D,'Early Facility Retirement'!A12,工业节能技术装备推荐目录!F:F,'Early Facility Retirement'!$A$1,工业节能技术装备推荐目录!A:A,"2020")+SUMIFS(用能设备节能分配!Q:Q,用能设备节能分配!O:O,'Early Facility Retirement'!A12,用能设备节能分配!P:P,'Early Facility Retirement'!$A$1,用能设备节能分配!M:M,"2020")+SUMIFS(工业节能技术装备推荐目录!K:K,工业节能技术装备推荐目录!D:D,'Early Facility Retirement'!A12,工业节能技术装备推荐目录!F:F,'Early Facility Retirement'!$A$1,工业节能技术装备推荐目录!A:A,"2022")+SUMIFS(用能设备节能分配!Q:Q,用能设备节能分配!O:O,'Early Facility Retirement'!A12,用能设备节能分配!P:P,'Early Facility Retirement'!$A$1,用能设备节能分配!M:M,"2022")</f>
        <v>329.10758377213637</v>
      </c>
      <c r="H12" s="73">
        <f>SUMIFS(工业节能技术装备推荐目录!K:K,工业节能技术装备推荐目录!D:D,'Early Facility Retirement'!A12,工业节能技术装备推荐目录!F:F,'Early Facility Retirement'!$A$1,工业节能技术装备推荐目录!A:A,"2022")+SUMIFS(用能设备节能分配!Q:Q,用能设备节能分配!O:O,'Early Facility Retirement'!A12,用能设备节能分配!P:P,'Early Facility Retirement'!$A$1,用能设备节能分配!M:M,"2022")</f>
        <v>274.63235500797333</v>
      </c>
      <c r="I12" s="73">
        <f>SUMIFS(工业节能技术装备推荐目录!K:K,工业节能技术装备推荐目录!D:D,'Early Facility Retirement'!A12,工业节能技术装备推荐目录!F:F,'Early Facility Retirement'!$A$1,工业节能技术装备推荐目录!A:A,"2022")+SUMIFS(用能设备节能分配!Q:Q,用能设备节能分配!O:O,'Early Facility Retirement'!A12,用能设备节能分配!P:P,'Early Facility Retirement'!$A$1,用能设备节能分配!M:M,"2022")</f>
        <v>274.63235500797333</v>
      </c>
      <c r="K12" s="52"/>
      <c r="L12" s="26" t="s">
        <v>41</v>
      </c>
      <c r="M12" s="50">
        <f>SUMIFS(工业节能技术装备推荐目录!L:L,工业节能技术装备推荐目录!D:D,'Early Facility Retirement'!A12,工业节能技术装备推荐目录!F:F,'Early Facility Retirement'!$A$1)</f>
        <v>5682.2908780308881</v>
      </c>
      <c r="N12" s="73">
        <f>SUMIFS(工业节能技术装备推荐目录!K:K,工业节能技术装备推荐目录!D:D,'Early Facility Retirement'!A12,工业节能技术装备推荐目录!F:F,'Early Facility Retirement'!$A$1,工业节能技术装备推荐目录!A:A,"2020")</f>
        <v>49</v>
      </c>
      <c r="O12" s="73">
        <f>SUMIFS(工业节能技术装备推荐目录!K:K,工业节能技术装备推荐目录!D:D,'Early Facility Retirement'!A12,工业节能技术装备推荐目录!F:F,'Early Facility Retirement'!$A$1,工业节能技术装备推荐目录!A:A,"2020")+SUMIFS(工业节能技术装备推荐目录!K:K,工业节能技术装备推荐目录!D:D,'Early Facility Retirement'!A12,工业节能技术装备推荐目录!F:F,'Early Facility Retirement'!$A$1,工业节能技术装备推荐目录!A:A,"2021")</f>
        <v>442.55</v>
      </c>
      <c r="P12" s="73">
        <f>SUMIFS(工业节能技术装备推荐目录!K:K,工业节能技术装备推荐目录!D:D,'Early Facility Retirement'!A12,工业节能技术装备推荐目录!F:F,'Early Facility Retirement'!$A$1,工业节能技术装备推荐目录!A:A,"2020")+SUMIFS(工业节能技术装备推荐目录!K:K,工业节能技术装备推荐目录!D:D,'Early Facility Retirement'!A12,工业节能技术装备推荐目录!F:F,'Early Facility Retirement'!$A$1,工业节能技术装备推荐目录!A:A,"2021")+SUMIFS(工业节能技术装备推荐目录!K:K,工业节能技术装备推荐目录!D:D,'Early Facility Retirement'!A12,工业节能技术装备推荐目录!F:F,'Early Facility Retirement'!$A$1,工业节能技术装备推荐目录!A:A,"2022")</f>
        <v>717.18235500797334</v>
      </c>
      <c r="Q12" s="73">
        <f>SUMIFS(工业节能技术装备推荐目录!K:K,工业节能技术装备推荐目录!D:D,'Early Facility Retirement'!A12,工业节能技术装备推荐目录!F:F,'Early Facility Retirement'!$A$1,工业节能技术装备推荐目录!A:A,"2020")+SUMIFS(工业节能技术装备推荐目录!K:K,工业节能技术装备推荐目录!D:D,'Early Facility Retirement'!A12,工业节能技术装备推荐目录!F:F,'Early Facility Retirement'!$A$1,工业节能技术装备推荐目录!A:A,"2021")+SUMIFS(工业节能技术装备推荐目录!K:K,工业节能技术装备推荐目录!D:D,'Early Facility Retirement'!A12,工业节能技术装备推荐目录!F:F,'Early Facility Retirement'!$A$1,工业节能技术装备推荐目录!A:A,"2022")</f>
        <v>717.18235500797334</v>
      </c>
      <c r="R12" s="73">
        <f>SUMIFS(工业节能技术装备推荐目录!K:K,工业节能技术装备推荐目录!D:D,'Early Facility Retirement'!A12,工业节能技术装备推荐目录!F:F,'Early Facility Retirement'!$A$1,工业节能技术装备推荐目录!A:A,"2020")+SUMIFS(工业节能技术装备推荐目录!K:K,工业节能技术装备推荐目录!D:D,'Early Facility Retirement'!A12,工业节能技术装备推荐目录!F:F,'Early Facility Retirement'!$A$1,工业节能技术装备推荐目录!A:A,"2022")</f>
        <v>323.63235500797333</v>
      </c>
      <c r="S12" s="73">
        <f>SUMIFS(工业节能技术装备推荐目录!K:K,工业节能技术装备推荐目录!D:D,'Early Facility Retirement'!A12,工业节能技术装备推荐目录!F:F,'Early Facility Retirement'!$A$1,工业节能技术装备推荐目录!A:A,"2022")</f>
        <v>274.63235500797333</v>
      </c>
      <c r="T12" s="73">
        <f>SUMIFS(工业节能技术装备推荐目录!K:K,工业节能技术装备推荐目录!D:D,'Early Facility Retirement'!A12,工业节能技术装备推荐目录!F:F,'Early Facility Retirement'!$A$1,工业节能技术装备推荐目录!A:A,"2022")</f>
        <v>274.63235500797333</v>
      </c>
    </row>
    <row r="13" spans="1:20" x14ac:dyDescent="0.15">
      <c r="A13" s="26" t="s">
        <v>42</v>
      </c>
      <c r="B13" s="50">
        <f>SUMIFS(工业节能技术装备推荐目录!L:L,工业节能技术装备推荐目录!D:D,'Early Facility Retirement'!A13,工业节能技术装备推荐目录!F:F,'Early Facility Retirement'!$A$1)+SUMIFS(用能设备节能分配!R:R,用能设备节能分配!O:O,'Early Facility Retirement'!A13,用能设备节能分配!P:P,'Early Facility Retirement'!$A$1)</f>
        <v>2.9122641069325717E-2</v>
      </c>
      <c r="C13" s="73">
        <f>SUMIFS(工业节能技术装备推荐目录!K:K,工业节能技术装备推荐目录!D:D,'Early Facility Retirement'!A13,工业节能技术装备推荐目录!F:F,'Early Facility Retirement'!$A$1,工业节能技术装备推荐目录!A:A,"2020")+SUMIFS(用能设备节能分配!Q:Q,用能设备节能分配!O:O,'Early Facility Retirement'!A13,用能设备节能分配!P:P,'Early Facility Retirement'!$A$1,用能设备节能分配!M:M,"2020")</f>
        <v>0</v>
      </c>
      <c r="D13" s="73">
        <f>SUMIFS(工业节能技术装备推荐目录!K:K,工业节能技术装备推荐目录!D:D,'Early Facility Retirement'!A13,工业节能技术装备推荐目录!F:F,'Early Facility Retirement'!$A$1,工业节能技术装备推荐目录!A:A,"2020")+SUMIFS(用能设备节能分配!Q:Q,用能设备节能分配!O:O,'Early Facility Retirement'!A13,用能设备节能分配!P:P,'Early Facility Retirement'!$A$1,用能设备节能分配!M:M,"2020")+SUMIFS(工业节能技术装备推荐目录!K:K,工业节能技术装备推荐目录!D:D,'Early Facility Retirement'!A13,工业节能技术装备推荐目录!F:F,'Early Facility Retirement'!$A$1,工业节能技术装备推荐目录!A:A,"2021")+SUMIFS(用能设备节能分配!Q:Q,用能设备节能分配!O:O,'Early Facility Retirement'!A13,用能设备节能分配!P:P,'Early Facility Retirement'!$A$1,用能设备节能分配!M:M,"2021")</f>
        <v>5.8245282138651433E-3</v>
      </c>
      <c r="E13" s="73">
        <f>SUMIFS(工业节能技术装备推荐目录!K:K,工业节能技术装备推荐目录!D:D,'Early Facility Retirement'!A13,工业节能技术装备推荐目录!F:F,'Early Facility Retirement'!$A$1,工业节能技术装备推荐目录!A:A,"2020")+SUMIFS(用能设备节能分配!Q:Q,用能设备节能分配!O:O,'Early Facility Retirement'!A13,用能设备节能分配!P:P,'Early Facility Retirement'!$A$1,用能设备节能分配!M:M,"2020")+SUMIFS(工业节能技术装备推荐目录!K:K,工业节能技术装备推荐目录!D:D,'Early Facility Retirement'!A13,工业节能技术装备推荐目录!F:F,'Early Facility Retirement'!$A$1,工业节能技术装备推荐目录!A:A,"2021")+SUMIFS(用能设备节能分配!Q:Q,用能设备节能分配!O:O,'Early Facility Retirement'!A13,用能设备节能分配!P:P,'Early Facility Retirement'!$A$1,用能设备节能分配!M:M,"2021")+SUMIFS(工业节能技术装备推荐目录!K:K,工业节能技术装备推荐目录!D:D,'Early Facility Retirement'!A13,工业节能技术装备推荐目录!F:F,'Early Facility Retirement'!$A$1,工业节能技术装备推荐目录!A:A,"2022")+SUMIFS(用能设备节能分配!Q:Q,用能设备节能分配!O:O,'Early Facility Retirement'!A13,用能设备节能分配!P:P,'Early Facility Retirement'!$A$1,用能设备节能分配!M:M,"2022")</f>
        <v>5.8245282138651433E-3</v>
      </c>
      <c r="F13" s="73">
        <f>SUMIFS(工业节能技术装备推荐目录!K:K,工业节能技术装备推荐目录!D:D,'Early Facility Retirement'!A13,工业节能技术装备推荐目录!F:F,'Early Facility Retirement'!$A$1,工业节能技术装备推荐目录!A:A,"2020")+SUMIFS(用能设备节能分配!Q:Q,用能设备节能分配!O:O,'Early Facility Retirement'!A13,用能设备节能分配!P:P,'Early Facility Retirement'!$A$1,用能设备节能分配!M:M,"2020")+SUMIFS(工业节能技术装备推荐目录!K:K,工业节能技术装备推荐目录!D:D,'Early Facility Retirement'!A13,工业节能技术装备推荐目录!F:F,'Early Facility Retirement'!$A$1,工业节能技术装备推荐目录!A:A,"2021")+SUMIFS(用能设备节能分配!Q:Q,用能设备节能分配!O:O,'Early Facility Retirement'!A13,用能设备节能分配!P:P,'Early Facility Retirement'!$A$1,用能设备节能分配!M:M,"2021")+SUMIFS(工业节能技术装备推荐目录!K:K,工业节能技术装备推荐目录!D:D,'Early Facility Retirement'!A13,工业节能技术装备推荐目录!F:F,'Early Facility Retirement'!$A$1,工业节能技术装备推荐目录!A:A,"2022")+SUMIFS(用能设备节能分配!Q:Q,用能设备节能分配!O:O,'Early Facility Retirement'!A13,用能设备节能分配!P:P,'Early Facility Retirement'!$A$1,用能设备节能分配!M:M,"2022")</f>
        <v>5.8245282138651433E-3</v>
      </c>
      <c r="G13" s="73">
        <f>SUMIFS(工业节能技术装备推荐目录!K:K,工业节能技术装备推荐目录!D:D,'Early Facility Retirement'!A13,工业节能技术装备推荐目录!F:F,'Early Facility Retirement'!$A$1,工业节能技术装备推荐目录!A:A,"2020")+SUMIFS(用能设备节能分配!Q:Q,用能设备节能分配!O:O,'Early Facility Retirement'!A13,用能设备节能分配!P:P,'Early Facility Retirement'!$A$1,用能设备节能分配!M:M,"2020")+SUMIFS(工业节能技术装备推荐目录!K:K,工业节能技术装备推荐目录!D:D,'Early Facility Retirement'!A13,工业节能技术装备推荐目录!F:F,'Early Facility Retirement'!$A$1,工业节能技术装备推荐目录!A:A,"2022")+SUMIFS(用能设备节能分配!Q:Q,用能设备节能分配!O:O,'Early Facility Retirement'!A13,用能设备节能分配!P:P,'Early Facility Retirement'!$A$1,用能设备节能分配!M:M,"2022")</f>
        <v>0</v>
      </c>
      <c r="H13" s="73">
        <f>SUMIFS(工业节能技术装备推荐目录!K:K,工业节能技术装备推荐目录!D:D,'Early Facility Retirement'!A13,工业节能技术装备推荐目录!F:F,'Early Facility Retirement'!$A$1,工业节能技术装备推荐目录!A:A,"2022")+SUMIFS(用能设备节能分配!Q:Q,用能设备节能分配!O:O,'Early Facility Retirement'!A13,用能设备节能分配!P:P,'Early Facility Retirement'!$A$1,用能设备节能分配!M:M,"2022")</f>
        <v>0</v>
      </c>
      <c r="I13" s="73">
        <f>SUMIFS(工业节能技术装备推荐目录!K:K,工业节能技术装备推荐目录!D:D,'Early Facility Retirement'!A13,工业节能技术装备推荐目录!F:F,'Early Facility Retirement'!$A$1,工业节能技术装备推荐目录!A:A,"2022")+SUMIFS(用能设备节能分配!Q:Q,用能设备节能分配!O:O,'Early Facility Retirement'!A13,用能设备节能分配!P:P,'Early Facility Retirement'!$A$1,用能设备节能分配!M:M,"2022")</f>
        <v>0</v>
      </c>
      <c r="K13" s="52"/>
      <c r="L13" s="26" t="s">
        <v>42</v>
      </c>
      <c r="M13" s="50">
        <f>SUMIFS(工业节能技术装备推荐目录!L:L,工业节能技术装备推荐目录!D:D,'Early Facility Retirement'!A13,工业节能技术装备推荐目录!F:F,'Early Facility Retirement'!$A$1)</f>
        <v>0</v>
      </c>
      <c r="N13" s="73">
        <f>SUMIFS(工业节能技术装备推荐目录!K:K,工业节能技术装备推荐目录!D:D,'Early Facility Retirement'!A13,工业节能技术装备推荐目录!F:F,'Early Facility Retirement'!$A$1,工业节能技术装备推荐目录!A:A,"2020")</f>
        <v>0</v>
      </c>
      <c r="O13" s="73">
        <f>SUMIFS(工业节能技术装备推荐目录!K:K,工业节能技术装备推荐目录!D:D,'Early Facility Retirement'!A13,工业节能技术装备推荐目录!F:F,'Early Facility Retirement'!$A$1,工业节能技术装备推荐目录!A:A,"2020")+SUMIFS(工业节能技术装备推荐目录!K:K,工业节能技术装备推荐目录!D:D,'Early Facility Retirement'!A13,工业节能技术装备推荐目录!F:F,'Early Facility Retirement'!$A$1,工业节能技术装备推荐目录!A:A,"2021")</f>
        <v>0</v>
      </c>
      <c r="P13" s="73">
        <f>SUMIFS(工业节能技术装备推荐目录!K:K,工业节能技术装备推荐目录!D:D,'Early Facility Retirement'!A13,工业节能技术装备推荐目录!F:F,'Early Facility Retirement'!$A$1,工业节能技术装备推荐目录!A:A,"2020")+SUMIFS(工业节能技术装备推荐目录!K:K,工业节能技术装备推荐目录!D:D,'Early Facility Retirement'!A13,工业节能技术装备推荐目录!F:F,'Early Facility Retirement'!$A$1,工业节能技术装备推荐目录!A:A,"2021")+SUMIFS(工业节能技术装备推荐目录!K:K,工业节能技术装备推荐目录!D:D,'Early Facility Retirement'!A13,工业节能技术装备推荐目录!F:F,'Early Facility Retirement'!$A$1,工业节能技术装备推荐目录!A:A,"2022")</f>
        <v>0</v>
      </c>
      <c r="Q13" s="73">
        <f>SUMIFS(工业节能技术装备推荐目录!K:K,工业节能技术装备推荐目录!D:D,'Early Facility Retirement'!A13,工业节能技术装备推荐目录!F:F,'Early Facility Retirement'!$A$1,工业节能技术装备推荐目录!A:A,"2020")+SUMIFS(工业节能技术装备推荐目录!K:K,工业节能技术装备推荐目录!D:D,'Early Facility Retirement'!A13,工业节能技术装备推荐目录!F:F,'Early Facility Retirement'!$A$1,工业节能技术装备推荐目录!A:A,"2021")+SUMIFS(工业节能技术装备推荐目录!K:K,工业节能技术装备推荐目录!D:D,'Early Facility Retirement'!A13,工业节能技术装备推荐目录!F:F,'Early Facility Retirement'!$A$1,工业节能技术装备推荐目录!A:A,"2022")</f>
        <v>0</v>
      </c>
      <c r="R13" s="73">
        <f>SUMIFS(工业节能技术装备推荐目录!K:K,工业节能技术装备推荐目录!D:D,'Early Facility Retirement'!A13,工业节能技术装备推荐目录!F:F,'Early Facility Retirement'!$A$1,工业节能技术装备推荐目录!A:A,"2020")+SUMIFS(工业节能技术装备推荐目录!K:K,工业节能技术装备推荐目录!D:D,'Early Facility Retirement'!A13,工业节能技术装备推荐目录!F:F,'Early Facility Retirement'!$A$1,工业节能技术装备推荐目录!A:A,"2022")</f>
        <v>0</v>
      </c>
      <c r="S13" s="73">
        <f>SUMIFS(工业节能技术装备推荐目录!K:K,工业节能技术装备推荐目录!D:D,'Early Facility Retirement'!A13,工业节能技术装备推荐目录!F:F,'Early Facility Retirement'!$A$1,工业节能技术装备推荐目录!A:A,"2022")</f>
        <v>0</v>
      </c>
      <c r="T13" s="73">
        <f>SUMIFS(工业节能技术装备推荐目录!K:K,工业节能技术装备推荐目录!D:D,'Early Facility Retirement'!A13,工业节能技术装备推荐目录!F:F,'Early Facility Retirement'!$A$1,工业节能技术装备推荐目录!A:A,"2022")</f>
        <v>0</v>
      </c>
    </row>
    <row r="14" spans="1:20" x14ac:dyDescent="0.15">
      <c r="A14" s="26" t="s">
        <v>43</v>
      </c>
      <c r="B14" s="50">
        <f>SUMIFS(工业节能技术装备推荐目录!L:L,工业节能技术装备推荐目录!D:D,'Early Facility Retirement'!A14,工业节能技术装备推荐目录!F:F,'Early Facility Retirement'!$A$1)+SUMIFS(用能设备节能分配!R:R,用能设备节能分配!O:O,'Early Facility Retirement'!A14,用能设备节能分配!P:P,'Early Facility Retirement'!$A$1)</f>
        <v>210.38262437556949</v>
      </c>
      <c r="C14" s="73">
        <f>SUMIFS(工业节能技术装备推荐目录!K:K,工业节能技术装备推荐目录!D:D,'Early Facility Retirement'!A14,工业节能技术装备推荐目录!F:F,'Early Facility Retirement'!$A$1,工业节能技术装备推荐目录!A:A,"2020")+SUMIFS(用能设备节能分配!Q:Q,用能设备节能分配!O:O,'Early Facility Retirement'!A14,用能设备节能分配!P:P,'Early Facility Retirement'!$A$1,用能设备节能分配!M:M,"2020")</f>
        <v>0</v>
      </c>
      <c r="D14" s="73">
        <f>SUMIFS(工业节能技术装备推荐目录!K:K,工业节能技术装备推荐目录!D:D,'Early Facility Retirement'!A14,工业节能技术装备推荐目录!F:F,'Early Facility Retirement'!$A$1,工业节能技术装备推荐目录!A:A,"2020")+SUMIFS(用能设备节能分配!Q:Q,用能设备节能分配!O:O,'Early Facility Retirement'!A14,用能设备节能分配!P:P,'Early Facility Retirement'!$A$1,用能设备节能分配!M:M,"2020")+SUMIFS(工业节能技术装备推荐目录!K:K,工业节能技术装备推荐目录!D:D,'Early Facility Retirement'!A14,工业节能技术装备推荐目录!F:F,'Early Facility Retirement'!$A$1,工业节能技术装备推荐目录!A:A,"2021")+SUMIFS(用能设备节能分配!Q:Q,用能设备节能分配!O:O,'Early Facility Retirement'!A14,用能设备节能分配!P:P,'Early Facility Retirement'!$A$1,用能设备节能分配!M:M,"2021")</f>
        <v>1.95188107601867E-3</v>
      </c>
      <c r="E14" s="73">
        <f>SUMIFS(工业节能技术装备推荐目录!K:K,工业节能技术装备推荐目录!D:D,'Early Facility Retirement'!A14,工业节能技术装备推荐目录!F:F,'Early Facility Retirement'!$A$1,工业节能技术装备推荐目录!A:A,"2020")+SUMIFS(用能设备节能分配!Q:Q,用能设备节能分配!O:O,'Early Facility Retirement'!A14,用能设备节能分配!P:P,'Early Facility Retirement'!$A$1,用能设备节能分配!M:M,"2020")+SUMIFS(工业节能技术装备推荐目录!K:K,工业节能技术装备推荐目录!D:D,'Early Facility Retirement'!A14,工业节能技术装备推荐目录!F:F,'Early Facility Retirement'!$A$1,工业节能技术装备推荐目录!A:A,"2021")+SUMIFS(用能设备节能分配!Q:Q,用能设备节能分配!O:O,'Early Facility Retirement'!A14,用能设备节能分配!P:P,'Early Facility Retirement'!$A$1,用能设备节能分配!M:M,"2021")+SUMIFS(工业节能技术装备推荐目录!K:K,工业节能技术装备推荐目录!D:D,'Early Facility Retirement'!A14,工业节能技术装备推荐目录!F:F,'Early Facility Retirement'!$A$1,工业节能技术装备推荐目录!A:A,"2022")+SUMIFS(用能设备节能分配!Q:Q,用能设备节能分配!O:O,'Early Facility Retirement'!A14,用能设备节能分配!P:P,'Early Facility Retirement'!$A$1,用能设备节能分配!M:M,"2022")</f>
        <v>23.206044577323727</v>
      </c>
      <c r="F14" s="73">
        <f>SUMIFS(工业节能技术装备推荐目录!K:K,工业节能技术装备推荐目录!D:D,'Early Facility Retirement'!A14,工业节能技术装备推荐目录!F:F,'Early Facility Retirement'!$A$1,工业节能技术装备推荐目录!A:A,"2020")+SUMIFS(用能设备节能分配!Q:Q,用能设备节能分配!O:O,'Early Facility Retirement'!A14,用能设备节能分配!P:P,'Early Facility Retirement'!$A$1,用能设备节能分配!M:M,"2020")+SUMIFS(工业节能技术装备推荐目录!K:K,工业节能技术装备推荐目录!D:D,'Early Facility Retirement'!A14,工业节能技术装备推荐目录!F:F,'Early Facility Retirement'!$A$1,工业节能技术装备推荐目录!A:A,"2021")+SUMIFS(用能设备节能分配!Q:Q,用能设备节能分配!O:O,'Early Facility Retirement'!A14,用能设备节能分配!P:P,'Early Facility Retirement'!$A$1,用能设备节能分配!M:M,"2021")+SUMIFS(工业节能技术装备推荐目录!K:K,工业节能技术装备推荐目录!D:D,'Early Facility Retirement'!A14,工业节能技术装备推荐目录!F:F,'Early Facility Retirement'!$A$1,工业节能技术装备推荐目录!A:A,"2022")+SUMIFS(用能设备节能分配!Q:Q,用能设备节能分配!O:O,'Early Facility Retirement'!A14,用能设备节能分配!P:P,'Early Facility Retirement'!$A$1,用能设备节能分配!M:M,"2022")</f>
        <v>23.206044577323727</v>
      </c>
      <c r="G14" s="73">
        <f>SUMIFS(工业节能技术装备推荐目录!K:K,工业节能技术装备推荐目录!D:D,'Early Facility Retirement'!A14,工业节能技术装备推荐目录!F:F,'Early Facility Retirement'!$A$1,工业节能技术装备推荐目录!A:A,"2020")+SUMIFS(用能设备节能分配!Q:Q,用能设备节能分配!O:O,'Early Facility Retirement'!A14,用能设备节能分配!P:P,'Early Facility Retirement'!$A$1,用能设备节能分配!M:M,"2020")+SUMIFS(工业节能技术装备推荐目录!K:K,工业节能技术装备推荐目录!D:D,'Early Facility Retirement'!A14,工业节能技术装备推荐目录!F:F,'Early Facility Retirement'!$A$1,工业节能技术装备推荐目录!A:A,"2022")+SUMIFS(用能设备节能分配!Q:Q,用能设备节能分配!O:O,'Early Facility Retirement'!A14,用能设备节能分配!P:P,'Early Facility Retirement'!$A$1,用能设备节能分配!M:M,"2022")</f>
        <v>23.204092696247709</v>
      </c>
      <c r="H14" s="73">
        <f>SUMIFS(工业节能技术装备推荐目录!K:K,工业节能技术装备推荐目录!D:D,'Early Facility Retirement'!A14,工业节能技术装备推荐目录!F:F,'Early Facility Retirement'!$A$1,工业节能技术装备推荐目录!A:A,"2022")+SUMIFS(用能设备节能分配!Q:Q,用能设备节能分配!O:O,'Early Facility Retirement'!A14,用能设备节能分配!P:P,'Early Facility Retirement'!$A$1,用能设备节能分配!M:M,"2022")</f>
        <v>23.204092696247709</v>
      </c>
      <c r="I14" s="73">
        <f>SUMIFS(工业节能技术装备推荐目录!K:K,工业节能技术装备推荐目录!D:D,'Early Facility Retirement'!A14,工业节能技术装备推荐目录!F:F,'Early Facility Retirement'!$A$1,工业节能技术装备推荐目录!A:A,"2022")+SUMIFS(用能设备节能分配!Q:Q,用能设备节能分配!O:O,'Early Facility Retirement'!A14,用能设备节能分配!P:P,'Early Facility Retirement'!$A$1,用能设备节能分配!M:M,"2022")</f>
        <v>23.204092696247709</v>
      </c>
      <c r="K14" s="52"/>
      <c r="L14" s="26" t="s">
        <v>43</v>
      </c>
      <c r="M14" s="50">
        <f>SUMIFS(工业节能技术装备推荐目录!L:L,工业节能技术装备推荐目录!D:D,'Early Facility Retirement'!A14,工业节能技术装备推荐目录!F:F,'Early Facility Retirement'!$A$1)</f>
        <v>0</v>
      </c>
      <c r="N14" s="73">
        <f>SUMIFS(工业节能技术装备推荐目录!K:K,工业节能技术装备推荐目录!D:D,'Early Facility Retirement'!A14,工业节能技术装备推荐目录!F:F,'Early Facility Retirement'!$A$1,工业节能技术装备推荐目录!A:A,"2020")</f>
        <v>0</v>
      </c>
      <c r="O14" s="73">
        <f>SUMIFS(工业节能技术装备推荐目录!K:K,工业节能技术装备推荐目录!D:D,'Early Facility Retirement'!A14,工业节能技术装备推荐目录!F:F,'Early Facility Retirement'!$A$1,工业节能技术装备推荐目录!A:A,"2020")+SUMIFS(工业节能技术装备推荐目录!K:K,工业节能技术装备推荐目录!D:D,'Early Facility Retirement'!A14,工业节能技术装备推荐目录!F:F,'Early Facility Retirement'!$A$1,工业节能技术装备推荐目录!A:A,"2021")</f>
        <v>0</v>
      </c>
      <c r="P14" s="73">
        <f>SUMIFS(工业节能技术装备推荐目录!K:K,工业节能技术装备推荐目录!D:D,'Early Facility Retirement'!A14,工业节能技术装备推荐目录!F:F,'Early Facility Retirement'!$A$1,工业节能技术装备推荐目录!A:A,"2020")+SUMIFS(工业节能技术装备推荐目录!K:K,工业节能技术装备推荐目录!D:D,'Early Facility Retirement'!A14,工业节能技术装备推荐目录!F:F,'Early Facility Retirement'!$A$1,工业节能技术装备推荐目录!A:A,"2021")+SUMIFS(工业节能技术装备推荐目录!K:K,工业节能技术装备推荐目录!D:D,'Early Facility Retirement'!A14,工业节能技术装备推荐目录!F:F,'Early Facility Retirement'!$A$1,工业节能技术装备推荐目录!A:A,"2022")</f>
        <v>0</v>
      </c>
      <c r="Q14" s="73">
        <f>SUMIFS(工业节能技术装备推荐目录!K:K,工业节能技术装备推荐目录!D:D,'Early Facility Retirement'!A14,工业节能技术装备推荐目录!F:F,'Early Facility Retirement'!$A$1,工业节能技术装备推荐目录!A:A,"2020")+SUMIFS(工业节能技术装备推荐目录!K:K,工业节能技术装备推荐目录!D:D,'Early Facility Retirement'!A14,工业节能技术装备推荐目录!F:F,'Early Facility Retirement'!$A$1,工业节能技术装备推荐目录!A:A,"2021")+SUMIFS(工业节能技术装备推荐目录!K:K,工业节能技术装备推荐目录!D:D,'Early Facility Retirement'!A14,工业节能技术装备推荐目录!F:F,'Early Facility Retirement'!$A$1,工业节能技术装备推荐目录!A:A,"2022")</f>
        <v>0</v>
      </c>
      <c r="R14" s="73">
        <f>SUMIFS(工业节能技术装备推荐目录!K:K,工业节能技术装备推荐目录!D:D,'Early Facility Retirement'!A14,工业节能技术装备推荐目录!F:F,'Early Facility Retirement'!$A$1,工业节能技术装备推荐目录!A:A,"2020")+SUMIFS(工业节能技术装备推荐目录!K:K,工业节能技术装备推荐目录!D:D,'Early Facility Retirement'!A14,工业节能技术装备推荐目录!F:F,'Early Facility Retirement'!$A$1,工业节能技术装备推荐目录!A:A,"2022")</f>
        <v>0</v>
      </c>
      <c r="S14" s="73">
        <f>SUMIFS(工业节能技术装备推荐目录!K:K,工业节能技术装备推荐目录!D:D,'Early Facility Retirement'!A14,工业节能技术装备推荐目录!F:F,'Early Facility Retirement'!$A$1,工业节能技术装备推荐目录!A:A,"2022")</f>
        <v>0</v>
      </c>
      <c r="T14" s="73">
        <f>SUMIFS(工业节能技术装备推荐目录!K:K,工业节能技术装备推荐目录!D:D,'Early Facility Retirement'!A14,工业节能技术装备推荐目录!F:F,'Early Facility Retirement'!$A$1,工业节能技术装备推荐目录!A:A,"2022")</f>
        <v>0</v>
      </c>
    </row>
    <row r="15" spans="1:20" x14ac:dyDescent="0.15">
      <c r="A15" s="26" t="s">
        <v>56</v>
      </c>
      <c r="B15" s="50">
        <f>SUMIFS(工业节能技术装备推荐目录!L:L,工业节能技术装备推荐目录!D:D,'Early Facility Retirement'!A15,工业节能技术装备推荐目录!F:F,'Early Facility Retirement'!$A$1)+SUMIFS(用能设备节能分配!R:R,用能设备节能分配!O:O,'Early Facility Retirement'!A15,用能设备节能分配!P:P,'Early Facility Retirement'!$A$1)</f>
        <v>8119.2704217893033</v>
      </c>
      <c r="C15" s="73">
        <f>SUMIFS(工业节能技术装备推荐目录!K:K,工业节能技术装备推荐目录!D:D,'Early Facility Retirement'!A15,工业节能技术装备推荐目录!F:F,'Early Facility Retirement'!$A$1,工业节能技术装备推荐目录!A:A,"2020")+SUMIFS(用能设备节能分配!Q:Q,用能设备节能分配!O:O,'Early Facility Retirement'!A15,用能设备节能分配!P:P,'Early Facility Retirement'!$A$1,用能设备节能分配!M:M,"2020")</f>
        <v>346.38466998317125</v>
      </c>
      <c r="D15" s="73">
        <f>SUMIFS(工业节能技术装备推荐目录!K:K,工业节能技术装备推荐目录!D:D,'Early Facility Retirement'!A15,工业节能技术装备推荐目录!F:F,'Early Facility Retirement'!$A$1,工业节能技术装备推荐目录!A:A,"2020")+SUMIFS(用能设备节能分配!Q:Q,用能设备节能分配!O:O,'Early Facility Retirement'!A15,用能设备节能分配!P:P,'Early Facility Retirement'!$A$1,用能设备节能分配!M:M,"2020")+SUMIFS(工业节能技术装备推荐目录!K:K,工业节能技术装备推荐目录!D:D,'Early Facility Retirement'!A15,工业节能技术装备推荐目录!F:F,'Early Facility Retirement'!$A$1,工业节能技术装备推荐目录!A:A,"2021")+SUMIFS(用能设备节能分配!Q:Q,用能设备节能分配!O:O,'Early Facility Retirement'!A15,用能设备节能分配!P:P,'Early Facility Retirement'!$A$1,用能设备节能分配!M:M,"2021")</f>
        <v>359.46687212691023</v>
      </c>
      <c r="E15" s="73">
        <f>SUMIFS(工业节能技术装备推荐目录!K:K,工业节能技术装备推荐目录!D:D,'Early Facility Retirement'!A15,工业节能技术装备推荐目录!F:F,'Early Facility Retirement'!$A$1,工业节能技术装备推荐目录!A:A,"2020")+SUMIFS(用能设备节能分配!Q:Q,用能设备节能分配!O:O,'Early Facility Retirement'!A15,用能设备节能分配!P:P,'Early Facility Retirement'!$A$1,用能设备节能分配!M:M,"2020")+SUMIFS(工业节能技术装备推荐目录!K:K,工业节能技术装备推荐目录!D:D,'Early Facility Retirement'!A15,工业节能技术装备推荐目录!F:F,'Early Facility Retirement'!$A$1,工业节能技术装备推荐目录!A:A,"2021")+SUMIFS(用能设备节能分配!Q:Q,用能设备节能分配!O:O,'Early Facility Retirement'!A15,用能设备节能分配!P:P,'Early Facility Retirement'!$A$1,用能设备节能分配!M:M,"2021")+SUMIFS(工业节能技术装备推荐目录!K:K,工业节能技术装备推荐目录!D:D,'Early Facility Retirement'!A15,工业节能技术装备推荐目录!F:F,'Early Facility Retirement'!$A$1,工业节能技术装备推荐目录!A:A,"2022")+SUMIFS(用能设备节能分配!Q:Q,用能设备节能分配!O:O,'Early Facility Retirement'!A15,用能设备节能分配!P:P,'Early Facility Retirement'!$A$1,用能设备节能分配!M:M,"2022")</f>
        <v>770.46687212691018</v>
      </c>
      <c r="F15" s="73">
        <f>SUMIFS(工业节能技术装备推荐目录!K:K,工业节能技术装备推荐目录!D:D,'Early Facility Retirement'!A15,工业节能技术装备推荐目录!F:F,'Early Facility Retirement'!$A$1,工业节能技术装备推荐目录!A:A,"2020")+SUMIFS(用能设备节能分配!Q:Q,用能设备节能分配!O:O,'Early Facility Retirement'!A15,用能设备节能分配!P:P,'Early Facility Retirement'!$A$1,用能设备节能分配!M:M,"2020")+SUMIFS(工业节能技术装备推荐目录!K:K,工业节能技术装备推荐目录!D:D,'Early Facility Retirement'!A15,工业节能技术装备推荐目录!F:F,'Early Facility Retirement'!$A$1,工业节能技术装备推荐目录!A:A,"2021")+SUMIFS(用能设备节能分配!Q:Q,用能设备节能分配!O:O,'Early Facility Retirement'!A15,用能设备节能分配!P:P,'Early Facility Retirement'!$A$1,用能设备节能分配!M:M,"2021")+SUMIFS(工业节能技术装备推荐目录!K:K,工业节能技术装备推荐目录!D:D,'Early Facility Retirement'!A15,工业节能技术装备推荐目录!F:F,'Early Facility Retirement'!$A$1,工业节能技术装备推荐目录!A:A,"2022")+SUMIFS(用能设备节能分配!Q:Q,用能设备节能分配!O:O,'Early Facility Retirement'!A15,用能设备节能分配!P:P,'Early Facility Retirement'!$A$1,用能设备节能分配!M:M,"2022")</f>
        <v>770.46687212691018</v>
      </c>
      <c r="G15" s="73">
        <f>SUMIFS(工业节能技术装备推荐目录!K:K,工业节能技术装备推荐目录!D:D,'Early Facility Retirement'!A15,工业节能技术装备推荐目录!F:F,'Early Facility Retirement'!$A$1,工业节能技术装备推荐目录!A:A,"2020")+SUMIFS(用能设备节能分配!Q:Q,用能设备节能分配!O:O,'Early Facility Retirement'!A15,用能设备节能分配!P:P,'Early Facility Retirement'!$A$1,用能设备节能分配!M:M,"2020")+SUMIFS(工业节能技术装备推荐目录!K:K,工业节能技术装备推荐目录!D:D,'Early Facility Retirement'!A15,工业节能技术装备推荐目录!F:F,'Early Facility Retirement'!$A$1,工业节能技术装备推荐目录!A:A,"2022")+SUMIFS(用能设备节能分配!Q:Q,用能设备节能分配!O:O,'Early Facility Retirement'!A15,用能设备节能分配!P:P,'Early Facility Retirement'!$A$1,用能设备节能分配!M:M,"2022")</f>
        <v>757.38466998317131</v>
      </c>
      <c r="H15" s="73">
        <f>SUMIFS(工业节能技术装备推荐目录!K:K,工业节能技术装备推荐目录!D:D,'Early Facility Retirement'!A15,工业节能技术装备推荐目录!F:F,'Early Facility Retirement'!$A$1,工业节能技术装备推荐目录!A:A,"2022")+SUMIFS(用能设备节能分配!Q:Q,用能设备节能分配!O:O,'Early Facility Retirement'!A15,用能设备节能分配!P:P,'Early Facility Retirement'!$A$1,用能设备节能分配!M:M,"2022")</f>
        <v>411</v>
      </c>
      <c r="I15" s="73">
        <f>SUMIFS(工业节能技术装备推荐目录!K:K,工业节能技术装备推荐目录!D:D,'Early Facility Retirement'!A15,工业节能技术装备推荐目录!F:F,'Early Facility Retirement'!$A$1,工业节能技术装备推荐目录!A:A,"2022")+SUMIFS(用能设备节能分配!Q:Q,用能设备节能分配!O:O,'Early Facility Retirement'!A15,用能设备节能分配!P:P,'Early Facility Retirement'!$A$1,用能设备节能分配!M:M,"2022")</f>
        <v>411</v>
      </c>
      <c r="K15" s="52"/>
      <c r="L15" s="26" t="s">
        <v>56</v>
      </c>
      <c r="M15" s="50">
        <f>SUMIFS(工业节能技术装备推荐目录!L:L,工业节能技术装备推荐目录!D:D,'Early Facility Retirement'!A15,工业节能技术装备推荐目录!F:F,'Early Facility Retirement'!$A$1)</f>
        <v>8118.9094110706083</v>
      </c>
      <c r="N15" s="73">
        <f>SUMIFS(工业节能技术装备推荐目录!K:K,工业节能技术装备推荐目录!D:D,'Early Facility Retirement'!A15,工业节能技术装备推荐目录!F:F,'Early Facility Retirement'!$A$1,工业节能技术装备推荐目录!A:A,"2020")</f>
        <v>346.38466998317125</v>
      </c>
      <c r="O15" s="73">
        <f>SUMIFS(工业节能技术装备推荐目录!K:K,工业节能技术装备推荐目录!D:D,'Early Facility Retirement'!A15,工业节能技术装备推荐目录!F:F,'Early Facility Retirement'!$A$1,工业节能技术装备推荐目录!A:A,"2020")+SUMIFS(工业节能技术装备推荐目录!K:K,工业节能技术装备推荐目录!D:D,'Early Facility Retirement'!A15,工业节能技术装备推荐目录!F:F,'Early Facility Retirement'!$A$1,工业节能技术装备推荐目录!A:A,"2021")</f>
        <v>359.39466998317124</v>
      </c>
      <c r="P15" s="73">
        <f>SUMIFS(工业节能技术装备推荐目录!K:K,工业节能技术装备推荐目录!D:D,'Early Facility Retirement'!A15,工业节能技术装备推荐目录!F:F,'Early Facility Retirement'!$A$1,工业节能技术装备推荐目录!A:A,"2020")+SUMIFS(工业节能技术装备推荐目录!K:K,工业节能技术装备推荐目录!D:D,'Early Facility Retirement'!A15,工业节能技术装备推荐目录!F:F,'Early Facility Retirement'!$A$1,工业节能技术装备推荐目录!A:A,"2021")+SUMIFS(工业节能技术装备推荐目录!K:K,工业节能技术装备推荐目录!D:D,'Early Facility Retirement'!A15,工业节能技术装备推荐目录!F:F,'Early Facility Retirement'!$A$1,工业节能技术装备推荐目录!A:A,"2022")</f>
        <v>770.3946699831713</v>
      </c>
      <c r="Q15" s="73">
        <f>SUMIFS(工业节能技术装备推荐目录!K:K,工业节能技术装备推荐目录!D:D,'Early Facility Retirement'!A15,工业节能技术装备推荐目录!F:F,'Early Facility Retirement'!$A$1,工业节能技术装备推荐目录!A:A,"2020")+SUMIFS(工业节能技术装备推荐目录!K:K,工业节能技术装备推荐目录!D:D,'Early Facility Retirement'!A15,工业节能技术装备推荐目录!F:F,'Early Facility Retirement'!$A$1,工业节能技术装备推荐目录!A:A,"2021")+SUMIFS(工业节能技术装备推荐目录!K:K,工业节能技术装备推荐目录!D:D,'Early Facility Retirement'!A15,工业节能技术装备推荐目录!F:F,'Early Facility Retirement'!$A$1,工业节能技术装备推荐目录!A:A,"2022")</f>
        <v>770.3946699831713</v>
      </c>
      <c r="R15" s="73">
        <f>SUMIFS(工业节能技术装备推荐目录!K:K,工业节能技术装备推荐目录!D:D,'Early Facility Retirement'!A15,工业节能技术装备推荐目录!F:F,'Early Facility Retirement'!$A$1,工业节能技术装备推荐目录!A:A,"2020")+SUMIFS(工业节能技术装备推荐目录!K:K,工业节能技术装备推荐目录!D:D,'Early Facility Retirement'!A15,工业节能技术装备推荐目录!F:F,'Early Facility Retirement'!$A$1,工业节能技术装备推荐目录!A:A,"2022")</f>
        <v>757.38466998317131</v>
      </c>
      <c r="S15" s="73">
        <f>SUMIFS(工业节能技术装备推荐目录!K:K,工业节能技术装备推荐目录!D:D,'Early Facility Retirement'!A15,工业节能技术装备推荐目录!F:F,'Early Facility Retirement'!$A$1,工业节能技术装备推荐目录!A:A,"2022")</f>
        <v>411</v>
      </c>
      <c r="T15" s="73">
        <f>SUMIFS(工业节能技术装备推荐目录!K:K,工业节能技术装备推荐目录!D:D,'Early Facility Retirement'!A15,工业节能技术装备推荐目录!F:F,'Early Facility Retirement'!$A$1,工业节能技术装备推荐目录!A:A,"2022")</f>
        <v>411</v>
      </c>
    </row>
    <row r="16" spans="1:20" x14ac:dyDescent="0.15">
      <c r="A16" s="26" t="s">
        <v>45</v>
      </c>
      <c r="B16" s="50">
        <f>SUMIFS(工业节能技术装备推荐目录!L:L,工业节能技术装备推荐目录!D:D,'Early Facility Retirement'!A16,工业节能技术装备推荐目录!F:F,'Early Facility Retirement'!$A$1)+SUMIFS(用能设备节能分配!R:R,用能设备节能分配!O:O,'Early Facility Retirement'!A16,用能设备节能分配!P:P,'Early Facility Retirement'!$A$1)</f>
        <v>13166.881346620106</v>
      </c>
      <c r="C16" s="73">
        <f>SUMIFS(工业节能技术装备推荐目录!K:K,工业节能技术装备推荐目录!D:D,'Early Facility Retirement'!A16,工业节能技术装备推荐目录!F:F,'Early Facility Retirement'!$A$1,工业节能技术装备推荐目录!A:A,"2020")+SUMIFS(用能设备节能分配!Q:Q,用能设备节能分配!O:O,'Early Facility Retirement'!A16,用能设备节能分配!P:P,'Early Facility Retirement'!$A$1,用能设备节能分配!M:M,"2020")</f>
        <v>272.1608758790739</v>
      </c>
      <c r="D16" s="73">
        <f>SUMIFS(工业节能技术装备推荐目录!K:K,工业节能技术装备推荐目录!D:D,'Early Facility Retirement'!A16,工业节能技术装备推荐目录!F:F,'Early Facility Retirement'!$A$1,工业节能技术装备推荐目录!A:A,"2020")+SUMIFS(用能设备节能分配!Q:Q,用能设备节能分配!O:O,'Early Facility Retirement'!A16,用能设备节能分配!P:P,'Early Facility Retirement'!$A$1,用能设备节能分配!M:M,"2020")+SUMIFS(工业节能技术装备推荐目录!K:K,工业节能技术装备推荐目录!D:D,'Early Facility Retirement'!A16,工业节能技术装备推荐目录!F:F,'Early Facility Retirement'!$A$1,工业节能技术装备推荐目录!A:A,"2021")+SUMIFS(用能设备节能分配!Q:Q,用能设备节能分配!O:O,'Early Facility Retirement'!A16,用能设备节能分配!P:P,'Early Facility Retirement'!$A$1,用能设备节能分配!M:M,"2021")</f>
        <v>679.76902448264934</v>
      </c>
      <c r="E16" s="73">
        <f>SUMIFS(工业节能技术装备推荐目录!K:K,工业节能技术装备推荐目录!D:D,'Early Facility Retirement'!A16,工业节能技术装备推荐目录!F:F,'Early Facility Retirement'!$A$1,工业节能技术装备推荐目录!A:A,"2020")+SUMIFS(用能设备节能分配!Q:Q,用能设备节能分配!O:O,'Early Facility Retirement'!A16,用能设备节能分配!P:P,'Early Facility Retirement'!$A$1,用能设备节能分配!M:M,"2020")+SUMIFS(工业节能技术装备推荐目录!K:K,工业节能技术装备推荐目录!D:D,'Early Facility Retirement'!A16,工业节能技术装备推荐目录!F:F,'Early Facility Retirement'!$A$1,工业节能技术装备推荐目录!A:A,"2021")+SUMIFS(用能设备节能分配!Q:Q,用能设备节能分配!O:O,'Early Facility Retirement'!A16,用能设备节能分配!P:P,'Early Facility Retirement'!$A$1,用能设备节能分配!M:M,"2021")+SUMIFS(工业节能技术装备推荐目录!K:K,工业节能技术装备推荐目录!D:D,'Early Facility Retirement'!A16,工业节能技术装备推荐目录!F:F,'Early Facility Retirement'!$A$1,工业节能技术装备推荐目录!A:A,"2022")+SUMIFS(用能设备节能分配!Q:Q,用能设备节能分配!O:O,'Early Facility Retirement'!A16,用能设备节能分配!P:P,'Early Facility Retirement'!$A$1,用能设备节能分配!M:M,"2022")</f>
        <v>1013.9081537545029</v>
      </c>
      <c r="F16" s="73">
        <f>SUMIFS(工业节能技术装备推荐目录!K:K,工业节能技术装备推荐目录!D:D,'Early Facility Retirement'!A16,工业节能技术装备推荐目录!F:F,'Early Facility Retirement'!$A$1,工业节能技术装备推荐目录!A:A,"2020")+SUMIFS(用能设备节能分配!Q:Q,用能设备节能分配!O:O,'Early Facility Retirement'!A16,用能设备节能分配!P:P,'Early Facility Retirement'!$A$1,用能设备节能分配!M:M,"2020")+SUMIFS(工业节能技术装备推荐目录!K:K,工业节能技术装备推荐目录!D:D,'Early Facility Retirement'!A16,工业节能技术装备推荐目录!F:F,'Early Facility Retirement'!$A$1,工业节能技术装备推荐目录!A:A,"2021")+SUMIFS(用能设备节能分配!Q:Q,用能设备节能分配!O:O,'Early Facility Retirement'!A16,用能设备节能分配!P:P,'Early Facility Retirement'!$A$1,用能设备节能分配!M:M,"2021")+SUMIFS(工业节能技术装备推荐目录!K:K,工业节能技术装备推荐目录!D:D,'Early Facility Retirement'!A16,工业节能技术装备推荐目录!F:F,'Early Facility Retirement'!$A$1,工业节能技术装备推荐目录!A:A,"2022")+SUMIFS(用能设备节能分配!Q:Q,用能设备节能分配!O:O,'Early Facility Retirement'!A16,用能设备节能分配!P:P,'Early Facility Retirement'!$A$1,用能设备节能分配!M:M,"2022")</f>
        <v>1013.9081537545029</v>
      </c>
      <c r="G16" s="73">
        <f>SUMIFS(工业节能技术装备推荐目录!K:K,工业节能技术装备推荐目录!D:D,'Early Facility Retirement'!A16,工业节能技术装备推荐目录!F:F,'Early Facility Retirement'!$A$1,工业节能技术装备推荐目录!A:A,"2020")+SUMIFS(用能设备节能分配!Q:Q,用能设备节能分配!O:O,'Early Facility Retirement'!A16,用能设备节能分配!P:P,'Early Facility Retirement'!$A$1,用能设备节能分配!M:M,"2020")+SUMIFS(工业节能技术装备推荐目录!K:K,工业节能技术装备推荐目录!D:D,'Early Facility Retirement'!A16,工业节能技术装备推荐目录!F:F,'Early Facility Retirement'!$A$1,工业节能技术装备推荐目录!A:A,"2022")+SUMIFS(用能设备节能分配!Q:Q,用能设备节能分配!O:O,'Early Facility Retirement'!A16,用能设备节能分配!P:P,'Early Facility Retirement'!$A$1,用能设备节能分配!M:M,"2022")</f>
        <v>606.30000515092752</v>
      </c>
      <c r="H16" s="73">
        <f>SUMIFS(工业节能技术装备推荐目录!K:K,工业节能技术装备推荐目录!D:D,'Early Facility Retirement'!A16,工业节能技术装备推荐目录!F:F,'Early Facility Retirement'!$A$1,工业节能技术装备推荐目录!A:A,"2022")+SUMIFS(用能设备节能分配!Q:Q,用能设备节能分配!O:O,'Early Facility Retirement'!A16,用能设备节能分配!P:P,'Early Facility Retirement'!$A$1,用能设备节能分配!M:M,"2022")</f>
        <v>334.13912927185356</v>
      </c>
      <c r="I16" s="73">
        <f>SUMIFS(工业节能技术装备推荐目录!K:K,工业节能技术装备推荐目录!D:D,'Early Facility Retirement'!A16,工业节能技术装备推荐目录!F:F,'Early Facility Retirement'!$A$1,工业节能技术装备推荐目录!A:A,"2022")+SUMIFS(用能设备节能分配!Q:Q,用能设备节能分配!O:O,'Early Facility Retirement'!A16,用能设备节能分配!P:P,'Early Facility Retirement'!$A$1,用能设备节能分配!M:M,"2022")</f>
        <v>334.13912927185356</v>
      </c>
      <c r="K16" s="52"/>
      <c r="L16" s="26" t="s">
        <v>45</v>
      </c>
      <c r="M16" s="50">
        <f>SUMIFS(工业节能技术装备推荐目录!L:L,工业节能技术装备推荐目录!D:D,'Early Facility Retirement'!A16,工业节能技术装备推荐目录!F:F,'Early Facility Retirement'!$A$1)</f>
        <v>13124.698338455593</v>
      </c>
      <c r="N16" s="73">
        <f>SUMIFS(工业节能技术装备推荐目录!K:K,工业节能技术装备推荐目录!D:D,'Early Facility Retirement'!A16,工业节能技术装备推荐目录!F:F,'Early Facility Retirement'!$A$1,工业节能技术装备推荐目录!A:A,"2020")</f>
        <v>263.38533001682879</v>
      </c>
      <c r="O16" s="73">
        <f>SUMIFS(工业节能技术装备推荐目录!K:K,工业节能技术装备推荐目录!D:D,'Early Facility Retirement'!A16,工业节能技术装备推荐目录!F:F,'Early Facility Retirement'!$A$1,工业节能技术装备推荐目录!A:A,"2020")+SUMIFS(工业节能技术装备推荐目录!K:K,工业节能技术装备推荐目录!D:D,'Early Facility Retirement'!A16,工业节能技术装备推荐目录!F:F,'Early Facility Retirement'!$A$1,工业节能技术装备推荐目录!A:A,"2021")</f>
        <v>669.58533001682883</v>
      </c>
      <c r="P16" s="73">
        <f>SUMIFS(工业节能技术装备推荐目录!K:K,工业节能技术装备推荐目录!D:D,'Early Facility Retirement'!A16,工业节能技术装备推荐目录!F:F,'Early Facility Retirement'!$A$1,工业节能技术装备推荐目录!A:A,"2020")+SUMIFS(工业节能技术装备推荐目录!K:K,工业节能技术装备推荐目录!D:D,'Early Facility Retirement'!A16,工业节能技术装备推荐目录!F:F,'Early Facility Retirement'!$A$1,工业节能技术装备推荐目录!A:A,"2021")+SUMIFS(工业节能技术装备推荐目录!K:K,工业节能技术装备推荐目录!D:D,'Early Facility Retirement'!A16,工业节能技术装备推荐目录!F:F,'Early Facility Retirement'!$A$1,工业节能技术装备推荐目录!A:A,"2022")</f>
        <v>1003.7244592886824</v>
      </c>
      <c r="Q16" s="73">
        <f>SUMIFS(工业节能技术装备推荐目录!K:K,工业节能技术装备推荐目录!D:D,'Early Facility Retirement'!A16,工业节能技术装备推荐目录!F:F,'Early Facility Retirement'!$A$1,工业节能技术装备推荐目录!A:A,"2020")+SUMIFS(工业节能技术装备推荐目录!K:K,工业节能技术装备推荐目录!D:D,'Early Facility Retirement'!A16,工业节能技术装备推荐目录!F:F,'Early Facility Retirement'!$A$1,工业节能技术装备推荐目录!A:A,"2021")+SUMIFS(工业节能技术装备推荐目录!K:K,工业节能技术装备推荐目录!D:D,'Early Facility Retirement'!A16,工业节能技术装备推荐目录!F:F,'Early Facility Retirement'!$A$1,工业节能技术装备推荐目录!A:A,"2022")</f>
        <v>1003.7244592886824</v>
      </c>
      <c r="R16" s="73">
        <f>SUMIFS(工业节能技术装备推荐目录!K:K,工业节能技术装备推荐目录!D:D,'Early Facility Retirement'!A16,工业节能技术装备推荐目录!F:F,'Early Facility Retirement'!$A$1,工业节能技术装备推荐目录!A:A,"2020")+SUMIFS(工业节能技术装备推荐目录!K:K,工业节能技术装备推荐目录!D:D,'Early Facility Retirement'!A16,工业节能技术装备推荐目录!F:F,'Early Facility Retirement'!$A$1,工业节能技术装备推荐目录!A:A,"2022")</f>
        <v>597.52445928868235</v>
      </c>
      <c r="S16" s="73">
        <f>SUMIFS(工业节能技术装备推荐目录!K:K,工业节能技术装备推荐目录!D:D,'Early Facility Retirement'!A16,工业节能技术装备推荐目录!F:F,'Early Facility Retirement'!$A$1,工业节能技术装备推荐目录!A:A,"2022")</f>
        <v>334.13912927185356</v>
      </c>
      <c r="T16" s="73">
        <f>SUMIFS(工业节能技术装备推荐目录!K:K,工业节能技术装备推荐目录!D:D,'Early Facility Retirement'!A16,工业节能技术装备推荐目录!F:F,'Early Facility Retirement'!$A$1,工业节能技术装备推荐目录!A:A,"2022")</f>
        <v>334.13912927185356</v>
      </c>
    </row>
    <row r="17" spans="1:20" x14ac:dyDescent="0.15">
      <c r="A17" s="26" t="s">
        <v>46</v>
      </c>
      <c r="B17" s="50">
        <f>SUMIFS(工业节能技术装备推荐目录!L:L,工业节能技术装备推荐目录!D:D,'Early Facility Retirement'!A17,工业节能技术装备推荐目录!F:F,'Early Facility Retirement'!$A$1)+SUMIFS(用能设备节能分配!R:R,用能设备节能分配!O:O,'Early Facility Retirement'!A17,用能设备节能分配!P:P,'Early Facility Retirement'!$A$1)</f>
        <v>1167.3908927821662</v>
      </c>
      <c r="C17" s="73">
        <f>SUMIFS(工业节能技术装备推荐目录!K:K,工业节能技术装备推荐目录!D:D,'Early Facility Retirement'!A17,工业节能技术装备推荐目录!F:F,'Early Facility Retirement'!$A$1,工业节能技术装备推荐目录!A:A,"2020")+SUMIFS(用能设备节能分配!Q:Q,用能设备节能分配!O:O,'Early Facility Retirement'!A17,用能设备节能分配!P:P,'Early Facility Retirement'!$A$1,用能设备节能分配!M:M,"2020")</f>
        <v>10</v>
      </c>
      <c r="D17" s="73">
        <f>SUMIFS(工业节能技术装备推荐目录!K:K,工业节能技术装备推荐目录!D:D,'Early Facility Retirement'!A17,工业节能技术装备推荐目录!F:F,'Early Facility Retirement'!$A$1,工业节能技术装备推荐目录!A:A,"2020")+SUMIFS(用能设备节能分配!Q:Q,用能设备节能分配!O:O,'Early Facility Retirement'!A17,用能设备节能分配!P:P,'Early Facility Retirement'!$A$1,用能设备节能分配!M:M,"2020")+SUMIFS(工业节能技术装备推荐目录!K:K,工业节能技术装备推荐目录!D:D,'Early Facility Retirement'!A17,工业节能技术装备推荐目录!F:F,'Early Facility Retirement'!$A$1,工业节能技术装备推荐目录!A:A,"2021")+SUMIFS(用能设备节能分配!Q:Q,用能设备节能分配!O:O,'Early Facility Retirement'!A17,用能设备节能分配!P:P,'Early Facility Retirement'!$A$1,用能设备节能分配!M:M,"2021")</f>
        <v>63.66897948206551</v>
      </c>
      <c r="E17" s="73">
        <f>SUMIFS(工业节能技术装备推荐目录!K:K,工业节能技术装备推荐目录!D:D,'Early Facility Retirement'!A17,工业节能技术装备推荐目录!F:F,'Early Facility Retirement'!$A$1,工业节能技术装备推荐目录!A:A,"2020")+SUMIFS(用能设备节能分配!Q:Q,用能设备节能分配!O:O,'Early Facility Retirement'!A17,用能设备节能分配!P:P,'Early Facility Retirement'!$A$1,用能设备节能分配!M:M,"2020")+SUMIFS(工业节能技术装备推荐目录!K:K,工业节能技术装备推荐目录!D:D,'Early Facility Retirement'!A17,工业节能技术装备推荐目录!F:F,'Early Facility Retirement'!$A$1,工业节能技术装备推荐目录!A:A,"2021")+SUMIFS(用能设备节能分配!Q:Q,用能设备节能分配!O:O,'Early Facility Retirement'!A17,用能设备节能分配!P:P,'Early Facility Retirement'!$A$1,用能设备节能分配!M:M,"2021")+SUMIFS(工业节能技术装备推荐目录!K:K,工业节能技术装备推荐目录!D:D,'Early Facility Retirement'!A17,工业节能技术装备推荐目录!F:F,'Early Facility Retirement'!$A$1,工业节能技术装备推荐目录!A:A,"2022")+SUMIFS(用能设备节能分配!Q:Q,用能设备节能分配!O:O,'Early Facility Retirement'!A17,用能设备节能分配!P:P,'Early Facility Retirement'!$A$1,用能设备节能分配!M:M,"2022")</f>
        <v>141.62879830164121</v>
      </c>
      <c r="F17" s="73">
        <f>SUMIFS(工业节能技术装备推荐目录!K:K,工业节能技术装备推荐目录!D:D,'Early Facility Retirement'!A17,工业节能技术装备推荐目录!F:F,'Early Facility Retirement'!$A$1,工业节能技术装备推荐目录!A:A,"2020")+SUMIFS(用能设备节能分配!Q:Q,用能设备节能分配!O:O,'Early Facility Retirement'!A17,用能设备节能分配!P:P,'Early Facility Retirement'!$A$1,用能设备节能分配!M:M,"2020")+SUMIFS(工业节能技术装备推荐目录!K:K,工业节能技术装备推荐目录!D:D,'Early Facility Retirement'!A17,工业节能技术装备推荐目录!F:F,'Early Facility Retirement'!$A$1,工业节能技术装备推荐目录!A:A,"2021")+SUMIFS(用能设备节能分配!Q:Q,用能设备节能分配!O:O,'Early Facility Retirement'!A17,用能设备节能分配!P:P,'Early Facility Retirement'!$A$1,用能设备节能分配!M:M,"2021")+SUMIFS(工业节能技术装备推荐目录!K:K,工业节能技术装备推荐目录!D:D,'Early Facility Retirement'!A17,工业节能技术装备推荐目录!F:F,'Early Facility Retirement'!$A$1,工业节能技术装备推荐目录!A:A,"2022")+SUMIFS(用能设备节能分配!Q:Q,用能设备节能分配!O:O,'Early Facility Retirement'!A17,用能设备节能分配!P:P,'Early Facility Retirement'!$A$1,用能设备节能分配!M:M,"2022")</f>
        <v>141.62879830164121</v>
      </c>
      <c r="G17" s="73">
        <f>SUMIFS(工业节能技术装备推荐目录!K:K,工业节能技术装备推荐目录!D:D,'Early Facility Retirement'!A17,工业节能技术装备推荐目录!F:F,'Early Facility Retirement'!$A$1,工业节能技术装备推荐目录!A:A,"2020")+SUMIFS(用能设备节能分配!Q:Q,用能设备节能分配!O:O,'Early Facility Retirement'!A17,用能设备节能分配!P:P,'Early Facility Retirement'!$A$1,用能设备节能分配!M:M,"2020")+SUMIFS(工业节能技术装备推荐目录!K:K,工业节能技术装备推荐目录!D:D,'Early Facility Retirement'!A17,工业节能技术装备推荐目录!F:F,'Early Facility Retirement'!$A$1,工业节能技术装备推荐目录!A:A,"2022")+SUMIFS(用能设备节能分配!Q:Q,用能设备节能分配!O:O,'Early Facility Retirement'!A17,用能设备节能分配!P:P,'Early Facility Retirement'!$A$1,用能设备节能分配!M:M,"2022")</f>
        <v>87.959818819575716</v>
      </c>
      <c r="H17" s="73">
        <f>SUMIFS(工业节能技术装备推荐目录!K:K,工业节能技术装备推荐目录!D:D,'Early Facility Retirement'!A17,工业节能技术装备推荐目录!F:F,'Early Facility Retirement'!$A$1,工业节能技术装备推荐目录!A:A,"2022")+SUMIFS(用能设备节能分配!Q:Q,用能设备节能分配!O:O,'Early Facility Retirement'!A17,用能设备节能分配!P:P,'Early Facility Retirement'!$A$1,用能设备节能分配!M:M,"2022")</f>
        <v>77.959818819575716</v>
      </c>
      <c r="I17" s="73">
        <f>SUMIFS(工业节能技术装备推荐目录!K:K,工业节能技术装备推荐目录!D:D,'Early Facility Retirement'!A17,工业节能技术装备推荐目录!F:F,'Early Facility Retirement'!$A$1,工业节能技术装备推荐目录!A:A,"2022")+SUMIFS(用能设备节能分配!Q:Q,用能设备节能分配!O:O,'Early Facility Retirement'!A17,用能设备节能分配!P:P,'Early Facility Retirement'!$A$1,用能设备节能分配!M:M,"2022")</f>
        <v>77.959818819575716</v>
      </c>
      <c r="K17" s="52"/>
      <c r="L17" s="26" t="s">
        <v>46</v>
      </c>
      <c r="M17" s="50">
        <f>SUMIFS(工业节能技术装备推荐目录!L:L,工业节能技术装备推荐目录!D:D,'Early Facility Retirement'!A17,工业节能技术装备推荐目录!F:F,'Early Facility Retirement'!$A$1)</f>
        <v>1166.5615215290904</v>
      </c>
      <c r="N17" s="73">
        <f>SUMIFS(工业节能技术装备推荐目录!K:K,工业节能技术装备推荐目录!D:D,'Early Facility Retirement'!A17,工业节能技术装备推荐目录!F:F,'Early Facility Retirement'!$A$1,工业节能技术装备推荐目录!A:A,"2020")</f>
        <v>10</v>
      </c>
      <c r="O17" s="73">
        <f>SUMIFS(工业节能技术装备推荐目录!K:K,工业节能技术装备推荐目录!D:D,'Early Facility Retirement'!A17,工业节能技术装备推荐目录!F:F,'Early Facility Retirement'!$A$1,工业节能技术装备推荐目录!A:A,"2020")+SUMIFS(工业节能技术装备推荐目录!K:K,工业节能技术装备推荐目录!D:D,'Early Facility Retirement'!A17,工业节能技术装备推荐目录!F:F,'Early Facility Retirement'!$A$1,工业节能技术装备推荐目录!A:A,"2021")</f>
        <v>63.43</v>
      </c>
      <c r="P17" s="73">
        <f>SUMIFS(工业节能技术装备推荐目录!K:K,工业节能技术装备推荐目录!D:D,'Early Facility Retirement'!A17,工业节能技术装备推荐目录!F:F,'Early Facility Retirement'!$A$1,工业节能技术装备推荐目录!A:A,"2020")+SUMIFS(工业节能技术装备推荐目录!K:K,工业节能技术装备推荐目录!D:D,'Early Facility Retirement'!A17,工业节能技术装备推荐目录!F:F,'Early Facility Retirement'!$A$1,工业节能技术装备推荐目录!A:A,"2021")+SUMIFS(工业节能技术装备推荐目录!K:K,工业节能技术装备推荐目录!D:D,'Early Facility Retirement'!A17,工业节能技术装备推荐目录!F:F,'Early Facility Retirement'!$A$1,工业节能技术装备推荐目录!A:A,"2022")</f>
        <v>141.38981881957571</v>
      </c>
      <c r="Q17" s="73">
        <f>SUMIFS(工业节能技术装备推荐目录!K:K,工业节能技术装备推荐目录!D:D,'Early Facility Retirement'!A17,工业节能技术装备推荐目录!F:F,'Early Facility Retirement'!$A$1,工业节能技术装备推荐目录!A:A,"2020")+SUMIFS(工业节能技术装备推荐目录!K:K,工业节能技术装备推荐目录!D:D,'Early Facility Retirement'!A17,工业节能技术装备推荐目录!F:F,'Early Facility Retirement'!$A$1,工业节能技术装备推荐目录!A:A,"2021")+SUMIFS(工业节能技术装备推荐目录!K:K,工业节能技术装备推荐目录!D:D,'Early Facility Retirement'!A17,工业节能技术装备推荐目录!F:F,'Early Facility Retirement'!$A$1,工业节能技术装备推荐目录!A:A,"2022")</f>
        <v>141.38981881957571</v>
      </c>
      <c r="R17" s="73">
        <f>SUMIFS(工业节能技术装备推荐目录!K:K,工业节能技术装备推荐目录!D:D,'Early Facility Retirement'!A17,工业节能技术装备推荐目录!F:F,'Early Facility Retirement'!$A$1,工业节能技术装备推荐目录!A:A,"2020")+SUMIFS(工业节能技术装备推荐目录!K:K,工业节能技术装备推荐目录!D:D,'Early Facility Retirement'!A17,工业节能技术装备推荐目录!F:F,'Early Facility Retirement'!$A$1,工业节能技术装备推荐目录!A:A,"2022")</f>
        <v>87.959818819575716</v>
      </c>
      <c r="S17" s="73">
        <f>SUMIFS(工业节能技术装备推荐目录!K:K,工业节能技术装备推荐目录!D:D,'Early Facility Retirement'!A17,工业节能技术装备推荐目录!F:F,'Early Facility Retirement'!$A$1,工业节能技术装备推荐目录!A:A,"2022")</f>
        <v>77.959818819575716</v>
      </c>
      <c r="T17" s="73">
        <f>SUMIFS(工业节能技术装备推荐目录!K:K,工业节能技术装备推荐目录!D:D,'Early Facility Retirement'!A17,工业节能技术装备推荐目录!F:F,'Early Facility Retirement'!$A$1,工业节能技术装备推荐目录!A:A,"2022")</f>
        <v>77.959818819575716</v>
      </c>
    </row>
    <row r="18" spans="1:20" x14ac:dyDescent="0.15">
      <c r="A18" s="26" t="s">
        <v>47</v>
      </c>
      <c r="B18" s="50">
        <f>SUMIFS(工业节能技术装备推荐目录!L:L,工业节能技术装备推荐目录!D:D,'Early Facility Retirement'!A18,工业节能技术装备推荐目录!F:F,'Early Facility Retirement'!$A$1)+SUMIFS(用能设备节能分配!R:R,用能设备节能分配!O:O,'Early Facility Retirement'!A18,用能设备节能分配!P:P,'Early Facility Retirement'!$A$1)</f>
        <v>5.6254019028368227E-2</v>
      </c>
      <c r="C18" s="73">
        <f>SUMIFS(工业节能技术装备推荐目录!K:K,工业节能技术装备推荐目录!D:D,'Early Facility Retirement'!A18,工业节能技术装备推荐目录!F:F,'Early Facility Retirement'!$A$1,工业节能技术装备推荐目录!A:A,"2020")+SUMIFS(用能设备节能分配!Q:Q,用能设备节能分配!O:O,'Early Facility Retirement'!A18,用能设备节能分配!P:P,'Early Facility Retirement'!$A$1,用能设备节能分配!M:M,"2020")</f>
        <v>0</v>
      </c>
      <c r="D18" s="73">
        <f>SUMIFS(工业节能技术装备推荐目录!K:K,工业节能技术装备推荐目录!D:D,'Early Facility Retirement'!A18,工业节能技术装备推荐目录!F:F,'Early Facility Retirement'!$A$1,工业节能技术装备推荐目录!A:A,"2020")+SUMIFS(用能设备节能分配!Q:Q,用能设备节能分配!O:O,'Early Facility Retirement'!A18,用能设备节能分配!P:P,'Early Facility Retirement'!$A$1,用能设备节能分配!M:M,"2020")+SUMIFS(工业节能技术装备推荐目录!K:K,工业节能技术装备推荐目录!D:D,'Early Facility Retirement'!A18,工业节能技术装备推荐目录!F:F,'Early Facility Retirement'!$A$1,工业节能技术装备推荐目录!A:A,"2021")+SUMIFS(用能设备节能分配!Q:Q,用能设备节能分配!O:O,'Early Facility Retirement'!A18,用能设备节能分配!P:P,'Early Facility Retirement'!$A$1,用能设备节能分配!M:M,"2021")</f>
        <v>1.1250803805673644E-2</v>
      </c>
      <c r="E18" s="73">
        <f>SUMIFS(工业节能技术装备推荐目录!K:K,工业节能技术装备推荐目录!D:D,'Early Facility Retirement'!A18,工业节能技术装备推荐目录!F:F,'Early Facility Retirement'!$A$1,工业节能技术装备推荐目录!A:A,"2020")+SUMIFS(用能设备节能分配!Q:Q,用能设备节能分配!O:O,'Early Facility Retirement'!A18,用能设备节能分配!P:P,'Early Facility Retirement'!$A$1,用能设备节能分配!M:M,"2020")+SUMIFS(工业节能技术装备推荐目录!K:K,工业节能技术装备推荐目录!D:D,'Early Facility Retirement'!A18,工业节能技术装备推荐目录!F:F,'Early Facility Retirement'!$A$1,工业节能技术装备推荐目录!A:A,"2021")+SUMIFS(用能设备节能分配!Q:Q,用能设备节能分配!O:O,'Early Facility Retirement'!A18,用能设备节能分配!P:P,'Early Facility Retirement'!$A$1,用能设备节能分配!M:M,"2021")+SUMIFS(工业节能技术装备推荐目录!K:K,工业节能技术装备推荐目录!D:D,'Early Facility Retirement'!A18,工业节能技术装备推荐目录!F:F,'Early Facility Retirement'!$A$1,工业节能技术装备推荐目录!A:A,"2022")+SUMIFS(用能设备节能分配!Q:Q,用能设备节能分配!O:O,'Early Facility Retirement'!A18,用能设备节能分配!P:P,'Early Facility Retirement'!$A$1,用能设备节能分配!M:M,"2022")</f>
        <v>1.1250803805673644E-2</v>
      </c>
      <c r="F18" s="73">
        <f>SUMIFS(工业节能技术装备推荐目录!K:K,工业节能技术装备推荐目录!D:D,'Early Facility Retirement'!A18,工业节能技术装备推荐目录!F:F,'Early Facility Retirement'!$A$1,工业节能技术装备推荐目录!A:A,"2020")+SUMIFS(用能设备节能分配!Q:Q,用能设备节能分配!O:O,'Early Facility Retirement'!A18,用能设备节能分配!P:P,'Early Facility Retirement'!$A$1,用能设备节能分配!M:M,"2020")+SUMIFS(工业节能技术装备推荐目录!K:K,工业节能技术装备推荐目录!D:D,'Early Facility Retirement'!A18,工业节能技术装备推荐目录!F:F,'Early Facility Retirement'!$A$1,工业节能技术装备推荐目录!A:A,"2021")+SUMIFS(用能设备节能分配!Q:Q,用能设备节能分配!O:O,'Early Facility Retirement'!A18,用能设备节能分配!P:P,'Early Facility Retirement'!$A$1,用能设备节能分配!M:M,"2021")+SUMIFS(工业节能技术装备推荐目录!K:K,工业节能技术装备推荐目录!D:D,'Early Facility Retirement'!A18,工业节能技术装备推荐目录!F:F,'Early Facility Retirement'!$A$1,工业节能技术装备推荐目录!A:A,"2022")+SUMIFS(用能设备节能分配!Q:Q,用能设备节能分配!O:O,'Early Facility Retirement'!A18,用能设备节能分配!P:P,'Early Facility Retirement'!$A$1,用能设备节能分配!M:M,"2022")</f>
        <v>1.1250803805673644E-2</v>
      </c>
      <c r="G18" s="73">
        <f>SUMIFS(工业节能技术装备推荐目录!K:K,工业节能技术装备推荐目录!D:D,'Early Facility Retirement'!A18,工业节能技术装备推荐目录!F:F,'Early Facility Retirement'!$A$1,工业节能技术装备推荐目录!A:A,"2020")+SUMIFS(用能设备节能分配!Q:Q,用能设备节能分配!O:O,'Early Facility Retirement'!A18,用能设备节能分配!P:P,'Early Facility Retirement'!$A$1,用能设备节能分配!M:M,"2020")+SUMIFS(工业节能技术装备推荐目录!K:K,工业节能技术装备推荐目录!D:D,'Early Facility Retirement'!A18,工业节能技术装备推荐目录!F:F,'Early Facility Retirement'!$A$1,工业节能技术装备推荐目录!A:A,"2022")+SUMIFS(用能设备节能分配!Q:Q,用能设备节能分配!O:O,'Early Facility Retirement'!A18,用能设备节能分配!P:P,'Early Facility Retirement'!$A$1,用能设备节能分配!M:M,"2022")</f>
        <v>0</v>
      </c>
      <c r="H18" s="73">
        <f>SUMIFS(工业节能技术装备推荐目录!K:K,工业节能技术装备推荐目录!D:D,'Early Facility Retirement'!A18,工业节能技术装备推荐目录!F:F,'Early Facility Retirement'!$A$1,工业节能技术装备推荐目录!A:A,"2022")+SUMIFS(用能设备节能分配!Q:Q,用能设备节能分配!O:O,'Early Facility Retirement'!A18,用能设备节能分配!P:P,'Early Facility Retirement'!$A$1,用能设备节能分配!M:M,"2022")</f>
        <v>0</v>
      </c>
      <c r="I18" s="73">
        <f>SUMIFS(工业节能技术装备推荐目录!K:K,工业节能技术装备推荐目录!D:D,'Early Facility Retirement'!A18,工业节能技术装备推荐目录!F:F,'Early Facility Retirement'!$A$1,工业节能技术装备推荐目录!A:A,"2022")+SUMIFS(用能设备节能分配!Q:Q,用能设备节能分配!O:O,'Early Facility Retirement'!A18,用能设备节能分配!P:P,'Early Facility Retirement'!$A$1,用能设备节能分配!M:M,"2022")</f>
        <v>0</v>
      </c>
      <c r="K18" s="52"/>
      <c r="L18" s="26" t="s">
        <v>47</v>
      </c>
      <c r="M18" s="50">
        <f>SUMIFS(工业节能技术装备推荐目录!L:L,工业节能技术装备推荐目录!D:D,'Early Facility Retirement'!A18,工业节能技术装备推荐目录!F:F,'Early Facility Retirement'!$A$1)</f>
        <v>0</v>
      </c>
      <c r="N18" s="73">
        <f>SUMIFS(工业节能技术装备推荐目录!K:K,工业节能技术装备推荐目录!D:D,'Early Facility Retirement'!A18,工业节能技术装备推荐目录!F:F,'Early Facility Retirement'!$A$1,工业节能技术装备推荐目录!A:A,"2020")</f>
        <v>0</v>
      </c>
      <c r="O18" s="73">
        <f>SUMIFS(工业节能技术装备推荐目录!K:K,工业节能技术装备推荐目录!D:D,'Early Facility Retirement'!A18,工业节能技术装备推荐目录!F:F,'Early Facility Retirement'!$A$1,工业节能技术装备推荐目录!A:A,"2020")+SUMIFS(工业节能技术装备推荐目录!K:K,工业节能技术装备推荐目录!D:D,'Early Facility Retirement'!A18,工业节能技术装备推荐目录!F:F,'Early Facility Retirement'!$A$1,工业节能技术装备推荐目录!A:A,"2021")</f>
        <v>0</v>
      </c>
      <c r="P18" s="73">
        <f>SUMIFS(工业节能技术装备推荐目录!K:K,工业节能技术装备推荐目录!D:D,'Early Facility Retirement'!A18,工业节能技术装备推荐目录!F:F,'Early Facility Retirement'!$A$1,工业节能技术装备推荐目录!A:A,"2020")+SUMIFS(工业节能技术装备推荐目录!K:K,工业节能技术装备推荐目录!D:D,'Early Facility Retirement'!A18,工业节能技术装备推荐目录!F:F,'Early Facility Retirement'!$A$1,工业节能技术装备推荐目录!A:A,"2021")+SUMIFS(工业节能技术装备推荐目录!K:K,工业节能技术装备推荐目录!D:D,'Early Facility Retirement'!A18,工业节能技术装备推荐目录!F:F,'Early Facility Retirement'!$A$1,工业节能技术装备推荐目录!A:A,"2022")</f>
        <v>0</v>
      </c>
      <c r="Q18" s="73">
        <f>SUMIFS(工业节能技术装备推荐目录!K:K,工业节能技术装备推荐目录!D:D,'Early Facility Retirement'!A18,工业节能技术装备推荐目录!F:F,'Early Facility Retirement'!$A$1,工业节能技术装备推荐目录!A:A,"2020")+SUMIFS(工业节能技术装备推荐目录!K:K,工业节能技术装备推荐目录!D:D,'Early Facility Retirement'!A18,工业节能技术装备推荐目录!F:F,'Early Facility Retirement'!$A$1,工业节能技术装备推荐目录!A:A,"2021")+SUMIFS(工业节能技术装备推荐目录!K:K,工业节能技术装备推荐目录!D:D,'Early Facility Retirement'!A18,工业节能技术装备推荐目录!F:F,'Early Facility Retirement'!$A$1,工业节能技术装备推荐目录!A:A,"2022")</f>
        <v>0</v>
      </c>
      <c r="R18" s="73">
        <f>SUMIFS(工业节能技术装备推荐目录!K:K,工业节能技术装备推荐目录!D:D,'Early Facility Retirement'!A18,工业节能技术装备推荐目录!F:F,'Early Facility Retirement'!$A$1,工业节能技术装备推荐目录!A:A,"2020")+SUMIFS(工业节能技术装备推荐目录!K:K,工业节能技术装备推荐目录!D:D,'Early Facility Retirement'!A18,工业节能技术装备推荐目录!F:F,'Early Facility Retirement'!$A$1,工业节能技术装备推荐目录!A:A,"2022")</f>
        <v>0</v>
      </c>
      <c r="S18" s="73">
        <f>SUMIFS(工业节能技术装备推荐目录!K:K,工业节能技术装备推荐目录!D:D,'Early Facility Retirement'!A18,工业节能技术装备推荐目录!F:F,'Early Facility Retirement'!$A$1,工业节能技术装备推荐目录!A:A,"2022")</f>
        <v>0</v>
      </c>
      <c r="T18" s="73">
        <f>SUMIFS(工业节能技术装备推荐目录!K:K,工业节能技术装备推荐目录!D:D,'Early Facility Retirement'!A18,工业节能技术装备推荐目录!F:F,'Early Facility Retirement'!$A$1,工业节能技术装备推荐目录!A:A,"2022")</f>
        <v>0</v>
      </c>
    </row>
    <row r="19" spans="1:20" x14ac:dyDescent="0.15">
      <c r="A19" s="26" t="s">
        <v>48</v>
      </c>
      <c r="B19" s="50">
        <f>SUMIFS(工业节能技术装备推荐目录!L:L,工业节能技术装备推荐目录!D:D,'Early Facility Retirement'!A19,工业节能技术装备推荐目录!F:F,'Early Facility Retirement'!$A$1)+SUMIFS(用能设备节能分配!R:R,用能设备节能分配!O:O,'Early Facility Retirement'!A19,用能设备节能分配!P:P,'Early Facility Retirement'!$A$1)</f>
        <v>202.41507953962147</v>
      </c>
      <c r="C19" s="73">
        <f>SUMIFS(工业节能技术装备推荐目录!K:K,工业节能技术装备推荐目录!D:D,'Early Facility Retirement'!A19,工业节能技术装备推荐目录!F:F,'Early Facility Retirement'!$A$1,工业节能技术装备推荐目录!A:A,"2020")+SUMIFS(用能设备节能分配!Q:Q,用能设备节能分配!O:O,'Early Facility Retirement'!A19,用能设备节能分配!P:P,'Early Facility Retirement'!$A$1,用能设备节能分配!M:M,"2020")</f>
        <v>0</v>
      </c>
      <c r="D19" s="73">
        <f>SUMIFS(工业节能技术装备推荐目录!K:K,工业节能技术装备推荐目录!D:D,'Early Facility Retirement'!A19,工业节能技术装备推荐目录!F:F,'Early Facility Retirement'!$A$1,工业节能技术装备推荐目录!A:A,"2020")+SUMIFS(用能设备节能分配!Q:Q,用能设备节能分配!O:O,'Early Facility Retirement'!A19,用能设备节能分配!P:P,'Early Facility Retirement'!$A$1,用能设备节能分配!M:M,"2020")+SUMIFS(工业节能技术装备推荐目录!K:K,工业节能技术装备推荐目录!D:D,'Early Facility Retirement'!A19,工业节能技术装备推荐目录!F:F,'Early Facility Retirement'!$A$1,工业节能技术装备推荐目录!A:A,"2021")+SUMIFS(用能设备节能分配!Q:Q,用能设备节能分配!O:O,'Early Facility Retirement'!A19,用能设备节能分配!P:P,'Early Facility Retirement'!$A$1,用能设备节能分配!M:M,"2021")</f>
        <v>6.8254317338176254E-3</v>
      </c>
      <c r="E19" s="73">
        <f>SUMIFS(工业节能技术装备推荐目录!K:K,工业节能技术装备推荐目录!D:D,'Early Facility Retirement'!A19,工业节能技术装备推荐目录!F:F,'Early Facility Retirement'!$A$1,工业节能技术装备推荐目录!A:A,"2020")+SUMIFS(用能设备节能分配!Q:Q,用能设备节能分配!O:O,'Early Facility Retirement'!A19,用能设备节能分配!P:P,'Early Facility Retirement'!$A$1,用能设备节能分配!M:M,"2020")+SUMIFS(工业节能技术装备推荐目录!K:K,工业节能技术装备推荐目录!D:D,'Early Facility Retirement'!A19,工业节能技术装备推荐目录!F:F,'Early Facility Retirement'!$A$1,工业节能技术装备推荐目录!A:A,"2021")+SUMIFS(用能设备节能分配!Q:Q,用能设备节能分配!O:O,'Early Facility Retirement'!A19,用能设备节能分配!P:P,'Early Facility Retirement'!$A$1,用能设备节能分配!M:M,"2021")+SUMIFS(工业节能技术装备推荐目录!K:K,工业节能技术装备推荐目录!D:D,'Early Facility Retirement'!A19,工业节能技术装备推荐目录!F:F,'Early Facility Retirement'!$A$1,工业节能技术装备推荐目录!A:A,"2022")+SUMIFS(用能设备节能分配!Q:Q,用能设备节能分配!O:O,'Early Facility Retirement'!A19,用能设备节能分配!P:P,'Early Facility Retirement'!$A$1,用能设备节能分配!M:M,"2022")</f>
        <v>41.006825431733816</v>
      </c>
      <c r="F19" s="73">
        <f>SUMIFS(工业节能技术装备推荐目录!K:K,工业节能技术装备推荐目录!D:D,'Early Facility Retirement'!A19,工业节能技术装备推荐目录!F:F,'Early Facility Retirement'!$A$1,工业节能技术装备推荐目录!A:A,"2020")+SUMIFS(用能设备节能分配!Q:Q,用能设备节能分配!O:O,'Early Facility Retirement'!A19,用能设备节能分配!P:P,'Early Facility Retirement'!$A$1,用能设备节能分配!M:M,"2020")+SUMIFS(工业节能技术装备推荐目录!K:K,工业节能技术装备推荐目录!D:D,'Early Facility Retirement'!A19,工业节能技术装备推荐目录!F:F,'Early Facility Retirement'!$A$1,工业节能技术装备推荐目录!A:A,"2021")+SUMIFS(用能设备节能分配!Q:Q,用能设备节能分配!O:O,'Early Facility Retirement'!A19,用能设备节能分配!P:P,'Early Facility Retirement'!$A$1,用能设备节能分配!M:M,"2021")+SUMIFS(工业节能技术装备推荐目录!K:K,工业节能技术装备推荐目录!D:D,'Early Facility Retirement'!A19,工业节能技术装备推荐目录!F:F,'Early Facility Retirement'!$A$1,工业节能技术装备推荐目录!A:A,"2022")+SUMIFS(用能设备节能分配!Q:Q,用能设备节能分配!O:O,'Early Facility Retirement'!A19,用能设备节能分配!P:P,'Early Facility Retirement'!$A$1,用能设备节能分配!M:M,"2022")</f>
        <v>41.006825431733816</v>
      </c>
      <c r="G19" s="73">
        <f>SUMIFS(工业节能技术装备推荐目录!K:K,工业节能技术装备推荐目录!D:D,'Early Facility Retirement'!A19,工业节能技术装备推荐目录!F:F,'Early Facility Retirement'!$A$1,工业节能技术装备推荐目录!A:A,"2020")+SUMIFS(用能设备节能分配!Q:Q,用能设备节能分配!O:O,'Early Facility Retirement'!A19,用能设备节能分配!P:P,'Early Facility Retirement'!$A$1,用能设备节能分配!M:M,"2020")+SUMIFS(工业节能技术装备推荐目录!K:K,工业节能技术装备推荐目录!D:D,'Early Facility Retirement'!A19,工业节能技术装备推荐目录!F:F,'Early Facility Retirement'!$A$1,工业节能技术装备推荐目录!A:A,"2022")+SUMIFS(用能设备节能分配!Q:Q,用能设备节能分配!O:O,'Early Facility Retirement'!A19,用能设备节能分配!P:P,'Early Facility Retirement'!$A$1,用能设备节能分配!M:M,"2022")</f>
        <v>41</v>
      </c>
      <c r="H19" s="73">
        <f>SUMIFS(工业节能技术装备推荐目录!K:K,工业节能技术装备推荐目录!D:D,'Early Facility Retirement'!A19,工业节能技术装备推荐目录!F:F,'Early Facility Retirement'!$A$1,工业节能技术装备推荐目录!A:A,"2022")+SUMIFS(用能设备节能分配!Q:Q,用能设备节能分配!O:O,'Early Facility Retirement'!A19,用能设备节能分配!P:P,'Early Facility Retirement'!$A$1,用能设备节能分配!M:M,"2022")</f>
        <v>41</v>
      </c>
      <c r="I19" s="73">
        <f>SUMIFS(工业节能技术装备推荐目录!K:K,工业节能技术装备推荐目录!D:D,'Early Facility Retirement'!A19,工业节能技术装备推荐目录!F:F,'Early Facility Retirement'!$A$1,工业节能技术装备推荐目录!A:A,"2022")+SUMIFS(用能设备节能分配!Q:Q,用能设备节能分配!O:O,'Early Facility Retirement'!A19,用能设备节能分配!P:P,'Early Facility Retirement'!$A$1,用能设备节能分配!M:M,"2022")</f>
        <v>41</v>
      </c>
      <c r="K19" s="52"/>
      <c r="L19" s="26" t="s">
        <v>48</v>
      </c>
      <c r="M19" s="50">
        <f>SUMIFS(工业节能技术装备推荐目录!L:L,工业节能技术装备推荐目录!D:D,'Early Facility Retirement'!A19,工业节能技术装备推荐目录!F:F,'Early Facility Retirement'!$A$1)</f>
        <v>202.38095238095238</v>
      </c>
      <c r="N19" s="73">
        <f>SUMIFS(工业节能技术装备推荐目录!K:K,工业节能技术装备推荐目录!D:D,'Early Facility Retirement'!A19,工业节能技术装备推荐目录!F:F,'Early Facility Retirement'!$A$1,工业节能技术装备推荐目录!A:A,"2020")</f>
        <v>0</v>
      </c>
      <c r="O19" s="73">
        <f>SUMIFS(工业节能技术装备推荐目录!K:K,工业节能技术装备推荐目录!D:D,'Early Facility Retirement'!A19,工业节能技术装备推荐目录!F:F,'Early Facility Retirement'!$A$1,工业节能技术装备推荐目录!A:A,"2020")+SUMIFS(工业节能技术装备推荐目录!K:K,工业节能技术装备推荐目录!D:D,'Early Facility Retirement'!A19,工业节能技术装备推荐目录!F:F,'Early Facility Retirement'!$A$1,工业节能技术装备推荐目录!A:A,"2021")</f>
        <v>0</v>
      </c>
      <c r="P19" s="73">
        <f>SUMIFS(工业节能技术装备推荐目录!K:K,工业节能技术装备推荐目录!D:D,'Early Facility Retirement'!A19,工业节能技术装备推荐目录!F:F,'Early Facility Retirement'!$A$1,工业节能技术装备推荐目录!A:A,"2020")+SUMIFS(工业节能技术装备推荐目录!K:K,工业节能技术装备推荐目录!D:D,'Early Facility Retirement'!A19,工业节能技术装备推荐目录!F:F,'Early Facility Retirement'!$A$1,工业节能技术装备推荐目录!A:A,"2021")+SUMIFS(工业节能技术装备推荐目录!K:K,工业节能技术装备推荐目录!D:D,'Early Facility Retirement'!A19,工业节能技术装备推荐目录!F:F,'Early Facility Retirement'!$A$1,工业节能技术装备推荐目录!A:A,"2022")</f>
        <v>41</v>
      </c>
      <c r="Q19" s="73">
        <f>SUMIFS(工业节能技术装备推荐目录!K:K,工业节能技术装备推荐目录!D:D,'Early Facility Retirement'!A19,工业节能技术装备推荐目录!F:F,'Early Facility Retirement'!$A$1,工业节能技术装备推荐目录!A:A,"2020")+SUMIFS(工业节能技术装备推荐目录!K:K,工业节能技术装备推荐目录!D:D,'Early Facility Retirement'!A19,工业节能技术装备推荐目录!F:F,'Early Facility Retirement'!$A$1,工业节能技术装备推荐目录!A:A,"2021")+SUMIFS(工业节能技术装备推荐目录!K:K,工业节能技术装备推荐目录!D:D,'Early Facility Retirement'!A19,工业节能技术装备推荐目录!F:F,'Early Facility Retirement'!$A$1,工业节能技术装备推荐目录!A:A,"2022")</f>
        <v>41</v>
      </c>
      <c r="R19" s="73">
        <f>SUMIFS(工业节能技术装备推荐目录!K:K,工业节能技术装备推荐目录!D:D,'Early Facility Retirement'!A19,工业节能技术装备推荐目录!F:F,'Early Facility Retirement'!$A$1,工业节能技术装备推荐目录!A:A,"2020")+SUMIFS(工业节能技术装备推荐目录!K:K,工业节能技术装备推荐目录!D:D,'Early Facility Retirement'!A19,工业节能技术装备推荐目录!F:F,'Early Facility Retirement'!$A$1,工业节能技术装备推荐目录!A:A,"2022")</f>
        <v>41</v>
      </c>
      <c r="S19" s="73">
        <f>SUMIFS(工业节能技术装备推荐目录!K:K,工业节能技术装备推荐目录!D:D,'Early Facility Retirement'!A19,工业节能技术装备推荐目录!F:F,'Early Facility Retirement'!$A$1,工业节能技术装备推荐目录!A:A,"2022")</f>
        <v>41</v>
      </c>
      <c r="T19" s="73">
        <f>SUMIFS(工业节能技术装备推荐目录!K:K,工业节能技术装备推荐目录!D:D,'Early Facility Retirement'!A19,工业节能技术装备推荐目录!F:F,'Early Facility Retirement'!$A$1,工业节能技术装备推荐目录!A:A,"2022")</f>
        <v>41</v>
      </c>
    </row>
    <row r="20" spans="1:20" x14ac:dyDescent="0.15">
      <c r="A20" s="26" t="s">
        <v>49</v>
      </c>
      <c r="B20" s="50">
        <f>SUMIFS(工业节能技术装备推荐目录!L:L,工业节能技术装备推荐目录!D:D,'Early Facility Retirement'!A20,工业节能技术装备推荐目录!F:F,'Early Facility Retirement'!$A$1)+SUMIFS(用能设备节能分配!R:R,用能设备节能分配!O:O,'Early Facility Retirement'!A20,用能设备节能分配!P:P,'Early Facility Retirement'!$A$1)</f>
        <v>872.84564977305945</v>
      </c>
      <c r="C20" s="73">
        <f>SUMIFS(工业节能技术装备推荐目录!K:K,工业节能技术装备推荐目录!D:D,'Early Facility Retirement'!A20,工业节能技术装备推荐目录!F:F,'Early Facility Retirement'!$A$1,工业节能技术装备推荐目录!A:A,"2020")+SUMIFS(用能设备节能分配!Q:Q,用能设备节能分配!O:O,'Early Facility Retirement'!A20,用能设备节能分配!P:P,'Early Facility Retirement'!$A$1,用能设备节能分配!M:M,"2020")</f>
        <v>0</v>
      </c>
      <c r="D20" s="73">
        <f>SUMIFS(工业节能技术装备推荐目录!K:K,工业节能技术装备推荐目录!D:D,'Early Facility Retirement'!A20,工业节能技术装备推荐目录!F:F,'Early Facility Retirement'!$A$1,工业节能技术装备推荐目录!A:A,"2020")+SUMIFS(用能设备节能分配!Q:Q,用能设备节能分配!O:O,'Early Facility Retirement'!A20,用能设备节能分配!P:P,'Early Facility Retirement'!$A$1,用能设备节能分配!M:M,"2020")+SUMIFS(工业节能技术装备推荐目录!K:K,工业节能技术装备推荐目录!D:D,'Early Facility Retirement'!A20,工业节能技术装备推荐目录!F:F,'Early Facility Retirement'!$A$1,工业节能技术装备推荐目录!A:A,"2021")+SUMIFS(用能设备节能分配!Q:Q,用能设备节能分配!O:O,'Early Facility Retirement'!A20,用能设备节能分配!P:P,'Early Facility Retirement'!$A$1,用能设备节能分配!M:M,"2021")</f>
        <v>3.4591752537926268E-3</v>
      </c>
      <c r="E20" s="73">
        <f>SUMIFS(工业节能技术装备推荐目录!K:K,工业节能技术装备推荐目录!D:D,'Early Facility Retirement'!A20,工业节能技术装备推荐目录!F:F,'Early Facility Retirement'!$A$1,工业节能技术装备推荐目录!A:A,"2020")+SUMIFS(用能设备节能分配!Q:Q,用能设备节能分配!O:O,'Early Facility Retirement'!A20,用能设备节能分配!P:P,'Early Facility Retirement'!$A$1,用能设备节能分配!M:M,"2020")+SUMIFS(工业节能技术装备推荐目录!K:K,工业节能技术装备推荐目录!D:D,'Early Facility Retirement'!A20,工业节能技术装备推荐目录!F:F,'Early Facility Retirement'!$A$1,工业节能技术装备推荐目录!A:A,"2021")+SUMIFS(用能设备节能分配!Q:Q,用能设备节能分配!O:O,'Early Facility Retirement'!A20,用能设备节能分配!P:P,'Early Facility Retirement'!$A$1,用能设备节能分配!M:M,"2021")+SUMIFS(工业节能技术装备推荐目录!K:K,工业节能技术装备推荐目录!D:D,'Early Facility Retirement'!A20,工业节能技术装备推荐目录!F:F,'Early Facility Retirement'!$A$1,工业节能技术装备推荐目录!A:A,"2022")+SUMIFS(用能设备节能分配!Q:Q,用能设备节能分配!O:O,'Early Facility Retirement'!A20,用能设备节能分配!P:P,'Early Facility Retirement'!$A$1,用能设备节能分配!M:M,"2022")</f>
        <v>491.12636580504403</v>
      </c>
      <c r="F20" s="73">
        <f>SUMIFS(工业节能技术装备推荐目录!K:K,工业节能技术装备推荐目录!D:D,'Early Facility Retirement'!A20,工业节能技术装备推荐目录!F:F,'Early Facility Retirement'!$A$1,工业节能技术装备推荐目录!A:A,"2020")+SUMIFS(用能设备节能分配!Q:Q,用能设备节能分配!O:O,'Early Facility Retirement'!A20,用能设备节能分配!P:P,'Early Facility Retirement'!$A$1,用能设备节能分配!M:M,"2020")+SUMIFS(工业节能技术装备推荐目录!K:K,工业节能技术装备推荐目录!D:D,'Early Facility Retirement'!A20,工业节能技术装备推荐目录!F:F,'Early Facility Retirement'!$A$1,工业节能技术装备推荐目录!A:A,"2021")+SUMIFS(用能设备节能分配!Q:Q,用能设备节能分配!O:O,'Early Facility Retirement'!A20,用能设备节能分配!P:P,'Early Facility Retirement'!$A$1,用能设备节能分配!M:M,"2021")+SUMIFS(工业节能技术装备推荐目录!K:K,工业节能技术装备推荐目录!D:D,'Early Facility Retirement'!A20,工业节能技术装备推荐目录!F:F,'Early Facility Retirement'!$A$1,工业节能技术装备推荐目录!A:A,"2022")+SUMIFS(用能设备节能分配!Q:Q,用能设备节能分配!O:O,'Early Facility Retirement'!A20,用能设备节能分配!P:P,'Early Facility Retirement'!$A$1,用能设备节能分配!M:M,"2022")</f>
        <v>491.12636580504403</v>
      </c>
      <c r="G20" s="73">
        <f>SUMIFS(工业节能技术装备推荐目录!K:K,工业节能技术装备推荐目录!D:D,'Early Facility Retirement'!A20,工业节能技术装备推荐目录!F:F,'Early Facility Retirement'!$A$1,工业节能技术装备推荐目录!A:A,"2020")+SUMIFS(用能设备节能分配!Q:Q,用能设备节能分配!O:O,'Early Facility Retirement'!A20,用能设备节能分配!P:P,'Early Facility Retirement'!$A$1,用能设备节能分配!M:M,"2020")+SUMIFS(工业节能技术装备推荐目录!K:K,工业节能技术装备推荐目录!D:D,'Early Facility Retirement'!A20,工业节能技术装备推荐目录!F:F,'Early Facility Retirement'!$A$1,工业节能技术装备推荐目录!A:A,"2022")+SUMIFS(用能设备节能分配!Q:Q,用能设备节能分配!O:O,'Early Facility Retirement'!A20,用能设备节能分配!P:P,'Early Facility Retirement'!$A$1,用能设备节能分配!M:M,"2022")</f>
        <v>491.12290662979024</v>
      </c>
      <c r="H20" s="73">
        <f>SUMIFS(工业节能技术装备推荐目录!K:K,工业节能技术装备推荐目录!D:D,'Early Facility Retirement'!A20,工业节能技术装备推荐目录!F:F,'Early Facility Retirement'!$A$1,工业节能技术装备推荐目录!A:A,"2022")+SUMIFS(用能设备节能分配!Q:Q,用能设备节能分配!O:O,'Early Facility Retirement'!A20,用能设备节能分配!P:P,'Early Facility Retirement'!$A$1,用能设备节能分配!M:M,"2022")</f>
        <v>491.12290662979024</v>
      </c>
      <c r="I20" s="73">
        <f>SUMIFS(工业节能技术装备推荐目录!K:K,工业节能技术装备推荐目录!D:D,'Early Facility Retirement'!A20,工业节能技术装备推荐目录!F:F,'Early Facility Retirement'!$A$1,工业节能技术装备推荐目录!A:A,"2022")+SUMIFS(用能设备节能分配!Q:Q,用能设备节能分配!O:O,'Early Facility Retirement'!A20,用能设备节能分配!P:P,'Early Facility Retirement'!$A$1,用能设备节能分配!M:M,"2022")</f>
        <v>491.12290662979024</v>
      </c>
      <c r="K20" s="52"/>
      <c r="L20" s="26" t="s">
        <v>49</v>
      </c>
      <c r="M20" s="50">
        <f>SUMIFS(工业节能技术装备推荐目录!L:L,工业节能技术装备推荐目录!D:D,'Early Facility Retirement'!A20,工业节能技术装备推荐目录!F:F,'Early Facility Retirement'!$A$1)</f>
        <v>500</v>
      </c>
      <c r="N20" s="73">
        <f>SUMIFS(工业节能技术装备推荐目录!K:K,工业节能技术装备推荐目录!D:D,'Early Facility Retirement'!A20,工业节能技术装备推荐目录!F:F,'Early Facility Retirement'!$A$1,工业节能技术装备推荐目录!A:A,"2020")</f>
        <v>0</v>
      </c>
      <c r="O20" s="73">
        <f>SUMIFS(工业节能技术装备推荐目录!K:K,工业节能技术装备推荐目录!D:D,'Early Facility Retirement'!A20,工业节能技术装备推荐目录!F:F,'Early Facility Retirement'!$A$1,工业节能技术装备推荐目录!A:A,"2020")+SUMIFS(工业节能技术装备推荐目录!K:K,工业节能技术装备推荐目录!D:D,'Early Facility Retirement'!A20,工业节能技术装备推荐目录!F:F,'Early Facility Retirement'!$A$1,工业节能技术装备推荐目录!A:A,"2021")</f>
        <v>0</v>
      </c>
      <c r="P20" s="73">
        <f>SUMIFS(工业节能技术装备推荐目录!K:K,工业节能技术装备推荐目录!D:D,'Early Facility Retirement'!A20,工业节能技术装备推荐目录!F:F,'Early Facility Retirement'!$A$1,工业节能技术装备推荐目录!A:A,"2020")+SUMIFS(工业节能技术装备推荐目录!K:K,工业节能技术装备推荐目录!D:D,'Early Facility Retirement'!A20,工业节能技术装备推荐目录!F:F,'Early Facility Retirement'!$A$1,工业节能技术装备推荐目录!A:A,"2021")+SUMIFS(工业节能技术装备推荐目录!K:K,工业节能技术装备推荐目录!D:D,'Early Facility Retirement'!A20,工业节能技术装备推荐目录!F:F,'Early Facility Retirement'!$A$1,工业节能技术装备推荐目录!A:A,"2022")</f>
        <v>450</v>
      </c>
      <c r="Q20" s="73">
        <f>SUMIFS(工业节能技术装备推荐目录!K:K,工业节能技术装备推荐目录!D:D,'Early Facility Retirement'!A20,工业节能技术装备推荐目录!F:F,'Early Facility Retirement'!$A$1,工业节能技术装备推荐目录!A:A,"2020")+SUMIFS(工业节能技术装备推荐目录!K:K,工业节能技术装备推荐目录!D:D,'Early Facility Retirement'!A20,工业节能技术装备推荐目录!F:F,'Early Facility Retirement'!$A$1,工业节能技术装备推荐目录!A:A,"2021")+SUMIFS(工业节能技术装备推荐目录!K:K,工业节能技术装备推荐目录!D:D,'Early Facility Retirement'!A20,工业节能技术装备推荐目录!F:F,'Early Facility Retirement'!$A$1,工业节能技术装备推荐目录!A:A,"2022")</f>
        <v>450</v>
      </c>
      <c r="R20" s="73">
        <f>SUMIFS(工业节能技术装备推荐目录!K:K,工业节能技术装备推荐目录!D:D,'Early Facility Retirement'!A20,工业节能技术装备推荐目录!F:F,'Early Facility Retirement'!$A$1,工业节能技术装备推荐目录!A:A,"2020")+SUMIFS(工业节能技术装备推荐目录!K:K,工业节能技术装备推荐目录!D:D,'Early Facility Retirement'!A20,工业节能技术装备推荐目录!F:F,'Early Facility Retirement'!$A$1,工业节能技术装备推荐目录!A:A,"2022")</f>
        <v>450</v>
      </c>
      <c r="S20" s="73">
        <f>SUMIFS(工业节能技术装备推荐目录!K:K,工业节能技术装备推荐目录!D:D,'Early Facility Retirement'!A20,工业节能技术装备推荐目录!F:F,'Early Facility Retirement'!$A$1,工业节能技术装备推荐目录!A:A,"2022")</f>
        <v>450</v>
      </c>
      <c r="T20" s="73">
        <f>SUMIFS(工业节能技术装备推荐目录!K:K,工业节能技术装备推荐目录!D:D,'Early Facility Retirement'!A20,工业节能技术装备推荐目录!F:F,'Early Facility Retirement'!$A$1,工业节能技术装备推荐目录!A:A,"2022")</f>
        <v>450</v>
      </c>
    </row>
    <row r="21" spans="1:20" x14ac:dyDescent="0.15">
      <c r="A21" s="26" t="s">
        <v>50</v>
      </c>
      <c r="B21" s="50">
        <f>SUMIFS(工业节能技术装备推荐目录!L:L,工业节能技术装备推荐目录!D:D,'Early Facility Retirement'!A21,工业节能技术装备推荐目录!F:F,'Early Facility Retirement'!$A$1)+SUMIFS(用能设备节能分配!R:R,用能设备节能分配!O:O,'Early Facility Retirement'!A21,用能设备节能分配!P:P,'Early Facility Retirement'!$A$1)</f>
        <v>1.0716620501201356E-2</v>
      </c>
      <c r="C21" s="73">
        <f>SUMIFS(工业节能技术装备推荐目录!K:K,工业节能技术装备推荐目录!D:D,'Early Facility Retirement'!A21,工业节能技术装备推荐目录!F:F,'Early Facility Retirement'!$A$1,工业节能技术装备推荐目录!A:A,"2020")+SUMIFS(用能设备节能分配!Q:Q,用能设备节能分配!O:O,'Early Facility Retirement'!A21,用能设备节能分配!P:P,'Early Facility Retirement'!$A$1,用能设备节能分配!M:M,"2020")</f>
        <v>0</v>
      </c>
      <c r="D21" s="73">
        <f>SUMIFS(工业节能技术装备推荐目录!K:K,工业节能技术装备推荐目录!D:D,'Early Facility Retirement'!A21,工业节能技术装备推荐目录!F:F,'Early Facility Retirement'!$A$1,工业节能技术装备推荐目录!A:A,"2020")+SUMIFS(用能设备节能分配!Q:Q,用能设备节能分配!O:O,'Early Facility Retirement'!A21,用能设备节能分配!P:P,'Early Facility Retirement'!$A$1,用能设备节能分配!M:M,"2020")+SUMIFS(工业节能技术装备推荐目录!K:K,工业节能技术装备推荐目录!D:D,'Early Facility Retirement'!A21,工业节能技术装备推荐目录!F:F,'Early Facility Retirement'!$A$1,工业节能技术装备推荐目录!A:A,"2021")+SUMIFS(用能设备节能分配!Q:Q,用能设备节能分配!O:O,'Early Facility Retirement'!A21,用能设备节能分配!P:P,'Early Facility Retirement'!$A$1,用能设备节能分配!M:M,"2021")</f>
        <v>2.1433241002402712E-3</v>
      </c>
      <c r="E21" s="73">
        <f>SUMIFS(工业节能技术装备推荐目录!K:K,工业节能技术装备推荐目录!D:D,'Early Facility Retirement'!A21,工业节能技术装备推荐目录!F:F,'Early Facility Retirement'!$A$1,工业节能技术装备推荐目录!A:A,"2020")+SUMIFS(用能设备节能分配!Q:Q,用能设备节能分配!O:O,'Early Facility Retirement'!A21,用能设备节能分配!P:P,'Early Facility Retirement'!$A$1,用能设备节能分配!M:M,"2020")+SUMIFS(工业节能技术装备推荐目录!K:K,工业节能技术装备推荐目录!D:D,'Early Facility Retirement'!A21,工业节能技术装备推荐目录!F:F,'Early Facility Retirement'!$A$1,工业节能技术装备推荐目录!A:A,"2021")+SUMIFS(用能设备节能分配!Q:Q,用能设备节能分配!O:O,'Early Facility Retirement'!A21,用能设备节能分配!P:P,'Early Facility Retirement'!$A$1,用能设备节能分配!M:M,"2021")+SUMIFS(工业节能技术装备推荐目录!K:K,工业节能技术装备推荐目录!D:D,'Early Facility Retirement'!A21,工业节能技术装备推荐目录!F:F,'Early Facility Retirement'!$A$1,工业节能技术装备推荐目录!A:A,"2022")+SUMIFS(用能设备节能分配!Q:Q,用能设备节能分配!O:O,'Early Facility Retirement'!A21,用能设备节能分配!P:P,'Early Facility Retirement'!$A$1,用能设备节能分配!M:M,"2022")</f>
        <v>2.1433241002402712E-3</v>
      </c>
      <c r="F21" s="73">
        <f>SUMIFS(工业节能技术装备推荐目录!K:K,工业节能技术装备推荐目录!D:D,'Early Facility Retirement'!A21,工业节能技术装备推荐目录!F:F,'Early Facility Retirement'!$A$1,工业节能技术装备推荐目录!A:A,"2020")+SUMIFS(用能设备节能分配!Q:Q,用能设备节能分配!O:O,'Early Facility Retirement'!A21,用能设备节能分配!P:P,'Early Facility Retirement'!$A$1,用能设备节能分配!M:M,"2020")+SUMIFS(工业节能技术装备推荐目录!K:K,工业节能技术装备推荐目录!D:D,'Early Facility Retirement'!A21,工业节能技术装备推荐目录!F:F,'Early Facility Retirement'!$A$1,工业节能技术装备推荐目录!A:A,"2021")+SUMIFS(用能设备节能分配!Q:Q,用能设备节能分配!O:O,'Early Facility Retirement'!A21,用能设备节能分配!P:P,'Early Facility Retirement'!$A$1,用能设备节能分配!M:M,"2021")+SUMIFS(工业节能技术装备推荐目录!K:K,工业节能技术装备推荐目录!D:D,'Early Facility Retirement'!A21,工业节能技术装备推荐目录!F:F,'Early Facility Retirement'!$A$1,工业节能技术装备推荐目录!A:A,"2022")+SUMIFS(用能设备节能分配!Q:Q,用能设备节能分配!O:O,'Early Facility Retirement'!A21,用能设备节能分配!P:P,'Early Facility Retirement'!$A$1,用能设备节能分配!M:M,"2022")</f>
        <v>2.1433241002402712E-3</v>
      </c>
      <c r="G21" s="73">
        <f>SUMIFS(工业节能技术装备推荐目录!K:K,工业节能技术装备推荐目录!D:D,'Early Facility Retirement'!A21,工业节能技术装备推荐目录!F:F,'Early Facility Retirement'!$A$1,工业节能技术装备推荐目录!A:A,"2020")+SUMIFS(用能设备节能分配!Q:Q,用能设备节能分配!O:O,'Early Facility Retirement'!A21,用能设备节能分配!P:P,'Early Facility Retirement'!$A$1,用能设备节能分配!M:M,"2020")+SUMIFS(工业节能技术装备推荐目录!K:K,工业节能技术装备推荐目录!D:D,'Early Facility Retirement'!A21,工业节能技术装备推荐目录!F:F,'Early Facility Retirement'!$A$1,工业节能技术装备推荐目录!A:A,"2022")+SUMIFS(用能设备节能分配!Q:Q,用能设备节能分配!O:O,'Early Facility Retirement'!A21,用能设备节能分配!P:P,'Early Facility Retirement'!$A$1,用能设备节能分配!M:M,"2022")</f>
        <v>0</v>
      </c>
      <c r="H21" s="73">
        <f>SUMIFS(工业节能技术装备推荐目录!K:K,工业节能技术装备推荐目录!D:D,'Early Facility Retirement'!A21,工业节能技术装备推荐目录!F:F,'Early Facility Retirement'!$A$1,工业节能技术装备推荐目录!A:A,"2022")+SUMIFS(用能设备节能分配!Q:Q,用能设备节能分配!O:O,'Early Facility Retirement'!A21,用能设备节能分配!P:P,'Early Facility Retirement'!$A$1,用能设备节能分配!M:M,"2022")</f>
        <v>0</v>
      </c>
      <c r="I21" s="73">
        <f>SUMIFS(工业节能技术装备推荐目录!K:K,工业节能技术装备推荐目录!D:D,'Early Facility Retirement'!A21,工业节能技术装备推荐目录!F:F,'Early Facility Retirement'!$A$1,工业节能技术装备推荐目录!A:A,"2022")+SUMIFS(用能设备节能分配!Q:Q,用能设备节能分配!O:O,'Early Facility Retirement'!A21,用能设备节能分配!P:P,'Early Facility Retirement'!$A$1,用能设备节能分配!M:M,"2022")</f>
        <v>0</v>
      </c>
      <c r="K21" s="52"/>
      <c r="L21" s="26" t="s">
        <v>50</v>
      </c>
      <c r="M21" s="50">
        <f>SUMIFS(工业节能技术装备推荐目录!L:L,工业节能技术装备推荐目录!D:D,'Early Facility Retirement'!A21,工业节能技术装备推荐目录!F:F,'Early Facility Retirement'!$A$1)</f>
        <v>0</v>
      </c>
      <c r="N21" s="73">
        <f>SUMIFS(工业节能技术装备推荐目录!K:K,工业节能技术装备推荐目录!D:D,'Early Facility Retirement'!A21,工业节能技术装备推荐目录!F:F,'Early Facility Retirement'!$A$1,工业节能技术装备推荐目录!A:A,"2020")</f>
        <v>0</v>
      </c>
      <c r="O21" s="73">
        <f>SUMIFS(工业节能技术装备推荐目录!K:K,工业节能技术装备推荐目录!D:D,'Early Facility Retirement'!A21,工业节能技术装备推荐目录!F:F,'Early Facility Retirement'!$A$1,工业节能技术装备推荐目录!A:A,"2020")+SUMIFS(工业节能技术装备推荐目录!K:K,工业节能技术装备推荐目录!D:D,'Early Facility Retirement'!A21,工业节能技术装备推荐目录!F:F,'Early Facility Retirement'!$A$1,工业节能技术装备推荐目录!A:A,"2021")</f>
        <v>0</v>
      </c>
      <c r="P21" s="73">
        <f>SUMIFS(工业节能技术装备推荐目录!K:K,工业节能技术装备推荐目录!D:D,'Early Facility Retirement'!A21,工业节能技术装备推荐目录!F:F,'Early Facility Retirement'!$A$1,工业节能技术装备推荐目录!A:A,"2020")+SUMIFS(工业节能技术装备推荐目录!K:K,工业节能技术装备推荐目录!D:D,'Early Facility Retirement'!A21,工业节能技术装备推荐目录!F:F,'Early Facility Retirement'!$A$1,工业节能技术装备推荐目录!A:A,"2021")+SUMIFS(工业节能技术装备推荐目录!K:K,工业节能技术装备推荐目录!D:D,'Early Facility Retirement'!A21,工业节能技术装备推荐目录!F:F,'Early Facility Retirement'!$A$1,工业节能技术装备推荐目录!A:A,"2022")</f>
        <v>0</v>
      </c>
      <c r="Q21" s="73">
        <f>SUMIFS(工业节能技术装备推荐目录!K:K,工业节能技术装备推荐目录!D:D,'Early Facility Retirement'!A21,工业节能技术装备推荐目录!F:F,'Early Facility Retirement'!$A$1,工业节能技术装备推荐目录!A:A,"2020")+SUMIFS(工业节能技术装备推荐目录!K:K,工业节能技术装备推荐目录!D:D,'Early Facility Retirement'!A21,工业节能技术装备推荐目录!F:F,'Early Facility Retirement'!$A$1,工业节能技术装备推荐目录!A:A,"2021")+SUMIFS(工业节能技术装备推荐目录!K:K,工业节能技术装备推荐目录!D:D,'Early Facility Retirement'!A21,工业节能技术装备推荐目录!F:F,'Early Facility Retirement'!$A$1,工业节能技术装备推荐目录!A:A,"2022")</f>
        <v>0</v>
      </c>
      <c r="R21" s="73">
        <f>SUMIFS(工业节能技术装备推荐目录!K:K,工业节能技术装备推荐目录!D:D,'Early Facility Retirement'!A21,工业节能技术装备推荐目录!F:F,'Early Facility Retirement'!$A$1,工业节能技术装备推荐目录!A:A,"2020")+SUMIFS(工业节能技术装备推荐目录!K:K,工业节能技术装备推荐目录!D:D,'Early Facility Retirement'!A21,工业节能技术装备推荐目录!F:F,'Early Facility Retirement'!$A$1,工业节能技术装备推荐目录!A:A,"2022")</f>
        <v>0</v>
      </c>
      <c r="S21" s="73">
        <f>SUMIFS(工业节能技术装备推荐目录!K:K,工业节能技术装备推荐目录!D:D,'Early Facility Retirement'!A21,工业节能技术装备推荐目录!F:F,'Early Facility Retirement'!$A$1,工业节能技术装备推荐目录!A:A,"2022")</f>
        <v>0</v>
      </c>
      <c r="T21" s="73">
        <f>SUMIFS(工业节能技术装备推荐目录!K:K,工业节能技术装备推荐目录!D:D,'Early Facility Retirement'!A21,工业节能技术装备推荐目录!F:F,'Early Facility Retirement'!$A$1,工业节能技术装备推荐目录!A:A,"2022")</f>
        <v>0</v>
      </c>
    </row>
    <row r="22" spans="1:20" x14ac:dyDescent="0.15">
      <c r="A22" s="26" t="s">
        <v>81</v>
      </c>
      <c r="B22" s="50">
        <f>SUMIFS(工业节能技术装备推荐目录!L:L,工业节能技术装备推荐目录!D:D,'Early Facility Retirement'!A22,工业节能技术装备推荐目录!F:F,'Early Facility Retirement'!$A$1)+SUMIFS(用能设备节能分配!R:R,用能设备节能分配!O:O,'Early Facility Retirement'!A22,用能设备节能分配!P:P,'Early Facility Retirement'!$A$1)</f>
        <v>322.80450126028262</v>
      </c>
      <c r="C22" s="73">
        <f>SUMIFS(工业节能技术装备推荐目录!K:K,工业节能技术装备推荐目录!D:D,'Early Facility Retirement'!A22,工业节能技术装备推荐目录!F:F,'Early Facility Retirement'!$A$1,工业节能技术装备推荐目录!A:A,"2020")+SUMIFS(用能设备节能分配!Q:Q,用能设备节能分配!O:O,'Early Facility Retirement'!A22,用能设备节能分配!P:P,'Early Facility Retirement'!$A$1,用能设备节能分配!M:M,"2020")</f>
        <v>0</v>
      </c>
      <c r="D22" s="73">
        <f>SUMIFS(工业节能技术装备推荐目录!K:K,工业节能技术装备推荐目录!D:D,'Early Facility Retirement'!A22,工业节能技术装备推荐目录!F:F,'Early Facility Retirement'!$A$1,工业节能技术装备推荐目录!A:A,"2020")+SUMIFS(用能设备节能分配!Q:Q,用能设备节能分配!O:O,'Early Facility Retirement'!A22,用能设备节能分配!P:P,'Early Facility Retirement'!$A$1,用能设备节能分配!M:M,"2020")+SUMIFS(工业节能技术装备推荐目录!K:K,工业节能技术装备推荐目录!D:D,'Early Facility Retirement'!A22,工业节能技术装备推荐目录!F:F,'Early Facility Retirement'!$A$1,工业节能技术装备推荐目录!A:A,"2021")+SUMIFS(用能设备节能分配!Q:Q,用能设备节能分配!O:O,'Early Facility Retirement'!A22,用能设备节能分配!P:P,'Early Facility Retirement'!$A$1,用能设备节能分配!M:M,"2021")</f>
        <v>2.9949051122149504E-3</v>
      </c>
      <c r="E22" s="73">
        <f>SUMIFS(工业节能技术装备推荐目录!K:K,工业节能技术装备推荐目录!D:D,'Early Facility Retirement'!A22,工业节能技术装备推荐目录!F:F,'Early Facility Retirement'!$A$1,工业节能技术装备推荐目录!A:A,"2020")+SUMIFS(用能设备节能分配!Q:Q,用能设备节能分配!O:O,'Early Facility Retirement'!A22,用能设备节能分配!P:P,'Early Facility Retirement'!$A$1,用能设备节能分配!M:M,"2020")+SUMIFS(工业节能技术装备推荐目录!K:K,工业节能技术装备推荐目录!D:D,'Early Facility Retirement'!A22,工业节能技术装备推荐目录!F:F,'Early Facility Retirement'!$A$1,工业节能技术装备推荐目录!A:A,"2021")+SUMIFS(用能设备节能分配!Q:Q,用能设备节能分配!O:O,'Early Facility Retirement'!A22,用能设备节能分配!P:P,'Early Facility Retirement'!$A$1,用能设备节能分配!M:M,"2021")+SUMIFS(工业节能技术装备推荐目录!K:K,工业节能技术装备推荐目录!D:D,'Early Facility Retirement'!A22,工业节能技术装备推荐目录!F:F,'Early Facility Retirement'!$A$1,工业节能技术装备推荐目录!A:A,"2022")+SUMIFS(用能设备节能分配!Q:Q,用能设备节能分配!O:O,'Early Facility Retirement'!A22,用能设备节能分配!P:P,'Early Facility Retirement'!$A$1,用能设备节能分配!M:M,"2022")</f>
        <v>35.606627059818926</v>
      </c>
      <c r="F22" s="73">
        <f>SUMIFS(工业节能技术装备推荐目录!K:K,工业节能技术装备推荐目录!D:D,'Early Facility Retirement'!A22,工业节能技术装备推荐目录!F:F,'Early Facility Retirement'!$A$1,工业节能技术装备推荐目录!A:A,"2020")+SUMIFS(用能设备节能分配!Q:Q,用能设备节能分配!O:O,'Early Facility Retirement'!A22,用能设备节能分配!P:P,'Early Facility Retirement'!$A$1,用能设备节能分配!M:M,"2020")+SUMIFS(工业节能技术装备推荐目录!K:K,工业节能技术装备推荐目录!D:D,'Early Facility Retirement'!A22,工业节能技术装备推荐目录!F:F,'Early Facility Retirement'!$A$1,工业节能技术装备推荐目录!A:A,"2021")+SUMIFS(用能设备节能分配!Q:Q,用能设备节能分配!O:O,'Early Facility Retirement'!A22,用能设备节能分配!P:P,'Early Facility Retirement'!$A$1,用能设备节能分配!M:M,"2021")+SUMIFS(工业节能技术装备推荐目录!K:K,工业节能技术装备推荐目录!D:D,'Early Facility Retirement'!A22,工业节能技术装备推荐目录!F:F,'Early Facility Retirement'!$A$1,工业节能技术装备推荐目录!A:A,"2022")+SUMIFS(用能设备节能分配!Q:Q,用能设备节能分配!O:O,'Early Facility Retirement'!A22,用能设备节能分配!P:P,'Early Facility Retirement'!$A$1,用能设备节能分配!M:M,"2022")</f>
        <v>35.606627059818926</v>
      </c>
      <c r="G22" s="73">
        <f>SUMIFS(工业节能技术装备推荐目录!K:K,工业节能技术装备推荐目录!D:D,'Early Facility Retirement'!A22,工业节能技术装备推荐目录!F:F,'Early Facility Retirement'!$A$1,工业节能技术装备推荐目录!A:A,"2020")+SUMIFS(用能设备节能分配!Q:Q,用能设备节能分配!O:O,'Early Facility Retirement'!A22,用能设备节能分配!P:P,'Early Facility Retirement'!$A$1,用能设备节能分配!M:M,"2020")+SUMIFS(工业节能技术装备推荐目录!K:K,工业节能技术装备推荐目录!D:D,'Early Facility Retirement'!A22,工业节能技术装备推荐目录!F:F,'Early Facility Retirement'!$A$1,工业节能技术装备推荐目录!A:A,"2022")+SUMIFS(用能设备节能分配!Q:Q,用能设备节能分配!O:O,'Early Facility Retirement'!A22,用能设备节能分配!P:P,'Early Facility Retirement'!$A$1,用能设备节能分配!M:M,"2022")</f>
        <v>35.603632154706709</v>
      </c>
      <c r="H22" s="73">
        <f>SUMIFS(工业节能技术装备推荐目录!K:K,工业节能技术装备推荐目录!D:D,'Early Facility Retirement'!A22,工业节能技术装备推荐目录!F:F,'Early Facility Retirement'!$A$1,工业节能技术装备推荐目录!A:A,"2022")+SUMIFS(用能设备节能分配!Q:Q,用能设备节能分配!O:O,'Early Facility Retirement'!A22,用能设备节能分配!P:P,'Early Facility Retirement'!$A$1,用能设备节能分配!M:M,"2022")</f>
        <v>35.603632154706709</v>
      </c>
      <c r="I22" s="73">
        <f>SUMIFS(工业节能技术装备推荐目录!K:K,工业节能技术装备推荐目录!D:D,'Early Facility Retirement'!A22,工业节能技术装备推荐目录!F:F,'Early Facility Retirement'!$A$1,工业节能技术装备推荐目录!A:A,"2022")+SUMIFS(用能设备节能分配!Q:Q,用能设备节能分配!O:O,'Early Facility Retirement'!A22,用能设备节能分配!P:P,'Early Facility Retirement'!$A$1,用能设备节能分配!M:M,"2022")</f>
        <v>35.603632154706709</v>
      </c>
      <c r="K22" s="52"/>
      <c r="L22" s="26" t="s">
        <v>81</v>
      </c>
      <c r="M22" s="50">
        <f>SUMIFS(工业节能技术装备推荐目录!L:L,工业节能技术装备推荐目录!D:D,'Early Facility Retirement'!A22,工业节能技术装备推荐目录!F:F,'Early Facility Retirement'!$A$1)</f>
        <v>0</v>
      </c>
      <c r="N22" s="73">
        <f>SUMIFS(工业节能技术装备推荐目录!K:K,工业节能技术装备推荐目录!D:D,'Early Facility Retirement'!A22,工业节能技术装备推荐目录!F:F,'Early Facility Retirement'!$A$1,工业节能技术装备推荐目录!A:A,"2020")</f>
        <v>0</v>
      </c>
      <c r="O22" s="73">
        <f>SUMIFS(工业节能技术装备推荐目录!K:K,工业节能技术装备推荐目录!D:D,'Early Facility Retirement'!A22,工业节能技术装备推荐目录!F:F,'Early Facility Retirement'!$A$1,工业节能技术装备推荐目录!A:A,"2020")+SUMIFS(工业节能技术装备推荐目录!K:K,工业节能技术装备推荐目录!D:D,'Early Facility Retirement'!A22,工业节能技术装备推荐目录!F:F,'Early Facility Retirement'!$A$1,工业节能技术装备推荐目录!A:A,"2021")</f>
        <v>0</v>
      </c>
      <c r="P22" s="73">
        <f>SUMIFS(工业节能技术装备推荐目录!K:K,工业节能技术装备推荐目录!D:D,'Early Facility Retirement'!A22,工业节能技术装备推荐目录!F:F,'Early Facility Retirement'!$A$1,工业节能技术装备推荐目录!A:A,"2020")+SUMIFS(工业节能技术装备推荐目录!K:K,工业节能技术装备推荐目录!D:D,'Early Facility Retirement'!A22,工业节能技术装备推荐目录!F:F,'Early Facility Retirement'!$A$1,工业节能技术装备推荐目录!A:A,"2021")+SUMIFS(工业节能技术装备推荐目录!K:K,工业节能技术装备推荐目录!D:D,'Early Facility Retirement'!A22,工业节能技术装备推荐目录!F:F,'Early Facility Retirement'!$A$1,工业节能技术装备推荐目录!A:A,"2022")</f>
        <v>0</v>
      </c>
      <c r="Q22" s="73">
        <f>SUMIFS(工业节能技术装备推荐目录!K:K,工业节能技术装备推荐目录!D:D,'Early Facility Retirement'!A22,工业节能技术装备推荐目录!F:F,'Early Facility Retirement'!$A$1,工业节能技术装备推荐目录!A:A,"2020")+SUMIFS(工业节能技术装备推荐目录!K:K,工业节能技术装备推荐目录!D:D,'Early Facility Retirement'!A22,工业节能技术装备推荐目录!F:F,'Early Facility Retirement'!$A$1,工业节能技术装备推荐目录!A:A,"2021")+SUMIFS(工业节能技术装备推荐目录!K:K,工业节能技术装备推荐目录!D:D,'Early Facility Retirement'!A22,工业节能技术装备推荐目录!F:F,'Early Facility Retirement'!$A$1,工业节能技术装备推荐目录!A:A,"2022")</f>
        <v>0</v>
      </c>
      <c r="R22" s="73">
        <f>SUMIFS(工业节能技术装备推荐目录!K:K,工业节能技术装备推荐目录!D:D,'Early Facility Retirement'!A22,工业节能技术装备推荐目录!F:F,'Early Facility Retirement'!$A$1,工业节能技术装备推荐目录!A:A,"2020")+SUMIFS(工业节能技术装备推荐目录!K:K,工业节能技术装备推荐目录!D:D,'Early Facility Retirement'!A22,工业节能技术装备推荐目录!F:F,'Early Facility Retirement'!$A$1,工业节能技术装备推荐目录!A:A,"2022")</f>
        <v>0</v>
      </c>
      <c r="S22" s="73">
        <f>SUMIFS(工业节能技术装备推荐目录!K:K,工业节能技术装备推荐目录!D:D,'Early Facility Retirement'!A22,工业节能技术装备推荐目录!F:F,'Early Facility Retirement'!$A$1,工业节能技术装备推荐目录!A:A,"2022")</f>
        <v>0</v>
      </c>
      <c r="T22" s="73">
        <f>SUMIFS(工业节能技术装备推荐目录!K:K,工业节能技术装备推荐目录!D:D,'Early Facility Retirement'!A22,工业节能技术装备推荐目录!F:F,'Early Facility Retirement'!$A$1,工业节能技术装备推荐目录!A:A,"2022")</f>
        <v>0</v>
      </c>
    </row>
    <row r="23" spans="1:20" x14ac:dyDescent="0.15">
      <c r="A23" s="26" t="s">
        <v>71</v>
      </c>
      <c r="B23" s="50">
        <f>SUMIFS(工业节能技术装备推荐目录!L:L,工业节能技术装备推荐目录!D:D,'Early Facility Retirement'!A23,工业节能技术装备推荐目录!F:F,'Early Facility Retirement'!$A$1)+SUMIFS(用能设备节能分配!R:R,用能设备节能分配!O:O,'Early Facility Retirement'!A23,用能设备节能分配!P:P,'Early Facility Retirement'!$A$1)</f>
        <v>9.1436608592400295E-3</v>
      </c>
      <c r="C23" s="73">
        <f>SUMIFS(工业节能技术装备推荐目录!K:K,工业节能技术装备推荐目录!D:D,'Early Facility Retirement'!A23,工业节能技术装备推荐目录!F:F,'Early Facility Retirement'!$A$1,工业节能技术装备推荐目录!A:A,"2020")+SUMIFS(用能设备节能分配!Q:Q,用能设备节能分配!O:O,'Early Facility Retirement'!A23,用能设备节能分配!P:P,'Early Facility Retirement'!$A$1,用能设备节能分配!M:M,"2020")</f>
        <v>0</v>
      </c>
      <c r="D23" s="73">
        <f>SUMIFS(工业节能技术装备推荐目录!K:K,工业节能技术装备推荐目录!D:D,'Early Facility Retirement'!A23,工业节能技术装备推荐目录!F:F,'Early Facility Retirement'!$A$1,工业节能技术装备推荐目录!A:A,"2020")+SUMIFS(用能设备节能分配!Q:Q,用能设备节能分配!O:O,'Early Facility Retirement'!A23,用能设备节能分配!P:P,'Early Facility Retirement'!$A$1,用能设备节能分配!M:M,"2020")+SUMIFS(工业节能技术装备推荐目录!K:K,工业节能技术装备推荐目录!D:D,'Early Facility Retirement'!A23,工业节能技术装备推荐目录!F:F,'Early Facility Retirement'!$A$1,工业节能技术装备推荐目录!A:A,"2021")+SUMIFS(用能设备节能分配!Q:Q,用能设备节能分配!O:O,'Early Facility Retirement'!A23,用能设备节能分配!P:P,'Early Facility Retirement'!$A$1,用能设备节能分配!M:M,"2021")</f>
        <v>1.8287321718480057E-3</v>
      </c>
      <c r="E23" s="73">
        <f>SUMIFS(工业节能技术装备推荐目录!K:K,工业节能技术装备推荐目录!D:D,'Early Facility Retirement'!A23,工业节能技术装备推荐目录!F:F,'Early Facility Retirement'!$A$1,工业节能技术装备推荐目录!A:A,"2020")+SUMIFS(用能设备节能分配!Q:Q,用能设备节能分配!O:O,'Early Facility Retirement'!A23,用能设备节能分配!P:P,'Early Facility Retirement'!$A$1,用能设备节能分配!M:M,"2020")+SUMIFS(工业节能技术装备推荐目录!K:K,工业节能技术装备推荐目录!D:D,'Early Facility Retirement'!A23,工业节能技术装备推荐目录!F:F,'Early Facility Retirement'!$A$1,工业节能技术装备推荐目录!A:A,"2021")+SUMIFS(用能设备节能分配!Q:Q,用能设备节能分配!O:O,'Early Facility Retirement'!A23,用能设备节能分配!P:P,'Early Facility Retirement'!$A$1,用能设备节能分配!M:M,"2021")+SUMIFS(工业节能技术装备推荐目录!K:K,工业节能技术装备推荐目录!D:D,'Early Facility Retirement'!A23,工业节能技术装备推荐目录!F:F,'Early Facility Retirement'!$A$1,工业节能技术装备推荐目录!A:A,"2022")+SUMIFS(用能设备节能分配!Q:Q,用能设备节能分配!O:O,'Early Facility Retirement'!A23,用能设备节能分配!P:P,'Early Facility Retirement'!$A$1,用能设备节能分配!M:M,"2022")</f>
        <v>1.8287321718480057E-3</v>
      </c>
      <c r="F23" s="73">
        <f>SUMIFS(工业节能技术装备推荐目录!K:K,工业节能技术装备推荐目录!D:D,'Early Facility Retirement'!A23,工业节能技术装备推荐目录!F:F,'Early Facility Retirement'!$A$1,工业节能技术装备推荐目录!A:A,"2020")+SUMIFS(用能设备节能分配!Q:Q,用能设备节能分配!O:O,'Early Facility Retirement'!A23,用能设备节能分配!P:P,'Early Facility Retirement'!$A$1,用能设备节能分配!M:M,"2020")+SUMIFS(工业节能技术装备推荐目录!K:K,工业节能技术装备推荐目录!D:D,'Early Facility Retirement'!A23,工业节能技术装备推荐目录!F:F,'Early Facility Retirement'!$A$1,工业节能技术装备推荐目录!A:A,"2021")+SUMIFS(用能设备节能分配!Q:Q,用能设备节能分配!O:O,'Early Facility Retirement'!A23,用能设备节能分配!P:P,'Early Facility Retirement'!$A$1,用能设备节能分配!M:M,"2021")+SUMIFS(工业节能技术装备推荐目录!K:K,工业节能技术装备推荐目录!D:D,'Early Facility Retirement'!A23,工业节能技术装备推荐目录!F:F,'Early Facility Retirement'!$A$1,工业节能技术装备推荐目录!A:A,"2022")+SUMIFS(用能设备节能分配!Q:Q,用能设备节能分配!O:O,'Early Facility Retirement'!A23,用能设备节能分配!P:P,'Early Facility Retirement'!$A$1,用能设备节能分配!M:M,"2022")</f>
        <v>1.8287321718480057E-3</v>
      </c>
      <c r="G23" s="73">
        <f>SUMIFS(工业节能技术装备推荐目录!K:K,工业节能技术装备推荐目录!D:D,'Early Facility Retirement'!A23,工业节能技术装备推荐目录!F:F,'Early Facility Retirement'!$A$1,工业节能技术装备推荐目录!A:A,"2020")+SUMIFS(用能设备节能分配!Q:Q,用能设备节能分配!O:O,'Early Facility Retirement'!A23,用能设备节能分配!P:P,'Early Facility Retirement'!$A$1,用能设备节能分配!M:M,"2020")+SUMIFS(工业节能技术装备推荐目录!K:K,工业节能技术装备推荐目录!D:D,'Early Facility Retirement'!A23,工业节能技术装备推荐目录!F:F,'Early Facility Retirement'!$A$1,工业节能技术装备推荐目录!A:A,"2022")+SUMIFS(用能设备节能分配!Q:Q,用能设备节能分配!O:O,'Early Facility Retirement'!A23,用能设备节能分配!P:P,'Early Facility Retirement'!$A$1,用能设备节能分配!M:M,"2022")</f>
        <v>0</v>
      </c>
      <c r="H23" s="73">
        <f>SUMIFS(工业节能技术装备推荐目录!K:K,工业节能技术装备推荐目录!D:D,'Early Facility Retirement'!A23,工业节能技术装备推荐目录!F:F,'Early Facility Retirement'!$A$1,工业节能技术装备推荐目录!A:A,"2022")+SUMIFS(用能设备节能分配!Q:Q,用能设备节能分配!O:O,'Early Facility Retirement'!A23,用能设备节能分配!P:P,'Early Facility Retirement'!$A$1,用能设备节能分配!M:M,"2022")</f>
        <v>0</v>
      </c>
      <c r="I23" s="73">
        <f>SUMIFS(工业节能技术装备推荐目录!K:K,工业节能技术装备推荐目录!D:D,'Early Facility Retirement'!A23,工业节能技术装备推荐目录!F:F,'Early Facility Retirement'!$A$1,工业节能技术装备推荐目录!A:A,"2022")+SUMIFS(用能设备节能分配!Q:Q,用能设备节能分配!O:O,'Early Facility Retirement'!A23,用能设备节能分配!P:P,'Early Facility Retirement'!$A$1,用能设备节能分配!M:M,"2022")</f>
        <v>0</v>
      </c>
      <c r="K23" s="52"/>
      <c r="L23" s="26" t="s">
        <v>71</v>
      </c>
      <c r="M23" s="50">
        <f>SUMIFS(工业节能技术装备推荐目录!L:L,工业节能技术装备推荐目录!D:D,'Early Facility Retirement'!A23,工业节能技术装备推荐目录!F:F,'Early Facility Retirement'!$A$1)</f>
        <v>0</v>
      </c>
      <c r="N23" s="73">
        <f>SUMIFS(工业节能技术装备推荐目录!K:K,工业节能技术装备推荐目录!D:D,'Early Facility Retirement'!A23,工业节能技术装备推荐目录!F:F,'Early Facility Retirement'!$A$1,工业节能技术装备推荐目录!A:A,"2020")</f>
        <v>0</v>
      </c>
      <c r="O23" s="73">
        <f>SUMIFS(工业节能技术装备推荐目录!K:K,工业节能技术装备推荐目录!D:D,'Early Facility Retirement'!A23,工业节能技术装备推荐目录!F:F,'Early Facility Retirement'!$A$1,工业节能技术装备推荐目录!A:A,"2020")+SUMIFS(工业节能技术装备推荐目录!K:K,工业节能技术装备推荐目录!D:D,'Early Facility Retirement'!A23,工业节能技术装备推荐目录!F:F,'Early Facility Retirement'!$A$1,工业节能技术装备推荐目录!A:A,"2021")</f>
        <v>0</v>
      </c>
      <c r="P23" s="73">
        <f>SUMIFS(工业节能技术装备推荐目录!K:K,工业节能技术装备推荐目录!D:D,'Early Facility Retirement'!A23,工业节能技术装备推荐目录!F:F,'Early Facility Retirement'!$A$1,工业节能技术装备推荐目录!A:A,"2020")+SUMIFS(工业节能技术装备推荐目录!K:K,工业节能技术装备推荐目录!D:D,'Early Facility Retirement'!A23,工业节能技术装备推荐目录!F:F,'Early Facility Retirement'!$A$1,工业节能技术装备推荐目录!A:A,"2021")+SUMIFS(工业节能技术装备推荐目录!K:K,工业节能技术装备推荐目录!D:D,'Early Facility Retirement'!A23,工业节能技术装备推荐目录!F:F,'Early Facility Retirement'!$A$1,工业节能技术装备推荐目录!A:A,"2022")</f>
        <v>0</v>
      </c>
      <c r="Q23" s="73">
        <f>SUMIFS(工业节能技术装备推荐目录!K:K,工业节能技术装备推荐目录!D:D,'Early Facility Retirement'!A23,工业节能技术装备推荐目录!F:F,'Early Facility Retirement'!$A$1,工业节能技术装备推荐目录!A:A,"2020")+SUMIFS(工业节能技术装备推荐目录!K:K,工业节能技术装备推荐目录!D:D,'Early Facility Retirement'!A23,工业节能技术装备推荐目录!F:F,'Early Facility Retirement'!$A$1,工业节能技术装备推荐目录!A:A,"2021")+SUMIFS(工业节能技术装备推荐目录!K:K,工业节能技术装备推荐目录!D:D,'Early Facility Retirement'!A23,工业节能技术装备推荐目录!F:F,'Early Facility Retirement'!$A$1,工业节能技术装备推荐目录!A:A,"2022")</f>
        <v>0</v>
      </c>
      <c r="R23" s="73">
        <f>SUMIFS(工业节能技术装备推荐目录!K:K,工业节能技术装备推荐目录!D:D,'Early Facility Retirement'!A23,工业节能技术装备推荐目录!F:F,'Early Facility Retirement'!$A$1,工业节能技术装备推荐目录!A:A,"2020")+SUMIFS(工业节能技术装备推荐目录!K:K,工业节能技术装备推荐目录!D:D,'Early Facility Retirement'!A23,工业节能技术装备推荐目录!F:F,'Early Facility Retirement'!$A$1,工业节能技术装备推荐目录!A:A,"2022")</f>
        <v>0</v>
      </c>
      <c r="S23" s="73">
        <f>SUMIFS(工业节能技术装备推荐目录!K:K,工业节能技术装备推荐目录!D:D,'Early Facility Retirement'!A23,工业节能技术装备推荐目录!F:F,'Early Facility Retirement'!$A$1,工业节能技术装备推荐目录!A:A,"2022")</f>
        <v>0</v>
      </c>
      <c r="T23" s="73">
        <f>SUMIFS(工业节能技术装备推荐目录!K:K,工业节能技术装备推荐目录!D:D,'Early Facility Retirement'!A23,工业节能技术装备推荐目录!F:F,'Early Facility Retirement'!$A$1,工业节能技术装备推荐目录!A:A,"2022")</f>
        <v>0</v>
      </c>
    </row>
    <row r="24" spans="1:20" x14ac:dyDescent="0.15">
      <c r="A24" s="26" t="s">
        <v>53</v>
      </c>
      <c r="B24" s="50">
        <f>SUMIFS(工业节能技术装备推荐目录!L:L,工业节能技术装备推荐目录!D:D,'Early Facility Retirement'!A24,工业节能技术装备推荐目录!F:F,'Early Facility Retirement'!$A$1)+SUMIFS(用能设备节能分配!R:R,用能设备节能分配!O:O,'Early Facility Retirement'!A24,用能设备节能分配!P:P,'Early Facility Retirement'!$A$1)</f>
        <v>517.42611433710476</v>
      </c>
      <c r="C24" s="73">
        <f>SUMIFS(工业节能技术装备推荐目录!K:K,工业节能技术装备推荐目录!D:D,'Early Facility Retirement'!A24,工业节能技术装备推荐目录!F:F,'Early Facility Retirement'!$A$1,工业节能技术装备推荐目录!A:A,"2020")+SUMIFS(用能设备节能分配!Q:Q,用能设备节能分配!O:O,'Early Facility Retirement'!A24,用能设备节能分配!P:P,'Early Facility Retirement'!$A$1,用能设备节能分配!M:M,"2020")</f>
        <v>0</v>
      </c>
      <c r="D24" s="73">
        <f>SUMIFS(工业节能技术装备推荐目录!K:K,工业节能技术装备推荐目录!D:D,'Early Facility Retirement'!A24,工业节能技术装备推荐目录!F:F,'Early Facility Retirement'!$A$1,工业节能技术装备推荐目录!A:A,"2020")+SUMIFS(用能设备节能分配!Q:Q,用能设备节能分配!O:O,'Early Facility Retirement'!A24,用能设备节能分配!P:P,'Early Facility Retirement'!$A$1,用能设备节能分配!M:M,"2020")+SUMIFS(工业节能技术装备推荐目录!K:K,工业节能技术装备推荐目录!D:D,'Early Facility Retirement'!A24,工业节能技术装备推荐目录!F:F,'Early Facility Retirement'!$A$1,工业节能技术装备推荐目录!A:A,"2021")+SUMIFS(用能设备节能分配!Q:Q,用能设备节能分配!O:O,'Early Facility Retirement'!A24,用能设备节能分配!P:P,'Early Facility Retirement'!$A$1,用能设备节能分配!M:M,"2021")</f>
        <v>4.8005591897623823E-3</v>
      </c>
      <c r="E24" s="73">
        <f>SUMIFS(工业节能技术装备推荐目录!K:K,工业节能技术装备推荐目录!D:D,'Early Facility Retirement'!A24,工业节能技术装备推荐目录!F:F,'Early Facility Retirement'!$A$1,工业节能技术装备推荐目录!A:A,"2020")+SUMIFS(用能设备节能分配!Q:Q,用能设备节能分配!O:O,'Early Facility Retirement'!A24,用能设备节能分配!P:P,'Early Facility Retirement'!$A$1,用能设备节能分配!M:M,"2020")+SUMIFS(工业节能技术装备推荐目录!K:K,工业节能技术装备推荐目录!D:D,'Early Facility Retirement'!A24,工业节能技术装备推荐目录!F:F,'Early Facility Retirement'!$A$1,工业节能技术装备推荐目录!A:A,"2021")+SUMIFS(用能设备节能分配!Q:Q,用能设备节能分配!O:O,'Early Facility Retirement'!A24,用能设备节能分配!P:P,'Early Facility Retirement'!$A$1,用能设备节能分配!M:M,"2021")+SUMIFS(工业节能技术装备推荐目录!K:K,工业节能技术装备推荐目录!D:D,'Early Facility Retirement'!A24,工业节能技术装备推荐目录!F:F,'Early Facility Retirement'!$A$1,工业节能技术装备推荐目录!A:A,"2022")+SUMIFS(用能设备节能分配!Q:Q,用能设备节能分配!O:O,'Early Facility Retirement'!A24,用能设备节能分配!P:P,'Early Facility Retirement'!$A$1,用能设备节能分配!M:M,"2022")</f>
        <v>57.074169078445088</v>
      </c>
      <c r="F24" s="73">
        <f>SUMIFS(工业节能技术装备推荐目录!K:K,工业节能技术装备推荐目录!D:D,'Early Facility Retirement'!A24,工业节能技术装备推荐目录!F:F,'Early Facility Retirement'!$A$1,工业节能技术装备推荐目录!A:A,"2020")+SUMIFS(用能设备节能分配!Q:Q,用能设备节能分配!O:O,'Early Facility Retirement'!A24,用能设备节能分配!P:P,'Early Facility Retirement'!$A$1,用能设备节能分配!M:M,"2020")+SUMIFS(工业节能技术装备推荐目录!K:K,工业节能技术装备推荐目录!D:D,'Early Facility Retirement'!A24,工业节能技术装备推荐目录!F:F,'Early Facility Retirement'!$A$1,工业节能技术装备推荐目录!A:A,"2021")+SUMIFS(用能设备节能分配!Q:Q,用能设备节能分配!O:O,'Early Facility Retirement'!A24,用能设备节能分配!P:P,'Early Facility Retirement'!$A$1,用能设备节能分配!M:M,"2021")+SUMIFS(工业节能技术装备推荐目录!K:K,工业节能技术装备推荐目录!D:D,'Early Facility Retirement'!A24,工业节能技术装备推荐目录!F:F,'Early Facility Retirement'!$A$1,工业节能技术装备推荐目录!A:A,"2022")+SUMIFS(用能设备节能分配!Q:Q,用能设备节能分配!O:O,'Early Facility Retirement'!A24,用能设备节能分配!P:P,'Early Facility Retirement'!$A$1,用能设备节能分配!M:M,"2022")</f>
        <v>57.074169078445088</v>
      </c>
      <c r="G24" s="73">
        <f>SUMIFS(工业节能技术装备推荐目录!K:K,工业节能技术装备推荐目录!D:D,'Early Facility Retirement'!A24,工业节能技术装备推荐目录!F:F,'Early Facility Retirement'!$A$1,工业节能技术装备推荐目录!A:A,"2020")+SUMIFS(用能设备节能分配!Q:Q,用能设备节能分配!O:O,'Early Facility Retirement'!A24,用能设备节能分配!P:P,'Early Facility Retirement'!$A$1,用能设备节能分配!M:M,"2020")+SUMIFS(工业节能技术装备推荐目录!K:K,工业节能技术装备推荐目录!D:D,'Early Facility Retirement'!A24,工业节能技术装备推荐目录!F:F,'Early Facility Retirement'!$A$1,工业节能技术装备推荐目录!A:A,"2022")+SUMIFS(用能设备节能分配!Q:Q,用能设备节能分配!O:O,'Early Facility Retirement'!A24,用能设备节能分配!P:P,'Early Facility Retirement'!$A$1,用能设备节能分配!M:M,"2022")</f>
        <v>57.069368519255327</v>
      </c>
      <c r="H24" s="73">
        <f>SUMIFS(工业节能技术装备推荐目录!K:K,工业节能技术装备推荐目录!D:D,'Early Facility Retirement'!A24,工业节能技术装备推荐目录!F:F,'Early Facility Retirement'!$A$1,工业节能技术装备推荐目录!A:A,"2022")+SUMIFS(用能设备节能分配!Q:Q,用能设备节能分配!O:O,'Early Facility Retirement'!A24,用能设备节能分配!P:P,'Early Facility Retirement'!$A$1,用能设备节能分配!M:M,"2022")</f>
        <v>57.069368519255327</v>
      </c>
      <c r="I24" s="73">
        <f>SUMIFS(工业节能技术装备推荐目录!K:K,工业节能技术装备推荐目录!D:D,'Early Facility Retirement'!A24,工业节能技术装备推荐目录!F:F,'Early Facility Retirement'!$A$1,工业节能技术装备推荐目录!A:A,"2022")+SUMIFS(用能设备节能分配!Q:Q,用能设备节能分配!O:O,'Early Facility Retirement'!A24,用能设备节能分配!P:P,'Early Facility Retirement'!$A$1,用能设备节能分配!M:M,"2022")</f>
        <v>57.069368519255327</v>
      </c>
      <c r="K24" s="52"/>
      <c r="L24" s="26" t="s">
        <v>53</v>
      </c>
      <c r="M24" s="50">
        <f>SUMIFS(工业节能技术装备推荐目录!L:L,工业节能技术装备推荐目录!D:D,'Early Facility Retirement'!A24,工业节能技术装备推荐目录!F:F,'Early Facility Retirement'!$A$1)</f>
        <v>0</v>
      </c>
      <c r="N24" s="73">
        <f>SUMIFS(工业节能技术装备推荐目录!K:K,工业节能技术装备推荐目录!D:D,'Early Facility Retirement'!A24,工业节能技术装备推荐目录!F:F,'Early Facility Retirement'!$A$1,工业节能技术装备推荐目录!A:A,"2020")</f>
        <v>0</v>
      </c>
      <c r="O24" s="73">
        <f>SUMIFS(工业节能技术装备推荐目录!K:K,工业节能技术装备推荐目录!D:D,'Early Facility Retirement'!A24,工业节能技术装备推荐目录!F:F,'Early Facility Retirement'!$A$1,工业节能技术装备推荐目录!A:A,"2020")+SUMIFS(工业节能技术装备推荐目录!K:K,工业节能技术装备推荐目录!D:D,'Early Facility Retirement'!A24,工业节能技术装备推荐目录!F:F,'Early Facility Retirement'!$A$1,工业节能技术装备推荐目录!A:A,"2021")</f>
        <v>0</v>
      </c>
      <c r="P24" s="73">
        <f>SUMIFS(工业节能技术装备推荐目录!K:K,工业节能技术装备推荐目录!D:D,'Early Facility Retirement'!A24,工业节能技术装备推荐目录!F:F,'Early Facility Retirement'!$A$1,工业节能技术装备推荐目录!A:A,"2020")+SUMIFS(工业节能技术装备推荐目录!K:K,工业节能技术装备推荐目录!D:D,'Early Facility Retirement'!A24,工业节能技术装备推荐目录!F:F,'Early Facility Retirement'!$A$1,工业节能技术装备推荐目录!A:A,"2021")+SUMIFS(工业节能技术装备推荐目录!K:K,工业节能技术装备推荐目录!D:D,'Early Facility Retirement'!A24,工业节能技术装备推荐目录!F:F,'Early Facility Retirement'!$A$1,工业节能技术装备推荐目录!A:A,"2022")</f>
        <v>0</v>
      </c>
      <c r="Q24" s="73">
        <f>SUMIFS(工业节能技术装备推荐目录!K:K,工业节能技术装备推荐目录!D:D,'Early Facility Retirement'!A24,工业节能技术装备推荐目录!F:F,'Early Facility Retirement'!$A$1,工业节能技术装备推荐目录!A:A,"2020")+SUMIFS(工业节能技术装备推荐目录!K:K,工业节能技术装备推荐目录!D:D,'Early Facility Retirement'!A24,工业节能技术装备推荐目录!F:F,'Early Facility Retirement'!$A$1,工业节能技术装备推荐目录!A:A,"2021")+SUMIFS(工业节能技术装备推荐目录!K:K,工业节能技术装备推荐目录!D:D,'Early Facility Retirement'!A24,工业节能技术装备推荐目录!F:F,'Early Facility Retirement'!$A$1,工业节能技术装备推荐目录!A:A,"2022")</f>
        <v>0</v>
      </c>
      <c r="R24" s="73">
        <f>SUMIFS(工业节能技术装备推荐目录!K:K,工业节能技术装备推荐目录!D:D,'Early Facility Retirement'!A24,工业节能技术装备推荐目录!F:F,'Early Facility Retirement'!$A$1,工业节能技术装备推荐目录!A:A,"2020")+SUMIFS(工业节能技术装备推荐目录!K:K,工业节能技术装备推荐目录!D:D,'Early Facility Retirement'!A24,工业节能技术装备推荐目录!F:F,'Early Facility Retirement'!$A$1,工业节能技术装备推荐目录!A:A,"2022")</f>
        <v>0</v>
      </c>
      <c r="S24" s="73">
        <f>SUMIFS(工业节能技术装备推荐目录!K:K,工业节能技术装备推荐目录!D:D,'Early Facility Retirement'!A24,工业节能技术装备推荐目录!F:F,'Early Facility Retirement'!$A$1,工业节能技术装备推荐目录!A:A,"2022")</f>
        <v>0</v>
      </c>
      <c r="T24" s="73">
        <f>SUMIFS(工业节能技术装备推荐目录!K:K,工业节能技术装备推荐目录!D:D,'Early Facility Retirement'!A24,工业节能技术装备推荐目录!F:F,'Early Facility Retirement'!$A$1,工业节能技术装备推荐目录!A:A,"2022")</f>
        <v>0</v>
      </c>
    </row>
    <row r="25" spans="1:20" x14ac:dyDescent="0.15">
      <c r="A25" s="26" t="s">
        <v>76</v>
      </c>
      <c r="B25" s="50">
        <f>SUMIFS(工业节能技术装备推荐目录!L:L,工业节能技术装备推荐目录!D:D,'Early Facility Retirement'!A25,工业节能技术装备推荐目录!F:F,'Early Facility Retirement'!$A$1)+SUMIFS(用能设备节能分配!R:R,用能设备节能分配!O:O,'Early Facility Retirement'!A25,用能设备节能分配!P:P,'Early Facility Retirement'!$A$1)</f>
        <v>4.457574979190905E-2</v>
      </c>
      <c r="C25" s="73">
        <f>SUMIFS(工业节能技术装备推荐目录!K:K,工业节能技术装备推荐目录!D:D,'Early Facility Retirement'!A25,工业节能技术装备推荐目录!F:F,'Early Facility Retirement'!$A$1,工业节能技术装备推荐目录!A:A,"2020")+SUMIFS(用能设备节能分配!Q:Q,用能设备节能分配!O:O,'Early Facility Retirement'!A25,用能设备节能分配!P:P,'Early Facility Retirement'!$A$1,用能设备节能分配!M:M,"2020")</f>
        <v>0</v>
      </c>
      <c r="D25" s="73">
        <f>SUMIFS(工业节能技术装备推荐目录!K:K,工业节能技术装备推荐目录!D:D,'Early Facility Retirement'!A25,工业节能技术装备推荐目录!F:F,'Early Facility Retirement'!$A$1,工业节能技术装备推荐目录!A:A,"2020")+SUMIFS(用能设备节能分配!Q:Q,用能设备节能分配!O:O,'Early Facility Retirement'!A25,用能设备节能分配!P:P,'Early Facility Retirement'!$A$1,用能设备节能分配!M:M,"2020")+SUMIFS(工业节能技术装备推荐目录!K:K,工业节能技术装备推荐目录!D:D,'Early Facility Retirement'!A25,工业节能技术装备推荐目录!F:F,'Early Facility Retirement'!$A$1,工业节能技术装备推荐目录!A:A,"2021")+SUMIFS(用能设备节能分配!Q:Q,用能设备节能分配!O:O,'Early Facility Retirement'!A25,用能设备节能分配!P:P,'Early Facility Retirement'!$A$1,用能设备节能分配!M:M,"2021")</f>
        <v>8.9151499583818104E-3</v>
      </c>
      <c r="E25" s="73">
        <f>SUMIFS(工业节能技术装备推荐目录!K:K,工业节能技术装备推荐目录!D:D,'Early Facility Retirement'!A25,工业节能技术装备推荐目录!F:F,'Early Facility Retirement'!$A$1,工业节能技术装备推荐目录!A:A,"2020")+SUMIFS(用能设备节能分配!Q:Q,用能设备节能分配!O:O,'Early Facility Retirement'!A25,用能设备节能分配!P:P,'Early Facility Retirement'!$A$1,用能设备节能分配!M:M,"2020")+SUMIFS(工业节能技术装备推荐目录!K:K,工业节能技术装备推荐目录!D:D,'Early Facility Retirement'!A25,工业节能技术装备推荐目录!F:F,'Early Facility Retirement'!$A$1,工业节能技术装备推荐目录!A:A,"2021")+SUMIFS(用能设备节能分配!Q:Q,用能设备节能分配!O:O,'Early Facility Retirement'!A25,用能设备节能分配!P:P,'Early Facility Retirement'!$A$1,用能设备节能分配!M:M,"2021")+SUMIFS(工业节能技术装备推荐目录!K:K,工业节能技术装备推荐目录!D:D,'Early Facility Retirement'!A25,工业节能技术装备推荐目录!F:F,'Early Facility Retirement'!$A$1,工业节能技术装备推荐目录!A:A,"2022")+SUMIFS(用能设备节能分配!Q:Q,用能设备节能分配!O:O,'Early Facility Retirement'!A25,用能设备节能分配!P:P,'Early Facility Retirement'!$A$1,用能设备节能分配!M:M,"2022")</f>
        <v>8.9151499583818104E-3</v>
      </c>
      <c r="F25" s="73">
        <f>SUMIFS(工业节能技术装备推荐目录!K:K,工业节能技术装备推荐目录!D:D,'Early Facility Retirement'!A25,工业节能技术装备推荐目录!F:F,'Early Facility Retirement'!$A$1,工业节能技术装备推荐目录!A:A,"2020")+SUMIFS(用能设备节能分配!Q:Q,用能设备节能分配!O:O,'Early Facility Retirement'!A25,用能设备节能分配!P:P,'Early Facility Retirement'!$A$1,用能设备节能分配!M:M,"2020")+SUMIFS(工业节能技术装备推荐目录!K:K,工业节能技术装备推荐目录!D:D,'Early Facility Retirement'!A25,工业节能技术装备推荐目录!F:F,'Early Facility Retirement'!$A$1,工业节能技术装备推荐目录!A:A,"2021")+SUMIFS(用能设备节能分配!Q:Q,用能设备节能分配!O:O,'Early Facility Retirement'!A25,用能设备节能分配!P:P,'Early Facility Retirement'!$A$1,用能设备节能分配!M:M,"2021")+SUMIFS(工业节能技术装备推荐目录!K:K,工业节能技术装备推荐目录!D:D,'Early Facility Retirement'!A25,工业节能技术装备推荐目录!F:F,'Early Facility Retirement'!$A$1,工业节能技术装备推荐目录!A:A,"2022")+SUMIFS(用能设备节能分配!Q:Q,用能设备节能分配!O:O,'Early Facility Retirement'!A25,用能设备节能分配!P:P,'Early Facility Retirement'!$A$1,用能设备节能分配!M:M,"2022")</f>
        <v>8.9151499583818104E-3</v>
      </c>
      <c r="G25" s="73">
        <f>SUMIFS(工业节能技术装备推荐目录!K:K,工业节能技术装备推荐目录!D:D,'Early Facility Retirement'!A25,工业节能技术装备推荐目录!F:F,'Early Facility Retirement'!$A$1,工业节能技术装备推荐目录!A:A,"2020")+SUMIFS(用能设备节能分配!Q:Q,用能设备节能分配!O:O,'Early Facility Retirement'!A25,用能设备节能分配!P:P,'Early Facility Retirement'!$A$1,用能设备节能分配!M:M,"2020")+SUMIFS(工业节能技术装备推荐目录!K:K,工业节能技术装备推荐目录!D:D,'Early Facility Retirement'!A25,工业节能技术装备推荐目录!F:F,'Early Facility Retirement'!$A$1,工业节能技术装备推荐目录!A:A,"2022")+SUMIFS(用能设备节能分配!Q:Q,用能设备节能分配!O:O,'Early Facility Retirement'!A25,用能设备节能分配!P:P,'Early Facility Retirement'!$A$1,用能设备节能分配!M:M,"2022")</f>
        <v>0</v>
      </c>
      <c r="H25" s="73">
        <f>SUMIFS(工业节能技术装备推荐目录!K:K,工业节能技术装备推荐目录!D:D,'Early Facility Retirement'!A25,工业节能技术装备推荐目录!F:F,'Early Facility Retirement'!$A$1,工业节能技术装备推荐目录!A:A,"2022")+SUMIFS(用能设备节能分配!Q:Q,用能设备节能分配!O:O,'Early Facility Retirement'!A25,用能设备节能分配!P:P,'Early Facility Retirement'!$A$1,用能设备节能分配!M:M,"2022")</f>
        <v>0</v>
      </c>
      <c r="I25" s="73">
        <f>SUMIFS(工业节能技术装备推荐目录!K:K,工业节能技术装备推荐目录!D:D,'Early Facility Retirement'!A25,工业节能技术装备推荐目录!F:F,'Early Facility Retirement'!$A$1,工业节能技术装备推荐目录!A:A,"2022")+SUMIFS(用能设备节能分配!Q:Q,用能设备节能分配!O:O,'Early Facility Retirement'!A25,用能设备节能分配!P:P,'Early Facility Retirement'!$A$1,用能设备节能分配!M:M,"2022")</f>
        <v>0</v>
      </c>
      <c r="K25" s="52"/>
      <c r="L25" s="26" t="s">
        <v>76</v>
      </c>
      <c r="M25" s="50">
        <f>SUMIFS(工业节能技术装备推荐目录!L:L,工业节能技术装备推荐目录!D:D,'Early Facility Retirement'!A25,工业节能技术装备推荐目录!F:F,'Early Facility Retirement'!$A$1)</f>
        <v>0</v>
      </c>
      <c r="N25" s="73">
        <f>SUMIFS(工业节能技术装备推荐目录!K:K,工业节能技术装备推荐目录!D:D,'Early Facility Retirement'!A25,工业节能技术装备推荐目录!F:F,'Early Facility Retirement'!$A$1,工业节能技术装备推荐目录!A:A,"2020")</f>
        <v>0</v>
      </c>
      <c r="O25" s="73">
        <f>SUMIFS(工业节能技术装备推荐目录!K:K,工业节能技术装备推荐目录!D:D,'Early Facility Retirement'!A25,工业节能技术装备推荐目录!F:F,'Early Facility Retirement'!$A$1,工业节能技术装备推荐目录!A:A,"2020")+SUMIFS(工业节能技术装备推荐目录!K:K,工业节能技术装备推荐目录!D:D,'Early Facility Retirement'!A25,工业节能技术装备推荐目录!F:F,'Early Facility Retirement'!$A$1,工业节能技术装备推荐目录!A:A,"2021")</f>
        <v>0</v>
      </c>
      <c r="P25" s="73">
        <f>SUMIFS(工业节能技术装备推荐目录!K:K,工业节能技术装备推荐目录!D:D,'Early Facility Retirement'!A25,工业节能技术装备推荐目录!F:F,'Early Facility Retirement'!$A$1,工业节能技术装备推荐目录!A:A,"2020")+SUMIFS(工业节能技术装备推荐目录!K:K,工业节能技术装备推荐目录!D:D,'Early Facility Retirement'!A25,工业节能技术装备推荐目录!F:F,'Early Facility Retirement'!$A$1,工业节能技术装备推荐目录!A:A,"2021")+SUMIFS(工业节能技术装备推荐目录!K:K,工业节能技术装备推荐目录!D:D,'Early Facility Retirement'!A25,工业节能技术装备推荐目录!F:F,'Early Facility Retirement'!$A$1,工业节能技术装备推荐目录!A:A,"2022")</f>
        <v>0</v>
      </c>
      <c r="Q25" s="73">
        <f>SUMIFS(工业节能技术装备推荐目录!K:K,工业节能技术装备推荐目录!D:D,'Early Facility Retirement'!A25,工业节能技术装备推荐目录!F:F,'Early Facility Retirement'!$A$1,工业节能技术装备推荐目录!A:A,"2020")+SUMIFS(工业节能技术装备推荐目录!K:K,工业节能技术装备推荐目录!D:D,'Early Facility Retirement'!A25,工业节能技术装备推荐目录!F:F,'Early Facility Retirement'!$A$1,工业节能技术装备推荐目录!A:A,"2021")+SUMIFS(工业节能技术装备推荐目录!K:K,工业节能技术装备推荐目录!D:D,'Early Facility Retirement'!A25,工业节能技术装备推荐目录!F:F,'Early Facility Retirement'!$A$1,工业节能技术装备推荐目录!A:A,"2022")</f>
        <v>0</v>
      </c>
      <c r="R25" s="73">
        <f>SUMIFS(工业节能技术装备推荐目录!K:K,工业节能技术装备推荐目录!D:D,'Early Facility Retirement'!A25,工业节能技术装备推荐目录!F:F,'Early Facility Retirement'!$A$1,工业节能技术装备推荐目录!A:A,"2020")+SUMIFS(工业节能技术装备推荐目录!K:K,工业节能技术装备推荐目录!D:D,'Early Facility Retirement'!A25,工业节能技术装备推荐目录!F:F,'Early Facility Retirement'!$A$1,工业节能技术装备推荐目录!A:A,"2022")</f>
        <v>0</v>
      </c>
      <c r="S25" s="73">
        <f>SUMIFS(工业节能技术装备推荐目录!K:K,工业节能技术装备推荐目录!D:D,'Early Facility Retirement'!A25,工业节能技术装备推荐目录!F:F,'Early Facility Retirement'!$A$1,工业节能技术装备推荐目录!A:A,"2022")</f>
        <v>0</v>
      </c>
      <c r="T25" s="73">
        <f>SUMIFS(工业节能技术装备推荐目录!K:K,工业节能技术装备推荐目录!D:D,'Early Facility Retirement'!A25,工业节能技术装备推荐目录!F:F,'Early Facility Retirement'!$A$1,工业节能技术装备推荐目录!A:A,"2022")</f>
        <v>0</v>
      </c>
    </row>
    <row r="26" spans="1:20" x14ac:dyDescent="0.15">
      <c r="A26" s="26" t="s">
        <v>83</v>
      </c>
      <c r="B26" s="50">
        <f>SUMIFS(工业节能技术装备推荐目录!L:L,工业节能技术装备推荐目录!D:D,'Early Facility Retirement'!A26,工业节能技术装备推荐目录!F:F,'Early Facility Retirement'!$A$1)+SUMIFS(用能设备节能分配!R:R,用能设备节能分配!O:O,'Early Facility Retirement'!A26,用能设备节能分配!P:P,'Early Facility Retirement'!$A$1)</f>
        <v>1.7973898221148484E-2</v>
      </c>
      <c r="C26" s="73">
        <f>SUMIFS(工业节能技术装备推荐目录!K:K,工业节能技术装备推荐目录!D:D,'Early Facility Retirement'!A26,工业节能技术装备推荐目录!F:F,'Early Facility Retirement'!$A$1,工业节能技术装备推荐目录!A:A,"2020")+SUMIFS(用能设备节能分配!Q:Q,用能设备节能分配!O:O,'Early Facility Retirement'!A26,用能设备节能分配!P:P,'Early Facility Retirement'!$A$1,用能设备节能分配!M:M,"2020")</f>
        <v>0</v>
      </c>
      <c r="D26" s="73">
        <f>SUMIFS(工业节能技术装备推荐目录!K:K,工业节能技术装备推荐目录!D:D,'Early Facility Retirement'!A26,工业节能技术装备推荐目录!F:F,'Early Facility Retirement'!$A$1,工业节能技术装备推荐目录!A:A,"2020")+SUMIFS(用能设备节能分配!Q:Q,用能设备节能分配!O:O,'Early Facility Retirement'!A26,用能设备节能分配!P:P,'Early Facility Retirement'!$A$1,用能设备节能分配!M:M,"2020")+SUMIFS(工业节能技术装备推荐目录!K:K,工业节能技术装备推荐目录!D:D,'Early Facility Retirement'!A26,工业节能技术装备推荐目录!F:F,'Early Facility Retirement'!$A$1,工业节能技术装备推荐目录!A:A,"2021")+SUMIFS(用能设备节能分配!Q:Q,用能设备节能分配!O:O,'Early Facility Retirement'!A26,用能设备节能分配!P:P,'Early Facility Retirement'!$A$1,用能设备节能分配!M:M,"2021")</f>
        <v>3.5947796442296963E-3</v>
      </c>
      <c r="E26" s="73">
        <f>SUMIFS(工业节能技术装备推荐目录!K:K,工业节能技术装备推荐目录!D:D,'Early Facility Retirement'!A26,工业节能技术装备推荐目录!F:F,'Early Facility Retirement'!$A$1,工业节能技术装备推荐目录!A:A,"2020")+SUMIFS(用能设备节能分配!Q:Q,用能设备节能分配!O:O,'Early Facility Retirement'!A26,用能设备节能分配!P:P,'Early Facility Retirement'!$A$1,用能设备节能分配!M:M,"2020")+SUMIFS(工业节能技术装备推荐目录!K:K,工业节能技术装备推荐目录!D:D,'Early Facility Retirement'!A26,工业节能技术装备推荐目录!F:F,'Early Facility Retirement'!$A$1,工业节能技术装备推荐目录!A:A,"2021")+SUMIFS(用能设备节能分配!Q:Q,用能设备节能分配!O:O,'Early Facility Retirement'!A26,用能设备节能分配!P:P,'Early Facility Retirement'!$A$1,用能设备节能分配!M:M,"2021")+SUMIFS(工业节能技术装备推荐目录!K:K,工业节能技术装备推荐目录!D:D,'Early Facility Retirement'!A26,工业节能技术装备推荐目录!F:F,'Early Facility Retirement'!$A$1,工业节能技术装备推荐目录!A:A,"2022")+SUMIFS(用能设备节能分配!Q:Q,用能设备节能分配!O:O,'Early Facility Retirement'!A26,用能设备节能分配!P:P,'Early Facility Retirement'!$A$1,用能设备节能分配!M:M,"2022")</f>
        <v>3.5947796442296963E-3</v>
      </c>
      <c r="F26" s="73">
        <f>SUMIFS(工业节能技术装备推荐目录!K:K,工业节能技术装备推荐目录!D:D,'Early Facility Retirement'!A26,工业节能技术装备推荐目录!F:F,'Early Facility Retirement'!$A$1,工业节能技术装备推荐目录!A:A,"2020")+SUMIFS(用能设备节能分配!Q:Q,用能设备节能分配!O:O,'Early Facility Retirement'!A26,用能设备节能分配!P:P,'Early Facility Retirement'!$A$1,用能设备节能分配!M:M,"2020")+SUMIFS(工业节能技术装备推荐目录!K:K,工业节能技术装备推荐目录!D:D,'Early Facility Retirement'!A26,工业节能技术装备推荐目录!F:F,'Early Facility Retirement'!$A$1,工业节能技术装备推荐目录!A:A,"2021")+SUMIFS(用能设备节能分配!Q:Q,用能设备节能分配!O:O,'Early Facility Retirement'!A26,用能设备节能分配!P:P,'Early Facility Retirement'!$A$1,用能设备节能分配!M:M,"2021")+SUMIFS(工业节能技术装备推荐目录!K:K,工业节能技术装备推荐目录!D:D,'Early Facility Retirement'!A26,工业节能技术装备推荐目录!F:F,'Early Facility Retirement'!$A$1,工业节能技术装备推荐目录!A:A,"2022")+SUMIFS(用能设备节能分配!Q:Q,用能设备节能分配!O:O,'Early Facility Retirement'!A26,用能设备节能分配!P:P,'Early Facility Retirement'!$A$1,用能设备节能分配!M:M,"2022")</f>
        <v>3.5947796442296963E-3</v>
      </c>
      <c r="G26" s="73">
        <f>SUMIFS(工业节能技术装备推荐目录!K:K,工业节能技术装备推荐目录!D:D,'Early Facility Retirement'!A26,工业节能技术装备推荐目录!F:F,'Early Facility Retirement'!$A$1,工业节能技术装备推荐目录!A:A,"2020")+SUMIFS(用能设备节能分配!Q:Q,用能设备节能分配!O:O,'Early Facility Retirement'!A26,用能设备节能分配!P:P,'Early Facility Retirement'!$A$1,用能设备节能分配!M:M,"2020")+SUMIFS(工业节能技术装备推荐目录!K:K,工业节能技术装备推荐目录!D:D,'Early Facility Retirement'!A26,工业节能技术装备推荐目录!F:F,'Early Facility Retirement'!$A$1,工业节能技术装备推荐目录!A:A,"2022")+SUMIFS(用能设备节能分配!Q:Q,用能设备节能分配!O:O,'Early Facility Retirement'!A26,用能设备节能分配!P:P,'Early Facility Retirement'!$A$1,用能设备节能分配!M:M,"2022")</f>
        <v>0</v>
      </c>
      <c r="H26" s="73">
        <f>SUMIFS(工业节能技术装备推荐目录!K:K,工业节能技术装备推荐目录!D:D,'Early Facility Retirement'!A26,工业节能技术装备推荐目录!F:F,'Early Facility Retirement'!$A$1,工业节能技术装备推荐目录!A:A,"2022")+SUMIFS(用能设备节能分配!Q:Q,用能设备节能分配!O:O,'Early Facility Retirement'!A26,用能设备节能分配!P:P,'Early Facility Retirement'!$A$1,用能设备节能分配!M:M,"2022")</f>
        <v>0</v>
      </c>
      <c r="I26" s="73">
        <f>SUMIFS(工业节能技术装备推荐目录!K:K,工业节能技术装备推荐目录!D:D,'Early Facility Retirement'!A26,工业节能技术装备推荐目录!F:F,'Early Facility Retirement'!$A$1,工业节能技术装备推荐目录!A:A,"2022")+SUMIFS(用能设备节能分配!Q:Q,用能设备节能分配!O:O,'Early Facility Retirement'!A26,用能设备节能分配!P:P,'Early Facility Retirement'!$A$1,用能设备节能分配!M:M,"2022")</f>
        <v>0</v>
      </c>
      <c r="K26" s="52"/>
      <c r="L26" s="26" t="s">
        <v>83</v>
      </c>
      <c r="M26" s="50">
        <f>SUMIFS(工业节能技术装备推荐目录!L:L,工业节能技术装备推荐目录!D:D,'Early Facility Retirement'!A26,工业节能技术装备推荐目录!F:F,'Early Facility Retirement'!$A$1)</f>
        <v>0</v>
      </c>
      <c r="N26" s="73">
        <f>SUMIFS(工业节能技术装备推荐目录!K:K,工业节能技术装备推荐目录!D:D,'Early Facility Retirement'!A26,工业节能技术装备推荐目录!F:F,'Early Facility Retirement'!$A$1,工业节能技术装备推荐目录!A:A,"2020")</f>
        <v>0</v>
      </c>
      <c r="O26" s="73">
        <f>SUMIFS(工业节能技术装备推荐目录!K:K,工业节能技术装备推荐目录!D:D,'Early Facility Retirement'!A26,工业节能技术装备推荐目录!F:F,'Early Facility Retirement'!$A$1,工业节能技术装备推荐目录!A:A,"2020")+SUMIFS(工业节能技术装备推荐目录!K:K,工业节能技术装备推荐目录!D:D,'Early Facility Retirement'!A26,工业节能技术装备推荐目录!F:F,'Early Facility Retirement'!$A$1,工业节能技术装备推荐目录!A:A,"2021")</f>
        <v>0</v>
      </c>
      <c r="P26" s="73">
        <f>SUMIFS(工业节能技术装备推荐目录!K:K,工业节能技术装备推荐目录!D:D,'Early Facility Retirement'!A26,工业节能技术装备推荐目录!F:F,'Early Facility Retirement'!$A$1,工业节能技术装备推荐目录!A:A,"2020")+SUMIFS(工业节能技术装备推荐目录!K:K,工业节能技术装备推荐目录!D:D,'Early Facility Retirement'!A26,工业节能技术装备推荐目录!F:F,'Early Facility Retirement'!$A$1,工业节能技术装备推荐目录!A:A,"2021")+SUMIFS(工业节能技术装备推荐目录!K:K,工业节能技术装备推荐目录!D:D,'Early Facility Retirement'!A26,工业节能技术装备推荐目录!F:F,'Early Facility Retirement'!$A$1,工业节能技术装备推荐目录!A:A,"2022")</f>
        <v>0</v>
      </c>
      <c r="Q26" s="73">
        <f>SUMIFS(工业节能技术装备推荐目录!K:K,工业节能技术装备推荐目录!D:D,'Early Facility Retirement'!A26,工业节能技术装备推荐目录!F:F,'Early Facility Retirement'!$A$1,工业节能技术装备推荐目录!A:A,"2020")+SUMIFS(工业节能技术装备推荐目录!K:K,工业节能技术装备推荐目录!D:D,'Early Facility Retirement'!A26,工业节能技术装备推荐目录!F:F,'Early Facility Retirement'!$A$1,工业节能技术装备推荐目录!A:A,"2021")+SUMIFS(工业节能技术装备推荐目录!K:K,工业节能技术装备推荐目录!D:D,'Early Facility Retirement'!A26,工业节能技术装备推荐目录!F:F,'Early Facility Retirement'!$A$1,工业节能技术装备推荐目录!A:A,"2022")</f>
        <v>0</v>
      </c>
      <c r="R26" s="73">
        <f>SUMIFS(工业节能技术装备推荐目录!K:K,工业节能技术装备推荐目录!D:D,'Early Facility Retirement'!A26,工业节能技术装备推荐目录!F:F,'Early Facility Retirement'!$A$1,工业节能技术装备推荐目录!A:A,"2020")+SUMIFS(工业节能技术装备推荐目录!K:K,工业节能技术装备推荐目录!D:D,'Early Facility Retirement'!A26,工业节能技术装备推荐目录!F:F,'Early Facility Retirement'!$A$1,工业节能技术装备推荐目录!A:A,"2022")</f>
        <v>0</v>
      </c>
      <c r="S26" s="73">
        <f>SUMIFS(工业节能技术装备推荐目录!K:K,工业节能技术装备推荐目录!D:D,'Early Facility Retirement'!A26,工业节能技术装备推荐目录!F:F,'Early Facility Retirement'!$A$1,工业节能技术装备推荐目录!A:A,"2022")</f>
        <v>0</v>
      </c>
      <c r="T26" s="73">
        <f>SUMIFS(工业节能技术装备推荐目录!K:K,工业节能技术装备推荐目录!D:D,'Early Facility Retirement'!A26,工业节能技术装备推荐目录!F:F,'Early Facility Retirement'!$A$1,工业节能技术装备推荐目录!A:A,"2022")</f>
        <v>0</v>
      </c>
    </row>
    <row r="27" spans="1:20" x14ac:dyDescent="0.15">
      <c r="A27" s="60" t="s">
        <v>55</v>
      </c>
      <c r="B27" s="61">
        <f>SUMIFS(工业节能技术装备推荐目录!L:L,工业节能技术装备推荐目录!D:D,'Early Facility Retirement'!A27,工业节能技术装备推荐目录!F:F,'Early Facility Retirement'!$A$1)+SUMIFS(用能设备节能分配!R:R,用能设备节能分配!O:O,'Early Facility Retirement'!A27,用能设备节能分配!P:P,'Early Facility Retirement'!$A$1)</f>
        <v>9.2571062756272526E-2</v>
      </c>
      <c r="C27" s="73">
        <f>SUMIFS(工业节能技术装备推荐目录!K:K,工业节能技术装备推荐目录!D:D,'Early Facility Retirement'!A27,工业节能技术装备推荐目录!F:F,'Early Facility Retirement'!$A$1,工业节能技术装备推荐目录!A:A,"2020")+SUMIFS(用能设备节能分配!Q:Q,用能设备节能分配!O:O,'Early Facility Retirement'!A27,用能设备节能分配!P:P,'Early Facility Retirement'!$A$1,用能设备节能分配!M:M,"2020")</f>
        <v>0</v>
      </c>
      <c r="D27" s="73">
        <f>SUMIFS(工业节能技术装备推荐目录!K:K,工业节能技术装备推荐目录!D:D,'Early Facility Retirement'!A27,工业节能技术装备推荐目录!F:F,'Early Facility Retirement'!$A$1,工业节能技术装备推荐目录!A:A,"2020")+SUMIFS(用能设备节能分配!Q:Q,用能设备节能分配!O:O,'Early Facility Retirement'!A27,用能设备节能分配!P:P,'Early Facility Retirement'!$A$1,用能设备节能分配!M:M,"2020")+SUMIFS(工业节能技术装备推荐目录!K:K,工业节能技术装备推荐目录!D:D,'Early Facility Retirement'!A27,工业节能技术装备推荐目录!F:F,'Early Facility Retirement'!$A$1,工业节能技术装备推荐目录!A:A,"2021")+SUMIFS(用能设备节能分配!Q:Q,用能设备节能分配!O:O,'Early Facility Retirement'!A27,用能设备节能分配!P:P,'Early Facility Retirement'!$A$1,用能设备节能分配!M:M,"2021")</f>
        <v>1.8514212551254506E-2</v>
      </c>
      <c r="E27" s="73">
        <f>SUMIFS(工业节能技术装备推荐目录!K:K,工业节能技术装备推荐目录!D:D,'Early Facility Retirement'!A27,工业节能技术装备推荐目录!F:F,'Early Facility Retirement'!$A$1,工业节能技术装备推荐目录!A:A,"2020")+SUMIFS(用能设备节能分配!Q:Q,用能设备节能分配!O:O,'Early Facility Retirement'!A27,用能设备节能分配!P:P,'Early Facility Retirement'!$A$1,用能设备节能分配!M:M,"2020")+SUMIFS(工业节能技术装备推荐目录!K:K,工业节能技术装备推荐目录!D:D,'Early Facility Retirement'!A27,工业节能技术装备推荐目录!F:F,'Early Facility Retirement'!$A$1,工业节能技术装备推荐目录!A:A,"2021")+SUMIFS(用能设备节能分配!Q:Q,用能设备节能分配!O:O,'Early Facility Retirement'!A27,用能设备节能分配!P:P,'Early Facility Retirement'!$A$1,用能设备节能分配!M:M,"2021")+SUMIFS(工业节能技术装备推荐目录!K:K,工业节能技术装备推荐目录!D:D,'Early Facility Retirement'!A27,工业节能技术装备推荐目录!F:F,'Early Facility Retirement'!$A$1,工业节能技术装备推荐目录!A:A,"2022")+SUMIFS(用能设备节能分配!Q:Q,用能设备节能分配!O:O,'Early Facility Retirement'!A27,用能设备节能分配!P:P,'Early Facility Retirement'!$A$1,用能设备节能分配!M:M,"2022")</f>
        <v>1.8514212551254506E-2</v>
      </c>
      <c r="F27" s="73">
        <f>SUMIFS(工业节能技术装备推荐目录!K:K,工业节能技术装备推荐目录!D:D,'Early Facility Retirement'!A27,工业节能技术装备推荐目录!F:F,'Early Facility Retirement'!$A$1,工业节能技术装备推荐目录!A:A,"2020")+SUMIFS(用能设备节能分配!Q:Q,用能设备节能分配!O:O,'Early Facility Retirement'!A27,用能设备节能分配!P:P,'Early Facility Retirement'!$A$1,用能设备节能分配!M:M,"2020")+SUMIFS(工业节能技术装备推荐目录!K:K,工业节能技术装备推荐目录!D:D,'Early Facility Retirement'!A27,工业节能技术装备推荐目录!F:F,'Early Facility Retirement'!$A$1,工业节能技术装备推荐目录!A:A,"2021")+SUMIFS(用能设备节能分配!Q:Q,用能设备节能分配!O:O,'Early Facility Retirement'!A27,用能设备节能分配!P:P,'Early Facility Retirement'!$A$1,用能设备节能分配!M:M,"2021")+SUMIFS(工业节能技术装备推荐目录!K:K,工业节能技术装备推荐目录!D:D,'Early Facility Retirement'!A27,工业节能技术装备推荐目录!F:F,'Early Facility Retirement'!$A$1,工业节能技术装备推荐目录!A:A,"2022")+SUMIFS(用能设备节能分配!Q:Q,用能设备节能分配!O:O,'Early Facility Retirement'!A27,用能设备节能分配!P:P,'Early Facility Retirement'!$A$1,用能设备节能分配!M:M,"2022")</f>
        <v>1.8514212551254506E-2</v>
      </c>
      <c r="G27" s="73">
        <f>SUMIFS(工业节能技术装备推荐目录!K:K,工业节能技术装备推荐目录!D:D,'Early Facility Retirement'!A27,工业节能技术装备推荐目录!F:F,'Early Facility Retirement'!$A$1,工业节能技术装备推荐目录!A:A,"2020")+SUMIFS(用能设备节能分配!Q:Q,用能设备节能分配!O:O,'Early Facility Retirement'!A27,用能设备节能分配!P:P,'Early Facility Retirement'!$A$1,用能设备节能分配!M:M,"2020")+SUMIFS(工业节能技术装备推荐目录!K:K,工业节能技术装备推荐目录!D:D,'Early Facility Retirement'!A27,工业节能技术装备推荐目录!F:F,'Early Facility Retirement'!$A$1,工业节能技术装备推荐目录!A:A,"2022")+SUMIFS(用能设备节能分配!Q:Q,用能设备节能分配!O:O,'Early Facility Retirement'!A27,用能设备节能分配!P:P,'Early Facility Retirement'!$A$1,用能设备节能分配!M:M,"2022")</f>
        <v>0</v>
      </c>
      <c r="H27" s="73">
        <f>SUMIFS(工业节能技术装备推荐目录!K:K,工业节能技术装备推荐目录!D:D,'Early Facility Retirement'!A27,工业节能技术装备推荐目录!F:F,'Early Facility Retirement'!$A$1,工业节能技术装备推荐目录!A:A,"2022")+SUMIFS(用能设备节能分配!Q:Q,用能设备节能分配!O:O,'Early Facility Retirement'!A27,用能设备节能分配!P:P,'Early Facility Retirement'!$A$1,用能设备节能分配!M:M,"2022")</f>
        <v>0</v>
      </c>
      <c r="I27" s="73">
        <f>SUMIFS(工业节能技术装备推荐目录!K:K,工业节能技术装备推荐目录!D:D,'Early Facility Retirement'!A27,工业节能技术装备推荐目录!F:F,'Early Facility Retirement'!$A$1,工业节能技术装备推荐目录!A:A,"2022")+SUMIFS(用能设备节能分配!Q:Q,用能设备节能分配!O:O,'Early Facility Retirement'!A27,用能设备节能分配!P:P,'Early Facility Retirement'!$A$1,用能设备节能分配!M:M,"2022")</f>
        <v>0</v>
      </c>
      <c r="K27" s="52"/>
      <c r="L27" s="60" t="s">
        <v>55</v>
      </c>
      <c r="M27" s="50">
        <f>SUMIFS(工业节能技术装备推荐目录!L:L,工业节能技术装备推荐目录!D:D,'Early Facility Retirement'!A27,工业节能技术装备推荐目录!F:F,'Early Facility Retirement'!$A$1)</f>
        <v>0</v>
      </c>
      <c r="N27" s="73">
        <f>SUMIFS(工业节能技术装备推荐目录!K:K,工业节能技术装备推荐目录!D:D,'Early Facility Retirement'!A27,工业节能技术装备推荐目录!F:F,'Early Facility Retirement'!$A$1,工业节能技术装备推荐目录!A:A,"2020")</f>
        <v>0</v>
      </c>
      <c r="O27" s="73">
        <f>SUMIFS(工业节能技术装备推荐目录!K:K,工业节能技术装备推荐目录!D:D,'Early Facility Retirement'!A27,工业节能技术装备推荐目录!F:F,'Early Facility Retirement'!$A$1,工业节能技术装备推荐目录!A:A,"2020")+SUMIFS(工业节能技术装备推荐目录!K:K,工业节能技术装备推荐目录!D:D,'Early Facility Retirement'!A27,工业节能技术装备推荐目录!F:F,'Early Facility Retirement'!$A$1,工业节能技术装备推荐目录!A:A,"2021")</f>
        <v>0</v>
      </c>
      <c r="P27" s="73">
        <f>SUMIFS(工业节能技术装备推荐目录!K:K,工业节能技术装备推荐目录!D:D,'Early Facility Retirement'!A27,工业节能技术装备推荐目录!F:F,'Early Facility Retirement'!$A$1,工业节能技术装备推荐目录!A:A,"2020")+SUMIFS(工业节能技术装备推荐目录!K:K,工业节能技术装备推荐目录!D:D,'Early Facility Retirement'!A27,工业节能技术装备推荐目录!F:F,'Early Facility Retirement'!$A$1,工业节能技术装备推荐目录!A:A,"2021")+SUMIFS(工业节能技术装备推荐目录!K:K,工业节能技术装备推荐目录!D:D,'Early Facility Retirement'!A27,工业节能技术装备推荐目录!F:F,'Early Facility Retirement'!$A$1,工业节能技术装备推荐目录!A:A,"2022")</f>
        <v>0</v>
      </c>
      <c r="Q27" s="73">
        <f>SUMIFS(工业节能技术装备推荐目录!K:K,工业节能技术装备推荐目录!D:D,'Early Facility Retirement'!A27,工业节能技术装备推荐目录!F:F,'Early Facility Retirement'!$A$1,工业节能技术装备推荐目录!A:A,"2020")+SUMIFS(工业节能技术装备推荐目录!K:K,工业节能技术装备推荐目录!D:D,'Early Facility Retirement'!A27,工业节能技术装备推荐目录!F:F,'Early Facility Retirement'!$A$1,工业节能技术装备推荐目录!A:A,"2021")+SUMIFS(工业节能技术装备推荐目录!K:K,工业节能技术装备推荐目录!D:D,'Early Facility Retirement'!A27,工业节能技术装备推荐目录!F:F,'Early Facility Retirement'!$A$1,工业节能技术装备推荐目录!A:A,"2022")</f>
        <v>0</v>
      </c>
      <c r="R27" s="73">
        <f>SUMIFS(工业节能技术装备推荐目录!K:K,工业节能技术装备推荐目录!D:D,'Early Facility Retirement'!A27,工业节能技术装备推荐目录!F:F,'Early Facility Retirement'!$A$1,工业节能技术装备推荐目录!A:A,"2020")+SUMIFS(工业节能技术装备推荐目录!K:K,工业节能技术装备推荐目录!D:D,'Early Facility Retirement'!A27,工业节能技术装备推荐目录!F:F,'Early Facility Retirement'!$A$1,工业节能技术装备推荐目录!A:A,"2022")</f>
        <v>0</v>
      </c>
      <c r="S27" s="73">
        <f>SUMIFS(工业节能技术装备推荐目录!K:K,工业节能技术装备推荐目录!D:D,'Early Facility Retirement'!A27,工业节能技术装备推荐目录!F:F,'Early Facility Retirement'!$A$1,工业节能技术装备推荐目录!A:A,"2022")</f>
        <v>0</v>
      </c>
      <c r="T27" s="73">
        <f>SUMIFS(工业节能技术装备推荐目录!K:K,工业节能技术装备推荐目录!D:D,'Early Facility Retirement'!A27,工业节能技术装备推荐目录!F:F,'Early Facility Retirement'!$A$1,工业节能技术装备推荐目录!A:A,"2022")</f>
        <v>0</v>
      </c>
    </row>
    <row r="28" spans="1:20" x14ac:dyDescent="0.15">
      <c r="A28" s="62" t="s">
        <v>444</v>
      </c>
      <c r="B28" s="63">
        <f>SUM(B3:B27)</f>
        <v>46903.890873862932</v>
      </c>
      <c r="C28" s="74">
        <f t="shared" ref="C28:I28" si="0">SUM(C3:C27)</f>
        <v>703.778982940118</v>
      </c>
      <c r="D28" s="74">
        <f t="shared" si="0"/>
        <v>1938.1599955897075</v>
      </c>
      <c r="E28" s="74">
        <f t="shared" si="0"/>
        <v>4356.1599955897073</v>
      </c>
      <c r="F28" s="74">
        <f t="shared" si="0"/>
        <v>4356.1599955897073</v>
      </c>
      <c r="G28" s="74">
        <f t="shared" si="0"/>
        <v>3121.7789829401181</v>
      </c>
      <c r="H28" s="74">
        <f t="shared" si="0"/>
        <v>2418</v>
      </c>
      <c r="I28" s="74">
        <f t="shared" si="0"/>
        <v>2418</v>
      </c>
      <c r="L28" s="62" t="s">
        <v>444</v>
      </c>
      <c r="M28" s="63">
        <f>SUM(M3:M27)</f>
        <v>45313.211548113417</v>
      </c>
      <c r="N28" s="74">
        <f t="shared" ref="N28:T28" si="1">SUM(N3:N27)</f>
        <v>668.77</v>
      </c>
      <c r="O28" s="74">
        <f t="shared" si="1"/>
        <v>1897.9600000000003</v>
      </c>
      <c r="P28" s="74">
        <f t="shared" si="1"/>
        <v>4158.96</v>
      </c>
      <c r="Q28" s="74">
        <f t="shared" si="1"/>
        <v>4158.96</v>
      </c>
      <c r="R28" s="74">
        <f t="shared" si="1"/>
        <v>2929.77</v>
      </c>
      <c r="S28" s="74">
        <f t="shared" si="1"/>
        <v>2261</v>
      </c>
      <c r="T28" s="74">
        <f t="shared" si="1"/>
        <v>2261</v>
      </c>
    </row>
    <row r="31" spans="1:20" x14ac:dyDescent="0.15">
      <c r="A31" s="51" t="s">
        <v>103</v>
      </c>
      <c r="B31" s="51" t="s">
        <v>443</v>
      </c>
      <c r="C31" s="51"/>
      <c r="D31" s="51"/>
      <c r="E31" s="51"/>
      <c r="F31" s="51"/>
      <c r="G31" s="51"/>
      <c r="H31" s="51"/>
      <c r="I31" s="51"/>
    </row>
    <row r="32" spans="1:20" x14ac:dyDescent="0.15">
      <c r="A32" s="26" t="s">
        <v>384</v>
      </c>
      <c r="B32" s="46">
        <v>2060</v>
      </c>
      <c r="C32" s="20">
        <v>2021</v>
      </c>
      <c r="D32" s="20">
        <v>2022</v>
      </c>
      <c r="E32" s="20">
        <v>2023</v>
      </c>
      <c r="F32" s="20">
        <v>2024</v>
      </c>
      <c r="G32" s="20">
        <v>2025</v>
      </c>
      <c r="H32" s="20">
        <v>2026</v>
      </c>
      <c r="I32" s="20">
        <v>2027</v>
      </c>
    </row>
    <row r="33" spans="1:11" x14ac:dyDescent="0.15">
      <c r="A33" s="26" t="s">
        <v>99</v>
      </c>
      <c r="B33" s="44">
        <f>B3*$K$2/BIFUbC!AQ2</f>
        <v>6.318800758292195E-6</v>
      </c>
      <c r="C33" s="79">
        <f>C3*$K$2/BIFUbC!D2</f>
        <v>0</v>
      </c>
      <c r="D33" s="79">
        <f>D3*$K$2/BIFUbC!E2</f>
        <v>2.3071621660565063E-6</v>
      </c>
      <c r="E33" s="79">
        <f>E3*$K$2/BIFUbC!F2</f>
        <v>2.1530489216937258E-6</v>
      </c>
      <c r="F33" s="79">
        <f>F3*$K$2/BIFUbC!G2</f>
        <v>2.052736834638149E-6</v>
      </c>
      <c r="G33" s="79">
        <f>G3*$K$2/BIFUbC!H2</f>
        <v>0</v>
      </c>
      <c r="H33" s="79">
        <f>H3*$K$2/BIFUbC!I2</f>
        <v>0</v>
      </c>
      <c r="I33" s="79">
        <f>I3*$K$2/BIFUbC!J2</f>
        <v>0</v>
      </c>
      <c r="K33" s="66"/>
    </row>
    <row r="34" spans="1:11" x14ac:dyDescent="0.15">
      <c r="A34" s="26" t="s">
        <v>35</v>
      </c>
      <c r="B34" s="44">
        <f>B4*$K$2/BIFUbC!AQ3</f>
        <v>1.6479716408786146E-2</v>
      </c>
      <c r="C34" s="79">
        <f>C4*$K$2/BIFUbC!D3</f>
        <v>0</v>
      </c>
      <c r="D34" s="79">
        <f>D4*$K$2/BIFUbC!E3</f>
        <v>1.7192795295088273E-5</v>
      </c>
      <c r="E34" s="79">
        <f>E4*$K$2/BIFUbC!F3</f>
        <v>4.9347209716272267E-3</v>
      </c>
      <c r="F34" s="79">
        <f>F4*$K$2/BIFUbC!G3</f>
        <v>4.6936881652431548E-3</v>
      </c>
      <c r="G34" s="79">
        <f>G4*$K$2/BIFUbC!H3</f>
        <v>4.460930394914432E-3</v>
      </c>
      <c r="H34" s="79">
        <f>H4*$K$2/BIFUbC!I3</f>
        <v>4.3897954547956726E-3</v>
      </c>
      <c r="I34" s="79">
        <f>I4*$K$2/BIFUbC!J3</f>
        <v>4.3209099652172971E-3</v>
      </c>
      <c r="K34" s="66"/>
    </row>
    <row r="35" spans="1:11" x14ac:dyDescent="0.15">
      <c r="A35" s="26" t="s">
        <v>67</v>
      </c>
      <c r="B35" s="44">
        <f>B5*$K$2/BIFUbC!AQ4</f>
        <v>6.2668790446549562E-6</v>
      </c>
      <c r="C35" s="79">
        <f>C5*$K$2/BIFUbC!D4</f>
        <v>0</v>
      </c>
      <c r="D35" s="79">
        <f>D5*$K$2/BIFUbC!E4</f>
        <v>2.135616720930813E-6</v>
      </c>
      <c r="E35" s="79">
        <f>E5*$K$2/BIFUbC!F4</f>
        <v>1.944784983166017E-6</v>
      </c>
      <c r="F35" s="79">
        <f>F5*$K$2/BIFUbC!G4</f>
        <v>1.8427080078415911E-6</v>
      </c>
      <c r="G35" s="79">
        <f>G5*$K$2/BIFUbC!H4</f>
        <v>0</v>
      </c>
      <c r="H35" s="79">
        <f>H5*$K$2/BIFUbC!I4</f>
        <v>0</v>
      </c>
      <c r="I35" s="79">
        <f>I5*$K$2/BIFUbC!J4</f>
        <v>0</v>
      </c>
      <c r="K35" s="66"/>
    </row>
    <row r="36" spans="1:11" x14ac:dyDescent="0.15">
      <c r="A36" s="26" t="s">
        <v>100</v>
      </c>
      <c r="B36" s="44">
        <f>B6*$K$2/BIFUbC!AQ5</f>
        <v>1.3224541571706147E-5</v>
      </c>
      <c r="C36" s="79">
        <f>C6*$K$2/BIFUbC!D5</f>
        <v>0</v>
      </c>
      <c r="D36" s="79">
        <f>D6*$K$2/BIFUbC!E5</f>
        <v>2.1968778384429037E-6</v>
      </c>
      <c r="E36" s="79">
        <f>E6*$K$2/BIFUbC!F5</f>
        <v>2.0265446331682877E-6</v>
      </c>
      <c r="F36" s="79">
        <f>F6*$K$2/BIFUbC!G5</f>
        <v>1.939369199726098E-6</v>
      </c>
      <c r="G36" s="79">
        <f>G6*$K$2/BIFUbC!H5</f>
        <v>0</v>
      </c>
      <c r="H36" s="79">
        <f>H6*$K$2/BIFUbC!I5</f>
        <v>0</v>
      </c>
      <c r="I36" s="79">
        <f>I6*$K$2/BIFUbC!J5</f>
        <v>0</v>
      </c>
      <c r="K36" s="66"/>
    </row>
    <row r="37" spans="1:11" x14ac:dyDescent="0.15">
      <c r="A37" s="26" t="s">
        <v>101</v>
      </c>
      <c r="B37" s="44">
        <f>B7*$K$2/BIFUbC!AQ6</f>
        <v>3.3580741349082679E-4</v>
      </c>
      <c r="C37" s="79">
        <f>C7*$K$2/BIFUbC!D6</f>
        <v>1.0768045073766215E-4</v>
      </c>
      <c r="D37" s="79">
        <f>D7*$K$2/BIFUbC!E6</f>
        <v>1.0569978619092102E-4</v>
      </c>
      <c r="E37" s="79">
        <f>E7*$K$2/BIFUbC!F6</f>
        <v>1.0204105691394431E-4</v>
      </c>
      <c r="F37" s="79">
        <f>F7*$K$2/BIFUbC!G6</f>
        <v>9.9546565139736995E-5</v>
      </c>
      <c r="G37" s="79">
        <f>G7*$K$2/BIFUbC!H6</f>
        <v>9.4441062354074675E-5</v>
      </c>
      <c r="H37" s="79">
        <f>H7*$K$2/BIFUbC!I6</f>
        <v>0</v>
      </c>
      <c r="I37" s="79">
        <f>I7*$K$2/BIFUbC!J6</f>
        <v>0</v>
      </c>
      <c r="K37" s="66"/>
    </row>
    <row r="38" spans="1:11" x14ac:dyDescent="0.15">
      <c r="A38" s="26" t="s">
        <v>72</v>
      </c>
      <c r="B38" s="44">
        <f>B8*$K$2/BIFUbC!AQ7</f>
        <v>7.3632995569084161E-2</v>
      </c>
      <c r="C38" s="79">
        <f>C8*$K$2/BIFUbC!D7</f>
        <v>1.1345422168701213E-4</v>
      </c>
      <c r="D38" s="79">
        <f>D8*$K$2/BIFUbC!E7</f>
        <v>1.1681512292691024E-4</v>
      </c>
      <c r="E38" s="79">
        <f>E8*$K$2/BIFUbC!F7</f>
        <v>1.8379467736253118E-2</v>
      </c>
      <c r="F38" s="79">
        <f>F8*$K$2/BIFUbC!G7</f>
        <v>1.8226083288537399E-2</v>
      </c>
      <c r="G38" s="79">
        <f>G8*$K$2/BIFUbC!H7</f>
        <v>1.8011043396052643E-2</v>
      </c>
      <c r="H38" s="79">
        <f>H8*$K$2/BIFUbC!I7</f>
        <v>1.7650403757158664E-2</v>
      </c>
      <c r="I38" s="79">
        <f>I8*$K$2/BIFUbC!J7</f>
        <v>1.741734146879078E-2</v>
      </c>
      <c r="K38" s="66"/>
    </row>
    <row r="39" spans="1:11" x14ac:dyDescent="0.15">
      <c r="A39" s="26" t="s">
        <v>38</v>
      </c>
      <c r="B39" s="44">
        <f>B9*$K$2/BIFUbC!AQ8</f>
        <v>1.1290749051460364E-5</v>
      </c>
      <c r="C39" s="79">
        <f>C9*$K$2/BIFUbC!D8</f>
        <v>0</v>
      </c>
      <c r="D39" s="79">
        <f>D9*$K$2/BIFUbC!E8</f>
        <v>2.1403794113480639E-6</v>
      </c>
      <c r="E39" s="79">
        <f>E9*$K$2/BIFUbC!F8</f>
        <v>2.0781202153786739E-6</v>
      </c>
      <c r="F39" s="79">
        <f>F9*$K$2/BIFUbC!G8</f>
        <v>2.0555672076912356E-6</v>
      </c>
      <c r="G39" s="79">
        <f>G9*$K$2/BIFUbC!H8</f>
        <v>0</v>
      </c>
      <c r="H39" s="79">
        <f>H9*$K$2/BIFUbC!I8</f>
        <v>0</v>
      </c>
      <c r="I39" s="79">
        <f>I9*$K$2/BIFUbC!J8</f>
        <v>0</v>
      </c>
      <c r="K39" s="66"/>
    </row>
    <row r="40" spans="1:11" x14ac:dyDescent="0.15">
      <c r="A40" s="26" t="s">
        <v>68</v>
      </c>
      <c r="B40" s="44">
        <f>B10*$K$2/BIFUbC!AQ9</f>
        <v>4.0161321442658135E-4</v>
      </c>
      <c r="C40" s="79">
        <f>C10*$K$2/BIFUbC!D9</f>
        <v>1.1246273940377307E-4</v>
      </c>
      <c r="D40" s="79">
        <f>D10*$K$2/BIFUbC!E9</f>
        <v>1.0817931767796185E-4</v>
      </c>
      <c r="E40" s="79">
        <f>E10*$K$2/BIFUbC!F9</f>
        <v>1.0027905542984745E-4</v>
      </c>
      <c r="F40" s="79">
        <f>F10*$K$2/BIFUbC!G9</f>
        <v>9.6012414951757527E-5</v>
      </c>
      <c r="G40" s="79">
        <f>G10*$K$2/BIFUbC!H9</f>
        <v>9.0136207983974097E-5</v>
      </c>
      <c r="H40" s="79">
        <f>H10*$K$2/BIFUbC!I9</f>
        <v>0</v>
      </c>
      <c r="I40" s="79">
        <f>I10*$K$2/BIFUbC!J9</f>
        <v>0</v>
      </c>
      <c r="K40" s="66"/>
    </row>
    <row r="41" spans="1:11" x14ac:dyDescent="0.15">
      <c r="A41" s="26" t="s">
        <v>40</v>
      </c>
      <c r="B41" s="44">
        <f>B11*$K$2/BIFUbC!AQ10</f>
        <v>0.1277875116760267</v>
      </c>
      <c r="C41" s="79">
        <f>C11*$K$2/BIFUbC!D10</f>
        <v>1.1579938922633372E-4</v>
      </c>
      <c r="D41" s="79">
        <f>D11*$K$2/BIFUbC!E10</f>
        <v>2.1780804932698835E-3</v>
      </c>
      <c r="E41" s="79">
        <f>E11*$K$2/BIFUbC!F10</f>
        <v>4.8646608957474335E-3</v>
      </c>
      <c r="F41" s="79">
        <f>F11*$K$2/BIFUbC!G10</f>
        <v>4.6130095823169355E-3</v>
      </c>
      <c r="G41" s="79">
        <f>G11*$K$2/BIFUbC!H10</f>
        <v>2.6343073882764169E-3</v>
      </c>
      <c r="H41" s="79">
        <f>H11*$K$2/BIFUbC!I10</f>
        <v>2.4872069999556665E-3</v>
      </c>
      <c r="I41" s="79">
        <f>I11*$K$2/BIFUbC!J10</f>
        <v>2.4343627355527708E-3</v>
      </c>
      <c r="K41" s="66"/>
    </row>
    <row r="42" spans="1:11" x14ac:dyDescent="0.15">
      <c r="A42" s="26" t="s">
        <v>41</v>
      </c>
      <c r="B42" s="44">
        <f>B12*$K$2/BIFUbC!AQ11</f>
        <v>6.677947411767636E-2</v>
      </c>
      <c r="C42" s="79">
        <f>C12*$K$2/BIFUbC!D11</f>
        <v>1.132042032868502E-3</v>
      </c>
      <c r="D42" s="79">
        <f>D12*$K$2/BIFUbC!E11</f>
        <v>8.4768033165424847E-3</v>
      </c>
      <c r="E42" s="79">
        <f>E12*$K$2/BIFUbC!F11</f>
        <v>1.2469012277728965E-2</v>
      </c>
      <c r="F42" s="79">
        <f>F12*$K$2/BIFUbC!G11</f>
        <v>1.1728599595451672E-2</v>
      </c>
      <c r="G42" s="79">
        <f>G12*$K$2/BIFUbC!H11</f>
        <v>5.0398305697026136E-3</v>
      </c>
      <c r="H42" s="79">
        <f>H12*$K$2/BIFUbC!I11</f>
        <v>4.0556525386590365E-3</v>
      </c>
      <c r="I42" s="79">
        <f>I12*$K$2/BIFUbC!J11</f>
        <v>3.917071836312608E-3</v>
      </c>
      <c r="K42" s="66"/>
    </row>
    <row r="43" spans="1:11" x14ac:dyDescent="0.15">
      <c r="A43" s="26" t="s">
        <v>42</v>
      </c>
      <c r="B43" s="44">
        <f>B13*$K$2/BIFUbC!AQ12</f>
        <v>9.7121747853742652E-6</v>
      </c>
      <c r="C43" s="79">
        <f>C13*$K$2/BIFUbC!D12</f>
        <v>0</v>
      </c>
      <c r="D43" s="79">
        <f>D13*$K$2/BIFUbC!E12</f>
        <v>2.2226113064881187E-6</v>
      </c>
      <c r="E43" s="79">
        <f>E13*$K$2/BIFUbC!F12</f>
        <v>2.1373683605432014E-6</v>
      </c>
      <c r="F43" s="79">
        <f>F13*$K$2/BIFUbC!G12</f>
        <v>2.0690772442509744E-6</v>
      </c>
      <c r="G43" s="79">
        <f>G13*$K$2/BIFUbC!H12</f>
        <v>0</v>
      </c>
      <c r="H43" s="79">
        <f>H13*$K$2/BIFUbC!I12</f>
        <v>0</v>
      </c>
      <c r="I43" s="79">
        <f>I13*$K$2/BIFUbC!J12</f>
        <v>0</v>
      </c>
      <c r="K43" s="66"/>
    </row>
    <row r="44" spans="1:11" x14ac:dyDescent="0.15">
      <c r="A44" s="26" t="s">
        <v>43</v>
      </c>
      <c r="B44" s="44">
        <f>B14*$K$2/BIFUbC!AQ13</f>
        <v>8.8213349861102464E-2</v>
      </c>
      <c r="C44" s="79">
        <f>C14*$K$2/BIFUbC!D13</f>
        <v>0</v>
      </c>
      <c r="D44" s="79">
        <f>D14*$K$2/BIFUbC!E13</f>
        <v>1.9888784535119194E-6</v>
      </c>
      <c r="E44" s="79">
        <f>E14*$K$2/BIFUbC!F13</f>
        <v>2.2551204196654937E-2</v>
      </c>
      <c r="F44" s="79">
        <f>F14*$K$2/BIFUbC!G13</f>
        <v>2.1397976678725596E-2</v>
      </c>
      <c r="G44" s="79">
        <f>G14*$K$2/BIFUbC!H13</f>
        <v>2.0092410607817041E-2</v>
      </c>
      <c r="H44" s="79">
        <f>H14*$K$2/BIFUbC!I13</f>
        <v>1.8969037295250808E-2</v>
      </c>
      <c r="I44" s="79">
        <f>I14*$K$2/BIFUbC!J13</f>
        <v>1.8073016155559441E-2</v>
      </c>
      <c r="K44" s="66"/>
    </row>
    <row r="45" spans="1:11" x14ac:dyDescent="0.15">
      <c r="A45" s="26" t="s">
        <v>56</v>
      </c>
      <c r="B45" s="44">
        <f>B15*$K$2/BIFUbC!AQ14</f>
        <v>0.40512255155452265</v>
      </c>
      <c r="C45" s="79">
        <f>C15*$K$2/BIFUbC!D14</f>
        <v>1.1644018185540204E-2</v>
      </c>
      <c r="D45" s="79">
        <f>D15*$K$2/BIFUbC!E14</f>
        <v>1.1899989280693348E-2</v>
      </c>
      <c r="E45" s="79">
        <f>E15*$K$2/BIFUbC!F14</f>
        <v>2.4584978407310921E-2</v>
      </c>
      <c r="F45" s="79">
        <f>F15*$K$2/BIFUbC!G14</f>
        <v>2.4285153982883563E-2</v>
      </c>
      <c r="G45" s="79">
        <f>G15*$K$2/BIFUbC!H14</f>
        <v>2.3586222421069492E-2</v>
      </c>
      <c r="H45" s="79">
        <f>H15*$K$2/BIFUbC!I14</f>
        <v>1.2642282332497578E-2</v>
      </c>
      <c r="I45" s="79">
        <f>I15*$K$2/BIFUbC!J14</f>
        <v>1.2489221954300673E-2</v>
      </c>
      <c r="K45" s="66"/>
    </row>
    <row r="46" spans="1:11" x14ac:dyDescent="0.15">
      <c r="A46" s="26" t="s">
        <v>45</v>
      </c>
      <c r="B46" s="44">
        <f>B16*$K$2/BIFUbC!AQ15</f>
        <v>0.23607631690774636</v>
      </c>
      <c r="C46" s="79">
        <f>C16*$K$2/BIFUbC!D15</f>
        <v>3.6254214304897517E-3</v>
      </c>
      <c r="D46" s="79">
        <f>D16*$K$2/BIFUbC!E15</f>
        <v>8.5935691436509892E-3</v>
      </c>
      <c r="E46" s="79">
        <f>E16*$K$2/BIFUbC!F15</f>
        <v>1.192026613997468E-2</v>
      </c>
      <c r="F46" s="79">
        <f>F16*$K$2/BIFUbC!G15</f>
        <v>1.1424282122430924E-2</v>
      </c>
      <c r="G46" s="79">
        <f>G16*$K$2/BIFUbC!H15</f>
        <v>6.5596170411497193E-3</v>
      </c>
      <c r="H46" s="79">
        <f>H16*$K$2/BIFUbC!I15</f>
        <v>3.5374706584152156E-3</v>
      </c>
      <c r="I46" s="79">
        <f>I16*$K$2/BIFUbC!J15</f>
        <v>3.4631616793716949E-3</v>
      </c>
      <c r="K46" s="66"/>
    </row>
    <row r="47" spans="1:11" x14ac:dyDescent="0.15">
      <c r="A47" s="26" t="s">
        <v>46</v>
      </c>
      <c r="B47" s="44">
        <f>B17*$K$2/BIFUbC!AQ16</f>
        <v>6.3873489626211005E-2</v>
      </c>
      <c r="C47" s="79">
        <f>C17*$K$2/BIFUbC!D16</f>
        <v>7.6482382430519884E-4</v>
      </c>
      <c r="D47" s="79">
        <f>D17*$K$2/BIFUbC!E16</f>
        <v>4.4679440272552464E-3</v>
      </c>
      <c r="E47" s="79">
        <f>E17*$K$2/BIFUbC!F16</f>
        <v>8.9602187461111267E-3</v>
      </c>
      <c r="F47" s="79">
        <f>F17*$K$2/BIFUbC!G16</f>
        <v>8.3815883279485508E-3</v>
      </c>
      <c r="G47" s="79">
        <f>G17*$K$2/BIFUbC!H16</f>
        <v>4.8908753401123092E-3</v>
      </c>
      <c r="H47" s="79">
        <f>H17*$K$2/BIFUbC!I16</f>
        <v>4.122810026434315E-3</v>
      </c>
      <c r="I47" s="79">
        <f>I17*$K$2/BIFUbC!J16</f>
        <v>3.9306632982931437E-3</v>
      </c>
      <c r="K47" s="66"/>
    </row>
    <row r="48" spans="1:11" x14ac:dyDescent="0.15">
      <c r="A48" s="26" t="s">
        <v>47</v>
      </c>
      <c r="B48" s="44">
        <f>B18*$K$2/BIFUbC!AQ17</f>
        <v>6.996600522859254E-6</v>
      </c>
      <c r="C48" s="79">
        <f>C18*$K$2/BIFUbC!D17</f>
        <v>0</v>
      </c>
      <c r="D48" s="79">
        <f>D18*$K$2/BIFUbC!E17</f>
        <v>2.0081269030591629E-6</v>
      </c>
      <c r="E48" s="79">
        <f>E18*$K$2/BIFUbC!F17</f>
        <v>1.9330697617947325E-6</v>
      </c>
      <c r="F48" s="79">
        <f>F18*$K$2/BIFUbC!G17</f>
        <v>1.8758073056722717E-6</v>
      </c>
      <c r="G48" s="79">
        <f>G18*$K$2/BIFUbC!H17</f>
        <v>0</v>
      </c>
      <c r="H48" s="79">
        <f>H18*$K$2/BIFUbC!I17</f>
        <v>0</v>
      </c>
      <c r="I48" s="79">
        <f>I18*$K$2/BIFUbC!J17</f>
        <v>0</v>
      </c>
      <c r="K48" s="66"/>
    </row>
    <row r="49" spans="1:11" x14ac:dyDescent="0.15">
      <c r="A49" s="26" t="s">
        <v>48</v>
      </c>
      <c r="B49" s="44">
        <f>B19*$K$2/BIFUbC!AQ18</f>
        <v>1.8547637056440126E-2</v>
      </c>
      <c r="C49" s="79">
        <f>C19*$K$2/BIFUbC!D18</f>
        <v>0</v>
      </c>
      <c r="D49" s="79">
        <f>D19*$K$2/BIFUbC!E18</f>
        <v>1.8681925453779303E-6</v>
      </c>
      <c r="E49" s="79">
        <f>E19*$K$2/BIFUbC!F18</f>
        <v>1.0656720797904338E-2</v>
      </c>
      <c r="F49" s="79">
        <f>F19*$K$2/BIFUbC!G18</f>
        <v>1.0019382605924053E-2</v>
      </c>
      <c r="G49" s="79">
        <f>G19*$K$2/BIFUbC!H18</f>
        <v>9.3274170349439776E-3</v>
      </c>
      <c r="H49" s="79">
        <f>H19*$K$2/BIFUbC!I18</f>
        <v>8.7738609016712928E-3</v>
      </c>
      <c r="I49" s="79">
        <f>I19*$K$2/BIFUbC!J18</f>
        <v>8.3605577723820847E-3</v>
      </c>
      <c r="K49" s="66"/>
    </row>
    <row r="50" spans="1:11" x14ac:dyDescent="0.15">
      <c r="A50" s="26" t="s">
        <v>49</v>
      </c>
      <c r="B50" s="44">
        <f>B20*$K$2/BIFUbC!AQ19</f>
        <v>0.1474491237148475</v>
      </c>
      <c r="C50" s="79">
        <f>C20*$K$2/BIFUbC!D19</f>
        <v>0</v>
      </c>
      <c r="D50" s="79">
        <f>D20*$K$2/BIFUbC!E19</f>
        <v>1.7751520274939967E-6</v>
      </c>
      <c r="E50" s="79">
        <f>E20*$K$2/BIFUbC!F19</f>
        <v>0.23824740872751268</v>
      </c>
      <c r="F50" s="79">
        <f>F20*$K$2/BIFUbC!G19</f>
        <v>0.22148419658996532</v>
      </c>
      <c r="G50" s="79">
        <f>G20*$K$2/BIFUbC!H19</f>
        <v>0.20306730858442501</v>
      </c>
      <c r="H50" s="79">
        <f>H20*$K$2/BIFUbC!I19</f>
        <v>0.18779160098630579</v>
      </c>
      <c r="I50" s="79">
        <f>I20*$K$2/BIFUbC!J19</f>
        <v>0.17590873796574422</v>
      </c>
      <c r="K50" s="66"/>
    </row>
    <row r="51" spans="1:11" x14ac:dyDescent="0.15">
      <c r="A51" s="26" t="s">
        <v>50</v>
      </c>
      <c r="B51" s="44">
        <f>B21*$K$2/BIFUbC!AQ20</f>
        <v>6.2052544111491587E-6</v>
      </c>
      <c r="C51" s="79">
        <f>C21*$K$2/BIFUbC!D20</f>
        <v>0</v>
      </c>
      <c r="D51" s="79">
        <f>D21*$K$2/BIFUbC!E20</f>
        <v>1.9646441947663702E-6</v>
      </c>
      <c r="E51" s="79">
        <f>E21*$K$2/BIFUbC!F20</f>
        <v>1.8926366648449021E-6</v>
      </c>
      <c r="F51" s="79">
        <f>F21*$K$2/BIFUbC!G20</f>
        <v>1.8378358709885795E-6</v>
      </c>
      <c r="G51" s="79">
        <f>G21*$K$2/BIFUbC!H20</f>
        <v>0</v>
      </c>
      <c r="H51" s="79">
        <f>H21*$K$2/BIFUbC!I20</f>
        <v>0</v>
      </c>
      <c r="I51" s="79">
        <f>I21*$K$2/BIFUbC!J20</f>
        <v>0</v>
      </c>
      <c r="K51" s="66"/>
    </row>
    <row r="52" spans="1:11" x14ac:dyDescent="0.15">
      <c r="A52" s="26" t="s">
        <v>81</v>
      </c>
      <c r="B52" s="44">
        <f>B22*$K$2/BIFUbC!AQ21</f>
        <v>0.15842063886354035</v>
      </c>
      <c r="C52" s="79">
        <f>C22*$K$2/BIFUbC!D21</f>
        <v>0</v>
      </c>
      <c r="D52" s="79">
        <f>D22*$K$2/BIFUbC!E21</f>
        <v>2.0930588318640022E-6</v>
      </c>
      <c r="E52" s="79">
        <f>E22*$K$2/BIFUbC!F21</f>
        <v>2.2466079400298666E-2</v>
      </c>
      <c r="F52" s="79">
        <f>F22*$K$2/BIFUbC!G21</f>
        <v>2.1144310905610399E-2</v>
      </c>
      <c r="G52" s="79">
        <f>G22*$K$2/BIFUbC!H21</f>
        <v>1.9972218424879215E-2</v>
      </c>
      <c r="H52" s="79">
        <f>H22*$K$2/BIFUbC!I21</f>
        <v>1.9403246458773189E-2</v>
      </c>
      <c r="I52" s="79">
        <f>I22*$K$2/BIFUbC!J21</f>
        <v>1.8866108427686101E-2</v>
      </c>
      <c r="K52" s="66"/>
    </row>
    <row r="53" spans="1:11" x14ac:dyDescent="0.15">
      <c r="A53" s="26" t="s">
        <v>71</v>
      </c>
      <c r="B53" s="44">
        <f>B23*$K$2/BIFUbC!AQ22</f>
        <v>9.3552189939983939E-6</v>
      </c>
      <c r="C53" s="79">
        <f>C23*$K$2/BIFUbC!D22</f>
        <v>0</v>
      </c>
      <c r="D53" s="79">
        <f>D23*$K$2/BIFUbC!E22</f>
        <v>2.0901577084529829E-6</v>
      </c>
      <c r="E53" s="79">
        <f>E23*$K$2/BIFUbC!F22</f>
        <v>2.0211865694626029E-6</v>
      </c>
      <c r="F53" s="79">
        <f>F23*$K$2/BIFUbC!G22</f>
        <v>1.9823998012280364E-6</v>
      </c>
      <c r="G53" s="79">
        <f>G23*$K$2/BIFUbC!H22</f>
        <v>0</v>
      </c>
      <c r="H53" s="79">
        <f>H23*$K$2/BIFUbC!I22</f>
        <v>0</v>
      </c>
      <c r="I53" s="79">
        <f>I23*$K$2/BIFUbC!J22</f>
        <v>0</v>
      </c>
      <c r="K53" s="66"/>
    </row>
    <row r="54" spans="1:11" x14ac:dyDescent="0.15">
      <c r="A54" s="26" t="s">
        <v>53</v>
      </c>
      <c r="B54" s="44">
        <f>B24*$K$2/BIFUbC!AQ23</f>
        <v>0.14981568232343681</v>
      </c>
      <c r="C54" s="79">
        <f>C24*$K$2/BIFUbC!D23</f>
        <v>0</v>
      </c>
      <c r="D54" s="79">
        <f>D24*$K$2/BIFUbC!E23</f>
        <v>2.0892208273289115E-6</v>
      </c>
      <c r="E54" s="79">
        <f>E24*$K$2/BIFUbC!F23</f>
        <v>2.3892201305170353E-2</v>
      </c>
      <c r="F54" s="79">
        <f>F24*$K$2/BIFUbC!G23</f>
        <v>2.3138550790960995E-2</v>
      </c>
      <c r="G54" s="79">
        <f>G24*$K$2/BIFUbC!H23</f>
        <v>2.2254464564306763E-2</v>
      </c>
      <c r="H54" s="79">
        <f>H24*$K$2/BIFUbC!I23</f>
        <v>2.1452971969769426E-2</v>
      </c>
      <c r="I54" s="79">
        <f>I24*$K$2/BIFUbC!J23</f>
        <v>2.0794187487460286E-2</v>
      </c>
      <c r="K54" s="66"/>
    </row>
    <row r="55" spans="1:11" x14ac:dyDescent="0.15">
      <c r="A55" s="26" t="s">
        <v>76</v>
      </c>
      <c r="B55" s="44">
        <f>B25*$K$2/BIFUbC!AQ24</f>
        <v>1.5352481428458715E-6</v>
      </c>
      <c r="C55" s="79">
        <f>C25*$K$2/BIFUbC!D24</f>
        <v>0</v>
      </c>
      <c r="D55" s="79">
        <f>D25*$K$2/BIFUbC!E24</f>
        <v>1.8470242402388278E-6</v>
      </c>
      <c r="E55" s="79">
        <f>E25*$K$2/BIFUbC!F24</f>
        <v>1.7590703485795099E-6</v>
      </c>
      <c r="F55" s="79">
        <f>F25*$K$2/BIFUbC!G24</f>
        <v>1.5828808934303071E-6</v>
      </c>
      <c r="G55" s="79">
        <f>G25*$K$2/BIFUbC!H24</f>
        <v>0</v>
      </c>
      <c r="H55" s="79">
        <f>H25*$K$2/BIFUbC!I24</f>
        <v>0</v>
      </c>
      <c r="I55" s="79">
        <f>I25*$K$2/BIFUbC!J24</f>
        <v>0</v>
      </c>
      <c r="K55" s="66"/>
    </row>
    <row r="56" spans="1:11" x14ac:dyDescent="0.15">
      <c r="A56" s="26" t="s">
        <v>83</v>
      </c>
      <c r="B56" s="44">
        <f>B26*$K$2/BIFUbC!AQ25</f>
        <v>1.8252381584853586E-6</v>
      </c>
      <c r="C56" s="79">
        <f>C26*$K$2/BIFUbC!D25</f>
        <v>0</v>
      </c>
      <c r="D56" s="79">
        <f>D26*$K$2/BIFUbC!E25</f>
        <v>1.73734215371986E-6</v>
      </c>
      <c r="E56" s="79">
        <f>E26*$K$2/BIFUbC!F25</f>
        <v>1.6381975400878566E-6</v>
      </c>
      <c r="F56" s="79">
        <f>F26*$K$2/BIFUbC!G25</f>
        <v>1.5127958883042875E-6</v>
      </c>
      <c r="G56" s="79">
        <f>G26*$K$2/BIFUbC!H25</f>
        <v>0</v>
      </c>
      <c r="H56" s="79">
        <f>H26*$K$2/BIFUbC!I25</f>
        <v>0</v>
      </c>
      <c r="I56" s="79">
        <f>I26*$K$2/BIFUbC!J25</f>
        <v>0</v>
      </c>
      <c r="K56" s="66"/>
    </row>
    <row r="57" spans="1:11" x14ac:dyDescent="0.15">
      <c r="A57" s="60" t="s">
        <v>55</v>
      </c>
      <c r="B57" s="44">
        <f>B27*$K$2/BIFUbC!AQ26</f>
        <v>5.6695038740823807E-6</v>
      </c>
      <c r="C57" s="79">
        <f>C27*$K$2/BIFUbC!D26</f>
        <v>0</v>
      </c>
      <c r="D57" s="79">
        <f>D27*$K$2/BIFUbC!E26</f>
        <v>2.2791353142183641E-6</v>
      </c>
      <c r="E57" s="79">
        <f>E27*$K$2/BIFUbC!F26</f>
        <v>2.14143101486522E-6</v>
      </c>
      <c r="F57" s="79">
        <f>F27*$K$2/BIFUbC!G26</f>
        <v>2.0383278504863177E-6</v>
      </c>
      <c r="G57" s="79">
        <f>G27*$K$2/BIFUbC!H26</f>
        <v>0</v>
      </c>
      <c r="H57" s="79">
        <f>H27*$K$2/BIFUbC!I26</f>
        <v>0</v>
      </c>
      <c r="I57" s="79">
        <f>I27*$K$2/BIFUbC!J26</f>
        <v>0</v>
      </c>
      <c r="K57" s="66"/>
    </row>
    <row r="58" spans="1:11" x14ac:dyDescent="0.15">
      <c r="A58" s="62" t="s">
        <v>445</v>
      </c>
      <c r="B58" s="80">
        <f>B28*$K$2/SUM(BIFUbC!AQ2:AQ26)</f>
        <v>0.1057582682605327</v>
      </c>
      <c r="C58" s="84">
        <f>C28*$K$2/SUM(BIFUbC!D2:D26)</f>
        <v>1.7590816601457978E-3</v>
      </c>
      <c r="D58" s="84">
        <f>D28*$K$2/SUM(BIFUbC!E2:E26)</f>
        <v>4.5615550033833501E-3</v>
      </c>
      <c r="E58" s="84">
        <f>E28*$K$2/SUM(BIFUbC!F2:F26)</f>
        <v>9.5882375144727729E-3</v>
      </c>
      <c r="F58" s="84">
        <f>F28*$K$2/SUM(BIFUbC!G2:G26)</f>
        <v>9.1310788435322796E-3</v>
      </c>
      <c r="G58" s="84">
        <f>G28*$K$2/SUM(BIFUbC!H2:H26)</f>
        <v>6.2418615436611443E-3</v>
      </c>
      <c r="H58" s="84">
        <f>H28*$K$2/SUM(BIFUbC!I2:I26)</f>
        <v>4.7008697704458468E-3</v>
      </c>
      <c r="I58" s="84">
        <f>I28*$K$2/SUM(BIFUbC!J2:J26)</f>
        <v>4.5781433561746807E-3</v>
      </c>
    </row>
    <row r="61" spans="1:11" x14ac:dyDescent="0.15">
      <c r="A61" s="51" t="s">
        <v>103</v>
      </c>
      <c r="B61" s="51" t="s">
        <v>451</v>
      </c>
      <c r="C61" s="51"/>
      <c r="D61" s="51"/>
      <c r="E61" s="51"/>
      <c r="F61" s="51"/>
      <c r="G61" s="51"/>
      <c r="H61" s="51"/>
      <c r="I61" s="51"/>
    </row>
    <row r="62" spans="1:11" x14ac:dyDescent="0.15">
      <c r="A62" s="26" t="s">
        <v>384</v>
      </c>
      <c r="B62" s="46">
        <v>2060</v>
      </c>
      <c r="C62" s="20">
        <v>2021</v>
      </c>
      <c r="D62" s="20">
        <v>2022</v>
      </c>
      <c r="E62" s="20">
        <v>2023</v>
      </c>
      <c r="F62" s="20">
        <v>2024</v>
      </c>
      <c r="G62" s="20">
        <v>2025</v>
      </c>
      <c r="H62" s="20">
        <v>2026</v>
      </c>
      <c r="I62" s="20">
        <v>2027</v>
      </c>
    </row>
    <row r="63" spans="1:11" x14ac:dyDescent="0.15">
      <c r="A63" s="26" t="s">
        <v>99</v>
      </c>
      <c r="B63" s="58">
        <v>1</v>
      </c>
      <c r="C63" s="76">
        <f>C33/$B33</f>
        <v>0</v>
      </c>
      <c r="D63" s="76">
        <f t="shared" ref="D63:I63" si="2">D33/$B33</f>
        <v>0.3651265887801266</v>
      </c>
      <c r="E63" s="76">
        <f t="shared" si="2"/>
        <v>0.34073695374367813</v>
      </c>
      <c r="F63" s="76">
        <f t="shared" si="2"/>
        <v>0.32486177570076596</v>
      </c>
      <c r="G63" s="76">
        <f t="shared" si="2"/>
        <v>0</v>
      </c>
      <c r="H63" s="76">
        <f t="shared" si="2"/>
        <v>0</v>
      </c>
      <c r="I63" s="76">
        <f t="shared" si="2"/>
        <v>0</v>
      </c>
    </row>
    <row r="64" spans="1:11" x14ac:dyDescent="0.15">
      <c r="A64" s="26" t="s">
        <v>35</v>
      </c>
      <c r="B64" s="58">
        <v>1</v>
      </c>
      <c r="C64" s="76">
        <f t="shared" ref="C64:I88" si="3">C34/$B34</f>
        <v>0</v>
      </c>
      <c r="D64" s="76">
        <f t="shared" si="3"/>
        <v>1.0432700944976183E-3</v>
      </c>
      <c r="E64" s="76">
        <f t="shared" si="3"/>
        <v>0.29944210502289254</v>
      </c>
      <c r="F64" s="76">
        <f t="shared" si="3"/>
        <v>0.28481607624878297</v>
      </c>
      <c r="G64" s="76">
        <f t="shared" si="3"/>
        <v>0.270692182089741</v>
      </c>
      <c r="H64" s="76">
        <f t="shared" si="3"/>
        <v>0.2663756672690834</v>
      </c>
      <c r="I64" s="76">
        <f t="shared" si="3"/>
        <v>0.26219565058253114</v>
      </c>
    </row>
    <row r="65" spans="1:9" x14ac:dyDescent="0.15">
      <c r="A65" s="26" t="s">
        <v>67</v>
      </c>
      <c r="B65" s="58">
        <v>1</v>
      </c>
      <c r="C65" s="76">
        <f t="shared" si="3"/>
        <v>0</v>
      </c>
      <c r="D65" s="76">
        <f t="shared" si="3"/>
        <v>0.34077835326218531</v>
      </c>
      <c r="E65" s="76">
        <f t="shared" si="3"/>
        <v>0.31032751219679772</v>
      </c>
      <c r="F65" s="76">
        <f t="shared" si="3"/>
        <v>0.29403918516877126</v>
      </c>
      <c r="G65" s="76">
        <f t="shared" si="3"/>
        <v>0</v>
      </c>
      <c r="H65" s="76">
        <f t="shared" si="3"/>
        <v>0</v>
      </c>
      <c r="I65" s="76">
        <f t="shared" si="3"/>
        <v>0</v>
      </c>
    </row>
    <row r="66" spans="1:9" x14ac:dyDescent="0.15">
      <c r="A66" s="26" t="s">
        <v>100</v>
      </c>
      <c r="B66" s="58">
        <v>1</v>
      </c>
      <c r="C66" s="76">
        <f t="shared" si="3"/>
        <v>0</v>
      </c>
      <c r="D66" s="76">
        <f t="shared" si="3"/>
        <v>0.16612128492552927</v>
      </c>
      <c r="E66" s="76">
        <f t="shared" si="3"/>
        <v>0.1532412010034489</v>
      </c>
      <c r="F66" s="76">
        <f t="shared" si="3"/>
        <v>0.14664925730774445</v>
      </c>
      <c r="G66" s="76">
        <f t="shared" si="3"/>
        <v>0</v>
      </c>
      <c r="H66" s="76">
        <f t="shared" si="3"/>
        <v>0</v>
      </c>
      <c r="I66" s="76">
        <f t="shared" si="3"/>
        <v>0</v>
      </c>
    </row>
    <row r="67" spans="1:9" x14ac:dyDescent="0.15">
      <c r="A67" s="26" t="s">
        <v>101</v>
      </c>
      <c r="B67" s="58">
        <v>1</v>
      </c>
      <c r="C67" s="76">
        <f t="shared" si="3"/>
        <v>0.32066132673572928</v>
      </c>
      <c r="D67" s="76">
        <f t="shared" si="3"/>
        <v>0.31476311107053151</v>
      </c>
      <c r="E67" s="76">
        <f t="shared" si="3"/>
        <v>0.30386779092574068</v>
      </c>
      <c r="F67" s="76">
        <f t="shared" si="3"/>
        <v>0.29643945053183379</v>
      </c>
      <c r="G67" s="76">
        <f t="shared" si="3"/>
        <v>0.28123578741853628</v>
      </c>
      <c r="H67" s="76">
        <f t="shared" si="3"/>
        <v>0</v>
      </c>
      <c r="I67" s="76">
        <f t="shared" si="3"/>
        <v>0</v>
      </c>
    </row>
    <row r="68" spans="1:9" x14ac:dyDescent="0.15">
      <c r="A68" s="26" t="s">
        <v>72</v>
      </c>
      <c r="B68" s="58">
        <v>1</v>
      </c>
      <c r="C68" s="76">
        <f t="shared" si="3"/>
        <v>1.5408068191462723E-3</v>
      </c>
      <c r="D68" s="76">
        <f t="shared" si="3"/>
        <v>1.5864507755536255E-3</v>
      </c>
      <c r="E68" s="76">
        <f t="shared" si="3"/>
        <v>0.24960912691660195</v>
      </c>
      <c r="F68" s="76">
        <f t="shared" si="3"/>
        <v>0.24752603296489914</v>
      </c>
      <c r="G68" s="76">
        <f t="shared" si="3"/>
        <v>0.2446056045506701</v>
      </c>
      <c r="H68" s="76">
        <f t="shared" si="3"/>
        <v>0.23970780518631285</v>
      </c>
      <c r="I68" s="76">
        <f t="shared" si="3"/>
        <v>0.23654261699090365</v>
      </c>
    </row>
    <row r="69" spans="1:9" x14ac:dyDescent="0.15">
      <c r="A69" s="26" t="s">
        <v>38</v>
      </c>
      <c r="B69" s="58">
        <v>1</v>
      </c>
      <c r="C69" s="76">
        <f t="shared" si="3"/>
        <v>0</v>
      </c>
      <c r="D69" s="76">
        <f t="shared" si="3"/>
        <v>0.18956930152222484</v>
      </c>
      <c r="E69" s="76">
        <f t="shared" si="3"/>
        <v>0.18405512388125272</v>
      </c>
      <c r="F69" s="76">
        <f t="shared" si="3"/>
        <v>0.18205764722273809</v>
      </c>
      <c r="G69" s="76">
        <f t="shared" si="3"/>
        <v>0</v>
      </c>
      <c r="H69" s="76">
        <f t="shared" si="3"/>
        <v>0</v>
      </c>
      <c r="I69" s="76">
        <f t="shared" si="3"/>
        <v>0</v>
      </c>
    </row>
    <row r="70" spans="1:9" x14ac:dyDescent="0.15">
      <c r="A70" s="26" t="s">
        <v>68</v>
      </c>
      <c r="B70" s="58">
        <v>1</v>
      </c>
      <c r="C70" s="76">
        <f t="shared" si="3"/>
        <v>0.28002748755253498</v>
      </c>
      <c r="D70" s="76">
        <f t="shared" si="3"/>
        <v>0.26936194774472005</v>
      </c>
      <c r="E70" s="76">
        <f t="shared" si="3"/>
        <v>0.24969062726938582</v>
      </c>
      <c r="F70" s="76">
        <f t="shared" si="3"/>
        <v>0.23906687206207328</v>
      </c>
      <c r="G70" s="76">
        <f t="shared" si="3"/>
        <v>0.2244353640421656</v>
      </c>
      <c r="H70" s="76">
        <f t="shared" si="3"/>
        <v>0</v>
      </c>
      <c r="I70" s="76">
        <f t="shared" si="3"/>
        <v>0</v>
      </c>
    </row>
    <row r="71" spans="1:9" x14ac:dyDescent="0.15">
      <c r="A71" s="26" t="s">
        <v>40</v>
      </c>
      <c r="B71" s="58">
        <v>1</v>
      </c>
      <c r="C71" s="76">
        <f t="shared" si="3"/>
        <v>9.0618705777692997E-4</v>
      </c>
      <c r="D71" s="76">
        <f t="shared" si="3"/>
        <v>1.7044548913291796E-2</v>
      </c>
      <c r="E71" s="76">
        <f t="shared" si="3"/>
        <v>3.806835919992374E-2</v>
      </c>
      <c r="F71" s="76">
        <f t="shared" si="3"/>
        <v>3.6099064155909605E-2</v>
      </c>
      <c r="G71" s="76">
        <f t="shared" si="3"/>
        <v>2.0614748293675558E-2</v>
      </c>
      <c r="H71" s="76">
        <f t="shared" si="3"/>
        <v>1.9463615554713657E-2</v>
      </c>
      <c r="I71" s="76">
        <f t="shared" si="3"/>
        <v>1.905008324854536E-2</v>
      </c>
    </row>
    <row r="72" spans="1:9" x14ac:dyDescent="0.15">
      <c r="A72" s="26" t="s">
        <v>41</v>
      </c>
      <c r="B72" s="58">
        <v>1</v>
      </c>
      <c r="C72" s="76">
        <f t="shared" si="3"/>
        <v>1.6951945905918017E-2</v>
      </c>
      <c r="D72" s="76">
        <f t="shared" si="3"/>
        <v>0.12693725772091241</v>
      </c>
      <c r="E72" s="76">
        <f t="shared" si="3"/>
        <v>0.18671923435270732</v>
      </c>
      <c r="F72" s="76">
        <f t="shared" si="3"/>
        <v>0.17563180528771399</v>
      </c>
      <c r="G72" s="76">
        <f t="shared" si="3"/>
        <v>7.5469755284709297E-2</v>
      </c>
      <c r="H72" s="76">
        <f t="shared" si="3"/>
        <v>6.0732022709737321E-2</v>
      </c>
      <c r="I72" s="76">
        <f t="shared" si="3"/>
        <v>5.8656823643296239E-2</v>
      </c>
    </row>
    <row r="73" spans="1:9" x14ac:dyDescent="0.15">
      <c r="A73" s="26" t="s">
        <v>42</v>
      </c>
      <c r="B73" s="58">
        <v>1</v>
      </c>
      <c r="C73" s="76">
        <f t="shared" si="3"/>
        <v>0</v>
      </c>
      <c r="D73" s="76">
        <f t="shared" si="3"/>
        <v>0.22884795173118055</v>
      </c>
      <c r="E73" s="76">
        <f t="shared" si="3"/>
        <v>0.22007103535264852</v>
      </c>
      <c r="F73" s="76">
        <f t="shared" si="3"/>
        <v>0.21303953954441124</v>
      </c>
      <c r="G73" s="76">
        <f t="shared" si="3"/>
        <v>0</v>
      </c>
      <c r="H73" s="76">
        <f t="shared" si="3"/>
        <v>0</v>
      </c>
      <c r="I73" s="76">
        <f t="shared" si="3"/>
        <v>0</v>
      </c>
    </row>
    <row r="74" spans="1:9" x14ac:dyDescent="0.15">
      <c r="A74" s="26" t="s">
        <v>43</v>
      </c>
      <c r="B74" s="58">
        <v>1</v>
      </c>
      <c r="C74" s="76">
        <f t="shared" si="3"/>
        <v>0</v>
      </c>
      <c r="D74" s="76">
        <f t="shared" si="3"/>
        <v>2.254622975596704E-5</v>
      </c>
      <c r="E74" s="76">
        <f t="shared" si="3"/>
        <v>0.25564389326743903</v>
      </c>
      <c r="F74" s="76">
        <f t="shared" si="3"/>
        <v>0.24257073008130939</v>
      </c>
      <c r="G74" s="76">
        <f t="shared" si="3"/>
        <v>0.2277706338037703</v>
      </c>
      <c r="H74" s="76">
        <f t="shared" si="3"/>
        <v>0.21503590244695123</v>
      </c>
      <c r="I74" s="76">
        <f t="shared" si="3"/>
        <v>0.20487847002768353</v>
      </c>
    </row>
    <row r="75" spans="1:9" x14ac:dyDescent="0.15">
      <c r="A75" s="26" t="s">
        <v>56</v>
      </c>
      <c r="B75" s="58">
        <v>1</v>
      </c>
      <c r="C75" s="76">
        <f t="shared" si="3"/>
        <v>2.8741964970501317E-2</v>
      </c>
      <c r="D75" s="76">
        <f t="shared" si="3"/>
        <v>2.9373801174560905E-2</v>
      </c>
      <c r="E75" s="76">
        <f t="shared" si="3"/>
        <v>6.0685287237094723E-2</v>
      </c>
      <c r="F75" s="76">
        <f t="shared" si="3"/>
        <v>5.99452039628438E-2</v>
      </c>
      <c r="G75" s="76">
        <f t="shared" si="3"/>
        <v>5.8219969070014081E-2</v>
      </c>
      <c r="H75" s="76">
        <f t="shared" si="3"/>
        <v>3.1206069086964022E-2</v>
      </c>
      <c r="I75" s="76">
        <f t="shared" si="3"/>
        <v>3.0828256551943232E-2</v>
      </c>
    </row>
    <row r="76" spans="1:9" x14ac:dyDescent="0.15">
      <c r="A76" s="26" t="s">
        <v>45</v>
      </c>
      <c r="B76" s="58">
        <v>1</v>
      </c>
      <c r="C76" s="76">
        <f t="shared" si="3"/>
        <v>1.5356989121049739E-2</v>
      </c>
      <c r="D76" s="76">
        <f t="shared" si="3"/>
        <v>3.6401657126026644E-2</v>
      </c>
      <c r="E76" s="76">
        <f t="shared" si="3"/>
        <v>5.0493273938329308E-2</v>
      </c>
      <c r="F76" s="76">
        <f t="shared" si="3"/>
        <v>4.8392326142970503E-2</v>
      </c>
      <c r="G76" s="76">
        <f t="shared" si="3"/>
        <v>2.7786002116057577E-2</v>
      </c>
      <c r="H76" s="76">
        <f t="shared" si="3"/>
        <v>1.4984436832761943E-2</v>
      </c>
      <c r="I76" s="76">
        <f t="shared" si="3"/>
        <v>1.4669670065739908E-2</v>
      </c>
    </row>
    <row r="77" spans="1:9" x14ac:dyDescent="0.15">
      <c r="A77" s="26" t="s">
        <v>46</v>
      </c>
      <c r="B77" s="58">
        <v>1</v>
      </c>
      <c r="C77" s="76">
        <f t="shared" si="3"/>
        <v>1.1974041637320331E-2</v>
      </c>
      <c r="D77" s="76">
        <f t="shared" si="3"/>
        <v>6.9949897107575432E-2</v>
      </c>
      <c r="E77" s="76">
        <f t="shared" si="3"/>
        <v>0.14028071424540156</v>
      </c>
      <c r="F77" s="76">
        <f t="shared" si="3"/>
        <v>0.13122170679882655</v>
      </c>
      <c r="G77" s="76">
        <f t="shared" si="3"/>
        <v>7.6571287536250393E-2</v>
      </c>
      <c r="H77" s="76">
        <f t="shared" si="3"/>
        <v>6.4546497311499418E-2</v>
      </c>
      <c r="I77" s="76">
        <f t="shared" si="3"/>
        <v>6.1538258224115627E-2</v>
      </c>
    </row>
    <row r="78" spans="1:9" x14ac:dyDescent="0.15">
      <c r="A78" s="26" t="s">
        <v>47</v>
      </c>
      <c r="B78" s="58">
        <v>1</v>
      </c>
      <c r="C78" s="76">
        <f t="shared" si="3"/>
        <v>0</v>
      </c>
      <c r="D78" s="76">
        <f t="shared" si="3"/>
        <v>0.28701465754665023</v>
      </c>
      <c r="E78" s="76">
        <f t="shared" si="3"/>
        <v>0.27628699901888321</v>
      </c>
      <c r="F78" s="76">
        <f t="shared" si="3"/>
        <v>0.26810267351174966</v>
      </c>
      <c r="G78" s="76">
        <f t="shared" si="3"/>
        <v>0</v>
      </c>
      <c r="H78" s="76">
        <f t="shared" si="3"/>
        <v>0</v>
      </c>
      <c r="I78" s="76">
        <f t="shared" si="3"/>
        <v>0</v>
      </c>
    </row>
    <row r="79" spans="1:9" x14ac:dyDescent="0.15">
      <c r="A79" s="26" t="s">
        <v>48</v>
      </c>
      <c r="B79" s="58">
        <v>1</v>
      </c>
      <c r="C79" s="76">
        <f t="shared" si="3"/>
        <v>0</v>
      </c>
      <c r="D79" s="76">
        <f t="shared" si="3"/>
        <v>1.0072401889755844E-4</v>
      </c>
      <c r="E79" s="76">
        <f t="shared" si="3"/>
        <v>0.57455948515037947</v>
      </c>
      <c r="F79" s="76">
        <f t="shared" si="3"/>
        <v>0.54019725399172147</v>
      </c>
      <c r="G79" s="76">
        <f t="shared" si="3"/>
        <v>0.50288977547710334</v>
      </c>
      <c r="H79" s="76">
        <f t="shared" si="3"/>
        <v>0.47304467275117534</v>
      </c>
      <c r="I79" s="76">
        <f t="shared" si="3"/>
        <v>0.45076134210201863</v>
      </c>
    </row>
    <row r="80" spans="1:9" x14ac:dyDescent="0.15">
      <c r="A80" s="26" t="s">
        <v>49</v>
      </c>
      <c r="B80" s="58">
        <v>1</v>
      </c>
      <c r="C80" s="76">
        <f t="shared" si="3"/>
        <v>0</v>
      </c>
      <c r="D80" s="76">
        <f t="shared" si="3"/>
        <v>1.2039081567734312E-5</v>
      </c>
      <c r="E80" s="76">
        <f t="shared" si="3"/>
        <v>1.615793995414041</v>
      </c>
      <c r="F80" s="76">
        <f t="shared" si="3"/>
        <v>1.5021058858124825</v>
      </c>
      <c r="G80" s="76">
        <f t="shared" si="3"/>
        <v>1.3772025459923232</v>
      </c>
      <c r="H80" s="76">
        <f t="shared" si="3"/>
        <v>1.2736026926106172</v>
      </c>
      <c r="I80" s="76">
        <f t="shared" si="3"/>
        <v>1.1930131121425644</v>
      </c>
    </row>
    <row r="81" spans="1:9" x14ac:dyDescent="0.15">
      <c r="A81" s="26" t="s">
        <v>50</v>
      </c>
      <c r="B81" s="58">
        <v>1</v>
      </c>
      <c r="C81" s="76">
        <f t="shared" si="3"/>
        <v>0</v>
      </c>
      <c r="D81" s="76">
        <f t="shared" si="3"/>
        <v>0.31660977368412768</v>
      </c>
      <c r="E81" s="76">
        <f t="shared" si="3"/>
        <v>0.30500549041862773</v>
      </c>
      <c r="F81" s="76">
        <f t="shared" si="3"/>
        <v>0.29617413714520502</v>
      </c>
      <c r="G81" s="76">
        <f t="shared" si="3"/>
        <v>0</v>
      </c>
      <c r="H81" s="76">
        <f t="shared" si="3"/>
        <v>0</v>
      </c>
      <c r="I81" s="76">
        <f t="shared" si="3"/>
        <v>0</v>
      </c>
    </row>
    <row r="82" spans="1:9" x14ac:dyDescent="0.15">
      <c r="A82" s="26" t="s">
        <v>81</v>
      </c>
      <c r="B82" s="58">
        <v>1</v>
      </c>
      <c r="C82" s="76">
        <f t="shared" si="3"/>
        <v>0</v>
      </c>
      <c r="D82" s="76">
        <f t="shared" si="3"/>
        <v>1.3212033778420194E-5</v>
      </c>
      <c r="E82" s="76">
        <f t="shared" si="3"/>
        <v>0.14181283172106379</v>
      </c>
      <c r="F82" s="76">
        <f t="shared" si="3"/>
        <v>0.1334694207604073</v>
      </c>
      <c r="G82" s="76">
        <f t="shared" si="3"/>
        <v>0.12607081102660364</v>
      </c>
      <c r="H82" s="76">
        <f t="shared" si="3"/>
        <v>0.12247928425214008</v>
      </c>
      <c r="I82" s="76">
        <f t="shared" si="3"/>
        <v>0.11908870310728202</v>
      </c>
    </row>
    <row r="83" spans="1:9" x14ac:dyDescent="0.15">
      <c r="A83" s="26" t="s">
        <v>71</v>
      </c>
      <c r="B83" s="58">
        <v>1</v>
      </c>
      <c r="C83" s="76">
        <f t="shared" si="3"/>
        <v>0</v>
      </c>
      <c r="D83" s="76">
        <f t="shared" si="3"/>
        <v>0.22342156926458601</v>
      </c>
      <c r="E83" s="76">
        <f t="shared" si="3"/>
        <v>0.21604909203720879</v>
      </c>
      <c r="F83" s="76">
        <f t="shared" si="3"/>
        <v>0.21190308879993031</v>
      </c>
      <c r="G83" s="76">
        <f t="shared" si="3"/>
        <v>0</v>
      </c>
      <c r="H83" s="76">
        <f t="shared" si="3"/>
        <v>0</v>
      </c>
      <c r="I83" s="76">
        <f t="shared" si="3"/>
        <v>0</v>
      </c>
    </row>
    <row r="84" spans="1:9" x14ac:dyDescent="0.15">
      <c r="A84" s="26" t="s">
        <v>53</v>
      </c>
      <c r="B84" s="58">
        <v>1</v>
      </c>
      <c r="C84" s="76">
        <f t="shared" si="3"/>
        <v>0</v>
      </c>
      <c r="D84" s="76">
        <f t="shared" si="3"/>
        <v>1.3945274586264583E-5</v>
      </c>
      <c r="E84" s="76">
        <f t="shared" si="3"/>
        <v>0.15947730527695705</v>
      </c>
      <c r="F84" s="76">
        <f t="shared" si="3"/>
        <v>0.15444678709273718</v>
      </c>
      <c r="G84" s="76">
        <f t="shared" si="3"/>
        <v>0.14854562766173995</v>
      </c>
      <c r="H84" s="76">
        <f t="shared" si="3"/>
        <v>0.14319576987577737</v>
      </c>
      <c r="I84" s="76">
        <f t="shared" si="3"/>
        <v>0.13879846999306622</v>
      </c>
    </row>
    <row r="85" spans="1:9" x14ac:dyDescent="0.15">
      <c r="A85" s="26" t="s">
        <v>76</v>
      </c>
      <c r="B85" s="58">
        <v>1</v>
      </c>
      <c r="C85" s="76">
        <f t="shared" si="3"/>
        <v>0</v>
      </c>
      <c r="D85" s="76">
        <f t="shared" si="3"/>
        <v>1.2030786351026099</v>
      </c>
      <c r="E85" s="76">
        <f t="shared" si="3"/>
        <v>1.1457889441369014</v>
      </c>
      <c r="F85" s="76">
        <f t="shared" si="3"/>
        <v>1.031026092300714</v>
      </c>
      <c r="G85" s="76">
        <f t="shared" si="3"/>
        <v>0</v>
      </c>
      <c r="H85" s="76">
        <f t="shared" si="3"/>
        <v>0</v>
      </c>
      <c r="I85" s="76">
        <f t="shared" si="3"/>
        <v>0</v>
      </c>
    </row>
    <row r="86" spans="1:9" x14ac:dyDescent="0.15">
      <c r="A86" s="26" t="s">
        <v>83</v>
      </c>
      <c r="B86" s="58">
        <v>1</v>
      </c>
      <c r="C86" s="76">
        <f t="shared" si="3"/>
        <v>0</v>
      </c>
      <c r="D86" s="76">
        <f t="shared" si="3"/>
        <v>0.95184408984828728</v>
      </c>
      <c r="E86" s="76">
        <f t="shared" si="3"/>
        <v>0.89752536263392924</v>
      </c>
      <c r="F86" s="76">
        <f t="shared" si="3"/>
        <v>0.82882109453576969</v>
      </c>
      <c r="G86" s="76">
        <f t="shared" si="3"/>
        <v>0</v>
      </c>
      <c r="H86" s="76">
        <f t="shared" si="3"/>
        <v>0</v>
      </c>
      <c r="I86" s="76">
        <f t="shared" si="3"/>
        <v>0</v>
      </c>
    </row>
    <row r="87" spans="1:9" x14ac:dyDescent="0.15">
      <c r="A87" s="60" t="s">
        <v>55</v>
      </c>
      <c r="B87" s="64">
        <v>1</v>
      </c>
      <c r="C87" s="76">
        <f t="shared" si="3"/>
        <v>0</v>
      </c>
      <c r="D87" s="76">
        <f t="shared" si="3"/>
        <v>0.40199907519901751</v>
      </c>
      <c r="E87" s="76">
        <f t="shared" si="3"/>
        <v>0.37771047739372338</v>
      </c>
      <c r="F87" s="76">
        <f t="shared" si="3"/>
        <v>0.35952490654505898</v>
      </c>
      <c r="G87" s="76">
        <f t="shared" si="3"/>
        <v>0</v>
      </c>
      <c r="H87" s="76">
        <f t="shared" si="3"/>
        <v>0</v>
      </c>
      <c r="I87" s="76">
        <f t="shared" si="3"/>
        <v>0</v>
      </c>
    </row>
    <row r="88" spans="1:9" x14ac:dyDescent="0.15">
      <c r="A88" s="62" t="s">
        <v>445</v>
      </c>
      <c r="B88" s="62">
        <v>1</v>
      </c>
      <c r="C88" s="85">
        <f>C58/$B58</f>
        <v>1.6633041454615603E-2</v>
      </c>
      <c r="D88" s="85">
        <f>D58/$B58</f>
        <v>4.3131899551778589E-2</v>
      </c>
      <c r="E88" s="85">
        <f t="shared" si="3"/>
        <v>9.0661824102985539E-2</v>
      </c>
      <c r="F88" s="85">
        <f t="shared" si="3"/>
        <v>8.6339148642620628E-2</v>
      </c>
      <c r="G88" s="85">
        <f t="shared" si="3"/>
        <v>5.9020080853484508E-2</v>
      </c>
      <c r="H88" s="85">
        <f t="shared" si="3"/>
        <v>4.4449193881138244E-2</v>
      </c>
      <c r="I88" s="85">
        <f t="shared" si="3"/>
        <v>4.3288751144227755E-2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4BE9A-02DF-4816-BDE9-2D554B9756B5}">
  <dimension ref="A1:T88"/>
  <sheetViews>
    <sheetView workbookViewId="0">
      <selection activeCell="S3" sqref="S3:T27"/>
    </sheetView>
  </sheetViews>
  <sheetFormatPr defaultColWidth="9" defaultRowHeight="12" x14ac:dyDescent="0.15"/>
  <cols>
    <col min="1" max="1" width="27" style="21" customWidth="1"/>
    <col min="2" max="2" width="11" style="21" customWidth="1"/>
    <col min="3" max="9" width="8.5" style="21" customWidth="1"/>
    <col min="10" max="10" width="10" style="21" customWidth="1"/>
    <col min="11" max="11" width="9" style="21" customWidth="1"/>
    <col min="12" max="12" width="31.875" style="21" customWidth="1"/>
    <col min="13" max="16384" width="9" style="21"/>
  </cols>
  <sheetData>
    <row r="1" spans="1:20" x14ac:dyDescent="0.15">
      <c r="A1" s="51" t="s">
        <v>104</v>
      </c>
      <c r="B1" s="51" t="s">
        <v>462</v>
      </c>
      <c r="C1" s="51"/>
      <c r="D1" s="51"/>
      <c r="E1" s="51"/>
      <c r="F1" s="51"/>
      <c r="G1" s="51"/>
      <c r="H1" s="51"/>
      <c r="I1" s="51"/>
      <c r="K1" s="21" t="s">
        <v>440</v>
      </c>
      <c r="L1" s="51" t="s">
        <v>104</v>
      </c>
      <c r="M1" s="51" t="s">
        <v>438</v>
      </c>
      <c r="N1" s="51"/>
      <c r="O1" s="51"/>
      <c r="P1" s="51"/>
      <c r="Q1" s="51"/>
      <c r="R1" s="51"/>
      <c r="S1" s="51"/>
      <c r="T1" s="51"/>
    </row>
    <row r="2" spans="1:20" x14ac:dyDescent="0.15">
      <c r="A2" s="26" t="s">
        <v>384</v>
      </c>
      <c r="B2" s="46" t="s">
        <v>437</v>
      </c>
      <c r="C2" s="20">
        <v>2021</v>
      </c>
      <c r="D2" s="20">
        <v>2022</v>
      </c>
      <c r="E2" s="20">
        <v>2023</v>
      </c>
      <c r="F2" s="20">
        <v>2024</v>
      </c>
      <c r="G2" s="20">
        <v>2025</v>
      </c>
      <c r="H2" s="20">
        <v>2026</v>
      </c>
      <c r="I2" s="20">
        <v>2027</v>
      </c>
      <c r="K2" s="21">
        <v>277435549975.86145</v>
      </c>
      <c r="L2" s="26" t="s">
        <v>384</v>
      </c>
      <c r="M2" s="46" t="s">
        <v>437</v>
      </c>
      <c r="N2" s="20">
        <v>2021</v>
      </c>
      <c r="O2" s="20">
        <v>2022</v>
      </c>
      <c r="P2" s="20">
        <v>2023</v>
      </c>
      <c r="Q2" s="20">
        <v>2024</v>
      </c>
      <c r="R2" s="20">
        <v>2025</v>
      </c>
      <c r="S2" s="20">
        <v>2026</v>
      </c>
      <c r="T2" s="20">
        <v>2027</v>
      </c>
    </row>
    <row r="3" spans="1:20" x14ac:dyDescent="0.15">
      <c r="A3" s="26" t="s">
        <v>99</v>
      </c>
      <c r="B3" s="50">
        <f>SUMIFS(工业节能技术装备推荐目录!L:L,工业节能技术装备推荐目录!D:D,'Installation&amp;System Integration'!A3,工业节能技术装备推荐目录!F:F,'Installation&amp;System Integration'!$A$1)+SUMIFS(用能设备节能分配!R:R,用能设备节能分配!O:O,'Installation&amp;System Integration'!A3,用能设备节能分配!P:P,'Installation&amp;System Integration'!$A$1)</f>
        <v>35.103210161941846</v>
      </c>
      <c r="C3" s="73">
        <f>SUMIFS(工业节能技术装备推荐目录!K:K,工业节能技术装备推荐目录!D:D,'Installation&amp;System Integration'!A3,工业节能技术装备推荐目录!F:F,'Installation&amp;System Integration'!$A$1,工业节能技术装备推荐目录!A:A,"2020")+SUMIFS(用能设备节能分配!Q:Q,用能设备节能分配!O:O,'Installation&amp;System Integration'!A3,用能设备节能分配!P:P,'Installation&amp;System Integration'!$A$1,用能设备节能分配!M:M,"2020")</f>
        <v>1.3962540579612177</v>
      </c>
      <c r="D3" s="73">
        <f>SUMIFS(工业节能技术装备推荐目录!K:K,工业节能技术装备推荐目录!D:D,'Installation&amp;System Integration'!A3,工业节能技术装备推荐目录!F:F,'Installation&amp;System Integration'!$A$1,工业节能技术装备推荐目录!A:A,"2020")+SUMIFS(用能设备节能分配!Q:Q,用能设备节能分配!O:O,'Installation&amp;System Integration'!A3,用能设备节能分配!P:P,'Installation&amp;System Integration'!$A$1,用能设备节能分配!M:M,"2020")+SUMIFS(工业节能技术装备推荐目录!K:K,工业节能技术装备推荐目录!D:D,'Installation&amp;System Integration'!A3,工业节能技术装备推荐目录!F:F,'Installation&amp;System Integration'!$A$1,工业节能技术装备推荐目录!A:A,"2021")+SUMIFS(用能设备节能分配!Q:Q,用能设备节能分配!O:O,'Installation&amp;System Integration'!A3,用能设备节能分配!P:P,'Installation&amp;System Integration'!$A$1,用能设备节能分配!M:M,"2021")</f>
        <v>4.3504770771729042</v>
      </c>
      <c r="E3" s="73">
        <f>SUMIFS(工业节能技术装备推荐目录!K:K,工业节能技术装备推荐目录!D:D,'Installation&amp;System Integration'!A3,工业节能技术装备推荐目录!F:F,'Installation&amp;System Integration'!$A$1,工业节能技术装备推荐目录!A:A,"2020")+SUMIFS(用能设备节能分配!Q:Q,用能设备节能分配!O:O,'Installation&amp;System Integration'!A3,用能设备节能分配!P:P,'Installation&amp;System Integration'!$A$1,用能设备节能分配!M:M,"2020")+SUMIFS(工业节能技术装备推荐目录!K:K,工业节能技术装备推荐目录!D:D,'Installation&amp;System Integration'!A3,工业节能技术装备推荐目录!F:F,'Installation&amp;System Integration'!$A$1,工业节能技术装备推荐目录!A:A,"2021")+SUMIFS(用能设备节能分配!Q:Q,用能设备节能分配!O:O,'Installation&amp;System Integration'!A3,用能设备节能分配!P:P,'Installation&amp;System Integration'!$A$1,用能设备节能分配!M:M,"2021")+SUMIFS(工业节能技术装备推荐目录!K:K,工业节能技术装备推荐目录!D:D,'Installation&amp;System Integration'!A3,工业节能技术装备推荐目录!F:F,'Installation&amp;System Integration'!$A$1,工业节能技术装备推荐目录!A:A,"2022")+SUMIFS(用能设备节能分配!Q:Q,用能设备节能分配!O:O,'Installation&amp;System Integration'!A3,用能设备节能分配!P:P,'Installation&amp;System Integration'!$A$1,用能设备节能分配!M:M,"2022")</f>
        <v>4.3504770771729042</v>
      </c>
      <c r="F3" s="73">
        <f>SUMIFS(工业节能技术装备推荐目录!K:K,工业节能技术装备推荐目录!D:D,'Installation&amp;System Integration'!A3,工业节能技术装备推荐目录!F:F,'Installation&amp;System Integration'!$A$1,工业节能技术装备推荐目录!A:A,"2020")+SUMIFS(用能设备节能分配!Q:Q,用能设备节能分配!O:O,'Installation&amp;System Integration'!A3,用能设备节能分配!P:P,'Installation&amp;System Integration'!$A$1,用能设备节能分配!M:M,"2020")+SUMIFS(工业节能技术装备推荐目录!K:K,工业节能技术装备推荐目录!D:D,'Installation&amp;System Integration'!A3,工业节能技术装备推荐目录!F:F,'Installation&amp;System Integration'!$A$1,工业节能技术装备推荐目录!A:A,"2021")+SUMIFS(用能设备节能分配!Q:Q,用能设备节能分配!O:O,'Installation&amp;System Integration'!A3,用能设备节能分配!P:P,'Installation&amp;System Integration'!$A$1,用能设备节能分配!M:M,"2021")+SUMIFS(工业节能技术装备推荐目录!K:K,工业节能技术装备推荐目录!D:D,'Installation&amp;System Integration'!A3,工业节能技术装备推荐目录!F:F,'Installation&amp;System Integration'!$A$1,工业节能技术装备推荐目录!A:A,"2022")+SUMIFS(用能设备节能分配!Q:Q,用能设备节能分配!O:O,'Installation&amp;System Integration'!A3,用能设备节能分配!P:P,'Installation&amp;System Integration'!$A$1,用能设备节能分配!M:M,"2022")</f>
        <v>4.3504770771729042</v>
      </c>
      <c r="G3" s="73">
        <f>SUMIFS(工业节能技术装备推荐目录!K:K,工业节能技术装备推荐目录!D:D,'Installation&amp;System Integration'!A3,工业节能技术装备推荐目录!F:F,'Installation&amp;System Integration'!$A$1,工业节能技术装备推荐目录!A:A,"2020")+SUMIFS(用能设备节能分配!Q:Q,用能设备节能分配!O:O,'Installation&amp;System Integration'!A3,用能设备节能分配!P:P,'Installation&amp;System Integration'!$A$1,用能设备节能分配!M:M,"2020")+SUMIFS(工业节能技术装备推荐目录!K:K,工业节能技术装备推荐目录!D:D,'Installation&amp;System Integration'!A3,工业节能技术装备推荐目录!F:F,'Installation&amp;System Integration'!$A$1,工业节能技术装备推荐目录!A:A,"2022")+SUMIFS(用能设备节能分配!Q:Q,用能设备节能分配!O:O,'Installation&amp;System Integration'!A3,用能设备节能分配!P:P,'Installation&amp;System Integration'!$A$1,用能设备节能分配!M:M,"2022")</f>
        <v>1.3962540579612177</v>
      </c>
      <c r="H3" s="73">
        <f>SUMIFS(工业节能技术装备推荐目录!K:K,工业节能技术装备推荐目录!D:D,'Installation&amp;System Integration'!A3,工业节能技术装备推荐目录!F:F,'Installation&amp;System Integration'!$A$1,工业节能技术装备推荐目录!A:A,"2022")+SUMIFS(用能设备节能分配!Q:Q,用能设备节能分配!O:O,'Installation&amp;System Integration'!A3,用能设备节能分配!P:P,'Installation&amp;System Integration'!$A$1,用能设备节能分配!M:M,"2022")</f>
        <v>0</v>
      </c>
      <c r="I3" s="73">
        <f>SUMIFS(工业节能技术装备推荐目录!K:K,工业节能技术装备推荐目录!D:D,'Installation&amp;System Integration'!A3,工业节能技术装备推荐目录!F:F,'Installation&amp;System Integration'!$A$1,工业节能技术装备推荐目录!A:A,"2022")+SUMIFS(用能设备节能分配!Q:Q,用能设备节能分配!O:O,'Installation&amp;System Integration'!A3,用能设备节能分配!P:P,'Installation&amp;System Integration'!$A$1,用能设备节能分配!M:M,"2022")</f>
        <v>0</v>
      </c>
      <c r="K3" s="52"/>
      <c r="L3" s="26" t="s">
        <v>99</v>
      </c>
      <c r="M3" s="50">
        <f>SUMIFS(工业节能技术装备推荐目录!L:L,工业节能技术装备推荐目录!D:D,'Installation&amp;System Integration'!A3,工业节能技术装备推荐目录!F:F,'Installation&amp;System Integration'!$A$1)</f>
        <v>0</v>
      </c>
      <c r="N3" s="73">
        <f>SUMIFS(工业节能技术装备推荐目录!K:K,工业节能技术装备推荐目录!D:D,'Installation&amp;System Integration'!A3,工业节能技术装备推荐目录!F:F,'Installation&amp;System Integration'!$A$1,工业节能技术装备推荐目录!A:A,"2020")</f>
        <v>0</v>
      </c>
      <c r="O3" s="73">
        <f>SUMIFS(工业节能技术装备推荐目录!K:K,工业节能技术装备推荐目录!D:D,'Installation&amp;System Integration'!A3,工业节能技术装备推荐目录!F:F,'Installation&amp;System Integration'!$A$1,工业节能技术装备推荐目录!A:A,"2020")+SUMIFS(工业节能技术装备推荐目录!K:K,工业节能技术装备推荐目录!D:D,'Installation&amp;System Integration'!A3,工业节能技术装备推荐目录!F:F,'Installation&amp;System Integration'!$A$1,工业节能技术装备推荐目录!A:A,"2021")</f>
        <v>0</v>
      </c>
      <c r="P3" s="73">
        <f>SUMIFS(工业节能技术装备推荐目录!K:K,工业节能技术装备推荐目录!D:D,'Installation&amp;System Integration'!A3,工业节能技术装备推荐目录!F:F,'Installation&amp;System Integration'!$A$1,工业节能技术装备推荐目录!A:A,"2020")+SUMIFS(工业节能技术装备推荐目录!K:K,工业节能技术装备推荐目录!D:D,'Installation&amp;System Integration'!A3,工业节能技术装备推荐目录!F:F,'Installation&amp;System Integration'!$A$1,工业节能技术装备推荐目录!A:A,"2021")+SUMIFS(工业节能技术装备推荐目录!K:K,工业节能技术装备推荐目录!D:D,'Installation&amp;System Integration'!A3,工业节能技术装备推荐目录!F:F,'Installation&amp;System Integration'!$A$1,工业节能技术装备推荐目录!A:A,"2022")</f>
        <v>0</v>
      </c>
      <c r="Q3" s="73">
        <f>SUMIFS(工业节能技术装备推荐目录!K:K,工业节能技术装备推荐目录!D:D,'Installation&amp;System Integration'!A3,工业节能技术装备推荐目录!F:F,'Installation&amp;System Integration'!$A$1,工业节能技术装备推荐目录!A:A,"2020")+SUMIFS(工业节能技术装备推荐目录!K:K,工业节能技术装备推荐目录!D:D,'Installation&amp;System Integration'!A3,工业节能技术装备推荐目录!F:F,'Installation&amp;System Integration'!$A$1,工业节能技术装备推荐目录!A:A,"2021")+SUMIFS(工业节能技术装备推荐目录!K:K,工业节能技术装备推荐目录!D:D,'Installation&amp;System Integration'!A3,工业节能技术装备推荐目录!F:F,'Installation&amp;System Integration'!$A$1,工业节能技术装备推荐目录!A:A,"2022")</f>
        <v>0</v>
      </c>
      <c r="R3" s="73">
        <f>SUMIFS(工业节能技术装备推荐目录!K:K,工业节能技术装备推荐目录!D:D,'Installation&amp;System Integration'!A3,工业节能技术装备推荐目录!F:F,'Installation&amp;System Integration'!$A$1,工业节能技术装备推荐目录!A:A,"2020")+SUMIFS(工业节能技术装备推荐目录!K:K,工业节能技术装备推荐目录!D:D,'Installation&amp;System Integration'!A3,工业节能技术装备推荐目录!F:F,'Installation&amp;System Integration'!$A$1,工业节能技术装备推荐目录!A:A,"2022")</f>
        <v>0</v>
      </c>
      <c r="S3" s="73">
        <f>SUMIFS(工业节能技术装备推荐目录!K:K,工业节能技术装备推荐目录!D:D,'Installation&amp;System Integration'!A3,工业节能技术装备推荐目录!F:F,'Installation&amp;System Integration'!$A$1,工业节能技术装备推荐目录!A:A,"2022")</f>
        <v>0</v>
      </c>
      <c r="T3" s="73">
        <f>SUMIFS(工业节能技术装备推荐目录!K:K,工业节能技术装备推荐目录!D:D,'Installation&amp;System Integration'!A3,工业节能技术装备推荐目录!F:F,'Installation&amp;System Integration'!$A$1,工业节能技术装备推荐目录!A:A,"2022")</f>
        <v>0</v>
      </c>
    </row>
    <row r="4" spans="1:20" x14ac:dyDescent="0.15">
      <c r="A4" s="26" t="s">
        <v>35</v>
      </c>
      <c r="B4" s="50">
        <f>SUMIFS(工业节能技术装备推荐目录!L:L,工业节能技术装备推荐目录!D:D,'Installation&amp;System Integration'!A4,工业节能技术装备推荐目录!F:F,'Installation&amp;System Integration'!$A$1)+SUMIFS(用能设备节能分配!R:R,用能设备节能分配!O:O,'Installation&amp;System Integration'!A4,用能设备节能分配!P:P,'Installation&amp;System Integration'!$A$1)</f>
        <v>42.214424620397047</v>
      </c>
      <c r="C4" s="73">
        <f>SUMIFS(工业节能技术装备推荐目录!K:K,工业节能技术装备推荐目录!D:D,'Installation&amp;System Integration'!A4,工业节能技术装备推荐目录!F:F,'Installation&amp;System Integration'!$A$1,工业节能技术装备推荐目录!A:A,"2020")+SUMIFS(用能设备节能分配!Q:Q,用能设备节能分配!O:O,'Installation&amp;System Integration'!A4,用能设备节能分配!P:P,'Installation&amp;System Integration'!$A$1,用能设备节能分配!M:M,"2020")</f>
        <v>1.6791074493987745</v>
      </c>
      <c r="D4" s="73">
        <f>SUMIFS(工业节能技术装备推荐目录!K:K,工业节能技术装备推荐目录!D:D,'Installation&amp;System Integration'!A4,工业节能技术装备推荐目录!F:F,'Installation&amp;System Integration'!$A$1,工业节能技术装备推荐目录!A:A,"2020")+SUMIFS(用能设备节能分配!Q:Q,用能设备节能分配!O:O,'Installation&amp;System Integration'!A4,用能设备节能分配!P:P,'Installation&amp;System Integration'!$A$1,用能设备节能分配!M:M,"2020")+SUMIFS(工业节能技术装备推荐目录!K:K,工业节能技术装备推荐目录!D:D,'Installation&amp;System Integration'!A4,工业节能技术装备推荐目录!F:F,'Installation&amp;System Integration'!$A$1,工业节能技术装备推荐目录!A:A,"2021")+SUMIFS(用能设备节能分配!Q:Q,用能设备节能分配!O:O,'Installation&amp;System Integration'!A4,用能设备节能分配!P:P,'Installation&amp;System Integration'!$A$1,用能设备节能分配!M:M,"2021")</f>
        <v>5.2317974848976458</v>
      </c>
      <c r="E4" s="73">
        <f>SUMIFS(工业节能技术装备推荐目录!K:K,工业节能技术装备推荐目录!D:D,'Installation&amp;System Integration'!A4,工业节能技术装备推荐目录!F:F,'Installation&amp;System Integration'!$A$1,工业节能技术装备推荐目录!A:A,"2020")+SUMIFS(用能设备节能分配!Q:Q,用能设备节能分配!O:O,'Installation&amp;System Integration'!A4,用能设备节能分配!P:P,'Installation&amp;System Integration'!$A$1,用能设备节能分配!M:M,"2020")+SUMIFS(工业节能技术装备推荐目录!K:K,工业节能技术装备推荐目录!D:D,'Installation&amp;System Integration'!A4,工业节能技术装备推荐目录!F:F,'Installation&amp;System Integration'!$A$1,工业节能技术装备推荐目录!A:A,"2021")+SUMIFS(用能设备节能分配!Q:Q,用能设备节能分配!O:O,'Installation&amp;System Integration'!A4,用能设备节能分配!P:P,'Installation&amp;System Integration'!$A$1,用能设备节能分配!M:M,"2021")+SUMIFS(工业节能技术装备推荐目录!K:K,工业节能技术装备推荐目录!D:D,'Installation&amp;System Integration'!A4,工业节能技术装备推荐目录!F:F,'Installation&amp;System Integration'!$A$1,工业节能技术装备推荐目录!A:A,"2022")+SUMIFS(用能设备节能分配!Q:Q,用能设备节能分配!O:O,'Installation&amp;System Integration'!A4,用能设备节能分配!P:P,'Installation&amp;System Integration'!$A$1,用能设备节能分配!M:M,"2022")</f>
        <v>5.2317974848976458</v>
      </c>
      <c r="F4" s="73">
        <f>SUMIFS(工业节能技术装备推荐目录!K:K,工业节能技术装备推荐目录!D:D,'Installation&amp;System Integration'!A4,工业节能技术装备推荐目录!F:F,'Installation&amp;System Integration'!$A$1,工业节能技术装备推荐目录!A:A,"2020")+SUMIFS(用能设备节能分配!Q:Q,用能设备节能分配!O:O,'Installation&amp;System Integration'!A4,用能设备节能分配!P:P,'Installation&amp;System Integration'!$A$1,用能设备节能分配!M:M,"2020")+SUMIFS(工业节能技术装备推荐目录!K:K,工业节能技术装备推荐目录!D:D,'Installation&amp;System Integration'!A4,工业节能技术装备推荐目录!F:F,'Installation&amp;System Integration'!$A$1,工业节能技术装备推荐目录!A:A,"2021")+SUMIFS(用能设备节能分配!Q:Q,用能设备节能分配!O:O,'Installation&amp;System Integration'!A4,用能设备节能分配!P:P,'Installation&amp;System Integration'!$A$1,用能设备节能分配!M:M,"2021")+SUMIFS(工业节能技术装备推荐目录!K:K,工业节能技术装备推荐目录!D:D,'Installation&amp;System Integration'!A4,工业节能技术装备推荐目录!F:F,'Installation&amp;System Integration'!$A$1,工业节能技术装备推荐目录!A:A,"2022")+SUMIFS(用能设备节能分配!Q:Q,用能设备节能分配!O:O,'Installation&amp;System Integration'!A4,用能设备节能分配!P:P,'Installation&amp;System Integration'!$A$1,用能设备节能分配!M:M,"2022")</f>
        <v>5.2317974848976458</v>
      </c>
      <c r="G4" s="73">
        <f>SUMIFS(工业节能技术装备推荐目录!K:K,工业节能技术装备推荐目录!D:D,'Installation&amp;System Integration'!A4,工业节能技术装备推荐目录!F:F,'Installation&amp;System Integration'!$A$1,工业节能技术装备推荐目录!A:A,"2020")+SUMIFS(用能设备节能分配!Q:Q,用能设备节能分配!O:O,'Installation&amp;System Integration'!A4,用能设备节能分配!P:P,'Installation&amp;System Integration'!$A$1,用能设备节能分配!M:M,"2020")+SUMIFS(工业节能技术装备推荐目录!K:K,工业节能技术装备推荐目录!D:D,'Installation&amp;System Integration'!A4,工业节能技术装备推荐目录!F:F,'Installation&amp;System Integration'!$A$1,工业节能技术装备推荐目录!A:A,"2022")+SUMIFS(用能设备节能分配!Q:Q,用能设备节能分配!O:O,'Installation&amp;System Integration'!A4,用能设备节能分配!P:P,'Installation&amp;System Integration'!$A$1,用能设备节能分配!M:M,"2022")</f>
        <v>1.6791074493987745</v>
      </c>
      <c r="H4" s="73">
        <f>SUMIFS(工业节能技术装备推荐目录!K:K,工业节能技术装备推荐目录!D:D,'Installation&amp;System Integration'!A4,工业节能技术装备推荐目录!F:F,'Installation&amp;System Integration'!$A$1,工业节能技术装备推荐目录!A:A,"2022")+SUMIFS(用能设备节能分配!Q:Q,用能设备节能分配!O:O,'Installation&amp;System Integration'!A4,用能设备节能分配!P:P,'Installation&amp;System Integration'!$A$1,用能设备节能分配!M:M,"2022")</f>
        <v>0</v>
      </c>
      <c r="I4" s="73">
        <f>SUMIFS(工业节能技术装备推荐目录!K:K,工业节能技术装备推荐目录!D:D,'Installation&amp;System Integration'!A4,工业节能技术装备推荐目录!F:F,'Installation&amp;System Integration'!$A$1,工业节能技术装备推荐目录!A:A,"2022")+SUMIFS(用能设备节能分配!Q:Q,用能设备节能分配!O:O,'Installation&amp;System Integration'!A4,用能设备节能分配!P:P,'Installation&amp;System Integration'!$A$1,用能设备节能分配!M:M,"2022")</f>
        <v>0</v>
      </c>
      <c r="K4" s="52"/>
      <c r="L4" s="26" t="s">
        <v>35</v>
      </c>
      <c r="M4" s="50">
        <f>SUMIFS(工业节能技术装备推荐目录!L:L,工业节能技术装备推荐目录!D:D,'Installation&amp;System Integration'!A4,工业节能技术装备推荐目录!F:F,'Installation&amp;System Integration'!$A$1)</f>
        <v>0</v>
      </c>
      <c r="N4" s="73">
        <f>SUMIFS(工业节能技术装备推荐目录!K:K,工业节能技术装备推荐目录!D:D,'Installation&amp;System Integration'!A4,工业节能技术装备推荐目录!F:F,'Installation&amp;System Integration'!$A$1,工业节能技术装备推荐目录!A:A,"2020")</f>
        <v>0</v>
      </c>
      <c r="O4" s="73">
        <f>SUMIFS(工业节能技术装备推荐目录!K:K,工业节能技术装备推荐目录!D:D,'Installation&amp;System Integration'!A4,工业节能技术装备推荐目录!F:F,'Installation&amp;System Integration'!$A$1,工业节能技术装备推荐目录!A:A,"2020")+SUMIFS(工业节能技术装备推荐目录!K:K,工业节能技术装备推荐目录!D:D,'Installation&amp;System Integration'!A4,工业节能技术装备推荐目录!F:F,'Installation&amp;System Integration'!$A$1,工业节能技术装备推荐目录!A:A,"2021")</f>
        <v>0</v>
      </c>
      <c r="P4" s="73">
        <f>SUMIFS(工业节能技术装备推荐目录!K:K,工业节能技术装备推荐目录!D:D,'Installation&amp;System Integration'!A4,工业节能技术装备推荐目录!F:F,'Installation&amp;System Integration'!$A$1,工业节能技术装备推荐目录!A:A,"2020")+SUMIFS(工业节能技术装备推荐目录!K:K,工业节能技术装备推荐目录!D:D,'Installation&amp;System Integration'!A4,工业节能技术装备推荐目录!F:F,'Installation&amp;System Integration'!$A$1,工业节能技术装备推荐目录!A:A,"2021")+SUMIFS(工业节能技术装备推荐目录!K:K,工业节能技术装备推荐目录!D:D,'Installation&amp;System Integration'!A4,工业节能技术装备推荐目录!F:F,'Installation&amp;System Integration'!$A$1,工业节能技术装备推荐目录!A:A,"2022")</f>
        <v>0</v>
      </c>
      <c r="Q4" s="73">
        <f>SUMIFS(工业节能技术装备推荐目录!K:K,工业节能技术装备推荐目录!D:D,'Installation&amp;System Integration'!A4,工业节能技术装备推荐目录!F:F,'Installation&amp;System Integration'!$A$1,工业节能技术装备推荐目录!A:A,"2020")+SUMIFS(工业节能技术装备推荐目录!K:K,工业节能技术装备推荐目录!D:D,'Installation&amp;System Integration'!A4,工业节能技术装备推荐目录!F:F,'Installation&amp;System Integration'!$A$1,工业节能技术装备推荐目录!A:A,"2021")+SUMIFS(工业节能技术装备推荐目录!K:K,工业节能技术装备推荐目录!D:D,'Installation&amp;System Integration'!A4,工业节能技术装备推荐目录!F:F,'Installation&amp;System Integration'!$A$1,工业节能技术装备推荐目录!A:A,"2022")</f>
        <v>0</v>
      </c>
      <c r="R4" s="73">
        <f>SUMIFS(工业节能技术装备推荐目录!K:K,工业节能技术装备推荐目录!D:D,'Installation&amp;System Integration'!A4,工业节能技术装备推荐目录!F:F,'Installation&amp;System Integration'!$A$1,工业节能技术装备推荐目录!A:A,"2020")+SUMIFS(工业节能技术装备推荐目录!K:K,工业节能技术装备推荐目录!D:D,'Installation&amp;System Integration'!A4,工业节能技术装备推荐目录!F:F,'Installation&amp;System Integration'!$A$1,工业节能技术装备推荐目录!A:A,"2022")</f>
        <v>0</v>
      </c>
      <c r="S4" s="73">
        <f>SUMIFS(工业节能技术装备推荐目录!K:K,工业节能技术装备推荐目录!D:D,'Installation&amp;System Integration'!A4,工业节能技术装备推荐目录!F:F,'Installation&amp;System Integration'!$A$1,工业节能技术装备推荐目录!A:A,"2022")</f>
        <v>0</v>
      </c>
      <c r="T4" s="73">
        <f>SUMIFS(工业节能技术装备推荐目录!K:K,工业节能技术装备推荐目录!D:D,'Installation&amp;System Integration'!A4,工业节能技术装备推荐目录!F:F,'Installation&amp;System Integration'!$A$1,工业节能技术装备推荐目录!A:A,"2022")</f>
        <v>0</v>
      </c>
    </row>
    <row r="5" spans="1:20" x14ac:dyDescent="0.15">
      <c r="A5" s="26" t="s">
        <v>67</v>
      </c>
      <c r="B5" s="50">
        <f>SUMIFS(工业节能技术装备推荐目录!L:L,工业节能技术装备推荐目录!D:D,'Installation&amp;System Integration'!A5,工业节能技术装备推荐目录!F:F,'Installation&amp;System Integration'!$A$1)+SUMIFS(用能设备节能分配!R:R,用能设备节能分配!O:O,'Installation&amp;System Integration'!A5,用能设备节能分配!P:P,'Installation&amp;System Integration'!$A$1)</f>
        <v>20.971839556712702</v>
      </c>
      <c r="C5" s="73">
        <f>SUMIFS(工业节能技术装备推荐目录!K:K,工业节能技术装备推荐目录!D:D,'Installation&amp;System Integration'!A5,工业节能技术装备推荐目录!F:F,'Installation&amp;System Integration'!$A$1,工业节能技术装备推荐目录!A:A,"2020")+SUMIFS(用能设备节能分配!Q:Q,用能设备节能分配!O:O,'Installation&amp;System Integration'!A5,用能设备节能分配!P:P,'Installation&amp;System Integration'!$A$1,用能设备节能分配!M:M,"2020")</f>
        <v>0.6177057433323897</v>
      </c>
      <c r="D5" s="73">
        <f>SUMIFS(工业节能技术装备推荐目录!K:K,工业节能技术装备推荐目录!D:D,'Installation&amp;System Integration'!A5,工业节能技术装备推荐目录!F:F,'Installation&amp;System Integration'!$A$1,工业节能技术装备推荐目录!A:A,"2020")+SUMIFS(用能设备节能分配!Q:Q,用能设备节能分配!O:O,'Installation&amp;System Integration'!A5,用能设备节能分配!P:P,'Installation&amp;System Integration'!$A$1,用能设备节能分配!M:M,"2020")+SUMIFS(工业节能技术装备推荐目录!K:K,工业节能技术装备推荐目录!D:D,'Installation&amp;System Integration'!A5,工业节能技术装备推荐目录!F:F,'Installation&amp;System Integration'!$A$1,工业节能技术装备推荐目录!A:A,"2021")+SUMIFS(用能设备节能分配!Q:Q,用能设备节能分配!O:O,'Installation&amp;System Integration'!A5,用能设备节能分配!P:P,'Installation&amp;System Integration'!$A$1,用能设备节能分配!M:M,"2021")</f>
        <v>4.2746602446617583</v>
      </c>
      <c r="E5" s="73">
        <f>SUMIFS(工业节能技术装备推荐目录!K:K,工业节能技术装备推荐目录!D:D,'Installation&amp;System Integration'!A5,工业节能技术装备推荐目录!F:F,'Installation&amp;System Integration'!$A$1,工业节能技术装备推荐目录!A:A,"2020")+SUMIFS(用能设备节能分配!Q:Q,用能设备节能分配!O:O,'Installation&amp;System Integration'!A5,用能设备节能分配!P:P,'Installation&amp;System Integration'!$A$1,用能设备节能分配!M:M,"2020")+SUMIFS(工业节能技术装备推荐目录!K:K,工业节能技术装备推荐目录!D:D,'Installation&amp;System Integration'!A5,工业节能技术装备推荐目录!F:F,'Installation&amp;System Integration'!$A$1,工业节能技术装备推荐目录!A:A,"2021")+SUMIFS(用能设备节能分配!Q:Q,用能设备节能分配!O:O,'Installation&amp;System Integration'!A5,用能设备节能分配!P:P,'Installation&amp;System Integration'!$A$1,用能设备节能分配!M:M,"2021")+SUMIFS(工业节能技术装备推荐目录!K:K,工业节能技术装备推荐目录!D:D,'Installation&amp;System Integration'!A5,工业节能技术装备推荐目录!F:F,'Installation&amp;System Integration'!$A$1,工业节能技术装备推荐目录!A:A,"2022")+SUMIFS(用能设备节能分配!Q:Q,用能设备节能分配!O:O,'Installation&amp;System Integration'!A5,用能设备节能分配!P:P,'Installation&amp;System Integration'!$A$1,用能设备节能分配!M:M,"2022")</f>
        <v>4.2746602446617583</v>
      </c>
      <c r="F5" s="73">
        <f>SUMIFS(工业节能技术装备推荐目录!K:K,工业节能技术装备推荐目录!D:D,'Installation&amp;System Integration'!A5,工业节能技术装备推荐目录!F:F,'Installation&amp;System Integration'!$A$1,工业节能技术装备推荐目录!A:A,"2020")+SUMIFS(用能设备节能分配!Q:Q,用能设备节能分配!O:O,'Installation&amp;System Integration'!A5,用能设备节能分配!P:P,'Installation&amp;System Integration'!$A$1,用能设备节能分配!M:M,"2020")+SUMIFS(工业节能技术装备推荐目录!K:K,工业节能技术装备推荐目录!D:D,'Installation&amp;System Integration'!A5,工业节能技术装备推荐目录!F:F,'Installation&amp;System Integration'!$A$1,工业节能技术装备推荐目录!A:A,"2021")+SUMIFS(用能设备节能分配!Q:Q,用能设备节能分配!O:O,'Installation&amp;System Integration'!A5,用能设备节能分配!P:P,'Installation&amp;System Integration'!$A$1,用能设备节能分配!M:M,"2021")+SUMIFS(工业节能技术装备推荐目录!K:K,工业节能技术装备推荐目录!D:D,'Installation&amp;System Integration'!A5,工业节能技术装备推荐目录!F:F,'Installation&amp;System Integration'!$A$1,工业节能技术装备推荐目录!A:A,"2022")+SUMIFS(用能设备节能分配!Q:Q,用能设备节能分配!O:O,'Installation&amp;System Integration'!A5,用能设备节能分配!P:P,'Installation&amp;System Integration'!$A$1,用能设备节能分配!M:M,"2022")</f>
        <v>4.2746602446617583</v>
      </c>
      <c r="G5" s="73">
        <f>SUMIFS(工业节能技术装备推荐目录!K:K,工业节能技术装备推荐目录!D:D,'Installation&amp;System Integration'!A5,工业节能技术装备推荐目录!F:F,'Installation&amp;System Integration'!$A$1,工业节能技术装备推荐目录!A:A,"2020")+SUMIFS(用能设备节能分配!Q:Q,用能设备节能分配!O:O,'Installation&amp;System Integration'!A5,用能设备节能分配!P:P,'Installation&amp;System Integration'!$A$1,用能设备节能分配!M:M,"2020")+SUMIFS(工业节能技术装备推荐目录!K:K,工业节能技术装备推荐目录!D:D,'Installation&amp;System Integration'!A5,工业节能技术装备推荐目录!F:F,'Installation&amp;System Integration'!$A$1,工业节能技术装备推荐目录!A:A,"2022")+SUMIFS(用能设备节能分配!Q:Q,用能设备节能分配!O:O,'Installation&amp;System Integration'!A5,用能设备节能分配!P:P,'Installation&amp;System Integration'!$A$1,用能设备节能分配!M:M,"2022")</f>
        <v>0.6177057433323897</v>
      </c>
      <c r="H5" s="73">
        <f>SUMIFS(工业节能技术装备推荐目录!K:K,工业节能技术装备推荐目录!D:D,'Installation&amp;System Integration'!A5,工业节能技术装备推荐目录!F:F,'Installation&amp;System Integration'!$A$1,工业节能技术装备推荐目录!A:A,"2022")+SUMIFS(用能设备节能分配!Q:Q,用能设备节能分配!O:O,'Installation&amp;System Integration'!A5,用能设备节能分配!P:P,'Installation&amp;System Integration'!$A$1,用能设备节能分配!M:M,"2022")</f>
        <v>0</v>
      </c>
      <c r="I5" s="73">
        <f>SUMIFS(工业节能技术装备推荐目录!K:K,工业节能技术装备推荐目录!D:D,'Installation&amp;System Integration'!A5,工业节能技术装备推荐目录!F:F,'Installation&amp;System Integration'!$A$1,工业节能技术装备推荐目录!A:A,"2022")+SUMIFS(用能设备节能分配!Q:Q,用能设备节能分配!O:O,'Installation&amp;System Integration'!A5,用能设备节能分配!P:P,'Installation&amp;System Integration'!$A$1,用能设备节能分配!M:M,"2022")</f>
        <v>0</v>
      </c>
      <c r="K5" s="52"/>
      <c r="L5" s="26" t="s">
        <v>67</v>
      </c>
      <c r="M5" s="50">
        <f>SUMIFS(工业节能技术装备推荐目录!L:L,工业节能技术装备推荐目录!D:D,'Installation&amp;System Integration'!A5,工业节能技术装备推荐目录!F:F,'Installation&amp;System Integration'!$A$1)</f>
        <v>5.4421052631578952</v>
      </c>
      <c r="N5" s="73">
        <f>SUMIFS(工业节能技术装备推荐目录!K:K,工业节能技术装备推荐目录!D:D,'Installation&amp;System Integration'!A5,工业节能技术装备推荐目录!F:F,'Installation&amp;System Integration'!$A$1,工业节能技术装备推荐目录!A:A,"2020")</f>
        <v>0</v>
      </c>
      <c r="O5" s="73">
        <f>SUMIFS(工业节能技术装备推荐目录!K:K,工业节能技术装备推荐目录!D:D,'Installation&amp;System Integration'!A5,工业节能技术装备推荐目录!F:F,'Installation&amp;System Integration'!$A$1,工业节能技术装备推荐目录!A:A,"2020")+SUMIFS(工业节能技术装备推荐目录!K:K,工业节能技术装备推荐目录!D:D,'Installation&amp;System Integration'!A5,工业节能技术装备推荐目录!F:F,'Installation&amp;System Integration'!$A$1,工业节能技术装备推荐目录!A:A,"2021")</f>
        <v>2.35</v>
      </c>
      <c r="P5" s="73">
        <f>SUMIFS(工业节能技术装备推荐目录!K:K,工业节能技术装备推荐目录!D:D,'Installation&amp;System Integration'!A5,工业节能技术装备推荐目录!F:F,'Installation&amp;System Integration'!$A$1,工业节能技术装备推荐目录!A:A,"2020")+SUMIFS(工业节能技术装备推荐目录!K:K,工业节能技术装备推荐目录!D:D,'Installation&amp;System Integration'!A5,工业节能技术装备推荐目录!F:F,'Installation&amp;System Integration'!$A$1,工业节能技术装备推荐目录!A:A,"2021")+SUMIFS(工业节能技术装备推荐目录!K:K,工业节能技术装备推荐目录!D:D,'Installation&amp;System Integration'!A5,工业节能技术装备推荐目录!F:F,'Installation&amp;System Integration'!$A$1,工业节能技术装备推荐目录!A:A,"2022")</f>
        <v>2.35</v>
      </c>
      <c r="Q5" s="73">
        <f>SUMIFS(工业节能技术装备推荐目录!K:K,工业节能技术装备推荐目录!D:D,'Installation&amp;System Integration'!A5,工业节能技术装备推荐目录!F:F,'Installation&amp;System Integration'!$A$1,工业节能技术装备推荐目录!A:A,"2020")+SUMIFS(工业节能技术装备推荐目录!K:K,工业节能技术装备推荐目录!D:D,'Installation&amp;System Integration'!A5,工业节能技术装备推荐目录!F:F,'Installation&amp;System Integration'!$A$1,工业节能技术装备推荐目录!A:A,"2021")+SUMIFS(工业节能技术装备推荐目录!K:K,工业节能技术装备推荐目录!D:D,'Installation&amp;System Integration'!A5,工业节能技术装备推荐目录!F:F,'Installation&amp;System Integration'!$A$1,工业节能技术装备推荐目录!A:A,"2022")</f>
        <v>2.35</v>
      </c>
      <c r="R5" s="73">
        <f>SUMIFS(工业节能技术装备推荐目录!K:K,工业节能技术装备推荐目录!D:D,'Installation&amp;System Integration'!A5,工业节能技术装备推荐目录!F:F,'Installation&amp;System Integration'!$A$1,工业节能技术装备推荐目录!A:A,"2020")+SUMIFS(工业节能技术装备推荐目录!K:K,工业节能技术装备推荐目录!D:D,'Installation&amp;System Integration'!A5,工业节能技术装备推荐目录!F:F,'Installation&amp;System Integration'!$A$1,工业节能技术装备推荐目录!A:A,"2022")</f>
        <v>0</v>
      </c>
      <c r="S5" s="73">
        <f>SUMIFS(工业节能技术装备推荐目录!K:K,工业节能技术装备推荐目录!D:D,'Installation&amp;System Integration'!A5,工业节能技术装备推荐目录!F:F,'Installation&amp;System Integration'!$A$1,工业节能技术装备推荐目录!A:A,"2022")</f>
        <v>0</v>
      </c>
      <c r="T5" s="73">
        <f>SUMIFS(工业节能技术装备推荐目录!K:K,工业节能技术装备推荐目录!D:D,'Installation&amp;System Integration'!A5,工业节能技术装备推荐目录!F:F,'Installation&amp;System Integration'!$A$1,工业节能技术装备推荐目录!A:A,"2022")</f>
        <v>0</v>
      </c>
    </row>
    <row r="6" spans="1:20" x14ac:dyDescent="0.15">
      <c r="A6" s="26" t="s">
        <v>100</v>
      </c>
      <c r="B6" s="50">
        <f>SUMIFS(工业节能技术装备推荐目录!L:L,工业节能技术装备推荐目录!D:D,'Installation&amp;System Integration'!A6,工业节能技术装备推荐目录!F:F,'Installation&amp;System Integration'!$A$1)+SUMIFS(用能设备节能分配!R:R,用能设备节能分配!O:O,'Installation&amp;System Integration'!A6,用能设备节能分配!P:P,'Installation&amp;System Integration'!$A$1)</f>
        <v>11.932870498145057</v>
      </c>
      <c r="C6" s="73">
        <f>SUMIFS(工业节能技术装备推荐目录!K:K,工业节能技术装备推荐目录!D:D,'Installation&amp;System Integration'!A6,工业节能技术装备推荐目录!F:F,'Installation&amp;System Integration'!$A$1,工业节能技术装备推荐目录!A:A,"2020")+SUMIFS(用能设备节能分配!Q:Q,用能设备节能分配!O:O,'Installation&amp;System Integration'!A6,用能设备节能分配!P:P,'Installation&amp;System Integration'!$A$1,用能设备节能分配!M:M,"2020")</f>
        <v>0.47463803963503542</v>
      </c>
      <c r="D6" s="73">
        <f>SUMIFS(工业节能技术装备推荐目录!K:K,工业节能技术装备推荐目录!D:D,'Installation&amp;System Integration'!A6,工业节能技术装备推荐目录!F:F,'Installation&amp;System Integration'!$A$1,工业节能技术装备推荐目录!A:A,"2020")+SUMIFS(用能设备节能分配!Q:Q,用能设备节能分配!O:O,'Installation&amp;System Integration'!A6,用能设备节能分配!P:P,'Installation&amp;System Integration'!$A$1,用能设备节能分配!M:M,"2020")+SUMIFS(工业节能技术装备推荐目录!K:K,工业节能技术装备推荐目录!D:D,'Installation&amp;System Integration'!A6,工业节能技术装备推荐目录!F:F,'Installation&amp;System Integration'!$A$1,工业节能技术装备推荐目录!A:A,"2021")+SUMIFS(用能设备节能分配!Q:Q,用能设备节能分配!O:O,'Installation&amp;System Integration'!A6,用能设备节能分配!P:P,'Installation&amp;System Integration'!$A$1,用能设备节能分配!M:M,"2021")</f>
        <v>1.4788869544283612</v>
      </c>
      <c r="E6" s="73">
        <f>SUMIFS(工业节能技术装备推荐目录!K:K,工业节能技术装备推荐目录!D:D,'Installation&amp;System Integration'!A6,工业节能技术装备推荐目录!F:F,'Installation&amp;System Integration'!$A$1,工业节能技术装备推荐目录!A:A,"2020")+SUMIFS(用能设备节能分配!Q:Q,用能设备节能分配!O:O,'Installation&amp;System Integration'!A6,用能设备节能分配!P:P,'Installation&amp;System Integration'!$A$1,用能设备节能分配!M:M,"2020")+SUMIFS(工业节能技术装备推荐目录!K:K,工业节能技术装备推荐目录!D:D,'Installation&amp;System Integration'!A6,工业节能技术装备推荐目录!F:F,'Installation&amp;System Integration'!$A$1,工业节能技术装备推荐目录!A:A,"2021")+SUMIFS(用能设备节能分配!Q:Q,用能设备节能分配!O:O,'Installation&amp;System Integration'!A6,用能设备节能分配!P:P,'Installation&amp;System Integration'!$A$1,用能设备节能分配!M:M,"2021")+SUMIFS(工业节能技术装备推荐目录!K:K,工业节能技术装备推荐目录!D:D,'Installation&amp;System Integration'!A6,工业节能技术装备推荐目录!F:F,'Installation&amp;System Integration'!$A$1,工业节能技术装备推荐目录!A:A,"2022")+SUMIFS(用能设备节能分配!Q:Q,用能设备节能分配!O:O,'Installation&amp;System Integration'!A6,用能设备节能分配!P:P,'Installation&amp;System Integration'!$A$1,用能设备节能分配!M:M,"2022")</f>
        <v>1.4788869544283612</v>
      </c>
      <c r="F6" s="73">
        <f>SUMIFS(工业节能技术装备推荐目录!K:K,工业节能技术装备推荐目录!D:D,'Installation&amp;System Integration'!A6,工业节能技术装备推荐目录!F:F,'Installation&amp;System Integration'!$A$1,工业节能技术装备推荐目录!A:A,"2020")+SUMIFS(用能设备节能分配!Q:Q,用能设备节能分配!O:O,'Installation&amp;System Integration'!A6,用能设备节能分配!P:P,'Installation&amp;System Integration'!$A$1,用能设备节能分配!M:M,"2020")+SUMIFS(工业节能技术装备推荐目录!K:K,工业节能技术装备推荐目录!D:D,'Installation&amp;System Integration'!A6,工业节能技术装备推荐目录!F:F,'Installation&amp;System Integration'!$A$1,工业节能技术装备推荐目录!A:A,"2021")+SUMIFS(用能设备节能分配!Q:Q,用能设备节能分配!O:O,'Installation&amp;System Integration'!A6,用能设备节能分配!P:P,'Installation&amp;System Integration'!$A$1,用能设备节能分配!M:M,"2021")+SUMIFS(工业节能技术装备推荐目录!K:K,工业节能技术装备推荐目录!D:D,'Installation&amp;System Integration'!A6,工业节能技术装备推荐目录!F:F,'Installation&amp;System Integration'!$A$1,工业节能技术装备推荐目录!A:A,"2022")+SUMIFS(用能设备节能分配!Q:Q,用能设备节能分配!O:O,'Installation&amp;System Integration'!A6,用能设备节能分配!P:P,'Installation&amp;System Integration'!$A$1,用能设备节能分配!M:M,"2022")</f>
        <v>1.4788869544283612</v>
      </c>
      <c r="G6" s="73">
        <f>SUMIFS(工业节能技术装备推荐目录!K:K,工业节能技术装备推荐目录!D:D,'Installation&amp;System Integration'!A6,工业节能技术装备推荐目录!F:F,'Installation&amp;System Integration'!$A$1,工业节能技术装备推荐目录!A:A,"2020")+SUMIFS(用能设备节能分配!Q:Q,用能设备节能分配!O:O,'Installation&amp;System Integration'!A6,用能设备节能分配!P:P,'Installation&amp;System Integration'!$A$1,用能设备节能分配!M:M,"2020")+SUMIFS(工业节能技术装备推荐目录!K:K,工业节能技术装备推荐目录!D:D,'Installation&amp;System Integration'!A6,工业节能技术装备推荐目录!F:F,'Installation&amp;System Integration'!$A$1,工业节能技术装备推荐目录!A:A,"2022")+SUMIFS(用能设备节能分配!Q:Q,用能设备节能分配!O:O,'Installation&amp;System Integration'!A6,用能设备节能分配!P:P,'Installation&amp;System Integration'!$A$1,用能设备节能分配!M:M,"2022")</f>
        <v>0.47463803963503542</v>
      </c>
      <c r="H6" s="73">
        <f>SUMIFS(工业节能技术装备推荐目录!K:K,工业节能技术装备推荐目录!D:D,'Installation&amp;System Integration'!A6,工业节能技术装备推荐目录!F:F,'Installation&amp;System Integration'!$A$1,工业节能技术装备推荐目录!A:A,"2022")+SUMIFS(用能设备节能分配!Q:Q,用能设备节能分配!O:O,'Installation&amp;System Integration'!A6,用能设备节能分配!P:P,'Installation&amp;System Integration'!$A$1,用能设备节能分配!M:M,"2022")</f>
        <v>0</v>
      </c>
      <c r="I6" s="73">
        <f>SUMIFS(工业节能技术装备推荐目录!K:K,工业节能技术装备推荐目录!D:D,'Installation&amp;System Integration'!A6,工业节能技术装备推荐目录!F:F,'Installation&amp;System Integration'!$A$1,工业节能技术装备推荐目录!A:A,"2022")+SUMIFS(用能设备节能分配!Q:Q,用能设备节能分配!O:O,'Installation&amp;System Integration'!A6,用能设备节能分配!P:P,'Installation&amp;System Integration'!$A$1,用能设备节能分配!M:M,"2022")</f>
        <v>0</v>
      </c>
      <c r="K6" s="52"/>
      <c r="L6" s="26" t="s">
        <v>100</v>
      </c>
      <c r="M6" s="50">
        <f>SUMIFS(工业节能技术装备推荐目录!L:L,工业节能技术装备推荐目录!D:D,'Installation&amp;System Integration'!A6,工业节能技术装备推荐目录!F:F,'Installation&amp;System Integration'!$A$1)</f>
        <v>0</v>
      </c>
      <c r="N6" s="73">
        <f>SUMIFS(工业节能技术装备推荐目录!K:K,工业节能技术装备推荐目录!D:D,'Installation&amp;System Integration'!A6,工业节能技术装备推荐目录!F:F,'Installation&amp;System Integration'!$A$1,工业节能技术装备推荐目录!A:A,"2020")</f>
        <v>0</v>
      </c>
      <c r="O6" s="73">
        <f>SUMIFS(工业节能技术装备推荐目录!K:K,工业节能技术装备推荐目录!D:D,'Installation&amp;System Integration'!A6,工业节能技术装备推荐目录!F:F,'Installation&amp;System Integration'!$A$1,工业节能技术装备推荐目录!A:A,"2020")+SUMIFS(工业节能技术装备推荐目录!K:K,工业节能技术装备推荐目录!D:D,'Installation&amp;System Integration'!A6,工业节能技术装备推荐目录!F:F,'Installation&amp;System Integration'!$A$1,工业节能技术装备推荐目录!A:A,"2021")</f>
        <v>0</v>
      </c>
      <c r="P6" s="73">
        <f>SUMIFS(工业节能技术装备推荐目录!K:K,工业节能技术装备推荐目录!D:D,'Installation&amp;System Integration'!A6,工业节能技术装备推荐目录!F:F,'Installation&amp;System Integration'!$A$1,工业节能技术装备推荐目录!A:A,"2020")+SUMIFS(工业节能技术装备推荐目录!K:K,工业节能技术装备推荐目录!D:D,'Installation&amp;System Integration'!A6,工业节能技术装备推荐目录!F:F,'Installation&amp;System Integration'!$A$1,工业节能技术装备推荐目录!A:A,"2021")+SUMIFS(工业节能技术装备推荐目录!K:K,工业节能技术装备推荐目录!D:D,'Installation&amp;System Integration'!A6,工业节能技术装备推荐目录!F:F,'Installation&amp;System Integration'!$A$1,工业节能技术装备推荐目录!A:A,"2022")</f>
        <v>0</v>
      </c>
      <c r="Q6" s="73">
        <f>SUMIFS(工业节能技术装备推荐目录!K:K,工业节能技术装备推荐目录!D:D,'Installation&amp;System Integration'!A6,工业节能技术装备推荐目录!F:F,'Installation&amp;System Integration'!$A$1,工业节能技术装备推荐目录!A:A,"2020")+SUMIFS(工业节能技术装备推荐目录!K:K,工业节能技术装备推荐目录!D:D,'Installation&amp;System Integration'!A6,工业节能技术装备推荐目录!F:F,'Installation&amp;System Integration'!$A$1,工业节能技术装备推荐目录!A:A,"2021")+SUMIFS(工业节能技术装备推荐目录!K:K,工业节能技术装备推荐目录!D:D,'Installation&amp;System Integration'!A6,工业节能技术装备推荐目录!F:F,'Installation&amp;System Integration'!$A$1,工业节能技术装备推荐目录!A:A,"2022")</f>
        <v>0</v>
      </c>
      <c r="R6" s="73">
        <f>SUMIFS(工业节能技术装备推荐目录!K:K,工业节能技术装备推荐目录!D:D,'Installation&amp;System Integration'!A6,工业节能技术装备推荐目录!F:F,'Installation&amp;System Integration'!$A$1,工业节能技术装备推荐目录!A:A,"2020")+SUMIFS(工业节能技术装备推荐目录!K:K,工业节能技术装备推荐目录!D:D,'Installation&amp;System Integration'!A6,工业节能技术装备推荐目录!F:F,'Installation&amp;System Integration'!$A$1,工业节能技术装备推荐目录!A:A,"2022")</f>
        <v>0</v>
      </c>
      <c r="S6" s="73">
        <f>SUMIFS(工业节能技术装备推荐目录!K:K,工业节能技术装备推荐目录!D:D,'Installation&amp;System Integration'!A6,工业节能技术装备推荐目录!F:F,'Installation&amp;System Integration'!$A$1,工业节能技术装备推荐目录!A:A,"2022")</f>
        <v>0</v>
      </c>
      <c r="T6" s="73">
        <f>SUMIFS(工业节能技术装备推荐目录!K:K,工业节能技术装备推荐目录!D:D,'Installation&amp;System Integration'!A6,工业节能技术装备推荐目录!F:F,'Installation&amp;System Integration'!$A$1,工业节能技术装备推荐目录!A:A,"2022")</f>
        <v>0</v>
      </c>
    </row>
    <row r="7" spans="1:20" x14ac:dyDescent="0.15">
      <c r="A7" s="26" t="s">
        <v>101</v>
      </c>
      <c r="B7" s="50">
        <f>SUMIFS(工业节能技术装备推荐目录!L:L,工业节能技术装备推荐目录!D:D,'Installation&amp;System Integration'!A7,工业节能技术装备推荐目录!F:F,'Installation&amp;System Integration'!$A$1)+SUMIFS(用能设备节能分配!R:R,用能设备节能分配!O:O,'Installation&amp;System Integration'!A7,用能设备节能分配!P:P,'Installation&amp;System Integration'!$A$1)</f>
        <v>30.871930037758084</v>
      </c>
      <c r="C7" s="73">
        <f>SUMIFS(工业节能技术装备推荐目录!K:K,工业节能技术装备推荐目录!D:D,'Installation&amp;System Integration'!A7,工业节能技术装备推荐目录!F:F,'Installation&amp;System Integration'!$A$1,工业节能技术装备推荐目录!A:A,"2020")+SUMIFS(用能设备节能分配!Q:Q,用能设备节能分配!O:O,'Installation&amp;System Integration'!A7,用能设备节能分配!P:P,'Installation&amp;System Integration'!$A$1,用能设备节能分配!M:M,"2020")</f>
        <v>1.0718832624004484</v>
      </c>
      <c r="D7" s="73">
        <f>SUMIFS(工业节能技术装备推荐目录!K:K,工业节能技术装备推荐目录!D:D,'Installation&amp;System Integration'!A7,工业节能技术装备推荐目录!F:F,'Installation&amp;System Integration'!$A$1,工业节能技术装备推荐目录!A:A,"2020")+SUMIFS(用能设备节能分配!Q:Q,用能设备节能分配!O:O,'Installation&amp;System Integration'!A7,用能设备节能分配!P:P,'Installation&amp;System Integration'!$A$1,用能设备节能分配!M:M,"2020")+SUMIFS(工业节能技术装备推荐目录!K:K,工业节能技术装备推荐目录!D:D,'Installation&amp;System Integration'!A7,工业节能技术装备推荐目录!F:F,'Installation&amp;System Integration'!$A$1,工业节能技术装备推荐目录!A:A,"2021")+SUMIFS(用能设备节能分配!Q:Q,用能设备节能分配!O:O,'Installation&amp;System Integration'!A7,用能设备节能分配!P:P,'Installation&amp;System Integration'!$A$1,用能设备节能分配!M:M,"2021")</f>
        <v>4.3956515760558776</v>
      </c>
      <c r="E7" s="73">
        <f>SUMIFS(工业节能技术装备推荐目录!K:K,工业节能技术装备推荐目录!D:D,'Installation&amp;System Integration'!A7,工业节能技术装备推荐目录!F:F,'Installation&amp;System Integration'!$A$1,工业节能技术装备推荐目录!A:A,"2020")+SUMIFS(用能设备节能分配!Q:Q,用能设备节能分配!O:O,'Installation&amp;System Integration'!A7,用能设备节能分配!P:P,'Installation&amp;System Integration'!$A$1,用能设备节能分配!M:M,"2020")+SUMIFS(工业节能技术装备推荐目录!K:K,工业节能技术装备推荐目录!D:D,'Installation&amp;System Integration'!A7,工业节能技术装备推荐目录!F:F,'Installation&amp;System Integration'!$A$1,工业节能技术装备推荐目录!A:A,"2021")+SUMIFS(用能设备节能分配!Q:Q,用能设备节能分配!O:O,'Installation&amp;System Integration'!A7,用能设备节能分配!P:P,'Installation&amp;System Integration'!$A$1,用能设备节能分配!M:M,"2021")+SUMIFS(工业节能技术装备推荐目录!K:K,工业节能技术装备推荐目录!D:D,'Installation&amp;System Integration'!A7,工业节能技术装备推荐目录!F:F,'Installation&amp;System Integration'!$A$1,工业节能技术装备推荐目录!A:A,"2022")+SUMIFS(用能设备节能分配!Q:Q,用能设备节能分配!O:O,'Installation&amp;System Integration'!A7,用能设备节能分配!P:P,'Installation&amp;System Integration'!$A$1,用能设备节能分配!M:M,"2022")</f>
        <v>4.3956515760558776</v>
      </c>
      <c r="F7" s="73">
        <f>SUMIFS(工业节能技术装备推荐目录!K:K,工业节能技术装备推荐目录!D:D,'Installation&amp;System Integration'!A7,工业节能技术装备推荐目录!F:F,'Installation&amp;System Integration'!$A$1,工业节能技术装备推荐目录!A:A,"2020")+SUMIFS(用能设备节能分配!Q:Q,用能设备节能分配!O:O,'Installation&amp;System Integration'!A7,用能设备节能分配!P:P,'Installation&amp;System Integration'!$A$1,用能设备节能分配!M:M,"2020")+SUMIFS(工业节能技术装备推荐目录!K:K,工业节能技术装备推荐目录!D:D,'Installation&amp;System Integration'!A7,工业节能技术装备推荐目录!F:F,'Installation&amp;System Integration'!$A$1,工业节能技术装备推荐目录!A:A,"2021")+SUMIFS(用能设备节能分配!Q:Q,用能设备节能分配!O:O,'Installation&amp;System Integration'!A7,用能设备节能分配!P:P,'Installation&amp;System Integration'!$A$1,用能设备节能分配!M:M,"2021")+SUMIFS(工业节能技术装备推荐目录!K:K,工业节能技术装备推荐目录!D:D,'Installation&amp;System Integration'!A7,工业节能技术装备推荐目录!F:F,'Installation&amp;System Integration'!$A$1,工业节能技术装备推荐目录!A:A,"2022")+SUMIFS(用能设备节能分配!Q:Q,用能设备节能分配!O:O,'Installation&amp;System Integration'!A7,用能设备节能分配!P:P,'Installation&amp;System Integration'!$A$1,用能设备节能分配!M:M,"2022")</f>
        <v>4.3956515760558776</v>
      </c>
      <c r="G7" s="73">
        <f>SUMIFS(工业节能技术装备推荐目录!K:K,工业节能技术装备推荐目录!D:D,'Installation&amp;System Integration'!A7,工业节能技术装备推荐目录!F:F,'Installation&amp;System Integration'!$A$1,工业节能技术装备推荐目录!A:A,"2020")+SUMIFS(用能设备节能分配!Q:Q,用能设备节能分配!O:O,'Installation&amp;System Integration'!A7,用能设备节能分配!P:P,'Installation&amp;System Integration'!$A$1,用能设备节能分配!M:M,"2020")+SUMIFS(工业节能技术装备推荐目录!K:K,工业节能技术装备推荐目录!D:D,'Installation&amp;System Integration'!A7,工业节能技术装备推荐目录!F:F,'Installation&amp;System Integration'!$A$1,工业节能技术装备推荐目录!A:A,"2022")+SUMIFS(用能设备节能分配!Q:Q,用能设备节能分配!O:O,'Installation&amp;System Integration'!A7,用能设备节能分配!P:P,'Installation&amp;System Integration'!$A$1,用能设备节能分配!M:M,"2022")</f>
        <v>1.0718832624004484</v>
      </c>
      <c r="H7" s="73">
        <f>SUMIFS(工业节能技术装备推荐目录!K:K,工业节能技术装备推荐目录!D:D,'Installation&amp;System Integration'!A7,工业节能技术装备推荐目录!F:F,'Installation&amp;System Integration'!$A$1,工业节能技术装备推荐目录!A:A,"2022")+SUMIFS(用能设备节能分配!Q:Q,用能设备节能分配!O:O,'Installation&amp;System Integration'!A7,用能设备节能分配!P:P,'Installation&amp;System Integration'!$A$1,用能设备节能分配!M:M,"2022")</f>
        <v>0</v>
      </c>
      <c r="I7" s="73">
        <f>SUMIFS(工业节能技术装备推荐目录!K:K,工业节能技术装备推荐目录!D:D,'Installation&amp;System Integration'!A7,工业节能技术装备推荐目录!F:F,'Installation&amp;System Integration'!$A$1,工业节能技术装备推荐目录!A:A,"2022")+SUMIFS(用能设备节能分配!Q:Q,用能设备节能分配!O:O,'Installation&amp;System Integration'!A7,用能设备节能分配!P:P,'Installation&amp;System Integration'!$A$1,用能设备节能分配!M:M,"2022")</f>
        <v>0</v>
      </c>
      <c r="K7" s="52"/>
      <c r="L7" s="26" t="s">
        <v>101</v>
      </c>
      <c r="M7" s="50">
        <f>SUMIFS(工业节能技术装备推荐目录!L:L,工业节能技术装备推荐目录!D:D,'Installation&amp;System Integration'!A7,工业节能技术装备推荐目录!F:F,'Installation&amp;System Integration'!$A$1)</f>
        <v>0</v>
      </c>
      <c r="N7" s="73">
        <f>SUMIFS(工业节能技术装备推荐目录!K:K,工业节能技术装备推荐目录!D:D,'Installation&amp;System Integration'!A7,工业节能技术装备推荐目录!F:F,'Installation&amp;System Integration'!$A$1,工业节能技术装备推荐目录!A:A,"2020")</f>
        <v>0</v>
      </c>
      <c r="O7" s="73">
        <f>SUMIFS(工业节能技术装备推荐目录!K:K,工业节能技术装备推荐目录!D:D,'Installation&amp;System Integration'!A7,工业节能技术装备推荐目录!F:F,'Installation&amp;System Integration'!$A$1,工业节能技术装备推荐目录!A:A,"2020")+SUMIFS(工业节能技术装备推荐目录!K:K,工业节能技术装备推荐目录!D:D,'Installation&amp;System Integration'!A7,工业节能技术装备推荐目录!F:F,'Installation&amp;System Integration'!$A$1,工业节能技术装备推荐目录!A:A,"2021")</f>
        <v>0</v>
      </c>
      <c r="P7" s="73">
        <f>SUMIFS(工业节能技术装备推荐目录!K:K,工业节能技术装备推荐目录!D:D,'Installation&amp;System Integration'!A7,工业节能技术装备推荐目录!F:F,'Installation&amp;System Integration'!$A$1,工业节能技术装备推荐目录!A:A,"2020")+SUMIFS(工业节能技术装备推荐目录!K:K,工业节能技术装备推荐目录!D:D,'Installation&amp;System Integration'!A7,工业节能技术装备推荐目录!F:F,'Installation&amp;System Integration'!$A$1,工业节能技术装备推荐目录!A:A,"2021")+SUMIFS(工业节能技术装备推荐目录!K:K,工业节能技术装备推荐目录!D:D,'Installation&amp;System Integration'!A7,工业节能技术装备推荐目录!F:F,'Installation&amp;System Integration'!$A$1,工业节能技术装备推荐目录!A:A,"2022")</f>
        <v>0</v>
      </c>
      <c r="Q7" s="73">
        <f>SUMIFS(工业节能技术装备推荐目录!K:K,工业节能技术装备推荐目录!D:D,'Installation&amp;System Integration'!A7,工业节能技术装备推荐目录!F:F,'Installation&amp;System Integration'!$A$1,工业节能技术装备推荐目录!A:A,"2020")+SUMIFS(工业节能技术装备推荐目录!K:K,工业节能技术装备推荐目录!D:D,'Installation&amp;System Integration'!A7,工业节能技术装备推荐目录!F:F,'Installation&amp;System Integration'!$A$1,工业节能技术装备推荐目录!A:A,"2021")+SUMIFS(工业节能技术装备推荐目录!K:K,工业节能技术装备推荐目录!D:D,'Installation&amp;System Integration'!A7,工业节能技术装备推荐目录!F:F,'Installation&amp;System Integration'!$A$1,工业节能技术装备推荐目录!A:A,"2022")</f>
        <v>0</v>
      </c>
      <c r="R7" s="73">
        <f>SUMIFS(工业节能技术装备推荐目录!K:K,工业节能技术装备推荐目录!D:D,'Installation&amp;System Integration'!A7,工业节能技术装备推荐目录!F:F,'Installation&amp;System Integration'!$A$1,工业节能技术装备推荐目录!A:A,"2020")+SUMIFS(工业节能技术装备推荐目录!K:K,工业节能技术装备推荐目录!D:D,'Installation&amp;System Integration'!A7,工业节能技术装备推荐目录!F:F,'Installation&amp;System Integration'!$A$1,工业节能技术装备推荐目录!A:A,"2022")</f>
        <v>0</v>
      </c>
      <c r="S7" s="73">
        <f>SUMIFS(工业节能技术装备推荐目录!K:K,工业节能技术装备推荐目录!D:D,'Installation&amp;System Integration'!A7,工业节能技术装备推荐目录!F:F,'Installation&amp;System Integration'!$A$1,工业节能技术装备推荐目录!A:A,"2022")</f>
        <v>0</v>
      </c>
      <c r="T7" s="73">
        <f>SUMIFS(工业节能技术装备推荐目录!K:K,工业节能技术装备推荐目录!D:D,'Installation&amp;System Integration'!A7,工业节能技术装备推荐目录!F:F,'Installation&amp;System Integration'!$A$1,工业节能技术装备推荐目录!A:A,"2022")</f>
        <v>0</v>
      </c>
    </row>
    <row r="8" spans="1:20" x14ac:dyDescent="0.15">
      <c r="A8" s="26" t="s">
        <v>72</v>
      </c>
      <c r="B8" s="50">
        <f>SUMIFS(工业节能技术装备推荐目录!L:L,工业节能技术装备推荐目录!D:D,'Installation&amp;System Integration'!A8,工业节能技术装备推荐目录!F:F,'Installation&amp;System Integration'!$A$1)+SUMIFS(用能设备节能分配!R:R,用能设备节能分配!O:O,'Installation&amp;System Integration'!A8,用能设备节能分配!P:P,'Installation&amp;System Integration'!$A$1)</f>
        <v>108.00504330318003</v>
      </c>
      <c r="C8" s="73">
        <f>SUMIFS(工业节能技术装备推荐目录!K:K,工业节能技术装备推荐目录!D:D,'Installation&amp;System Integration'!A8,工业节能技术装备推荐目录!F:F,'Installation&amp;System Integration'!$A$1,工业节能技术装备推荐目录!A:A,"2020")+SUMIFS(用能设备节能分配!Q:Q,用能设备节能分配!O:O,'Installation&amp;System Integration'!A8,用能设备节能分配!P:P,'Installation&amp;System Integration'!$A$1,用能设备节能分配!M:M,"2020")</f>
        <v>8.7765049974534488</v>
      </c>
      <c r="D8" s="73">
        <f>SUMIFS(工业节能技术装备推荐目录!K:K,工业节能技术装备推荐目录!D:D,'Installation&amp;System Integration'!A8,工业节能技术装备推荐目录!F:F,'Installation&amp;System Integration'!$A$1,工业节能技术装备推荐目录!A:A,"2020")+SUMIFS(用能设备节能分配!Q:Q,用能设备节能分配!O:O,'Installation&amp;System Integration'!A8,用能设备节能分配!P:P,'Installation&amp;System Integration'!$A$1,用能设备节能分配!M:M,"2020")+SUMIFS(工业节能技术装备推荐目录!K:K,工业节能技术装备推荐目录!D:D,'Installation&amp;System Integration'!A8,工业节能技术装备推荐目录!F:F,'Installation&amp;System Integration'!$A$1,工业节能技术装备推荐目录!A:A,"2021")+SUMIFS(用能设备节能分配!Q:Q,用能设备节能分配!O:O,'Installation&amp;System Integration'!A8,用能设备节能分配!P:P,'Installation&amp;System Integration'!$A$1,用能设备节能分配!M:M,"2021")</f>
        <v>12.114604700600742</v>
      </c>
      <c r="E8" s="73">
        <f>SUMIFS(工业节能技术装备推荐目录!K:K,工业节能技术装备推荐目录!D:D,'Installation&amp;System Integration'!A8,工业节能技术装备推荐目录!F:F,'Installation&amp;System Integration'!$A$1,工业节能技术装备推荐目录!A:A,"2020")+SUMIFS(用能设备节能分配!Q:Q,用能设备节能分配!O:O,'Installation&amp;System Integration'!A8,用能设备节能分配!P:P,'Installation&amp;System Integration'!$A$1,用能设备节能分配!M:M,"2020")+SUMIFS(工业节能技术装备推荐目录!K:K,工业节能技术装备推荐目录!D:D,'Installation&amp;System Integration'!A8,工业节能技术装备推荐目录!F:F,'Installation&amp;System Integration'!$A$1,工业节能技术装备推荐目录!A:A,"2021")+SUMIFS(用能设备节能分配!Q:Q,用能设备节能分配!O:O,'Installation&amp;System Integration'!A8,用能设备节能分配!P:P,'Installation&amp;System Integration'!$A$1,用能设备节能分配!M:M,"2021")+SUMIFS(工业节能技术装备推荐目录!K:K,工业节能技术装备推荐目录!D:D,'Installation&amp;System Integration'!A8,工业节能技术装备推荐目录!F:F,'Installation&amp;System Integration'!$A$1,工业节能技术装备推荐目录!A:A,"2022")+SUMIFS(用能设备节能分配!Q:Q,用能设备节能分配!O:O,'Installation&amp;System Integration'!A8,用能设备节能分配!P:P,'Installation&amp;System Integration'!$A$1,用能设备节能分配!M:M,"2022")</f>
        <v>12.114604700600742</v>
      </c>
      <c r="F8" s="73">
        <f>SUMIFS(工业节能技术装备推荐目录!K:K,工业节能技术装备推荐目录!D:D,'Installation&amp;System Integration'!A8,工业节能技术装备推荐目录!F:F,'Installation&amp;System Integration'!$A$1,工业节能技术装备推荐目录!A:A,"2020")+SUMIFS(用能设备节能分配!Q:Q,用能设备节能分配!O:O,'Installation&amp;System Integration'!A8,用能设备节能分配!P:P,'Installation&amp;System Integration'!$A$1,用能设备节能分配!M:M,"2020")+SUMIFS(工业节能技术装备推荐目录!K:K,工业节能技术装备推荐目录!D:D,'Installation&amp;System Integration'!A8,工业节能技术装备推荐目录!F:F,'Installation&amp;System Integration'!$A$1,工业节能技术装备推荐目录!A:A,"2021")+SUMIFS(用能设备节能分配!Q:Q,用能设备节能分配!O:O,'Installation&amp;System Integration'!A8,用能设备节能分配!P:P,'Installation&amp;System Integration'!$A$1,用能设备节能分配!M:M,"2021")+SUMIFS(工业节能技术装备推荐目录!K:K,工业节能技术装备推荐目录!D:D,'Installation&amp;System Integration'!A8,工业节能技术装备推荐目录!F:F,'Installation&amp;System Integration'!$A$1,工业节能技术装备推荐目录!A:A,"2022")+SUMIFS(用能设备节能分配!Q:Q,用能设备节能分配!O:O,'Installation&amp;System Integration'!A8,用能设备节能分配!P:P,'Installation&amp;System Integration'!$A$1,用能设备节能分配!M:M,"2022")</f>
        <v>12.114604700600742</v>
      </c>
      <c r="G8" s="73">
        <f>SUMIFS(工业节能技术装备推荐目录!K:K,工业节能技术装备推荐目录!D:D,'Installation&amp;System Integration'!A8,工业节能技术装备推荐目录!F:F,'Installation&amp;System Integration'!$A$1,工业节能技术装备推荐目录!A:A,"2020")+SUMIFS(用能设备节能分配!Q:Q,用能设备节能分配!O:O,'Installation&amp;System Integration'!A8,用能设备节能分配!P:P,'Installation&amp;System Integration'!$A$1,用能设备节能分配!M:M,"2020")+SUMIFS(工业节能技术装备推荐目录!K:K,工业节能技术装备推荐目录!D:D,'Installation&amp;System Integration'!A8,工业节能技术装备推荐目录!F:F,'Installation&amp;System Integration'!$A$1,工业节能技术装备推荐目录!A:A,"2022")+SUMIFS(用能设备节能分配!Q:Q,用能设备节能分配!O:O,'Installation&amp;System Integration'!A8,用能设备节能分配!P:P,'Installation&amp;System Integration'!$A$1,用能设备节能分配!M:M,"2022")</f>
        <v>8.7765049974534488</v>
      </c>
      <c r="H8" s="73">
        <f>SUMIFS(工业节能技术装备推荐目录!K:K,工业节能技术装备推荐目录!D:D,'Installation&amp;System Integration'!A8,工业节能技术装备推荐目录!F:F,'Installation&amp;System Integration'!$A$1,工业节能技术装备推荐目录!A:A,"2022")+SUMIFS(用能设备节能分配!Q:Q,用能设备节能分配!O:O,'Installation&amp;System Integration'!A8,用能设备节能分配!P:P,'Installation&amp;System Integration'!$A$1,用能设备节能分配!M:M,"2022")</f>
        <v>0</v>
      </c>
      <c r="I8" s="73">
        <f>SUMIFS(工业节能技术装备推荐目录!K:K,工业节能技术装备推荐目录!D:D,'Installation&amp;System Integration'!A8,工业节能技术装备推荐目录!F:F,'Installation&amp;System Integration'!$A$1,工业节能技术装备推荐目录!A:A,"2022")+SUMIFS(用能设备节能分配!Q:Q,用能设备节能分配!O:O,'Installation&amp;System Integration'!A8,用能设备节能分配!P:P,'Installation&amp;System Integration'!$A$1,用能设备节能分配!M:M,"2022")</f>
        <v>0</v>
      </c>
      <c r="K8" s="52"/>
      <c r="L8" s="26" t="s">
        <v>72</v>
      </c>
      <c r="M8" s="50">
        <f>SUMIFS(工业节能技术装备推荐目录!L:L,工业节能技术装备推荐目录!D:D,'Installation&amp;System Integration'!A8,工业节能技术装备推荐目录!F:F,'Installation&amp;System Integration'!$A$1)</f>
        <v>77</v>
      </c>
      <c r="N8" s="73">
        <f>SUMIFS(工业节能技术装备推荐目录!K:K,工业节能技术装备推荐目录!D:D,'Installation&amp;System Integration'!A8,工业节能技术装备推荐目录!F:F,'Installation&amp;System Integration'!$A$1,工业节能技术装备推荐目录!A:A,"2020")</f>
        <v>7.7</v>
      </c>
      <c r="O8" s="73">
        <f>SUMIFS(工业节能技术装备推荐目录!K:K,工业节能技术装备推荐目录!D:D,'Installation&amp;System Integration'!A8,工业节能技术装备推荐目录!F:F,'Installation&amp;System Integration'!$A$1,工业节能技术装备推荐目录!A:A,"2020")+SUMIFS(工业节能技术装备推荐目录!K:K,工业节能技术装备推荐目录!D:D,'Installation&amp;System Integration'!A8,工业节能技术装备推荐目录!F:F,'Installation&amp;System Integration'!$A$1,工业节能技术装备推荐目录!A:A,"2021")</f>
        <v>7.7</v>
      </c>
      <c r="P8" s="73">
        <f>SUMIFS(工业节能技术装备推荐目录!K:K,工业节能技术装备推荐目录!D:D,'Installation&amp;System Integration'!A8,工业节能技术装备推荐目录!F:F,'Installation&amp;System Integration'!$A$1,工业节能技术装备推荐目录!A:A,"2020")+SUMIFS(工业节能技术装备推荐目录!K:K,工业节能技术装备推荐目录!D:D,'Installation&amp;System Integration'!A8,工业节能技术装备推荐目录!F:F,'Installation&amp;System Integration'!$A$1,工业节能技术装备推荐目录!A:A,"2021")+SUMIFS(工业节能技术装备推荐目录!K:K,工业节能技术装备推荐目录!D:D,'Installation&amp;System Integration'!A8,工业节能技术装备推荐目录!F:F,'Installation&amp;System Integration'!$A$1,工业节能技术装备推荐目录!A:A,"2022")</f>
        <v>7.7</v>
      </c>
      <c r="Q8" s="73">
        <f>SUMIFS(工业节能技术装备推荐目录!K:K,工业节能技术装备推荐目录!D:D,'Installation&amp;System Integration'!A8,工业节能技术装备推荐目录!F:F,'Installation&amp;System Integration'!$A$1,工业节能技术装备推荐目录!A:A,"2020")+SUMIFS(工业节能技术装备推荐目录!K:K,工业节能技术装备推荐目录!D:D,'Installation&amp;System Integration'!A8,工业节能技术装备推荐目录!F:F,'Installation&amp;System Integration'!$A$1,工业节能技术装备推荐目录!A:A,"2021")+SUMIFS(工业节能技术装备推荐目录!K:K,工业节能技术装备推荐目录!D:D,'Installation&amp;System Integration'!A8,工业节能技术装备推荐目录!F:F,'Installation&amp;System Integration'!$A$1,工业节能技术装备推荐目录!A:A,"2022")</f>
        <v>7.7</v>
      </c>
      <c r="R8" s="73">
        <f>SUMIFS(工业节能技术装备推荐目录!K:K,工业节能技术装备推荐目录!D:D,'Installation&amp;System Integration'!A8,工业节能技术装备推荐目录!F:F,'Installation&amp;System Integration'!$A$1,工业节能技术装备推荐目录!A:A,"2020")+SUMIFS(工业节能技术装备推荐目录!K:K,工业节能技术装备推荐目录!D:D,'Installation&amp;System Integration'!A8,工业节能技术装备推荐目录!F:F,'Installation&amp;System Integration'!$A$1,工业节能技术装备推荐目录!A:A,"2022")</f>
        <v>7.7</v>
      </c>
      <c r="S8" s="73">
        <f>SUMIFS(工业节能技术装备推荐目录!K:K,工业节能技术装备推荐目录!D:D,'Installation&amp;System Integration'!A8,工业节能技术装备推荐目录!F:F,'Installation&amp;System Integration'!$A$1,工业节能技术装备推荐目录!A:A,"2022")</f>
        <v>0</v>
      </c>
      <c r="T8" s="73">
        <f>SUMIFS(工业节能技术装备推荐目录!K:K,工业节能技术装备推荐目录!D:D,'Installation&amp;System Integration'!A8,工业节能技术装备推荐目录!F:F,'Installation&amp;System Integration'!$A$1,工业节能技术装备推荐目录!A:A,"2022")</f>
        <v>0</v>
      </c>
    </row>
    <row r="9" spans="1:20" x14ac:dyDescent="0.15">
      <c r="A9" s="26" t="s">
        <v>38</v>
      </c>
      <c r="B9" s="50">
        <f>SUMIFS(工业节能技术装备推荐目录!L:L,工业节能技术装备推荐目录!D:D,'Installation&amp;System Integration'!A9,工业节能技术装备推荐目录!F:F,'Installation&amp;System Integration'!$A$1)+SUMIFS(用能设备节能分配!R:R,用能设备节能分配!O:O,'Installation&amp;System Integration'!A9,用能设备节能分配!P:P,'Installation&amp;System Integration'!$A$1)</f>
        <v>4.8035858114961227</v>
      </c>
      <c r="C9" s="73">
        <f>SUMIFS(工业节能技术装备推荐目录!K:K,工业节能技术装备推荐目录!D:D,'Installation&amp;System Integration'!A9,工业节能技术装备推荐目录!F:F,'Installation&amp;System Integration'!$A$1,工业节能技术装备推荐目录!A:A,"2020")+SUMIFS(用能设备节能分配!Q:Q,用能设备节能分配!O:O,'Installation&amp;System Integration'!A9,用能设备节能分配!P:P,'Installation&amp;System Integration'!$A$1,用能设备节能分配!M:M,"2020")</f>
        <v>0.19106589258147125</v>
      </c>
      <c r="D9" s="73">
        <f>SUMIFS(工业节能技术装备推荐目录!K:K,工业节能技术装备推荐目录!D:D,'Installation&amp;System Integration'!A9,工业节能技术装备推荐目录!F:F,'Installation&amp;System Integration'!$A$1,工业节能技术装备推荐目录!A:A,"2020")+SUMIFS(用能设备节能分配!Q:Q,用能设备节能分配!O:O,'Installation&amp;System Integration'!A9,用能设备节能分配!P:P,'Installation&amp;System Integration'!$A$1,用能设备节能分配!M:M,"2020")+SUMIFS(工业节能技术装备推荐目录!K:K,工业节能技术装备推荐目录!D:D,'Installation&amp;System Integration'!A9,工业节能技术装备推荐目录!F:F,'Installation&amp;System Integration'!$A$1,工业节能技术装备推荐目录!A:A,"2021")+SUMIFS(用能设备节能分配!Q:Q,用能设备节能分配!O:O,'Installation&amp;System Integration'!A9,用能设备节能分配!P:P,'Installation&amp;System Integration'!$A$1,用能设备节能分配!M:M,"2021")</f>
        <v>0.59532703318980018</v>
      </c>
      <c r="E9" s="73">
        <f>SUMIFS(工业节能技术装备推荐目录!K:K,工业节能技术装备推荐目录!D:D,'Installation&amp;System Integration'!A9,工业节能技术装备推荐目录!F:F,'Installation&amp;System Integration'!$A$1,工业节能技术装备推荐目录!A:A,"2020")+SUMIFS(用能设备节能分配!Q:Q,用能设备节能分配!O:O,'Installation&amp;System Integration'!A9,用能设备节能分配!P:P,'Installation&amp;System Integration'!$A$1,用能设备节能分配!M:M,"2020")+SUMIFS(工业节能技术装备推荐目录!K:K,工业节能技术装备推荐目录!D:D,'Installation&amp;System Integration'!A9,工业节能技术装备推荐目录!F:F,'Installation&amp;System Integration'!$A$1,工业节能技术装备推荐目录!A:A,"2021")+SUMIFS(用能设备节能分配!Q:Q,用能设备节能分配!O:O,'Installation&amp;System Integration'!A9,用能设备节能分配!P:P,'Installation&amp;System Integration'!$A$1,用能设备节能分配!M:M,"2021")+SUMIFS(工业节能技术装备推荐目录!K:K,工业节能技术装备推荐目录!D:D,'Installation&amp;System Integration'!A9,工业节能技术装备推荐目录!F:F,'Installation&amp;System Integration'!$A$1,工业节能技术装备推荐目录!A:A,"2022")+SUMIFS(用能设备节能分配!Q:Q,用能设备节能分配!O:O,'Installation&amp;System Integration'!A9,用能设备节能分配!P:P,'Installation&amp;System Integration'!$A$1,用能设备节能分配!M:M,"2022")</f>
        <v>0.59532703318980018</v>
      </c>
      <c r="F9" s="73">
        <f>SUMIFS(工业节能技术装备推荐目录!K:K,工业节能技术装备推荐目录!D:D,'Installation&amp;System Integration'!A9,工业节能技术装备推荐目录!F:F,'Installation&amp;System Integration'!$A$1,工业节能技术装备推荐目录!A:A,"2020")+SUMIFS(用能设备节能分配!Q:Q,用能设备节能分配!O:O,'Installation&amp;System Integration'!A9,用能设备节能分配!P:P,'Installation&amp;System Integration'!$A$1,用能设备节能分配!M:M,"2020")+SUMIFS(工业节能技术装备推荐目录!K:K,工业节能技术装备推荐目录!D:D,'Installation&amp;System Integration'!A9,工业节能技术装备推荐目录!F:F,'Installation&amp;System Integration'!$A$1,工业节能技术装备推荐目录!A:A,"2021")+SUMIFS(用能设备节能分配!Q:Q,用能设备节能分配!O:O,'Installation&amp;System Integration'!A9,用能设备节能分配!P:P,'Installation&amp;System Integration'!$A$1,用能设备节能分配!M:M,"2021")+SUMIFS(工业节能技术装备推荐目录!K:K,工业节能技术装备推荐目录!D:D,'Installation&amp;System Integration'!A9,工业节能技术装备推荐目录!F:F,'Installation&amp;System Integration'!$A$1,工业节能技术装备推荐目录!A:A,"2022")+SUMIFS(用能设备节能分配!Q:Q,用能设备节能分配!O:O,'Installation&amp;System Integration'!A9,用能设备节能分配!P:P,'Installation&amp;System Integration'!$A$1,用能设备节能分配!M:M,"2022")</f>
        <v>0.59532703318980018</v>
      </c>
      <c r="G9" s="73">
        <f>SUMIFS(工业节能技术装备推荐目录!K:K,工业节能技术装备推荐目录!D:D,'Installation&amp;System Integration'!A9,工业节能技术装备推荐目录!F:F,'Installation&amp;System Integration'!$A$1,工业节能技术装备推荐目录!A:A,"2020")+SUMIFS(用能设备节能分配!Q:Q,用能设备节能分配!O:O,'Installation&amp;System Integration'!A9,用能设备节能分配!P:P,'Installation&amp;System Integration'!$A$1,用能设备节能分配!M:M,"2020")+SUMIFS(工业节能技术装备推荐目录!K:K,工业节能技术装备推荐目录!D:D,'Installation&amp;System Integration'!A9,工业节能技术装备推荐目录!F:F,'Installation&amp;System Integration'!$A$1,工业节能技术装备推荐目录!A:A,"2022")+SUMIFS(用能设备节能分配!Q:Q,用能设备节能分配!O:O,'Installation&amp;System Integration'!A9,用能设备节能分配!P:P,'Installation&amp;System Integration'!$A$1,用能设备节能分配!M:M,"2022")</f>
        <v>0.19106589258147125</v>
      </c>
      <c r="H9" s="73">
        <f>SUMIFS(工业节能技术装备推荐目录!K:K,工业节能技术装备推荐目录!D:D,'Installation&amp;System Integration'!A9,工业节能技术装备推荐目录!F:F,'Installation&amp;System Integration'!$A$1,工业节能技术装备推荐目录!A:A,"2022")+SUMIFS(用能设备节能分配!Q:Q,用能设备节能分配!O:O,'Installation&amp;System Integration'!A9,用能设备节能分配!P:P,'Installation&amp;System Integration'!$A$1,用能设备节能分配!M:M,"2022")</f>
        <v>0</v>
      </c>
      <c r="I9" s="73">
        <f>SUMIFS(工业节能技术装备推荐目录!K:K,工业节能技术装备推荐目录!D:D,'Installation&amp;System Integration'!A9,工业节能技术装备推荐目录!F:F,'Installation&amp;System Integration'!$A$1,工业节能技术装备推荐目录!A:A,"2022")+SUMIFS(用能设备节能分配!Q:Q,用能设备节能分配!O:O,'Installation&amp;System Integration'!A9,用能设备节能分配!P:P,'Installation&amp;System Integration'!$A$1,用能设备节能分配!M:M,"2022")</f>
        <v>0</v>
      </c>
      <c r="K9" s="52"/>
      <c r="L9" s="26" t="s">
        <v>38</v>
      </c>
      <c r="M9" s="50">
        <f>SUMIFS(工业节能技术装备推荐目录!L:L,工业节能技术装备推荐目录!D:D,'Installation&amp;System Integration'!A9,工业节能技术装备推荐目录!F:F,'Installation&amp;System Integration'!$A$1)</f>
        <v>0</v>
      </c>
      <c r="N9" s="73">
        <f>SUMIFS(工业节能技术装备推荐目录!K:K,工业节能技术装备推荐目录!D:D,'Installation&amp;System Integration'!A9,工业节能技术装备推荐目录!F:F,'Installation&amp;System Integration'!$A$1,工业节能技术装备推荐目录!A:A,"2020")</f>
        <v>0</v>
      </c>
      <c r="O9" s="73">
        <f>SUMIFS(工业节能技术装备推荐目录!K:K,工业节能技术装备推荐目录!D:D,'Installation&amp;System Integration'!A9,工业节能技术装备推荐目录!F:F,'Installation&amp;System Integration'!$A$1,工业节能技术装备推荐目录!A:A,"2020")+SUMIFS(工业节能技术装备推荐目录!K:K,工业节能技术装备推荐目录!D:D,'Installation&amp;System Integration'!A9,工业节能技术装备推荐目录!F:F,'Installation&amp;System Integration'!$A$1,工业节能技术装备推荐目录!A:A,"2021")</f>
        <v>0</v>
      </c>
      <c r="P9" s="73">
        <f>SUMIFS(工业节能技术装备推荐目录!K:K,工业节能技术装备推荐目录!D:D,'Installation&amp;System Integration'!A9,工业节能技术装备推荐目录!F:F,'Installation&amp;System Integration'!$A$1,工业节能技术装备推荐目录!A:A,"2020")+SUMIFS(工业节能技术装备推荐目录!K:K,工业节能技术装备推荐目录!D:D,'Installation&amp;System Integration'!A9,工业节能技术装备推荐目录!F:F,'Installation&amp;System Integration'!$A$1,工业节能技术装备推荐目录!A:A,"2021")+SUMIFS(工业节能技术装备推荐目录!K:K,工业节能技术装备推荐目录!D:D,'Installation&amp;System Integration'!A9,工业节能技术装备推荐目录!F:F,'Installation&amp;System Integration'!$A$1,工业节能技术装备推荐目录!A:A,"2022")</f>
        <v>0</v>
      </c>
      <c r="Q9" s="73">
        <f>SUMIFS(工业节能技术装备推荐目录!K:K,工业节能技术装备推荐目录!D:D,'Installation&amp;System Integration'!A9,工业节能技术装备推荐目录!F:F,'Installation&amp;System Integration'!$A$1,工业节能技术装备推荐目录!A:A,"2020")+SUMIFS(工业节能技术装备推荐目录!K:K,工业节能技术装备推荐目录!D:D,'Installation&amp;System Integration'!A9,工业节能技术装备推荐目录!F:F,'Installation&amp;System Integration'!$A$1,工业节能技术装备推荐目录!A:A,"2021")+SUMIFS(工业节能技术装备推荐目录!K:K,工业节能技术装备推荐目录!D:D,'Installation&amp;System Integration'!A9,工业节能技术装备推荐目录!F:F,'Installation&amp;System Integration'!$A$1,工业节能技术装备推荐目录!A:A,"2022")</f>
        <v>0</v>
      </c>
      <c r="R9" s="73">
        <f>SUMIFS(工业节能技术装备推荐目录!K:K,工业节能技术装备推荐目录!D:D,'Installation&amp;System Integration'!A9,工业节能技术装备推荐目录!F:F,'Installation&amp;System Integration'!$A$1,工业节能技术装备推荐目录!A:A,"2020")+SUMIFS(工业节能技术装备推荐目录!K:K,工业节能技术装备推荐目录!D:D,'Installation&amp;System Integration'!A9,工业节能技术装备推荐目录!F:F,'Installation&amp;System Integration'!$A$1,工业节能技术装备推荐目录!A:A,"2022")</f>
        <v>0</v>
      </c>
      <c r="S9" s="73">
        <f>SUMIFS(工业节能技术装备推荐目录!K:K,工业节能技术装备推荐目录!D:D,'Installation&amp;System Integration'!A9,工业节能技术装备推荐目录!F:F,'Installation&amp;System Integration'!$A$1,工业节能技术装备推荐目录!A:A,"2022")</f>
        <v>0</v>
      </c>
      <c r="T9" s="73">
        <f>SUMIFS(工业节能技术装备推荐目录!K:K,工业节能技术装备推荐目录!D:D,'Installation&amp;System Integration'!A9,工业节能技术装备推荐目录!F:F,'Installation&amp;System Integration'!$A$1,工业节能技术装备推荐目录!A:A,"2022")</f>
        <v>0</v>
      </c>
    </row>
    <row r="10" spans="1:20" x14ac:dyDescent="0.15">
      <c r="A10" s="26" t="s">
        <v>68</v>
      </c>
      <c r="B10" s="50">
        <f>SUMIFS(工业节能技术装备推荐目录!L:L,工业节能技术装备推荐目录!D:D,'Installation&amp;System Integration'!A10,工业节能技术装备推荐目录!F:F,'Installation&amp;System Integration'!$A$1)+SUMIFS(用能设备节能分配!R:R,用能设备节能分配!O:O,'Installation&amp;System Integration'!A10,用能设备节能分配!P:P,'Installation&amp;System Integration'!$A$1)</f>
        <v>17.868158276093745</v>
      </c>
      <c r="C10" s="73">
        <f>SUMIFS(工业节能技术装备推荐目录!K:K,工业节能技术装备推荐目录!D:D,'Installation&amp;System Integration'!A10,工业节能技术装备推荐目录!F:F,'Installation&amp;System Integration'!$A$1,工业节能技术装备推荐目录!A:A,"2020")+SUMIFS(用能设备节能分配!Q:Q,用能设备节能分配!O:O,'Installation&amp;System Integration'!A10,用能设备节能分配!P:P,'Installation&amp;System Integration'!$A$1,用能设备节能分配!M:M,"2020")</f>
        <v>0.71071814760513929</v>
      </c>
      <c r="D10" s="73">
        <f>SUMIFS(工业节能技术装备推荐目录!K:K,工业节能技术装备推荐目录!D:D,'Installation&amp;System Integration'!A10,工业节能技术装备推荐目录!F:F,'Installation&amp;System Integration'!$A$1,工业节能技术装备推荐目录!A:A,"2020")+SUMIFS(用能设备节能分配!Q:Q,用能设备节能分配!O:O,'Installation&amp;System Integration'!A10,用能设备节能分配!P:P,'Installation&amp;System Integration'!$A$1,用能设备节能分配!M:M,"2020")+SUMIFS(工业节能技术装备推荐目录!K:K,工业节能技术装备推荐目录!D:D,'Installation&amp;System Integration'!A10,工业节能技术装备推荐目录!F:F,'Installation&amp;System Integration'!$A$1,工业节能技术装备推荐目录!A:A,"2021")+SUMIFS(用能设备节能分配!Q:Q,用能设备节能分配!O:O,'Installation&amp;System Integration'!A10,用能设备节能分配!P:P,'Installation&amp;System Integration'!$A$1,用能设备节能分配!M:M,"2021")</f>
        <v>2.2144702046572879</v>
      </c>
      <c r="E10" s="73">
        <f>SUMIFS(工业节能技术装备推荐目录!K:K,工业节能技术装备推荐目录!D:D,'Installation&amp;System Integration'!A10,工业节能技术装备推荐目录!F:F,'Installation&amp;System Integration'!$A$1,工业节能技术装备推荐目录!A:A,"2020")+SUMIFS(用能设备节能分配!Q:Q,用能设备节能分配!O:O,'Installation&amp;System Integration'!A10,用能设备节能分配!P:P,'Installation&amp;System Integration'!$A$1,用能设备节能分配!M:M,"2020")+SUMIFS(工业节能技术装备推荐目录!K:K,工业节能技术装备推荐目录!D:D,'Installation&amp;System Integration'!A10,工业节能技术装备推荐目录!F:F,'Installation&amp;System Integration'!$A$1,工业节能技术装备推荐目录!A:A,"2021")+SUMIFS(用能设备节能分配!Q:Q,用能设备节能分配!O:O,'Installation&amp;System Integration'!A10,用能设备节能分配!P:P,'Installation&amp;System Integration'!$A$1,用能设备节能分配!M:M,"2021")+SUMIFS(工业节能技术装备推荐目录!K:K,工业节能技术装备推荐目录!D:D,'Installation&amp;System Integration'!A10,工业节能技术装备推荐目录!F:F,'Installation&amp;System Integration'!$A$1,工业节能技术装备推荐目录!A:A,"2022")+SUMIFS(用能设备节能分配!Q:Q,用能设备节能分配!O:O,'Installation&amp;System Integration'!A10,用能设备节能分配!P:P,'Installation&amp;System Integration'!$A$1,用能设备节能分配!M:M,"2022")</f>
        <v>2.2144702046572879</v>
      </c>
      <c r="F10" s="73">
        <f>SUMIFS(工业节能技术装备推荐目录!K:K,工业节能技术装备推荐目录!D:D,'Installation&amp;System Integration'!A10,工业节能技术装备推荐目录!F:F,'Installation&amp;System Integration'!$A$1,工业节能技术装备推荐目录!A:A,"2020")+SUMIFS(用能设备节能分配!Q:Q,用能设备节能分配!O:O,'Installation&amp;System Integration'!A10,用能设备节能分配!P:P,'Installation&amp;System Integration'!$A$1,用能设备节能分配!M:M,"2020")+SUMIFS(工业节能技术装备推荐目录!K:K,工业节能技术装备推荐目录!D:D,'Installation&amp;System Integration'!A10,工业节能技术装备推荐目录!F:F,'Installation&amp;System Integration'!$A$1,工业节能技术装备推荐目录!A:A,"2021")+SUMIFS(用能设备节能分配!Q:Q,用能设备节能分配!O:O,'Installation&amp;System Integration'!A10,用能设备节能分配!P:P,'Installation&amp;System Integration'!$A$1,用能设备节能分配!M:M,"2021")+SUMIFS(工业节能技术装备推荐目录!K:K,工业节能技术装备推荐目录!D:D,'Installation&amp;System Integration'!A10,工业节能技术装备推荐目录!F:F,'Installation&amp;System Integration'!$A$1,工业节能技术装备推荐目录!A:A,"2022")+SUMIFS(用能设备节能分配!Q:Q,用能设备节能分配!O:O,'Installation&amp;System Integration'!A10,用能设备节能分配!P:P,'Installation&amp;System Integration'!$A$1,用能设备节能分配!M:M,"2022")</f>
        <v>2.2144702046572879</v>
      </c>
      <c r="G10" s="73">
        <f>SUMIFS(工业节能技术装备推荐目录!K:K,工业节能技术装备推荐目录!D:D,'Installation&amp;System Integration'!A10,工业节能技术装备推荐目录!F:F,'Installation&amp;System Integration'!$A$1,工业节能技术装备推荐目录!A:A,"2020")+SUMIFS(用能设备节能分配!Q:Q,用能设备节能分配!O:O,'Installation&amp;System Integration'!A10,用能设备节能分配!P:P,'Installation&amp;System Integration'!$A$1,用能设备节能分配!M:M,"2020")+SUMIFS(工业节能技术装备推荐目录!K:K,工业节能技术装备推荐目录!D:D,'Installation&amp;System Integration'!A10,工业节能技术装备推荐目录!F:F,'Installation&amp;System Integration'!$A$1,工业节能技术装备推荐目录!A:A,"2022")+SUMIFS(用能设备节能分配!Q:Q,用能设备节能分配!O:O,'Installation&amp;System Integration'!A10,用能设备节能分配!P:P,'Installation&amp;System Integration'!$A$1,用能设备节能分配!M:M,"2022")</f>
        <v>0.71071814760513929</v>
      </c>
      <c r="H10" s="73">
        <f>SUMIFS(工业节能技术装备推荐目录!K:K,工业节能技术装备推荐目录!D:D,'Installation&amp;System Integration'!A10,工业节能技术装备推荐目录!F:F,'Installation&amp;System Integration'!$A$1,工业节能技术装备推荐目录!A:A,"2022")+SUMIFS(用能设备节能分配!Q:Q,用能设备节能分配!O:O,'Installation&amp;System Integration'!A10,用能设备节能分配!P:P,'Installation&amp;System Integration'!$A$1,用能设备节能分配!M:M,"2022")</f>
        <v>0</v>
      </c>
      <c r="I10" s="73">
        <f>SUMIFS(工业节能技术装备推荐目录!K:K,工业节能技术装备推荐目录!D:D,'Installation&amp;System Integration'!A10,工业节能技术装备推荐目录!F:F,'Installation&amp;System Integration'!$A$1,工业节能技术装备推荐目录!A:A,"2022")+SUMIFS(用能设备节能分配!Q:Q,用能设备节能分配!O:O,'Installation&amp;System Integration'!A10,用能设备节能分配!P:P,'Installation&amp;System Integration'!$A$1,用能设备节能分配!M:M,"2022")</f>
        <v>0</v>
      </c>
      <c r="K10" s="52"/>
      <c r="L10" s="26" t="s">
        <v>68</v>
      </c>
      <c r="M10" s="50">
        <f>SUMIFS(工业节能技术装备推荐目录!L:L,工业节能技术装备推荐目录!D:D,'Installation&amp;System Integration'!A10,工业节能技术装备推荐目录!F:F,'Installation&amp;System Integration'!$A$1)</f>
        <v>0</v>
      </c>
      <c r="N10" s="73">
        <f>SUMIFS(工业节能技术装备推荐目录!K:K,工业节能技术装备推荐目录!D:D,'Installation&amp;System Integration'!A10,工业节能技术装备推荐目录!F:F,'Installation&amp;System Integration'!$A$1,工业节能技术装备推荐目录!A:A,"2020")</f>
        <v>0</v>
      </c>
      <c r="O10" s="73">
        <f>SUMIFS(工业节能技术装备推荐目录!K:K,工业节能技术装备推荐目录!D:D,'Installation&amp;System Integration'!A10,工业节能技术装备推荐目录!F:F,'Installation&amp;System Integration'!$A$1,工业节能技术装备推荐目录!A:A,"2020")+SUMIFS(工业节能技术装备推荐目录!K:K,工业节能技术装备推荐目录!D:D,'Installation&amp;System Integration'!A10,工业节能技术装备推荐目录!F:F,'Installation&amp;System Integration'!$A$1,工业节能技术装备推荐目录!A:A,"2021")</f>
        <v>0</v>
      </c>
      <c r="P10" s="73">
        <f>SUMIFS(工业节能技术装备推荐目录!K:K,工业节能技术装备推荐目录!D:D,'Installation&amp;System Integration'!A10,工业节能技术装备推荐目录!F:F,'Installation&amp;System Integration'!$A$1,工业节能技术装备推荐目录!A:A,"2020")+SUMIFS(工业节能技术装备推荐目录!K:K,工业节能技术装备推荐目录!D:D,'Installation&amp;System Integration'!A10,工业节能技术装备推荐目录!F:F,'Installation&amp;System Integration'!$A$1,工业节能技术装备推荐目录!A:A,"2021")+SUMIFS(工业节能技术装备推荐目录!K:K,工业节能技术装备推荐目录!D:D,'Installation&amp;System Integration'!A10,工业节能技术装备推荐目录!F:F,'Installation&amp;System Integration'!$A$1,工业节能技术装备推荐目录!A:A,"2022")</f>
        <v>0</v>
      </c>
      <c r="Q10" s="73">
        <f>SUMIFS(工业节能技术装备推荐目录!K:K,工业节能技术装备推荐目录!D:D,'Installation&amp;System Integration'!A10,工业节能技术装备推荐目录!F:F,'Installation&amp;System Integration'!$A$1,工业节能技术装备推荐目录!A:A,"2020")+SUMIFS(工业节能技术装备推荐目录!K:K,工业节能技术装备推荐目录!D:D,'Installation&amp;System Integration'!A10,工业节能技术装备推荐目录!F:F,'Installation&amp;System Integration'!$A$1,工业节能技术装备推荐目录!A:A,"2021")+SUMIFS(工业节能技术装备推荐目录!K:K,工业节能技术装备推荐目录!D:D,'Installation&amp;System Integration'!A10,工业节能技术装备推荐目录!F:F,'Installation&amp;System Integration'!$A$1,工业节能技术装备推荐目录!A:A,"2022")</f>
        <v>0</v>
      </c>
      <c r="R10" s="73">
        <f>SUMIFS(工业节能技术装备推荐目录!K:K,工业节能技术装备推荐目录!D:D,'Installation&amp;System Integration'!A10,工业节能技术装备推荐目录!F:F,'Installation&amp;System Integration'!$A$1,工业节能技术装备推荐目录!A:A,"2020")+SUMIFS(工业节能技术装备推荐目录!K:K,工业节能技术装备推荐目录!D:D,'Installation&amp;System Integration'!A10,工业节能技术装备推荐目录!F:F,'Installation&amp;System Integration'!$A$1,工业节能技术装备推荐目录!A:A,"2022")</f>
        <v>0</v>
      </c>
      <c r="S10" s="73">
        <f>SUMIFS(工业节能技术装备推荐目录!K:K,工业节能技术装备推荐目录!D:D,'Installation&amp;System Integration'!A10,工业节能技术装备推荐目录!F:F,'Installation&amp;System Integration'!$A$1,工业节能技术装备推荐目录!A:A,"2022")</f>
        <v>0</v>
      </c>
      <c r="T10" s="73">
        <f>SUMIFS(工业节能技术装备推荐目录!K:K,工业节能技术装备推荐目录!D:D,'Installation&amp;System Integration'!A10,工业节能技术装备推荐目录!F:F,'Installation&amp;System Integration'!$A$1,工业节能技术装备推荐目录!A:A,"2022")</f>
        <v>0</v>
      </c>
    </row>
    <row r="11" spans="1:20" x14ac:dyDescent="0.15">
      <c r="A11" s="26" t="s">
        <v>40</v>
      </c>
      <c r="B11" s="50">
        <f>SUMIFS(工业节能技术装备推荐目录!L:L,工业节能技术装备推荐目录!D:D,'Installation&amp;System Integration'!A11,工业节能技术装备推荐目录!F:F,'Installation&amp;System Integration'!$A$1)+SUMIFS(用能设备节能分配!R:R,用能设备节能分配!O:O,'Installation&amp;System Integration'!A11,用能设备节能分配!P:P,'Installation&amp;System Integration'!$A$1)</f>
        <v>888.97806521059897</v>
      </c>
      <c r="C11" s="73">
        <f>SUMIFS(工业节能技术装备推荐目录!K:K,工业节能技术装备推荐目录!D:D,'Installation&amp;System Integration'!A11,工业节能技术装备推荐目录!F:F,'Installation&amp;System Integration'!$A$1,工业节能技术装备推荐目录!A:A,"2020")+SUMIFS(用能设备节能分配!Q:Q,用能设备节能分配!O:O,'Installation&amp;System Integration'!A11,用能设备节能分配!P:P,'Installation&amp;System Integration'!$A$1,用能设备节能分配!M:M,"2020")</f>
        <v>35.359707139677383</v>
      </c>
      <c r="D11" s="73">
        <f>SUMIFS(工业节能技术装备推荐目录!K:K,工业节能技术装备推荐目录!D:D,'Installation&amp;System Integration'!A11,工业节能技术装备推荐目录!F:F,'Installation&amp;System Integration'!$A$1,工业节能技术装备推荐目录!A:A,"2020")+SUMIFS(用能设备节能分配!Q:Q,用能设备节能分配!O:O,'Installation&amp;System Integration'!A11,用能设备节能分配!P:P,'Installation&amp;System Integration'!$A$1,用能设备节能分配!M:M,"2020")+SUMIFS(工业节能技术装备推荐目录!K:K,工业节能技术装备推荐目录!D:D,'Installation&amp;System Integration'!A11,工业节能技术装备推荐目录!F:F,'Installation&amp;System Integration'!$A$1,工业节能技术装备推荐目录!A:A,"2021")+SUMIFS(用能设备节能分配!Q:Q,用能设备节能分配!O:O,'Installation&amp;System Integration'!A11,用能设备节能分配!P:P,'Installation&amp;System Integration'!$A$1,用能设备节能分配!M:M,"2021")</f>
        <v>110.17450190356857</v>
      </c>
      <c r="E11" s="73">
        <f>SUMIFS(工业节能技术装备推荐目录!K:K,工业节能技术装备推荐目录!D:D,'Installation&amp;System Integration'!A11,工业节能技术装备推荐目录!F:F,'Installation&amp;System Integration'!$A$1,工业节能技术装备推荐目录!A:A,"2020")+SUMIFS(用能设备节能分配!Q:Q,用能设备节能分配!O:O,'Installation&amp;System Integration'!A11,用能设备节能分配!P:P,'Installation&amp;System Integration'!$A$1,用能设备节能分配!M:M,"2020")+SUMIFS(工业节能技术装备推荐目录!K:K,工业节能技术装备推荐目录!D:D,'Installation&amp;System Integration'!A11,工业节能技术装备推荐目录!F:F,'Installation&amp;System Integration'!$A$1,工业节能技术装备推荐目录!A:A,"2021")+SUMIFS(用能设备节能分配!Q:Q,用能设备节能分配!O:O,'Installation&amp;System Integration'!A11,用能设备节能分配!P:P,'Installation&amp;System Integration'!$A$1,用能设备节能分配!M:M,"2021")+SUMIFS(工业节能技术装备推荐目录!K:K,工业节能技术装备推荐目录!D:D,'Installation&amp;System Integration'!A11,工业节能技术装备推荐目录!F:F,'Installation&amp;System Integration'!$A$1,工业节能技术装备推荐目录!A:A,"2022")+SUMIFS(用能设备节能分配!Q:Q,用能设备节能分配!O:O,'Installation&amp;System Integration'!A11,用能设备节能分配!P:P,'Installation&amp;System Integration'!$A$1,用能设备节能分配!M:M,"2022")</f>
        <v>110.17450190356857</v>
      </c>
      <c r="F11" s="73">
        <f>SUMIFS(工业节能技术装备推荐目录!K:K,工业节能技术装备推荐目录!D:D,'Installation&amp;System Integration'!A11,工业节能技术装备推荐目录!F:F,'Installation&amp;System Integration'!$A$1,工业节能技术装备推荐目录!A:A,"2020")+SUMIFS(用能设备节能分配!Q:Q,用能设备节能分配!O:O,'Installation&amp;System Integration'!A11,用能设备节能分配!P:P,'Installation&amp;System Integration'!$A$1,用能设备节能分配!M:M,"2020")+SUMIFS(工业节能技术装备推荐目录!K:K,工业节能技术装备推荐目录!D:D,'Installation&amp;System Integration'!A11,工业节能技术装备推荐目录!F:F,'Installation&amp;System Integration'!$A$1,工业节能技术装备推荐目录!A:A,"2021")+SUMIFS(用能设备节能分配!Q:Q,用能设备节能分配!O:O,'Installation&amp;System Integration'!A11,用能设备节能分配!P:P,'Installation&amp;System Integration'!$A$1,用能设备节能分配!M:M,"2021")+SUMIFS(工业节能技术装备推荐目录!K:K,工业节能技术装备推荐目录!D:D,'Installation&amp;System Integration'!A11,工业节能技术装备推荐目录!F:F,'Installation&amp;System Integration'!$A$1,工业节能技术装备推荐目录!A:A,"2022")+SUMIFS(用能设备节能分配!Q:Q,用能设备节能分配!O:O,'Installation&amp;System Integration'!A11,用能设备节能分配!P:P,'Installation&amp;System Integration'!$A$1,用能设备节能分配!M:M,"2022")</f>
        <v>110.17450190356857</v>
      </c>
      <c r="G11" s="73">
        <f>SUMIFS(工业节能技术装备推荐目录!K:K,工业节能技术装备推荐目录!D:D,'Installation&amp;System Integration'!A11,工业节能技术装备推荐目录!F:F,'Installation&amp;System Integration'!$A$1,工业节能技术装备推荐目录!A:A,"2020")+SUMIFS(用能设备节能分配!Q:Q,用能设备节能分配!O:O,'Installation&amp;System Integration'!A11,用能设备节能分配!P:P,'Installation&amp;System Integration'!$A$1,用能设备节能分配!M:M,"2020")+SUMIFS(工业节能技术装备推荐目录!K:K,工业节能技术装备推荐目录!D:D,'Installation&amp;System Integration'!A11,工业节能技术装备推荐目录!F:F,'Installation&amp;System Integration'!$A$1,工业节能技术装备推荐目录!A:A,"2022")+SUMIFS(用能设备节能分配!Q:Q,用能设备节能分配!O:O,'Installation&amp;System Integration'!A11,用能设备节能分配!P:P,'Installation&amp;System Integration'!$A$1,用能设备节能分配!M:M,"2022")</f>
        <v>35.359707139677383</v>
      </c>
      <c r="H11" s="73">
        <f>SUMIFS(工业节能技术装备推荐目录!K:K,工业节能技术装备推荐目录!D:D,'Installation&amp;System Integration'!A11,工业节能技术装备推荐目录!F:F,'Installation&amp;System Integration'!$A$1,工业节能技术装备推荐目录!A:A,"2022")+SUMIFS(用能设备节能分配!Q:Q,用能设备节能分配!O:O,'Installation&amp;System Integration'!A11,用能设备节能分配!P:P,'Installation&amp;System Integration'!$A$1,用能设备节能分配!M:M,"2022")</f>
        <v>0</v>
      </c>
      <c r="I11" s="73">
        <f>SUMIFS(工业节能技术装备推荐目录!K:K,工业节能技术装备推荐目录!D:D,'Installation&amp;System Integration'!A11,工业节能技术装备推荐目录!F:F,'Installation&amp;System Integration'!$A$1,工业节能技术装备推荐目录!A:A,"2022")+SUMIFS(用能设备节能分配!Q:Q,用能设备节能分配!O:O,'Installation&amp;System Integration'!A11,用能设备节能分配!P:P,'Installation&amp;System Integration'!$A$1,用能设备节能分配!M:M,"2022")</f>
        <v>0</v>
      </c>
      <c r="K11" s="52"/>
      <c r="L11" s="26" t="s">
        <v>40</v>
      </c>
      <c r="M11" s="50">
        <f>SUMIFS(工业节能技术装备推荐目录!L:L,工业节能技术装备推荐目录!D:D,'Installation&amp;System Integration'!A11,工业节能技术装备推荐目录!F:F,'Installation&amp;System Integration'!$A$1)</f>
        <v>0</v>
      </c>
      <c r="N11" s="73">
        <f>SUMIFS(工业节能技术装备推荐目录!K:K,工业节能技术装备推荐目录!D:D,'Installation&amp;System Integration'!A11,工业节能技术装备推荐目录!F:F,'Installation&amp;System Integration'!$A$1,工业节能技术装备推荐目录!A:A,"2020")</f>
        <v>0</v>
      </c>
      <c r="O11" s="73">
        <f>SUMIFS(工业节能技术装备推荐目录!K:K,工业节能技术装备推荐目录!D:D,'Installation&amp;System Integration'!A11,工业节能技术装备推荐目录!F:F,'Installation&amp;System Integration'!$A$1,工业节能技术装备推荐目录!A:A,"2020")+SUMIFS(工业节能技术装备推荐目录!K:K,工业节能技术装备推荐目录!D:D,'Installation&amp;System Integration'!A11,工业节能技术装备推荐目录!F:F,'Installation&amp;System Integration'!$A$1,工业节能技术装备推荐目录!A:A,"2021")</f>
        <v>0</v>
      </c>
      <c r="P11" s="73">
        <f>SUMIFS(工业节能技术装备推荐目录!K:K,工业节能技术装备推荐目录!D:D,'Installation&amp;System Integration'!A11,工业节能技术装备推荐目录!F:F,'Installation&amp;System Integration'!$A$1,工业节能技术装备推荐目录!A:A,"2020")+SUMIFS(工业节能技术装备推荐目录!K:K,工业节能技术装备推荐目录!D:D,'Installation&amp;System Integration'!A11,工业节能技术装备推荐目录!F:F,'Installation&amp;System Integration'!$A$1,工业节能技术装备推荐目录!A:A,"2021")+SUMIFS(工业节能技术装备推荐目录!K:K,工业节能技术装备推荐目录!D:D,'Installation&amp;System Integration'!A11,工业节能技术装备推荐目录!F:F,'Installation&amp;System Integration'!$A$1,工业节能技术装备推荐目录!A:A,"2022")</f>
        <v>0</v>
      </c>
      <c r="Q11" s="73">
        <f>SUMIFS(工业节能技术装备推荐目录!K:K,工业节能技术装备推荐目录!D:D,'Installation&amp;System Integration'!A11,工业节能技术装备推荐目录!F:F,'Installation&amp;System Integration'!$A$1,工业节能技术装备推荐目录!A:A,"2020")+SUMIFS(工业节能技术装备推荐目录!K:K,工业节能技术装备推荐目录!D:D,'Installation&amp;System Integration'!A11,工业节能技术装备推荐目录!F:F,'Installation&amp;System Integration'!$A$1,工业节能技术装备推荐目录!A:A,"2021")+SUMIFS(工业节能技术装备推荐目录!K:K,工业节能技术装备推荐目录!D:D,'Installation&amp;System Integration'!A11,工业节能技术装备推荐目录!F:F,'Installation&amp;System Integration'!$A$1,工业节能技术装备推荐目录!A:A,"2022")</f>
        <v>0</v>
      </c>
      <c r="R11" s="73">
        <f>SUMIFS(工业节能技术装备推荐目录!K:K,工业节能技术装备推荐目录!D:D,'Installation&amp;System Integration'!A11,工业节能技术装备推荐目录!F:F,'Installation&amp;System Integration'!$A$1,工业节能技术装备推荐目录!A:A,"2020")+SUMIFS(工业节能技术装备推荐目录!K:K,工业节能技术装备推荐目录!D:D,'Installation&amp;System Integration'!A11,工业节能技术装备推荐目录!F:F,'Installation&amp;System Integration'!$A$1,工业节能技术装备推荐目录!A:A,"2022")</f>
        <v>0</v>
      </c>
      <c r="S11" s="73">
        <f>SUMIFS(工业节能技术装备推荐目录!K:K,工业节能技术装备推荐目录!D:D,'Installation&amp;System Integration'!A11,工业节能技术装备推荐目录!F:F,'Installation&amp;System Integration'!$A$1,工业节能技术装备推荐目录!A:A,"2022")</f>
        <v>0</v>
      </c>
      <c r="T11" s="73">
        <f>SUMIFS(工业节能技术装备推荐目录!K:K,工业节能技术装备推荐目录!D:D,'Installation&amp;System Integration'!A11,工业节能技术装备推荐目录!F:F,'Installation&amp;System Integration'!$A$1,工业节能技术装备推荐目录!A:A,"2022")</f>
        <v>0</v>
      </c>
    </row>
    <row r="12" spans="1:20" x14ac:dyDescent="0.15">
      <c r="A12" s="26" t="s">
        <v>41</v>
      </c>
      <c r="B12" s="50">
        <f>SUMIFS(工业节能技术装备推荐目录!L:L,工业节能技术装备推荐目录!D:D,'Installation&amp;System Integration'!A12,工业节能技术装备推荐目录!F:F,'Installation&amp;System Integration'!$A$1)+SUMIFS(用能设备节能分配!R:R,用能设备节能分配!O:O,'Installation&amp;System Integration'!A12,用能设备节能分配!P:P,'Installation&amp;System Integration'!$A$1)</f>
        <v>637.43363311741723</v>
      </c>
      <c r="C12" s="73">
        <f>SUMIFS(工业节能技术装备推荐目录!K:K,工业节能技术装备推荐目录!D:D,'Installation&amp;System Integration'!A12,工业节能技术装备推荐目录!F:F,'Installation&amp;System Integration'!$A$1,工业节能技术装备推荐目录!A:A,"2020")+SUMIFS(用能设备节能分配!Q:Q,用能设备节能分配!O:O,'Installation&amp;System Integration'!A12,用能设备节能分配!P:P,'Installation&amp;System Integration'!$A$1,用能设备节能分配!M:M,"2020")</f>
        <v>10.080674791535833</v>
      </c>
      <c r="D12" s="73">
        <f>SUMIFS(工业节能技术装备推荐目录!K:K,工业节能技术装备推荐目录!D:D,'Installation&amp;System Integration'!A12,工业节能技术装备推荐目录!F:F,'Installation&amp;System Integration'!$A$1,工业节能技术装备推荐目录!A:A,"2020")+SUMIFS(用能设备节能分配!Q:Q,用能设备节能分配!O:O,'Installation&amp;System Integration'!A12,用能设备节能分配!P:P,'Installation&amp;System Integration'!$A$1,用能设备节能分配!M:M,"2020")+SUMIFS(工业节能技术装备推荐目录!K:K,工业节能技术装备推荐目录!D:D,'Installation&amp;System Integration'!A12,工业节能技术装备推荐目录!F:F,'Installation&amp;System Integration'!$A$1,工业节能技术装备推荐目录!A:A,"2021")+SUMIFS(用能设备节能分配!Q:Q,用能设备节能分配!O:O,'Installation&amp;System Integration'!A12,用能设备节能分配!P:P,'Installation&amp;System Integration'!$A$1,用能设备节能分配!M:M,"2021")</f>
        <v>63.819514842211333</v>
      </c>
      <c r="E12" s="73">
        <f>SUMIFS(工业节能技术装备推荐目录!K:K,工业节能技术装备推荐目录!D:D,'Installation&amp;System Integration'!A12,工业节能技术装备推荐目录!F:F,'Installation&amp;System Integration'!$A$1,工业节能技术装备推荐目录!A:A,"2020")+SUMIFS(用能设备节能分配!Q:Q,用能设备节能分配!O:O,'Installation&amp;System Integration'!A12,用能设备节能分配!P:P,'Installation&amp;System Integration'!$A$1,用能设备节能分配!M:M,"2020")+SUMIFS(工业节能技术装备推荐目录!K:K,工业节能技术装备推荐目录!D:D,'Installation&amp;System Integration'!A12,工业节能技术装备推荐目录!F:F,'Installation&amp;System Integration'!$A$1,工业节能技术装备推荐目录!A:A,"2021")+SUMIFS(用能设备节能分配!Q:Q,用能设备节能分配!O:O,'Installation&amp;System Integration'!A12,用能设备节能分配!P:P,'Installation&amp;System Integration'!$A$1,用能设备节能分配!M:M,"2021")+SUMIFS(工业节能技术装备推荐目录!K:K,工业节能技术装备推荐目录!D:D,'Installation&amp;System Integration'!A12,工业节能技术装备推荐目录!F:F,'Installation&amp;System Integration'!$A$1,工业节能技术装备推荐目录!A:A,"2022")+SUMIFS(用能设备节能分配!Q:Q,用能设备节能分配!O:O,'Installation&amp;System Integration'!A12,用能设备节能分配!P:P,'Installation&amp;System Integration'!$A$1,用能设备节能分配!M:M,"2022")</f>
        <v>63.819514842211333</v>
      </c>
      <c r="F12" s="73">
        <f>SUMIFS(工业节能技术装备推荐目录!K:K,工业节能技术装备推荐目录!D:D,'Installation&amp;System Integration'!A12,工业节能技术装备推荐目录!F:F,'Installation&amp;System Integration'!$A$1,工业节能技术装备推荐目录!A:A,"2020")+SUMIFS(用能设备节能分配!Q:Q,用能设备节能分配!O:O,'Installation&amp;System Integration'!A12,用能设备节能分配!P:P,'Installation&amp;System Integration'!$A$1,用能设备节能分配!M:M,"2020")+SUMIFS(工业节能技术装备推荐目录!K:K,工业节能技术装备推荐目录!D:D,'Installation&amp;System Integration'!A12,工业节能技术装备推荐目录!F:F,'Installation&amp;System Integration'!$A$1,工业节能技术装备推荐目录!A:A,"2021")+SUMIFS(用能设备节能分配!Q:Q,用能设备节能分配!O:O,'Installation&amp;System Integration'!A12,用能设备节能分配!P:P,'Installation&amp;System Integration'!$A$1,用能设备节能分配!M:M,"2021")+SUMIFS(工业节能技术装备推荐目录!K:K,工业节能技术装备推荐目录!D:D,'Installation&amp;System Integration'!A12,工业节能技术装备推荐目录!F:F,'Installation&amp;System Integration'!$A$1,工业节能技术装备推荐目录!A:A,"2022")+SUMIFS(用能设备节能分配!Q:Q,用能设备节能分配!O:O,'Installation&amp;System Integration'!A12,用能设备节能分配!P:P,'Installation&amp;System Integration'!$A$1,用能设备节能分配!M:M,"2022")</f>
        <v>63.819514842211333</v>
      </c>
      <c r="G12" s="73">
        <f>SUMIFS(工业节能技术装备推荐目录!K:K,工业节能技术装备推荐目录!D:D,'Installation&amp;System Integration'!A12,工业节能技术装备推荐目录!F:F,'Installation&amp;System Integration'!$A$1,工业节能技术装备推荐目录!A:A,"2020")+SUMIFS(用能设备节能分配!Q:Q,用能设备节能分配!O:O,'Installation&amp;System Integration'!A12,用能设备节能分配!P:P,'Installation&amp;System Integration'!$A$1,用能设备节能分配!M:M,"2020")+SUMIFS(工业节能技术装备推荐目录!K:K,工业节能技术装备推荐目录!D:D,'Installation&amp;System Integration'!A12,工业节能技术装备推荐目录!F:F,'Installation&amp;System Integration'!$A$1,工业节能技术装备推荐目录!A:A,"2022")+SUMIFS(用能设备节能分配!Q:Q,用能设备节能分配!O:O,'Installation&amp;System Integration'!A12,用能设备节能分配!P:P,'Installation&amp;System Integration'!$A$1,用能设备节能分配!M:M,"2022")</f>
        <v>10.080674791535833</v>
      </c>
      <c r="H12" s="73">
        <f>SUMIFS(工业节能技术装备推荐目录!K:K,工业节能技术装备推荐目录!D:D,'Installation&amp;System Integration'!A12,工业节能技术装备推荐目录!F:F,'Installation&amp;System Integration'!$A$1,工业节能技术装备推荐目录!A:A,"2022")+SUMIFS(用能设备节能分配!Q:Q,用能设备节能分配!O:O,'Installation&amp;System Integration'!A12,用能设备节能分配!P:P,'Installation&amp;System Integration'!$A$1,用能设备节能分配!M:M,"2022")</f>
        <v>0</v>
      </c>
      <c r="I12" s="73">
        <f>SUMIFS(工业节能技术装备推荐目录!K:K,工业节能技术装备推荐目录!D:D,'Installation&amp;System Integration'!A12,工业节能技术装备推荐目录!F:F,'Installation&amp;System Integration'!$A$1,工业节能技术装备推荐目录!A:A,"2022")+SUMIFS(用能设备节能分配!Q:Q,用能设备节能分配!O:O,'Installation&amp;System Integration'!A12,用能设备节能分配!P:P,'Installation&amp;System Integration'!$A$1,用能设备节能分配!M:M,"2022")</f>
        <v>0</v>
      </c>
      <c r="K12" s="52"/>
      <c r="L12" s="26" t="s">
        <v>41</v>
      </c>
      <c r="M12" s="50">
        <f>SUMIFS(工业节能技术装备推荐目录!L:L,工业节能技术装备推荐目录!D:D,'Installation&amp;System Integration'!A12,工业节能技术装备推荐目录!F:F,'Installation&amp;System Integration'!$A$1)</f>
        <v>347.09428571428566</v>
      </c>
      <c r="N12" s="73">
        <f>SUMIFS(工业节能技术装备推荐目录!K:K,工业节能技术装备推荐目录!D:D,'Installation&amp;System Integration'!A12,工业节能技术装备推荐目录!F:F,'Installation&amp;System Integration'!$A$1,工业节能技术装备推荐目录!A:A,"2020")</f>
        <v>0</v>
      </c>
      <c r="O12" s="73">
        <f>SUMIFS(工业节能技术装备推荐目录!K:K,工业节能技术装备推荐目录!D:D,'Installation&amp;System Integration'!A12,工业节能技术装备推荐目录!F:F,'Installation&amp;System Integration'!$A$1,工业节能技术装备推荐目录!A:A,"2020")+SUMIFS(工业节能技术装备推荐目录!K:K,工业节能技术装备推荐目录!D:D,'Installation&amp;System Integration'!A12,工业节能技术装备推荐目录!F:F,'Installation&amp;System Integration'!$A$1,工业节能技术装备推荐目录!A:A,"2021")</f>
        <v>22.48</v>
      </c>
      <c r="P12" s="73">
        <f>SUMIFS(工业节能技术装备推荐目录!K:K,工业节能技术装备推荐目录!D:D,'Installation&amp;System Integration'!A12,工业节能技术装备推荐目录!F:F,'Installation&amp;System Integration'!$A$1,工业节能技术装备推荐目录!A:A,"2020")+SUMIFS(工业节能技术装备推荐目录!K:K,工业节能技术装备推荐目录!D:D,'Installation&amp;System Integration'!A12,工业节能技术装备推荐目录!F:F,'Installation&amp;System Integration'!$A$1,工业节能技术装备推荐目录!A:A,"2021")+SUMIFS(工业节能技术装备推荐目录!K:K,工业节能技术装备推荐目录!D:D,'Installation&amp;System Integration'!A12,工业节能技术装备推荐目录!F:F,'Installation&amp;System Integration'!$A$1,工业节能技术装备推荐目录!A:A,"2022")</f>
        <v>22.48</v>
      </c>
      <c r="Q12" s="73">
        <f>SUMIFS(工业节能技术装备推荐目录!K:K,工业节能技术装备推荐目录!D:D,'Installation&amp;System Integration'!A12,工业节能技术装备推荐目录!F:F,'Installation&amp;System Integration'!$A$1,工业节能技术装备推荐目录!A:A,"2020")+SUMIFS(工业节能技术装备推荐目录!K:K,工业节能技术装备推荐目录!D:D,'Installation&amp;System Integration'!A12,工业节能技术装备推荐目录!F:F,'Installation&amp;System Integration'!$A$1,工业节能技术装备推荐目录!A:A,"2021")+SUMIFS(工业节能技术装备推荐目录!K:K,工业节能技术装备推荐目录!D:D,'Installation&amp;System Integration'!A12,工业节能技术装备推荐目录!F:F,'Installation&amp;System Integration'!$A$1,工业节能技术装备推荐目录!A:A,"2022")</f>
        <v>22.48</v>
      </c>
      <c r="R12" s="73">
        <f>SUMIFS(工业节能技术装备推荐目录!K:K,工业节能技术装备推荐目录!D:D,'Installation&amp;System Integration'!A12,工业节能技术装备推荐目录!F:F,'Installation&amp;System Integration'!$A$1,工业节能技术装备推荐目录!A:A,"2020")+SUMIFS(工业节能技术装备推荐目录!K:K,工业节能技术装备推荐目录!D:D,'Installation&amp;System Integration'!A12,工业节能技术装备推荐目录!F:F,'Installation&amp;System Integration'!$A$1,工业节能技术装备推荐目录!A:A,"2022")</f>
        <v>0</v>
      </c>
      <c r="S12" s="73">
        <f>SUMIFS(工业节能技术装备推荐目录!K:K,工业节能技术装备推荐目录!D:D,'Installation&amp;System Integration'!A12,工业节能技术装备推荐目录!F:F,'Installation&amp;System Integration'!$A$1,工业节能技术装备推荐目录!A:A,"2022")</f>
        <v>0</v>
      </c>
      <c r="T12" s="73">
        <f>SUMIFS(工业节能技术装备推荐目录!K:K,工业节能技术装备推荐目录!D:D,'Installation&amp;System Integration'!A12,工业节能技术装备推荐目录!F:F,'Installation&amp;System Integration'!$A$1,工业节能技术装备推荐目录!A:A,"2022")</f>
        <v>0</v>
      </c>
    </row>
    <row r="13" spans="1:20" x14ac:dyDescent="0.15">
      <c r="A13" s="26" t="s">
        <v>42</v>
      </c>
      <c r="B13" s="50">
        <f>SUMIFS(工业节能技术装备推荐目录!L:L,工业节能技术装备推荐目录!D:D,'Installation&amp;System Integration'!A13,工业节能技术装备推荐目录!F:F,'Installation&amp;System Integration'!$A$1)+SUMIFS(用能设备节能分配!R:R,用能设备节能分配!O:O,'Installation&amp;System Integration'!A13,用能设备节能分配!P:P,'Installation&amp;System Integration'!$A$1)</f>
        <v>13.336553176421983</v>
      </c>
      <c r="C13" s="73">
        <f>SUMIFS(工业节能技术装备推荐目录!K:K,工业节能技术装备推荐目录!D:D,'Installation&amp;System Integration'!A13,工业节能技术装备推荐目录!F:F,'Installation&amp;System Integration'!$A$1,工业节能技术装备推荐目录!A:A,"2020")+SUMIFS(用能设备节能分配!Q:Q,用能设备节能分配!O:O,'Installation&amp;System Integration'!A13,用能设备节能分配!P:P,'Installation&amp;System Integration'!$A$1,用能设备节能分配!M:M,"2020")</f>
        <v>0.53047047281115878</v>
      </c>
      <c r="D13" s="73">
        <f>SUMIFS(工业节能技术装备推荐目录!K:K,工业节能技术装备推荐目录!D:D,'Installation&amp;System Integration'!A13,工业节能技术装备推荐目录!F:F,'Installation&amp;System Integration'!$A$1,工业节能技术装备推荐目录!A:A,"2020")+SUMIFS(用能设备节能分配!Q:Q,用能设备节能分配!O:O,'Installation&amp;System Integration'!A13,用能设备节能分配!P:P,'Installation&amp;System Integration'!$A$1,用能设备节能分配!M:M,"2020")+SUMIFS(工业节能技术装备推荐目录!K:K,工业节能技术装备推荐目录!D:D,'Installation&amp;System Integration'!A13,工业节能技术装备推荐目录!F:F,'Installation&amp;System Integration'!$A$1,工业节能技术装备推荐目录!A:A,"2021")+SUMIFS(用能设备节能分配!Q:Q,用能设备节能分配!O:O,'Installation&amp;System Integration'!A13,用能设备节能分配!P:P,'Installation&amp;System Integration'!$A$1,用能设备节能分配!M:M,"2021")</f>
        <v>1.6528507966894086</v>
      </c>
      <c r="E13" s="73">
        <f>SUMIFS(工业节能技术装备推荐目录!K:K,工业节能技术装备推荐目录!D:D,'Installation&amp;System Integration'!A13,工业节能技术装备推荐目录!F:F,'Installation&amp;System Integration'!$A$1,工业节能技术装备推荐目录!A:A,"2020")+SUMIFS(用能设备节能分配!Q:Q,用能设备节能分配!O:O,'Installation&amp;System Integration'!A13,用能设备节能分配!P:P,'Installation&amp;System Integration'!$A$1,用能设备节能分配!M:M,"2020")+SUMIFS(工业节能技术装备推荐目录!K:K,工业节能技术装备推荐目录!D:D,'Installation&amp;System Integration'!A13,工业节能技术装备推荐目录!F:F,'Installation&amp;System Integration'!$A$1,工业节能技术装备推荐目录!A:A,"2021")+SUMIFS(用能设备节能分配!Q:Q,用能设备节能分配!O:O,'Installation&amp;System Integration'!A13,用能设备节能分配!P:P,'Installation&amp;System Integration'!$A$1,用能设备节能分配!M:M,"2021")+SUMIFS(工业节能技术装备推荐目录!K:K,工业节能技术装备推荐目录!D:D,'Installation&amp;System Integration'!A13,工业节能技术装备推荐目录!F:F,'Installation&amp;System Integration'!$A$1,工业节能技术装备推荐目录!A:A,"2022")+SUMIFS(用能设备节能分配!Q:Q,用能设备节能分配!O:O,'Installation&amp;System Integration'!A13,用能设备节能分配!P:P,'Installation&amp;System Integration'!$A$1,用能设备节能分配!M:M,"2022")</f>
        <v>1.6528507966894086</v>
      </c>
      <c r="F13" s="73">
        <f>SUMIFS(工业节能技术装备推荐目录!K:K,工业节能技术装备推荐目录!D:D,'Installation&amp;System Integration'!A13,工业节能技术装备推荐目录!F:F,'Installation&amp;System Integration'!$A$1,工业节能技术装备推荐目录!A:A,"2020")+SUMIFS(用能设备节能分配!Q:Q,用能设备节能分配!O:O,'Installation&amp;System Integration'!A13,用能设备节能分配!P:P,'Installation&amp;System Integration'!$A$1,用能设备节能分配!M:M,"2020")+SUMIFS(工业节能技术装备推荐目录!K:K,工业节能技术装备推荐目录!D:D,'Installation&amp;System Integration'!A13,工业节能技术装备推荐目录!F:F,'Installation&amp;System Integration'!$A$1,工业节能技术装备推荐目录!A:A,"2021")+SUMIFS(用能设备节能分配!Q:Q,用能设备节能分配!O:O,'Installation&amp;System Integration'!A13,用能设备节能分配!P:P,'Installation&amp;System Integration'!$A$1,用能设备节能分配!M:M,"2021")+SUMIFS(工业节能技术装备推荐目录!K:K,工业节能技术装备推荐目录!D:D,'Installation&amp;System Integration'!A13,工业节能技术装备推荐目录!F:F,'Installation&amp;System Integration'!$A$1,工业节能技术装备推荐目录!A:A,"2022")+SUMIFS(用能设备节能分配!Q:Q,用能设备节能分配!O:O,'Installation&amp;System Integration'!A13,用能设备节能分配!P:P,'Installation&amp;System Integration'!$A$1,用能设备节能分配!M:M,"2022")</f>
        <v>1.6528507966894086</v>
      </c>
      <c r="G13" s="73">
        <f>SUMIFS(工业节能技术装备推荐目录!K:K,工业节能技术装备推荐目录!D:D,'Installation&amp;System Integration'!A13,工业节能技术装备推荐目录!F:F,'Installation&amp;System Integration'!$A$1,工业节能技术装备推荐目录!A:A,"2020")+SUMIFS(用能设备节能分配!Q:Q,用能设备节能分配!O:O,'Installation&amp;System Integration'!A13,用能设备节能分配!P:P,'Installation&amp;System Integration'!$A$1,用能设备节能分配!M:M,"2020")+SUMIFS(工业节能技术装备推荐目录!K:K,工业节能技术装备推荐目录!D:D,'Installation&amp;System Integration'!A13,工业节能技术装备推荐目录!F:F,'Installation&amp;System Integration'!$A$1,工业节能技术装备推荐目录!A:A,"2022")+SUMIFS(用能设备节能分配!Q:Q,用能设备节能分配!O:O,'Installation&amp;System Integration'!A13,用能设备节能分配!P:P,'Installation&amp;System Integration'!$A$1,用能设备节能分配!M:M,"2022")</f>
        <v>0.53047047281115878</v>
      </c>
      <c r="H13" s="73">
        <f>SUMIFS(工业节能技术装备推荐目录!K:K,工业节能技术装备推荐目录!D:D,'Installation&amp;System Integration'!A13,工业节能技术装备推荐目录!F:F,'Installation&amp;System Integration'!$A$1,工业节能技术装备推荐目录!A:A,"2022")+SUMIFS(用能设备节能分配!Q:Q,用能设备节能分配!O:O,'Installation&amp;System Integration'!A13,用能设备节能分配!P:P,'Installation&amp;System Integration'!$A$1,用能设备节能分配!M:M,"2022")</f>
        <v>0</v>
      </c>
      <c r="I13" s="73">
        <f>SUMIFS(工业节能技术装备推荐目录!K:K,工业节能技术装备推荐目录!D:D,'Installation&amp;System Integration'!A13,工业节能技术装备推荐目录!F:F,'Installation&amp;System Integration'!$A$1,工业节能技术装备推荐目录!A:A,"2022")+SUMIFS(用能设备节能分配!Q:Q,用能设备节能分配!O:O,'Installation&amp;System Integration'!A13,用能设备节能分配!P:P,'Installation&amp;System Integration'!$A$1,用能设备节能分配!M:M,"2022")</f>
        <v>0</v>
      </c>
      <c r="K13" s="52"/>
      <c r="L13" s="26" t="s">
        <v>42</v>
      </c>
      <c r="M13" s="50">
        <f>SUMIFS(工业节能技术装备推荐目录!L:L,工业节能技术装备推荐目录!D:D,'Installation&amp;System Integration'!A13,工业节能技术装备推荐目录!F:F,'Installation&amp;System Integration'!$A$1)</f>
        <v>0</v>
      </c>
      <c r="N13" s="73">
        <f>SUMIFS(工业节能技术装备推荐目录!K:K,工业节能技术装备推荐目录!D:D,'Installation&amp;System Integration'!A13,工业节能技术装备推荐目录!F:F,'Installation&amp;System Integration'!$A$1,工业节能技术装备推荐目录!A:A,"2020")</f>
        <v>0</v>
      </c>
      <c r="O13" s="73">
        <f>SUMIFS(工业节能技术装备推荐目录!K:K,工业节能技术装备推荐目录!D:D,'Installation&amp;System Integration'!A13,工业节能技术装备推荐目录!F:F,'Installation&amp;System Integration'!$A$1,工业节能技术装备推荐目录!A:A,"2020")+SUMIFS(工业节能技术装备推荐目录!K:K,工业节能技术装备推荐目录!D:D,'Installation&amp;System Integration'!A13,工业节能技术装备推荐目录!F:F,'Installation&amp;System Integration'!$A$1,工业节能技术装备推荐目录!A:A,"2021")</f>
        <v>0</v>
      </c>
      <c r="P13" s="73">
        <f>SUMIFS(工业节能技术装备推荐目录!K:K,工业节能技术装备推荐目录!D:D,'Installation&amp;System Integration'!A13,工业节能技术装备推荐目录!F:F,'Installation&amp;System Integration'!$A$1,工业节能技术装备推荐目录!A:A,"2020")+SUMIFS(工业节能技术装备推荐目录!K:K,工业节能技术装备推荐目录!D:D,'Installation&amp;System Integration'!A13,工业节能技术装备推荐目录!F:F,'Installation&amp;System Integration'!$A$1,工业节能技术装备推荐目录!A:A,"2021")+SUMIFS(工业节能技术装备推荐目录!K:K,工业节能技术装备推荐目录!D:D,'Installation&amp;System Integration'!A13,工业节能技术装备推荐目录!F:F,'Installation&amp;System Integration'!$A$1,工业节能技术装备推荐目录!A:A,"2022")</f>
        <v>0</v>
      </c>
      <c r="Q13" s="73">
        <f>SUMIFS(工业节能技术装备推荐目录!K:K,工业节能技术装备推荐目录!D:D,'Installation&amp;System Integration'!A13,工业节能技术装备推荐目录!F:F,'Installation&amp;System Integration'!$A$1,工业节能技术装备推荐目录!A:A,"2020")+SUMIFS(工业节能技术装备推荐目录!K:K,工业节能技术装备推荐目录!D:D,'Installation&amp;System Integration'!A13,工业节能技术装备推荐目录!F:F,'Installation&amp;System Integration'!$A$1,工业节能技术装备推荐目录!A:A,"2021")+SUMIFS(工业节能技术装备推荐目录!K:K,工业节能技术装备推荐目录!D:D,'Installation&amp;System Integration'!A13,工业节能技术装备推荐目录!F:F,'Installation&amp;System Integration'!$A$1,工业节能技术装备推荐目录!A:A,"2022")</f>
        <v>0</v>
      </c>
      <c r="R13" s="73">
        <f>SUMIFS(工业节能技术装备推荐目录!K:K,工业节能技术装备推荐目录!D:D,'Installation&amp;System Integration'!A13,工业节能技术装备推荐目录!F:F,'Installation&amp;System Integration'!$A$1,工业节能技术装备推荐目录!A:A,"2020")+SUMIFS(工业节能技术装备推荐目录!K:K,工业节能技术装备推荐目录!D:D,'Installation&amp;System Integration'!A13,工业节能技术装备推荐目录!F:F,'Installation&amp;System Integration'!$A$1,工业节能技术装备推荐目录!A:A,"2022")</f>
        <v>0</v>
      </c>
      <c r="S13" s="73">
        <f>SUMIFS(工业节能技术装备推荐目录!K:K,工业节能技术装备推荐目录!D:D,'Installation&amp;System Integration'!A13,工业节能技术装备推荐目录!F:F,'Installation&amp;System Integration'!$A$1,工业节能技术装备推荐目录!A:A,"2022")</f>
        <v>0</v>
      </c>
      <c r="T13" s="73">
        <f>SUMIFS(工业节能技术装备推荐目录!K:K,工业节能技术装备推荐目录!D:D,'Installation&amp;System Integration'!A13,工业节能技术装备推荐目录!F:F,'Installation&amp;System Integration'!$A$1,工业节能技术装备推荐目录!A:A,"2022")</f>
        <v>0</v>
      </c>
    </row>
    <row r="14" spans="1:20" x14ac:dyDescent="0.15">
      <c r="A14" s="26" t="s">
        <v>43</v>
      </c>
      <c r="B14" s="50">
        <f>SUMIFS(工业节能技术装备推荐目录!L:L,工业节能技术装备推荐目录!D:D,'Installation&amp;System Integration'!A14,工业节能技术装备推荐目录!F:F,'Installation&amp;System Integration'!$A$1)+SUMIFS(用能设备节能分配!R:R,用能设备节能分配!O:O,'Installation&amp;System Integration'!A14,用能设备节能分配!P:P,'Installation&amp;System Integration'!$A$1)</f>
        <v>4.4692659746085077</v>
      </c>
      <c r="C14" s="73">
        <f>SUMIFS(工业节能技术装备推荐目录!K:K,工业节能技术装备推荐目录!D:D,'Installation&amp;System Integration'!A14,工业节能技术装备推荐目录!F:F,'Installation&amp;System Integration'!$A$1,工业节能技术装备推荐目录!A:A,"2020")+SUMIFS(用能设备节能分配!Q:Q,用能设备节能分配!O:O,'Installation&amp;System Integration'!A14,用能设备节能分配!P:P,'Installation&amp;System Integration'!$A$1,用能设备节能分配!M:M,"2020")</f>
        <v>0.17776809369761434</v>
      </c>
      <c r="D14" s="73">
        <f>SUMIFS(工业节能技术装备推荐目录!K:K,工业节能技术装备推荐目录!D:D,'Installation&amp;System Integration'!A14,工业节能技术装备推荐目录!F:F,'Installation&amp;System Integration'!$A$1,工业节能技术装备推荐目录!A:A,"2020")+SUMIFS(用能设备节能分配!Q:Q,用能设备节能分配!O:O,'Installation&amp;System Integration'!A14,用能设备节能分配!P:P,'Installation&amp;System Integration'!$A$1,用能设备节能分配!M:M,"2020")+SUMIFS(工业节能技术装备推荐目录!K:K,工业节能技术装备推荐目录!D:D,'Installation&amp;System Integration'!A14,工业节能技术装备推荐目录!F:F,'Installation&amp;System Integration'!$A$1,工业节能技术装备推荐目录!A:A,"2021")+SUMIFS(用能设备节能分配!Q:Q,用能设备节能分配!O:O,'Installation&amp;System Integration'!A14,用能设备节能分配!P:P,'Installation&amp;System Integration'!$A$1,用能设备节能分配!M:M,"2021")</f>
        <v>0.55389347824955615</v>
      </c>
      <c r="E14" s="73">
        <f>SUMIFS(工业节能技术装备推荐目录!K:K,工业节能技术装备推荐目录!D:D,'Installation&amp;System Integration'!A14,工业节能技术装备推荐目录!F:F,'Installation&amp;System Integration'!$A$1,工业节能技术装备推荐目录!A:A,"2020")+SUMIFS(用能设备节能分配!Q:Q,用能设备节能分配!O:O,'Installation&amp;System Integration'!A14,用能设备节能分配!P:P,'Installation&amp;System Integration'!$A$1,用能设备节能分配!M:M,"2020")+SUMIFS(工业节能技术装备推荐目录!K:K,工业节能技术装备推荐目录!D:D,'Installation&amp;System Integration'!A14,工业节能技术装备推荐目录!F:F,'Installation&amp;System Integration'!$A$1,工业节能技术装备推荐目录!A:A,"2021")+SUMIFS(用能设备节能分配!Q:Q,用能设备节能分配!O:O,'Installation&amp;System Integration'!A14,用能设备节能分配!P:P,'Installation&amp;System Integration'!$A$1,用能设备节能分配!M:M,"2021")+SUMIFS(工业节能技术装备推荐目录!K:K,工业节能技术装备推荐目录!D:D,'Installation&amp;System Integration'!A14,工业节能技术装备推荐目录!F:F,'Installation&amp;System Integration'!$A$1,工业节能技术装备推荐目录!A:A,"2022")+SUMIFS(用能设备节能分配!Q:Q,用能设备节能分配!O:O,'Installation&amp;System Integration'!A14,用能设备节能分配!P:P,'Installation&amp;System Integration'!$A$1,用能设备节能分配!M:M,"2022")</f>
        <v>0.55389347824955615</v>
      </c>
      <c r="F14" s="73">
        <f>SUMIFS(工业节能技术装备推荐目录!K:K,工业节能技术装备推荐目录!D:D,'Installation&amp;System Integration'!A14,工业节能技术装备推荐目录!F:F,'Installation&amp;System Integration'!$A$1,工业节能技术装备推荐目录!A:A,"2020")+SUMIFS(用能设备节能分配!Q:Q,用能设备节能分配!O:O,'Installation&amp;System Integration'!A14,用能设备节能分配!P:P,'Installation&amp;System Integration'!$A$1,用能设备节能分配!M:M,"2020")+SUMIFS(工业节能技术装备推荐目录!K:K,工业节能技术装备推荐目录!D:D,'Installation&amp;System Integration'!A14,工业节能技术装备推荐目录!F:F,'Installation&amp;System Integration'!$A$1,工业节能技术装备推荐目录!A:A,"2021")+SUMIFS(用能设备节能分配!Q:Q,用能设备节能分配!O:O,'Installation&amp;System Integration'!A14,用能设备节能分配!P:P,'Installation&amp;System Integration'!$A$1,用能设备节能分配!M:M,"2021")+SUMIFS(工业节能技术装备推荐目录!K:K,工业节能技术装备推荐目录!D:D,'Installation&amp;System Integration'!A14,工业节能技术装备推荐目录!F:F,'Installation&amp;System Integration'!$A$1,工业节能技术装备推荐目录!A:A,"2022")+SUMIFS(用能设备节能分配!Q:Q,用能设备节能分配!O:O,'Installation&amp;System Integration'!A14,用能设备节能分配!P:P,'Installation&amp;System Integration'!$A$1,用能设备节能分配!M:M,"2022")</f>
        <v>0.55389347824955615</v>
      </c>
      <c r="G14" s="73">
        <f>SUMIFS(工业节能技术装备推荐目录!K:K,工业节能技术装备推荐目录!D:D,'Installation&amp;System Integration'!A14,工业节能技术装备推荐目录!F:F,'Installation&amp;System Integration'!$A$1,工业节能技术装备推荐目录!A:A,"2020")+SUMIFS(用能设备节能分配!Q:Q,用能设备节能分配!O:O,'Installation&amp;System Integration'!A14,用能设备节能分配!P:P,'Installation&amp;System Integration'!$A$1,用能设备节能分配!M:M,"2020")+SUMIFS(工业节能技术装备推荐目录!K:K,工业节能技术装备推荐目录!D:D,'Installation&amp;System Integration'!A14,工业节能技术装备推荐目录!F:F,'Installation&amp;System Integration'!$A$1,工业节能技术装备推荐目录!A:A,"2022")+SUMIFS(用能设备节能分配!Q:Q,用能设备节能分配!O:O,'Installation&amp;System Integration'!A14,用能设备节能分配!P:P,'Installation&amp;System Integration'!$A$1,用能设备节能分配!M:M,"2022")</f>
        <v>0.17776809369761434</v>
      </c>
      <c r="H14" s="73">
        <f>SUMIFS(工业节能技术装备推荐目录!K:K,工业节能技术装备推荐目录!D:D,'Installation&amp;System Integration'!A14,工业节能技术装备推荐目录!F:F,'Installation&amp;System Integration'!$A$1,工业节能技术装备推荐目录!A:A,"2022")+SUMIFS(用能设备节能分配!Q:Q,用能设备节能分配!O:O,'Installation&amp;System Integration'!A14,用能设备节能分配!P:P,'Installation&amp;System Integration'!$A$1,用能设备节能分配!M:M,"2022")</f>
        <v>0</v>
      </c>
      <c r="I14" s="73">
        <f>SUMIFS(工业节能技术装备推荐目录!K:K,工业节能技术装备推荐目录!D:D,'Installation&amp;System Integration'!A14,工业节能技术装备推荐目录!F:F,'Installation&amp;System Integration'!$A$1,工业节能技术装备推荐目录!A:A,"2022")+SUMIFS(用能设备节能分配!Q:Q,用能设备节能分配!O:O,'Installation&amp;System Integration'!A14,用能设备节能分配!P:P,'Installation&amp;System Integration'!$A$1,用能设备节能分配!M:M,"2022")</f>
        <v>0</v>
      </c>
      <c r="K14" s="52"/>
      <c r="L14" s="26" t="s">
        <v>43</v>
      </c>
      <c r="M14" s="50">
        <f>SUMIFS(工业节能技术装备推荐目录!L:L,工业节能技术装备推荐目录!D:D,'Installation&amp;System Integration'!A14,工业节能技术装备推荐目录!F:F,'Installation&amp;System Integration'!$A$1)</f>
        <v>0</v>
      </c>
      <c r="N14" s="73">
        <f>SUMIFS(工业节能技术装备推荐目录!K:K,工业节能技术装备推荐目录!D:D,'Installation&amp;System Integration'!A14,工业节能技术装备推荐目录!F:F,'Installation&amp;System Integration'!$A$1,工业节能技术装备推荐目录!A:A,"2020")</f>
        <v>0</v>
      </c>
      <c r="O14" s="73">
        <f>SUMIFS(工业节能技术装备推荐目录!K:K,工业节能技术装备推荐目录!D:D,'Installation&amp;System Integration'!A14,工业节能技术装备推荐目录!F:F,'Installation&amp;System Integration'!$A$1,工业节能技术装备推荐目录!A:A,"2020")+SUMIFS(工业节能技术装备推荐目录!K:K,工业节能技术装备推荐目录!D:D,'Installation&amp;System Integration'!A14,工业节能技术装备推荐目录!F:F,'Installation&amp;System Integration'!$A$1,工业节能技术装备推荐目录!A:A,"2021")</f>
        <v>0</v>
      </c>
      <c r="P14" s="73">
        <f>SUMIFS(工业节能技术装备推荐目录!K:K,工业节能技术装备推荐目录!D:D,'Installation&amp;System Integration'!A14,工业节能技术装备推荐目录!F:F,'Installation&amp;System Integration'!$A$1,工业节能技术装备推荐目录!A:A,"2020")+SUMIFS(工业节能技术装备推荐目录!K:K,工业节能技术装备推荐目录!D:D,'Installation&amp;System Integration'!A14,工业节能技术装备推荐目录!F:F,'Installation&amp;System Integration'!$A$1,工业节能技术装备推荐目录!A:A,"2021")+SUMIFS(工业节能技术装备推荐目录!K:K,工业节能技术装备推荐目录!D:D,'Installation&amp;System Integration'!A14,工业节能技术装备推荐目录!F:F,'Installation&amp;System Integration'!$A$1,工业节能技术装备推荐目录!A:A,"2022")</f>
        <v>0</v>
      </c>
      <c r="Q14" s="73">
        <f>SUMIFS(工业节能技术装备推荐目录!K:K,工业节能技术装备推荐目录!D:D,'Installation&amp;System Integration'!A14,工业节能技术装备推荐目录!F:F,'Installation&amp;System Integration'!$A$1,工业节能技术装备推荐目录!A:A,"2020")+SUMIFS(工业节能技术装备推荐目录!K:K,工业节能技术装备推荐目录!D:D,'Installation&amp;System Integration'!A14,工业节能技术装备推荐目录!F:F,'Installation&amp;System Integration'!$A$1,工业节能技术装备推荐目录!A:A,"2021")+SUMIFS(工业节能技术装备推荐目录!K:K,工业节能技术装备推荐目录!D:D,'Installation&amp;System Integration'!A14,工业节能技术装备推荐目录!F:F,'Installation&amp;System Integration'!$A$1,工业节能技术装备推荐目录!A:A,"2022")</f>
        <v>0</v>
      </c>
      <c r="R14" s="73">
        <f>SUMIFS(工业节能技术装备推荐目录!K:K,工业节能技术装备推荐目录!D:D,'Installation&amp;System Integration'!A14,工业节能技术装备推荐目录!F:F,'Installation&amp;System Integration'!$A$1,工业节能技术装备推荐目录!A:A,"2020")+SUMIFS(工业节能技术装备推荐目录!K:K,工业节能技术装备推荐目录!D:D,'Installation&amp;System Integration'!A14,工业节能技术装备推荐目录!F:F,'Installation&amp;System Integration'!$A$1,工业节能技术装备推荐目录!A:A,"2022")</f>
        <v>0</v>
      </c>
      <c r="S14" s="73">
        <f>SUMIFS(工业节能技术装备推荐目录!K:K,工业节能技术装备推荐目录!D:D,'Installation&amp;System Integration'!A14,工业节能技术装备推荐目录!F:F,'Installation&amp;System Integration'!$A$1,工业节能技术装备推荐目录!A:A,"2022")</f>
        <v>0</v>
      </c>
      <c r="T14" s="73">
        <f>SUMIFS(工业节能技术装备推荐目录!K:K,工业节能技术装备推荐目录!D:D,'Installation&amp;System Integration'!A14,工业节能技术装备推荐目录!F:F,'Installation&amp;System Integration'!$A$1,工业节能技术装备推荐目录!A:A,"2022")</f>
        <v>0</v>
      </c>
    </row>
    <row r="15" spans="1:20" x14ac:dyDescent="0.15">
      <c r="A15" s="26" t="s">
        <v>56</v>
      </c>
      <c r="B15" s="50">
        <f>SUMIFS(工业节能技术装备推荐目录!L:L,工业节能技术装备推荐目录!D:D,'Installation&amp;System Integration'!A15,工业节能技术装备推荐目录!F:F,'Installation&amp;System Integration'!$A$1)+SUMIFS(用能设备节能分配!R:R,用能设备节能分配!O:O,'Installation&amp;System Integration'!A15,用能设备节能分配!P:P,'Installation&amp;System Integration'!$A$1)</f>
        <v>165.32287149612966</v>
      </c>
      <c r="C15" s="73">
        <f>SUMIFS(工业节能技术装备推荐目录!K:K,工业节能技术装备推荐目录!D:D,'Installation&amp;System Integration'!A15,工业节能技术装备推荐目录!F:F,'Installation&amp;System Integration'!$A$1,工业节能技术装备推荐目录!A:A,"2020")+SUMIFS(用能设备节能分配!Q:Q,用能设备节能分配!O:O,'Installation&amp;System Integration'!A15,用能设备节能分配!P:P,'Installation&amp;System Integration'!$A$1,用能设备节能分配!M:M,"2020")</f>
        <v>6.5758296502049243</v>
      </c>
      <c r="D15" s="73">
        <f>SUMIFS(工业节能技术装备推荐目录!K:K,工业节能技术装备推荐目录!D:D,'Installation&amp;System Integration'!A15,工业节能技术装备推荐目录!F:F,'Installation&amp;System Integration'!$A$1,工业节能技术装备推荐目录!A:A,"2020")+SUMIFS(用能设备节能分配!Q:Q,用能设备节能分配!O:O,'Installation&amp;System Integration'!A15,用能设备节能分配!P:P,'Installation&amp;System Integration'!$A$1,用能设备节能分配!M:M,"2020")+SUMIFS(工业节能技术装备推荐目录!K:K,工业节能技术装备推荐目录!D:D,'Installation&amp;System Integration'!A15,工业节能技术装备推荐目录!F:F,'Installation&amp;System Integration'!$A$1,工业节能技术装备推荐目录!A:A,"2021")+SUMIFS(用能设备节能分配!Q:Q,用能设备节能分配!O:O,'Installation&amp;System Integration'!A15,用能设备节能分配!P:P,'Installation&amp;System Integration'!$A$1,用能设备节能分配!M:M,"2021")</f>
        <v>20.489105111990337</v>
      </c>
      <c r="E15" s="73">
        <f>SUMIFS(工业节能技术装备推荐目录!K:K,工业节能技术装备推荐目录!D:D,'Installation&amp;System Integration'!A15,工业节能技术装备推荐目录!F:F,'Installation&amp;System Integration'!$A$1,工业节能技术装备推荐目录!A:A,"2020")+SUMIFS(用能设备节能分配!Q:Q,用能设备节能分配!O:O,'Installation&amp;System Integration'!A15,用能设备节能分配!P:P,'Installation&amp;System Integration'!$A$1,用能设备节能分配!M:M,"2020")+SUMIFS(工业节能技术装备推荐目录!K:K,工业节能技术装备推荐目录!D:D,'Installation&amp;System Integration'!A15,工业节能技术装备推荐目录!F:F,'Installation&amp;System Integration'!$A$1,工业节能技术装备推荐目录!A:A,"2021")+SUMIFS(用能设备节能分配!Q:Q,用能设备节能分配!O:O,'Installation&amp;System Integration'!A15,用能设备节能分配!P:P,'Installation&amp;System Integration'!$A$1,用能设备节能分配!M:M,"2021")+SUMIFS(工业节能技术装备推荐目录!K:K,工业节能技术装备推荐目录!D:D,'Installation&amp;System Integration'!A15,工业节能技术装备推荐目录!F:F,'Installation&amp;System Integration'!$A$1,工业节能技术装备推荐目录!A:A,"2022")+SUMIFS(用能设备节能分配!Q:Q,用能设备节能分配!O:O,'Installation&amp;System Integration'!A15,用能设备节能分配!P:P,'Installation&amp;System Integration'!$A$1,用能设备节能分配!M:M,"2022")</f>
        <v>20.489105111990337</v>
      </c>
      <c r="F15" s="73">
        <f>SUMIFS(工业节能技术装备推荐目录!K:K,工业节能技术装备推荐目录!D:D,'Installation&amp;System Integration'!A15,工业节能技术装备推荐目录!F:F,'Installation&amp;System Integration'!$A$1,工业节能技术装备推荐目录!A:A,"2020")+SUMIFS(用能设备节能分配!Q:Q,用能设备节能分配!O:O,'Installation&amp;System Integration'!A15,用能设备节能分配!P:P,'Installation&amp;System Integration'!$A$1,用能设备节能分配!M:M,"2020")+SUMIFS(工业节能技术装备推荐目录!K:K,工业节能技术装备推荐目录!D:D,'Installation&amp;System Integration'!A15,工业节能技术装备推荐目录!F:F,'Installation&amp;System Integration'!$A$1,工业节能技术装备推荐目录!A:A,"2021")+SUMIFS(用能设备节能分配!Q:Q,用能设备节能分配!O:O,'Installation&amp;System Integration'!A15,用能设备节能分配!P:P,'Installation&amp;System Integration'!$A$1,用能设备节能分配!M:M,"2021")+SUMIFS(工业节能技术装备推荐目录!K:K,工业节能技术装备推荐目录!D:D,'Installation&amp;System Integration'!A15,工业节能技术装备推荐目录!F:F,'Installation&amp;System Integration'!$A$1,工业节能技术装备推荐目录!A:A,"2022")+SUMIFS(用能设备节能分配!Q:Q,用能设备节能分配!O:O,'Installation&amp;System Integration'!A15,用能设备节能分配!P:P,'Installation&amp;System Integration'!$A$1,用能设备节能分配!M:M,"2022")</f>
        <v>20.489105111990337</v>
      </c>
      <c r="G15" s="73">
        <f>SUMIFS(工业节能技术装备推荐目录!K:K,工业节能技术装备推荐目录!D:D,'Installation&amp;System Integration'!A15,工业节能技术装备推荐目录!F:F,'Installation&amp;System Integration'!$A$1,工业节能技术装备推荐目录!A:A,"2020")+SUMIFS(用能设备节能分配!Q:Q,用能设备节能分配!O:O,'Installation&amp;System Integration'!A15,用能设备节能分配!P:P,'Installation&amp;System Integration'!$A$1,用能设备节能分配!M:M,"2020")+SUMIFS(工业节能技术装备推荐目录!K:K,工业节能技术装备推荐目录!D:D,'Installation&amp;System Integration'!A15,工业节能技术装备推荐目录!F:F,'Installation&amp;System Integration'!$A$1,工业节能技术装备推荐目录!A:A,"2022")+SUMIFS(用能设备节能分配!Q:Q,用能设备节能分配!O:O,'Installation&amp;System Integration'!A15,用能设备节能分配!P:P,'Installation&amp;System Integration'!$A$1,用能设备节能分配!M:M,"2022")</f>
        <v>6.5758296502049243</v>
      </c>
      <c r="H15" s="73">
        <f>SUMIFS(工业节能技术装备推荐目录!K:K,工业节能技术装备推荐目录!D:D,'Installation&amp;System Integration'!A15,工业节能技术装备推荐目录!F:F,'Installation&amp;System Integration'!$A$1,工业节能技术装备推荐目录!A:A,"2022")+SUMIFS(用能设备节能分配!Q:Q,用能设备节能分配!O:O,'Installation&amp;System Integration'!A15,用能设备节能分配!P:P,'Installation&amp;System Integration'!$A$1,用能设备节能分配!M:M,"2022")</f>
        <v>0</v>
      </c>
      <c r="I15" s="73">
        <f>SUMIFS(工业节能技术装备推荐目录!K:K,工业节能技术装备推荐目录!D:D,'Installation&amp;System Integration'!A15,工业节能技术装备推荐目录!F:F,'Installation&amp;System Integration'!$A$1,工业节能技术装备推荐目录!A:A,"2022")+SUMIFS(用能设备节能分配!Q:Q,用能设备节能分配!O:O,'Installation&amp;System Integration'!A15,用能设备节能分配!P:P,'Installation&amp;System Integration'!$A$1,用能设备节能分配!M:M,"2022")</f>
        <v>0</v>
      </c>
      <c r="K15" s="52"/>
      <c r="L15" s="26" t="s">
        <v>56</v>
      </c>
      <c r="M15" s="50">
        <f>SUMIFS(工业节能技术装备推荐目录!L:L,工业节能技术装备推荐目录!D:D,'Installation&amp;System Integration'!A15,工业节能技术装备推荐目录!F:F,'Installation&amp;System Integration'!$A$1)</f>
        <v>0</v>
      </c>
      <c r="N15" s="73">
        <f>SUMIFS(工业节能技术装备推荐目录!K:K,工业节能技术装备推荐目录!D:D,'Installation&amp;System Integration'!A15,工业节能技术装备推荐目录!F:F,'Installation&amp;System Integration'!$A$1,工业节能技术装备推荐目录!A:A,"2020")</f>
        <v>0</v>
      </c>
      <c r="O15" s="73">
        <f>SUMIFS(工业节能技术装备推荐目录!K:K,工业节能技术装备推荐目录!D:D,'Installation&amp;System Integration'!A15,工业节能技术装备推荐目录!F:F,'Installation&amp;System Integration'!$A$1,工业节能技术装备推荐目录!A:A,"2020")+SUMIFS(工业节能技术装备推荐目录!K:K,工业节能技术装备推荐目录!D:D,'Installation&amp;System Integration'!A15,工业节能技术装备推荐目录!F:F,'Installation&amp;System Integration'!$A$1,工业节能技术装备推荐目录!A:A,"2021")</f>
        <v>0</v>
      </c>
      <c r="P15" s="73">
        <f>SUMIFS(工业节能技术装备推荐目录!K:K,工业节能技术装备推荐目录!D:D,'Installation&amp;System Integration'!A15,工业节能技术装备推荐目录!F:F,'Installation&amp;System Integration'!$A$1,工业节能技术装备推荐目录!A:A,"2020")+SUMIFS(工业节能技术装备推荐目录!K:K,工业节能技术装备推荐目录!D:D,'Installation&amp;System Integration'!A15,工业节能技术装备推荐目录!F:F,'Installation&amp;System Integration'!$A$1,工业节能技术装备推荐目录!A:A,"2021")+SUMIFS(工业节能技术装备推荐目录!K:K,工业节能技术装备推荐目录!D:D,'Installation&amp;System Integration'!A15,工业节能技术装备推荐目录!F:F,'Installation&amp;System Integration'!$A$1,工业节能技术装备推荐目录!A:A,"2022")</f>
        <v>0</v>
      </c>
      <c r="Q15" s="73">
        <f>SUMIFS(工业节能技术装备推荐目录!K:K,工业节能技术装备推荐目录!D:D,'Installation&amp;System Integration'!A15,工业节能技术装备推荐目录!F:F,'Installation&amp;System Integration'!$A$1,工业节能技术装备推荐目录!A:A,"2020")+SUMIFS(工业节能技术装备推荐目录!K:K,工业节能技术装备推荐目录!D:D,'Installation&amp;System Integration'!A15,工业节能技术装备推荐目录!F:F,'Installation&amp;System Integration'!$A$1,工业节能技术装备推荐目录!A:A,"2021")+SUMIFS(工业节能技术装备推荐目录!K:K,工业节能技术装备推荐目录!D:D,'Installation&amp;System Integration'!A15,工业节能技术装备推荐目录!F:F,'Installation&amp;System Integration'!$A$1,工业节能技术装备推荐目录!A:A,"2022")</f>
        <v>0</v>
      </c>
      <c r="R15" s="73">
        <f>SUMIFS(工业节能技术装备推荐目录!K:K,工业节能技术装备推荐目录!D:D,'Installation&amp;System Integration'!A15,工业节能技术装备推荐目录!F:F,'Installation&amp;System Integration'!$A$1,工业节能技术装备推荐目录!A:A,"2020")+SUMIFS(工业节能技术装备推荐目录!K:K,工业节能技术装备推荐目录!D:D,'Installation&amp;System Integration'!A15,工业节能技术装备推荐目录!F:F,'Installation&amp;System Integration'!$A$1,工业节能技术装备推荐目录!A:A,"2022")</f>
        <v>0</v>
      </c>
      <c r="S15" s="73">
        <f>SUMIFS(工业节能技术装备推荐目录!K:K,工业节能技术装备推荐目录!D:D,'Installation&amp;System Integration'!A15,工业节能技术装备推荐目录!F:F,'Installation&amp;System Integration'!$A$1,工业节能技术装备推荐目录!A:A,"2022")</f>
        <v>0</v>
      </c>
      <c r="T15" s="73">
        <f>SUMIFS(工业节能技术装备推荐目录!K:K,工业节能技术装备推荐目录!D:D,'Installation&amp;System Integration'!A15,工业节能技术装备推荐目录!F:F,'Installation&amp;System Integration'!$A$1,工业节能技术装备推荐目录!A:A,"2022")</f>
        <v>0</v>
      </c>
    </row>
    <row r="16" spans="1:20" x14ac:dyDescent="0.15">
      <c r="A16" s="26" t="s">
        <v>45</v>
      </c>
      <c r="B16" s="50">
        <f>SUMIFS(工业节能技术装备推荐目录!L:L,工业节能技术装备推荐目录!D:D,'Installation&amp;System Integration'!A16,工业节能技术装备推荐目录!F:F,'Installation&amp;System Integration'!$A$1)+SUMIFS(用能设备节能分配!R:R,用能设备节能分配!O:O,'Installation&amp;System Integration'!A16,用能设备节能分配!P:P,'Installation&amp;System Integration'!$A$1)</f>
        <v>819.68124270785233</v>
      </c>
      <c r="C16" s="73">
        <f>SUMIFS(工业节能技术装备推荐目录!K:K,工业节能技术装备推荐目录!D:D,'Installation&amp;System Integration'!A16,工业节能技术装备推荐目录!F:F,'Installation&amp;System Integration'!$A$1,工业节能技术装备推荐目录!A:A,"2020")+SUMIFS(用能设备节能分配!Q:Q,用能设备节能分配!O:O,'Installation&amp;System Integration'!A16,用能设备节能分配!P:P,'Installation&amp;System Integration'!$A$1,用能设备节能分配!M:M,"2020")</f>
        <v>75.157027909869228</v>
      </c>
      <c r="D16" s="73">
        <f>SUMIFS(工业节能技术装备推荐目录!K:K,工业节能技术装备推荐目录!D:D,'Installation&amp;System Integration'!A16,工业节能技术装备推荐目录!F:F,'Installation&amp;System Integration'!$A$1,工业节能技术装备推荐目录!A:A,"2020")+SUMIFS(用能设备节能分配!Q:Q,用能设备节能分配!O:O,'Installation&amp;System Integration'!A16,用能设备节能分配!P:P,'Installation&amp;System Integration'!$A$1,用能设备节能分配!M:M,"2020")+SUMIFS(工业节能技术装备推荐目录!K:K,工业节能技术装备推荐目录!D:D,'Installation&amp;System Integration'!A16,工业节能技术装备推荐目录!F:F,'Installation&amp;System Integration'!$A$1,工业节能技术装备推荐目录!A:A,"2021")+SUMIFS(用能设备节能分配!Q:Q,用能设备节能分配!O:O,'Installation&amp;System Integration'!A16,用能设备节能分配!P:P,'Installation&amp;System Integration'!$A$1,用能设备节能分配!M:M,"2021")</f>
        <v>125.2578357995319</v>
      </c>
      <c r="E16" s="73">
        <f>SUMIFS(工业节能技术装备推荐目录!K:K,工业节能技术装备推荐目录!D:D,'Installation&amp;System Integration'!A16,工业节能技术装备推荐目录!F:F,'Installation&amp;System Integration'!$A$1,工业节能技术装备推荐目录!A:A,"2020")+SUMIFS(用能设备节能分配!Q:Q,用能设备节能分配!O:O,'Installation&amp;System Integration'!A16,用能设备节能分配!P:P,'Installation&amp;System Integration'!$A$1,用能设备节能分配!M:M,"2020")+SUMIFS(工业节能技术装备推荐目录!K:K,工业节能技术装备推荐目录!D:D,'Installation&amp;System Integration'!A16,工业节能技术装备推荐目录!F:F,'Installation&amp;System Integration'!$A$1,工业节能技术装备推荐目录!A:A,"2021")+SUMIFS(用能设备节能分配!Q:Q,用能设备节能分配!O:O,'Installation&amp;System Integration'!A16,用能设备节能分配!P:P,'Installation&amp;System Integration'!$A$1,用能设备节能分配!M:M,"2021")+SUMIFS(工业节能技术装备推荐目录!K:K,工业节能技术装备推荐目录!D:D,'Installation&amp;System Integration'!A16,工业节能技术装备推荐目录!F:F,'Installation&amp;System Integration'!$A$1,工业节能技术装备推荐目录!A:A,"2022")+SUMIFS(用能设备节能分配!Q:Q,用能设备节能分配!O:O,'Installation&amp;System Integration'!A16,用能设备节能分配!P:P,'Installation&amp;System Integration'!$A$1,用能设备节能分配!M:M,"2022")</f>
        <v>125.2578357995319</v>
      </c>
      <c r="F16" s="73">
        <f>SUMIFS(工业节能技术装备推荐目录!K:K,工业节能技术装备推荐目录!D:D,'Installation&amp;System Integration'!A16,工业节能技术装备推荐目录!F:F,'Installation&amp;System Integration'!$A$1,工业节能技术装备推荐目录!A:A,"2020")+SUMIFS(用能设备节能分配!Q:Q,用能设备节能分配!O:O,'Installation&amp;System Integration'!A16,用能设备节能分配!P:P,'Installation&amp;System Integration'!$A$1,用能设备节能分配!M:M,"2020")+SUMIFS(工业节能技术装备推荐目录!K:K,工业节能技术装备推荐目录!D:D,'Installation&amp;System Integration'!A16,工业节能技术装备推荐目录!F:F,'Installation&amp;System Integration'!$A$1,工业节能技术装备推荐目录!A:A,"2021")+SUMIFS(用能设备节能分配!Q:Q,用能设备节能分配!O:O,'Installation&amp;System Integration'!A16,用能设备节能分配!P:P,'Installation&amp;System Integration'!$A$1,用能设备节能分配!M:M,"2021")+SUMIFS(工业节能技术装备推荐目录!K:K,工业节能技术装备推荐目录!D:D,'Installation&amp;System Integration'!A16,工业节能技术装备推荐目录!F:F,'Installation&amp;System Integration'!$A$1,工业节能技术装备推荐目录!A:A,"2022")+SUMIFS(用能设备节能分配!Q:Q,用能设备节能分配!O:O,'Installation&amp;System Integration'!A16,用能设备节能分配!P:P,'Installation&amp;System Integration'!$A$1,用能设备节能分配!M:M,"2022")</f>
        <v>125.2578357995319</v>
      </c>
      <c r="G16" s="73">
        <f>SUMIFS(工业节能技术装备推荐目录!K:K,工业节能技术装备推荐目录!D:D,'Installation&amp;System Integration'!A16,工业节能技术装备推荐目录!F:F,'Installation&amp;System Integration'!$A$1,工业节能技术装备推荐目录!A:A,"2020")+SUMIFS(用能设备节能分配!Q:Q,用能设备节能分配!O:O,'Installation&amp;System Integration'!A16,用能设备节能分配!P:P,'Installation&amp;System Integration'!$A$1,用能设备节能分配!M:M,"2020")+SUMIFS(工业节能技术装备推荐目录!K:K,工业节能技术装备推荐目录!D:D,'Installation&amp;System Integration'!A16,工业节能技术装备推荐目录!F:F,'Installation&amp;System Integration'!$A$1,工业节能技术装备推荐目录!A:A,"2022")+SUMIFS(用能设备节能分配!Q:Q,用能设备节能分配!O:O,'Installation&amp;System Integration'!A16,用能设备节能分配!P:P,'Installation&amp;System Integration'!$A$1,用能设备节能分配!M:M,"2022")</f>
        <v>75.157027909869228</v>
      </c>
      <c r="H16" s="73">
        <f>SUMIFS(工业节能技术装备推荐目录!K:K,工业节能技术装备推荐目录!D:D,'Installation&amp;System Integration'!A16,工业节能技术装备推荐目录!F:F,'Installation&amp;System Integration'!$A$1,工业节能技术装备推荐目录!A:A,"2022")+SUMIFS(用能设备节能分配!Q:Q,用能设备节能分配!O:O,'Installation&amp;System Integration'!A16,用能设备节能分配!P:P,'Installation&amp;System Integration'!$A$1,用能设备节能分配!M:M,"2022")</f>
        <v>0</v>
      </c>
      <c r="I16" s="73">
        <f>SUMIFS(工业节能技术装备推荐目录!K:K,工业节能技术装备推荐目录!D:D,'Installation&amp;System Integration'!A16,工业节能技术装备推荐目录!F:F,'Installation&amp;System Integration'!$A$1,工业节能技术装备推荐目录!A:A,"2022")+SUMIFS(用能设备节能分配!Q:Q,用能设备节能分配!O:O,'Installation&amp;System Integration'!A16,用能设备节能分配!P:P,'Installation&amp;System Integration'!$A$1,用能设备节能分配!M:M,"2022")</f>
        <v>0</v>
      </c>
      <c r="K16" s="52"/>
      <c r="L16" s="26" t="s">
        <v>45</v>
      </c>
      <c r="M16" s="50">
        <f>SUMIFS(工业节能技术装备推荐目录!L:L,工业节能技术装备推荐目录!D:D,'Installation&amp;System Integration'!A16,工业节能技术装备推荐目录!F:F,'Installation&amp;System Integration'!$A$1)</f>
        <v>354.33333333333337</v>
      </c>
      <c r="N16" s="73">
        <f>SUMIFS(工业节能技术装备推荐目录!K:K,工业节能技术装备推荐目录!D:D,'Installation&amp;System Integration'!A16,工业节能技术装备推荐目录!F:F,'Installation&amp;System Integration'!$A$1,工业节能技术装备推荐目录!A:A,"2020")</f>
        <v>59</v>
      </c>
      <c r="O16" s="73">
        <f>SUMIFS(工业节能技术装备推荐目录!K:K,工业节能技术装备推荐目录!D:D,'Installation&amp;System Integration'!A16,工业节能技术装备推荐目录!F:F,'Installation&amp;System Integration'!$A$1,工业节能技术装备推荐目录!A:A,"2020")+SUMIFS(工业节能技术装备推荐目录!K:K,工业节能技术装备推荐目录!D:D,'Installation&amp;System Integration'!A16,工业节能技术装备推荐目录!F:F,'Installation&amp;System Integration'!$A$1,工业节能技术装备推荐目录!A:A,"2021")</f>
        <v>59</v>
      </c>
      <c r="P16" s="73">
        <f>SUMIFS(工业节能技术装备推荐目录!K:K,工业节能技术装备推荐目录!D:D,'Installation&amp;System Integration'!A16,工业节能技术装备推荐目录!F:F,'Installation&amp;System Integration'!$A$1,工业节能技术装备推荐目录!A:A,"2020")+SUMIFS(工业节能技术装备推荐目录!K:K,工业节能技术装备推荐目录!D:D,'Installation&amp;System Integration'!A16,工业节能技术装备推荐目录!F:F,'Installation&amp;System Integration'!$A$1,工业节能技术装备推荐目录!A:A,"2021")+SUMIFS(工业节能技术装备推荐目录!K:K,工业节能技术装备推荐目录!D:D,'Installation&amp;System Integration'!A16,工业节能技术装备推荐目录!F:F,'Installation&amp;System Integration'!$A$1,工业节能技术装备推荐目录!A:A,"2022")</f>
        <v>59</v>
      </c>
      <c r="Q16" s="73">
        <f>SUMIFS(工业节能技术装备推荐目录!K:K,工业节能技术装备推荐目录!D:D,'Installation&amp;System Integration'!A16,工业节能技术装备推荐目录!F:F,'Installation&amp;System Integration'!$A$1,工业节能技术装备推荐目录!A:A,"2020")+SUMIFS(工业节能技术装备推荐目录!K:K,工业节能技术装备推荐目录!D:D,'Installation&amp;System Integration'!A16,工业节能技术装备推荐目录!F:F,'Installation&amp;System Integration'!$A$1,工业节能技术装备推荐目录!A:A,"2021")+SUMIFS(工业节能技术装备推荐目录!K:K,工业节能技术装备推荐目录!D:D,'Installation&amp;System Integration'!A16,工业节能技术装备推荐目录!F:F,'Installation&amp;System Integration'!$A$1,工业节能技术装备推荐目录!A:A,"2022")</f>
        <v>59</v>
      </c>
      <c r="R16" s="73">
        <f>SUMIFS(工业节能技术装备推荐目录!K:K,工业节能技术装备推荐目录!D:D,'Installation&amp;System Integration'!A16,工业节能技术装备推荐目录!F:F,'Installation&amp;System Integration'!$A$1,工业节能技术装备推荐目录!A:A,"2020")+SUMIFS(工业节能技术装备推荐目录!K:K,工业节能技术装备推荐目录!D:D,'Installation&amp;System Integration'!A16,工业节能技术装备推荐目录!F:F,'Installation&amp;System Integration'!$A$1,工业节能技术装备推荐目录!A:A,"2022")</f>
        <v>59</v>
      </c>
      <c r="S16" s="73">
        <f>SUMIFS(工业节能技术装备推荐目录!K:K,工业节能技术装备推荐目录!D:D,'Installation&amp;System Integration'!A16,工业节能技术装备推荐目录!F:F,'Installation&amp;System Integration'!$A$1,工业节能技术装备推荐目录!A:A,"2022")</f>
        <v>0</v>
      </c>
      <c r="T16" s="73">
        <f>SUMIFS(工业节能技术装备推荐目录!K:K,工业节能技术装备推荐目录!D:D,'Installation&amp;System Integration'!A16,工业节能技术装备推荐目录!F:F,'Installation&amp;System Integration'!$A$1,工业节能技术装备推荐目录!A:A,"2022")</f>
        <v>0</v>
      </c>
    </row>
    <row r="17" spans="1:20" x14ac:dyDescent="0.15">
      <c r="A17" s="26" t="s">
        <v>46</v>
      </c>
      <c r="B17" s="50">
        <f>SUMIFS(工业节能技术装备推荐目录!L:L,工业节能技术装备推荐目录!D:D,'Installation&amp;System Integration'!A17,工业节能技术装备推荐目录!F:F,'Installation&amp;System Integration'!$A$1)+SUMIFS(用能设备节能分配!R:R,用能设备节能分配!O:O,'Installation&amp;System Integration'!A17,用能设备节能分配!P:P,'Installation&amp;System Integration'!$A$1)</f>
        <v>78.975047150724464</v>
      </c>
      <c r="C17" s="73">
        <f>SUMIFS(工业节能技术装备推荐目录!K:K,工业节能技术装备推荐目录!D:D,'Installation&amp;System Integration'!A17,工业节能技术装备推荐目录!F:F,'Installation&amp;System Integration'!$A$1,工业节能技术装备推荐目录!A:A,"2020")+SUMIFS(用能设备节能分配!Q:Q,用能设备节能分配!O:O,'Installation&amp;System Integration'!A17,用能设备节能分配!P:P,'Installation&amp;System Integration'!$A$1,用能设备节能分配!M:M,"2020")</f>
        <v>2.742038838667153</v>
      </c>
      <c r="D17" s="73">
        <f>SUMIFS(工业节能技术装备推荐目录!K:K,工业节能技术装备推荐目录!D:D,'Installation&amp;System Integration'!A17,工业节能技术装备推荐目录!F:F,'Installation&amp;System Integration'!$A$1,工业节能技术装备推荐目录!A:A,"2020")+SUMIFS(用能设备节能分配!Q:Q,用能设备节能分配!O:O,'Installation&amp;System Integration'!A17,用能设备节能分配!P:P,'Installation&amp;System Integration'!$A$1,用能设备节能分配!M:M,"2020")+SUMIFS(工业节能技术装备推荐目录!K:K,工业节能技术装备推荐目录!D:D,'Installation&amp;System Integration'!A17,工业节能技术装备推荐目录!F:F,'Installation&amp;System Integration'!$A$1,工业节能技术装备推荐目录!A:A,"2021")+SUMIFS(用能设备节能分配!Q:Q,用能设备节能分配!O:O,'Installation&amp;System Integration'!A17,用能设备节能分配!P:P,'Installation&amp;System Integration'!$A$1,用能设备节能分配!M:M,"2021")</f>
        <v>11.244738830795141</v>
      </c>
      <c r="E17" s="73">
        <f>SUMIFS(工业节能技术装备推荐目录!K:K,工业节能技术装备推荐目录!D:D,'Installation&amp;System Integration'!A17,工业节能技术装备推荐目录!F:F,'Installation&amp;System Integration'!$A$1,工业节能技术装备推荐目录!A:A,"2020")+SUMIFS(用能设备节能分配!Q:Q,用能设备节能分配!O:O,'Installation&amp;System Integration'!A17,用能设备节能分配!P:P,'Installation&amp;System Integration'!$A$1,用能设备节能分配!M:M,"2020")+SUMIFS(工业节能技术装备推荐目录!K:K,工业节能技术装备推荐目录!D:D,'Installation&amp;System Integration'!A17,工业节能技术装备推荐目录!F:F,'Installation&amp;System Integration'!$A$1,工业节能技术装备推荐目录!A:A,"2021")+SUMIFS(用能设备节能分配!Q:Q,用能设备节能分配!O:O,'Installation&amp;System Integration'!A17,用能设备节能分配!P:P,'Installation&amp;System Integration'!$A$1,用能设备节能分配!M:M,"2021")+SUMIFS(工业节能技术装备推荐目录!K:K,工业节能技术装备推荐目录!D:D,'Installation&amp;System Integration'!A17,工业节能技术装备推荐目录!F:F,'Installation&amp;System Integration'!$A$1,工业节能技术装备推荐目录!A:A,"2022")+SUMIFS(用能设备节能分配!Q:Q,用能设备节能分配!O:O,'Installation&amp;System Integration'!A17,用能设备节能分配!P:P,'Installation&amp;System Integration'!$A$1,用能设备节能分配!M:M,"2022")</f>
        <v>11.244738830795141</v>
      </c>
      <c r="F17" s="73">
        <f>SUMIFS(工业节能技术装备推荐目录!K:K,工业节能技术装备推荐目录!D:D,'Installation&amp;System Integration'!A17,工业节能技术装备推荐目录!F:F,'Installation&amp;System Integration'!$A$1,工业节能技术装备推荐目录!A:A,"2020")+SUMIFS(用能设备节能分配!Q:Q,用能设备节能分配!O:O,'Installation&amp;System Integration'!A17,用能设备节能分配!P:P,'Installation&amp;System Integration'!$A$1,用能设备节能分配!M:M,"2020")+SUMIFS(工业节能技术装备推荐目录!K:K,工业节能技术装备推荐目录!D:D,'Installation&amp;System Integration'!A17,工业节能技术装备推荐目录!F:F,'Installation&amp;System Integration'!$A$1,工业节能技术装备推荐目录!A:A,"2021")+SUMIFS(用能设备节能分配!Q:Q,用能设备节能分配!O:O,'Installation&amp;System Integration'!A17,用能设备节能分配!P:P,'Installation&amp;System Integration'!$A$1,用能设备节能分配!M:M,"2021")+SUMIFS(工业节能技术装备推荐目录!K:K,工业节能技术装备推荐目录!D:D,'Installation&amp;System Integration'!A17,工业节能技术装备推荐目录!F:F,'Installation&amp;System Integration'!$A$1,工业节能技术装备推荐目录!A:A,"2022")+SUMIFS(用能设备节能分配!Q:Q,用能设备节能分配!O:O,'Installation&amp;System Integration'!A17,用能设备节能分配!P:P,'Installation&amp;System Integration'!$A$1,用能设备节能分配!M:M,"2022")</f>
        <v>11.244738830795141</v>
      </c>
      <c r="G17" s="73">
        <f>SUMIFS(工业节能技术装备推荐目录!K:K,工业节能技术装备推荐目录!D:D,'Installation&amp;System Integration'!A17,工业节能技术装备推荐目录!F:F,'Installation&amp;System Integration'!$A$1,工业节能技术装备推荐目录!A:A,"2020")+SUMIFS(用能设备节能分配!Q:Q,用能设备节能分配!O:O,'Installation&amp;System Integration'!A17,用能设备节能分配!P:P,'Installation&amp;System Integration'!$A$1,用能设备节能分配!M:M,"2020")+SUMIFS(工业节能技术装备推荐目录!K:K,工业节能技术装备推荐目录!D:D,'Installation&amp;System Integration'!A17,工业节能技术装备推荐目录!F:F,'Installation&amp;System Integration'!$A$1,工业节能技术装备推荐目录!A:A,"2022")+SUMIFS(用能设备节能分配!Q:Q,用能设备节能分配!O:O,'Installation&amp;System Integration'!A17,用能设备节能分配!P:P,'Installation&amp;System Integration'!$A$1,用能设备节能分配!M:M,"2022")</f>
        <v>2.742038838667153</v>
      </c>
      <c r="H17" s="73">
        <f>SUMIFS(工业节能技术装备推荐目录!K:K,工业节能技术装备推荐目录!D:D,'Installation&amp;System Integration'!A17,工业节能技术装备推荐目录!F:F,'Installation&amp;System Integration'!$A$1,工业节能技术装备推荐目录!A:A,"2022")+SUMIFS(用能设备节能分配!Q:Q,用能设备节能分配!O:O,'Installation&amp;System Integration'!A17,用能设备节能分配!P:P,'Installation&amp;System Integration'!$A$1,用能设备节能分配!M:M,"2022")</f>
        <v>0</v>
      </c>
      <c r="I17" s="73">
        <f>SUMIFS(工业节能技术装备推荐目录!K:K,工业节能技术装备推荐目录!D:D,'Installation&amp;System Integration'!A17,工业节能技术装备推荐目录!F:F,'Installation&amp;System Integration'!$A$1,工业节能技术装备推荐目录!A:A,"2022")+SUMIFS(用能设备节能分配!Q:Q,用能设备节能分配!O:O,'Installation&amp;System Integration'!A17,用能设备节能分配!P:P,'Installation&amp;System Integration'!$A$1,用能设备节能分配!M:M,"2022")</f>
        <v>0</v>
      </c>
      <c r="K17" s="52"/>
      <c r="L17" s="26" t="s">
        <v>46</v>
      </c>
      <c r="M17" s="50">
        <f>SUMIFS(工业节能技术装备推荐目录!L:L,工业节能技术装备推荐目录!D:D,'Installation&amp;System Integration'!A17,工业节能技术装备推荐目录!F:F,'Installation&amp;System Integration'!$A$1)</f>
        <v>0</v>
      </c>
      <c r="N17" s="73">
        <f>SUMIFS(工业节能技术装备推荐目录!K:K,工业节能技术装备推荐目录!D:D,'Installation&amp;System Integration'!A17,工业节能技术装备推荐目录!F:F,'Installation&amp;System Integration'!$A$1,工业节能技术装备推荐目录!A:A,"2020")</f>
        <v>0</v>
      </c>
      <c r="O17" s="73">
        <f>SUMIFS(工业节能技术装备推荐目录!K:K,工业节能技术装备推荐目录!D:D,'Installation&amp;System Integration'!A17,工业节能技术装备推荐目录!F:F,'Installation&amp;System Integration'!$A$1,工业节能技术装备推荐目录!A:A,"2020")+SUMIFS(工业节能技术装备推荐目录!K:K,工业节能技术装备推荐目录!D:D,'Installation&amp;System Integration'!A17,工业节能技术装备推荐目录!F:F,'Installation&amp;System Integration'!$A$1,工业节能技术装备推荐目录!A:A,"2021")</f>
        <v>0</v>
      </c>
      <c r="P17" s="73">
        <f>SUMIFS(工业节能技术装备推荐目录!K:K,工业节能技术装备推荐目录!D:D,'Installation&amp;System Integration'!A17,工业节能技术装备推荐目录!F:F,'Installation&amp;System Integration'!$A$1,工业节能技术装备推荐目录!A:A,"2020")+SUMIFS(工业节能技术装备推荐目录!K:K,工业节能技术装备推荐目录!D:D,'Installation&amp;System Integration'!A17,工业节能技术装备推荐目录!F:F,'Installation&amp;System Integration'!$A$1,工业节能技术装备推荐目录!A:A,"2021")+SUMIFS(工业节能技术装备推荐目录!K:K,工业节能技术装备推荐目录!D:D,'Installation&amp;System Integration'!A17,工业节能技术装备推荐目录!F:F,'Installation&amp;System Integration'!$A$1,工业节能技术装备推荐目录!A:A,"2022")</f>
        <v>0</v>
      </c>
      <c r="Q17" s="73">
        <f>SUMIFS(工业节能技术装备推荐目录!K:K,工业节能技术装备推荐目录!D:D,'Installation&amp;System Integration'!A17,工业节能技术装备推荐目录!F:F,'Installation&amp;System Integration'!$A$1,工业节能技术装备推荐目录!A:A,"2020")+SUMIFS(工业节能技术装备推荐目录!K:K,工业节能技术装备推荐目录!D:D,'Installation&amp;System Integration'!A17,工业节能技术装备推荐目录!F:F,'Installation&amp;System Integration'!$A$1,工业节能技术装备推荐目录!A:A,"2021")+SUMIFS(工业节能技术装备推荐目录!K:K,工业节能技术装备推荐目录!D:D,'Installation&amp;System Integration'!A17,工业节能技术装备推荐目录!F:F,'Installation&amp;System Integration'!$A$1,工业节能技术装备推荐目录!A:A,"2022")</f>
        <v>0</v>
      </c>
      <c r="R17" s="73">
        <f>SUMIFS(工业节能技术装备推荐目录!K:K,工业节能技术装备推荐目录!D:D,'Installation&amp;System Integration'!A17,工业节能技术装备推荐目录!F:F,'Installation&amp;System Integration'!$A$1,工业节能技术装备推荐目录!A:A,"2020")+SUMIFS(工业节能技术装备推荐目录!K:K,工业节能技术装备推荐目录!D:D,'Installation&amp;System Integration'!A17,工业节能技术装备推荐目录!F:F,'Installation&amp;System Integration'!$A$1,工业节能技术装备推荐目录!A:A,"2022")</f>
        <v>0</v>
      </c>
      <c r="S17" s="73">
        <f>SUMIFS(工业节能技术装备推荐目录!K:K,工业节能技术装备推荐目录!D:D,'Installation&amp;System Integration'!A17,工业节能技术装备推荐目录!F:F,'Installation&amp;System Integration'!$A$1,工业节能技术装备推荐目录!A:A,"2022")</f>
        <v>0</v>
      </c>
      <c r="T17" s="73">
        <f>SUMIFS(工业节能技术装备推荐目录!K:K,工业节能技术装备推荐目录!D:D,'Installation&amp;System Integration'!A17,工业节能技术装备推荐目录!F:F,'Installation&amp;System Integration'!$A$1,工业节能技术装备推荐目录!A:A,"2022")</f>
        <v>0</v>
      </c>
    </row>
    <row r="18" spans="1:20" x14ac:dyDescent="0.15">
      <c r="A18" s="26" t="s">
        <v>47</v>
      </c>
      <c r="B18" s="50">
        <f>SUMIFS(工业节能技术装备推荐目录!L:L,工业节能技术装备推荐目录!D:D,'Installation&amp;System Integration'!A18,工业节能技术装备推荐目录!F:F,'Installation&amp;System Integration'!$A$1)+SUMIFS(用能设备节能分配!R:R,用能设备节能分配!O:O,'Installation&amp;System Integration'!A18,用能设备节能分配!P:P,'Installation&amp;System Integration'!$A$1)</f>
        <v>25.761218372103407</v>
      </c>
      <c r="C18" s="73">
        <f>SUMIFS(工业节能技术装备推荐目录!K:K,工业节能技术装备推荐目录!D:D,'Installation&amp;System Integration'!A18,工业节能技术装备推荐目录!F:F,'Installation&amp;System Integration'!$A$1,工业节能技术装备推荐目录!A:A,"2020")+SUMIFS(用能设备节能分配!Q:Q,用能设备节能分配!O:O,'Installation&amp;System Integration'!A18,用能设备节能分配!P:P,'Installation&amp;System Integration'!$A$1,用能设备节能分配!M:M,"2020")</f>
        <v>1.0246699810113524</v>
      </c>
      <c r="D18" s="73">
        <f>SUMIFS(工业节能技术装备推荐目录!K:K,工业节能技术装备推荐目录!D:D,'Installation&amp;System Integration'!A18,工业节能技术装备推荐目录!F:F,'Installation&amp;System Integration'!$A$1,工业节能技术装备推荐目录!A:A,"2020")+SUMIFS(用能设备节能分配!Q:Q,用能设备节能分配!O:O,'Installation&amp;System Integration'!A18,用能设备节能分配!P:P,'Installation&amp;System Integration'!$A$1,用能设备节能分配!M:M,"2020")+SUMIFS(工业节能技术装备推荐目录!K:K,工业节能技术装备推荐目录!D:D,'Installation&amp;System Integration'!A18,工业节能技术装备推荐目录!F:F,'Installation&amp;System Integration'!$A$1,工业节能技术装备推荐目录!A:A,"2021")+SUMIFS(用能设备节能分配!Q:Q,用能设备节能分配!O:O,'Installation&amp;System Integration'!A18,用能设备节能分配!P:P,'Installation&amp;System Integration'!$A$1,用能设备节能分配!M:M,"2021")</f>
        <v>3.1926877767261628</v>
      </c>
      <c r="E18" s="73">
        <f>SUMIFS(工业节能技术装备推荐目录!K:K,工业节能技术装备推荐目录!D:D,'Installation&amp;System Integration'!A18,工业节能技术装备推荐目录!F:F,'Installation&amp;System Integration'!$A$1,工业节能技术装备推荐目录!A:A,"2020")+SUMIFS(用能设备节能分配!Q:Q,用能设备节能分配!O:O,'Installation&amp;System Integration'!A18,用能设备节能分配!P:P,'Installation&amp;System Integration'!$A$1,用能设备节能分配!M:M,"2020")+SUMIFS(工业节能技术装备推荐目录!K:K,工业节能技术装备推荐目录!D:D,'Installation&amp;System Integration'!A18,工业节能技术装备推荐目录!F:F,'Installation&amp;System Integration'!$A$1,工业节能技术装备推荐目录!A:A,"2021")+SUMIFS(用能设备节能分配!Q:Q,用能设备节能分配!O:O,'Installation&amp;System Integration'!A18,用能设备节能分配!P:P,'Installation&amp;System Integration'!$A$1,用能设备节能分配!M:M,"2021")+SUMIFS(工业节能技术装备推荐目录!K:K,工业节能技术装备推荐目录!D:D,'Installation&amp;System Integration'!A18,工业节能技术装备推荐目录!F:F,'Installation&amp;System Integration'!$A$1,工业节能技术装备推荐目录!A:A,"2022")+SUMIFS(用能设备节能分配!Q:Q,用能设备节能分配!O:O,'Installation&amp;System Integration'!A18,用能设备节能分配!P:P,'Installation&amp;System Integration'!$A$1,用能设备节能分配!M:M,"2022")</f>
        <v>3.1926877767261628</v>
      </c>
      <c r="F18" s="73">
        <f>SUMIFS(工业节能技术装备推荐目录!K:K,工业节能技术装备推荐目录!D:D,'Installation&amp;System Integration'!A18,工业节能技术装备推荐目录!F:F,'Installation&amp;System Integration'!$A$1,工业节能技术装备推荐目录!A:A,"2020")+SUMIFS(用能设备节能分配!Q:Q,用能设备节能分配!O:O,'Installation&amp;System Integration'!A18,用能设备节能分配!P:P,'Installation&amp;System Integration'!$A$1,用能设备节能分配!M:M,"2020")+SUMIFS(工业节能技术装备推荐目录!K:K,工业节能技术装备推荐目录!D:D,'Installation&amp;System Integration'!A18,工业节能技术装备推荐目录!F:F,'Installation&amp;System Integration'!$A$1,工业节能技术装备推荐目录!A:A,"2021")+SUMIFS(用能设备节能分配!Q:Q,用能设备节能分配!O:O,'Installation&amp;System Integration'!A18,用能设备节能分配!P:P,'Installation&amp;System Integration'!$A$1,用能设备节能分配!M:M,"2021")+SUMIFS(工业节能技术装备推荐目录!K:K,工业节能技术装备推荐目录!D:D,'Installation&amp;System Integration'!A18,工业节能技术装备推荐目录!F:F,'Installation&amp;System Integration'!$A$1,工业节能技术装备推荐目录!A:A,"2022")+SUMIFS(用能设备节能分配!Q:Q,用能设备节能分配!O:O,'Installation&amp;System Integration'!A18,用能设备节能分配!P:P,'Installation&amp;System Integration'!$A$1,用能设备节能分配!M:M,"2022")</f>
        <v>3.1926877767261628</v>
      </c>
      <c r="G18" s="73">
        <f>SUMIFS(工业节能技术装备推荐目录!K:K,工业节能技术装备推荐目录!D:D,'Installation&amp;System Integration'!A18,工业节能技术装备推荐目录!F:F,'Installation&amp;System Integration'!$A$1,工业节能技术装备推荐目录!A:A,"2020")+SUMIFS(用能设备节能分配!Q:Q,用能设备节能分配!O:O,'Installation&amp;System Integration'!A18,用能设备节能分配!P:P,'Installation&amp;System Integration'!$A$1,用能设备节能分配!M:M,"2020")+SUMIFS(工业节能技术装备推荐目录!K:K,工业节能技术装备推荐目录!D:D,'Installation&amp;System Integration'!A18,工业节能技术装备推荐目录!F:F,'Installation&amp;System Integration'!$A$1,工业节能技术装备推荐目录!A:A,"2022")+SUMIFS(用能设备节能分配!Q:Q,用能设备节能分配!O:O,'Installation&amp;System Integration'!A18,用能设备节能分配!P:P,'Installation&amp;System Integration'!$A$1,用能设备节能分配!M:M,"2022")</f>
        <v>1.0246699810113524</v>
      </c>
      <c r="H18" s="73">
        <f>SUMIFS(工业节能技术装备推荐目录!K:K,工业节能技术装备推荐目录!D:D,'Installation&amp;System Integration'!A18,工业节能技术装备推荐目录!F:F,'Installation&amp;System Integration'!$A$1,工业节能技术装备推荐目录!A:A,"2022")+SUMIFS(用能设备节能分配!Q:Q,用能设备节能分配!O:O,'Installation&amp;System Integration'!A18,用能设备节能分配!P:P,'Installation&amp;System Integration'!$A$1,用能设备节能分配!M:M,"2022")</f>
        <v>0</v>
      </c>
      <c r="I18" s="73">
        <f>SUMIFS(工业节能技术装备推荐目录!K:K,工业节能技术装备推荐目录!D:D,'Installation&amp;System Integration'!A18,工业节能技术装备推荐目录!F:F,'Installation&amp;System Integration'!$A$1,工业节能技术装备推荐目录!A:A,"2022")+SUMIFS(用能设备节能分配!Q:Q,用能设备节能分配!O:O,'Installation&amp;System Integration'!A18,用能设备节能分配!P:P,'Installation&amp;System Integration'!$A$1,用能设备节能分配!M:M,"2022")</f>
        <v>0</v>
      </c>
      <c r="K18" s="52"/>
      <c r="L18" s="26" t="s">
        <v>47</v>
      </c>
      <c r="M18" s="50">
        <f>SUMIFS(工业节能技术装备推荐目录!L:L,工业节能技术装备推荐目录!D:D,'Installation&amp;System Integration'!A18,工业节能技术装备推荐目录!F:F,'Installation&amp;System Integration'!$A$1)</f>
        <v>0</v>
      </c>
      <c r="N18" s="73">
        <f>SUMIFS(工业节能技术装备推荐目录!K:K,工业节能技术装备推荐目录!D:D,'Installation&amp;System Integration'!A18,工业节能技术装备推荐目录!F:F,'Installation&amp;System Integration'!$A$1,工业节能技术装备推荐目录!A:A,"2020")</f>
        <v>0</v>
      </c>
      <c r="O18" s="73">
        <f>SUMIFS(工业节能技术装备推荐目录!K:K,工业节能技术装备推荐目录!D:D,'Installation&amp;System Integration'!A18,工业节能技术装备推荐目录!F:F,'Installation&amp;System Integration'!$A$1,工业节能技术装备推荐目录!A:A,"2020")+SUMIFS(工业节能技术装备推荐目录!K:K,工业节能技术装备推荐目录!D:D,'Installation&amp;System Integration'!A18,工业节能技术装备推荐目录!F:F,'Installation&amp;System Integration'!$A$1,工业节能技术装备推荐目录!A:A,"2021")</f>
        <v>0</v>
      </c>
      <c r="P18" s="73">
        <f>SUMIFS(工业节能技术装备推荐目录!K:K,工业节能技术装备推荐目录!D:D,'Installation&amp;System Integration'!A18,工业节能技术装备推荐目录!F:F,'Installation&amp;System Integration'!$A$1,工业节能技术装备推荐目录!A:A,"2020")+SUMIFS(工业节能技术装备推荐目录!K:K,工业节能技术装备推荐目录!D:D,'Installation&amp;System Integration'!A18,工业节能技术装备推荐目录!F:F,'Installation&amp;System Integration'!$A$1,工业节能技术装备推荐目录!A:A,"2021")+SUMIFS(工业节能技术装备推荐目录!K:K,工业节能技术装备推荐目录!D:D,'Installation&amp;System Integration'!A18,工业节能技术装备推荐目录!F:F,'Installation&amp;System Integration'!$A$1,工业节能技术装备推荐目录!A:A,"2022")</f>
        <v>0</v>
      </c>
      <c r="Q18" s="73">
        <f>SUMIFS(工业节能技术装备推荐目录!K:K,工业节能技术装备推荐目录!D:D,'Installation&amp;System Integration'!A18,工业节能技术装备推荐目录!F:F,'Installation&amp;System Integration'!$A$1,工业节能技术装备推荐目录!A:A,"2020")+SUMIFS(工业节能技术装备推荐目录!K:K,工业节能技术装备推荐目录!D:D,'Installation&amp;System Integration'!A18,工业节能技术装备推荐目录!F:F,'Installation&amp;System Integration'!$A$1,工业节能技术装备推荐目录!A:A,"2021")+SUMIFS(工业节能技术装备推荐目录!K:K,工业节能技术装备推荐目录!D:D,'Installation&amp;System Integration'!A18,工业节能技术装备推荐目录!F:F,'Installation&amp;System Integration'!$A$1,工业节能技术装备推荐目录!A:A,"2022")</f>
        <v>0</v>
      </c>
      <c r="R18" s="73">
        <f>SUMIFS(工业节能技术装备推荐目录!K:K,工业节能技术装备推荐目录!D:D,'Installation&amp;System Integration'!A18,工业节能技术装备推荐目录!F:F,'Installation&amp;System Integration'!$A$1,工业节能技术装备推荐目录!A:A,"2020")+SUMIFS(工业节能技术装备推荐目录!K:K,工业节能技术装备推荐目录!D:D,'Installation&amp;System Integration'!A18,工业节能技术装备推荐目录!F:F,'Installation&amp;System Integration'!$A$1,工业节能技术装备推荐目录!A:A,"2022")</f>
        <v>0</v>
      </c>
      <c r="S18" s="73">
        <f>SUMIFS(工业节能技术装备推荐目录!K:K,工业节能技术装备推荐目录!D:D,'Installation&amp;System Integration'!A18,工业节能技术装备推荐目录!F:F,'Installation&amp;System Integration'!$A$1,工业节能技术装备推荐目录!A:A,"2022")</f>
        <v>0</v>
      </c>
      <c r="T18" s="73">
        <f>SUMIFS(工业节能技术装备推荐目录!K:K,工业节能技术装备推荐目录!D:D,'Installation&amp;System Integration'!A18,工业节能技术装备推荐目录!F:F,'Installation&amp;System Integration'!$A$1,工业节能技术装备推荐目录!A:A,"2022")</f>
        <v>0</v>
      </c>
    </row>
    <row r="19" spans="1:20" x14ac:dyDescent="0.15">
      <c r="A19" s="26" t="s">
        <v>48</v>
      </c>
      <c r="B19" s="50">
        <f>SUMIFS(工业节能技术装备推荐目录!L:L,工业节能技术装备推荐目录!D:D,'Installation&amp;System Integration'!A19,工业节能技术装备推荐目录!F:F,'Installation&amp;System Integration'!$A$1)+SUMIFS(用能设备节能分配!R:R,用能设备节能分配!O:O,'Installation&amp;System Integration'!A19,用能设备节能分配!P:P,'Installation&amp;System Integration'!$A$1)</f>
        <v>15.628344464605327</v>
      </c>
      <c r="C19" s="73">
        <f>SUMIFS(工业节能技术装备推荐目录!K:K,工业节能技术装备推荐目录!D:D,'Installation&amp;System Integration'!A19,工业节能技术装备推荐目录!F:F,'Installation&amp;System Integration'!$A$1,工业节能技术装备推荐目录!A:A,"2020")+SUMIFS(用能设备节能分配!Q:Q,用能设备节能分配!O:O,'Installation&amp;System Integration'!A19,用能设备节能分配!P:P,'Installation&amp;System Integration'!$A$1,用能设备节能分配!M:M,"2020")</f>
        <v>0.62162802995091704</v>
      </c>
      <c r="D19" s="73">
        <f>SUMIFS(工业节能技术装备推荐目录!K:K,工业节能技术装备推荐目录!D:D,'Installation&amp;System Integration'!A19,工业节能技术装备推荐目录!F:F,'Installation&amp;System Integration'!$A$1,工业节能技术装备推荐目录!A:A,"2020")+SUMIFS(用能设备节能分配!Q:Q,用能设备节能分配!O:O,'Installation&amp;System Integration'!A19,用能设备节能分配!P:P,'Installation&amp;System Integration'!$A$1,用能设备节能分配!M:M,"2020")+SUMIFS(工业节能技术装备推荐目录!K:K,工业节能技术装备推荐目录!D:D,'Installation&amp;System Integration'!A19,工业节能技术装备推荐目录!F:F,'Installation&amp;System Integration'!$A$1,工业节能技术装备推荐目录!A:A,"2021")+SUMIFS(用能设备节能分配!Q:Q,用能设备节能分配!O:O,'Installation&amp;System Integration'!A19,用能设备节能分配!P:P,'Installation&amp;System Integration'!$A$1,用能设备节能分配!M:M,"2021")</f>
        <v>1.936881385883666</v>
      </c>
      <c r="E19" s="73">
        <f>SUMIFS(工业节能技术装备推荐目录!K:K,工业节能技术装备推荐目录!D:D,'Installation&amp;System Integration'!A19,工业节能技术装备推荐目录!F:F,'Installation&amp;System Integration'!$A$1,工业节能技术装备推荐目录!A:A,"2020")+SUMIFS(用能设备节能分配!Q:Q,用能设备节能分配!O:O,'Installation&amp;System Integration'!A19,用能设备节能分配!P:P,'Installation&amp;System Integration'!$A$1,用能设备节能分配!M:M,"2020")+SUMIFS(工业节能技术装备推荐目录!K:K,工业节能技术装备推荐目录!D:D,'Installation&amp;System Integration'!A19,工业节能技术装备推荐目录!F:F,'Installation&amp;System Integration'!$A$1,工业节能技术装备推荐目录!A:A,"2021")+SUMIFS(用能设备节能分配!Q:Q,用能设备节能分配!O:O,'Installation&amp;System Integration'!A19,用能设备节能分配!P:P,'Installation&amp;System Integration'!$A$1,用能设备节能分配!M:M,"2021")+SUMIFS(工业节能技术装备推荐目录!K:K,工业节能技术装备推荐目录!D:D,'Installation&amp;System Integration'!A19,工业节能技术装备推荐目录!F:F,'Installation&amp;System Integration'!$A$1,工业节能技术装备推荐目录!A:A,"2022")+SUMIFS(用能设备节能分配!Q:Q,用能设备节能分配!O:O,'Installation&amp;System Integration'!A19,用能设备节能分配!P:P,'Installation&amp;System Integration'!$A$1,用能设备节能分配!M:M,"2022")</f>
        <v>1.936881385883666</v>
      </c>
      <c r="F19" s="73">
        <f>SUMIFS(工业节能技术装备推荐目录!K:K,工业节能技术装备推荐目录!D:D,'Installation&amp;System Integration'!A19,工业节能技术装备推荐目录!F:F,'Installation&amp;System Integration'!$A$1,工业节能技术装备推荐目录!A:A,"2020")+SUMIFS(用能设备节能分配!Q:Q,用能设备节能分配!O:O,'Installation&amp;System Integration'!A19,用能设备节能分配!P:P,'Installation&amp;System Integration'!$A$1,用能设备节能分配!M:M,"2020")+SUMIFS(工业节能技术装备推荐目录!K:K,工业节能技术装备推荐目录!D:D,'Installation&amp;System Integration'!A19,工业节能技术装备推荐目录!F:F,'Installation&amp;System Integration'!$A$1,工业节能技术装备推荐目录!A:A,"2021")+SUMIFS(用能设备节能分配!Q:Q,用能设备节能分配!O:O,'Installation&amp;System Integration'!A19,用能设备节能分配!P:P,'Installation&amp;System Integration'!$A$1,用能设备节能分配!M:M,"2021")+SUMIFS(工业节能技术装备推荐目录!K:K,工业节能技术装备推荐目录!D:D,'Installation&amp;System Integration'!A19,工业节能技术装备推荐目录!F:F,'Installation&amp;System Integration'!$A$1,工业节能技术装备推荐目录!A:A,"2022")+SUMIFS(用能设备节能分配!Q:Q,用能设备节能分配!O:O,'Installation&amp;System Integration'!A19,用能设备节能分配!P:P,'Installation&amp;System Integration'!$A$1,用能设备节能分配!M:M,"2022")</f>
        <v>1.936881385883666</v>
      </c>
      <c r="G19" s="73">
        <f>SUMIFS(工业节能技术装备推荐目录!K:K,工业节能技术装备推荐目录!D:D,'Installation&amp;System Integration'!A19,工业节能技术装备推荐目录!F:F,'Installation&amp;System Integration'!$A$1,工业节能技术装备推荐目录!A:A,"2020")+SUMIFS(用能设备节能分配!Q:Q,用能设备节能分配!O:O,'Installation&amp;System Integration'!A19,用能设备节能分配!P:P,'Installation&amp;System Integration'!$A$1,用能设备节能分配!M:M,"2020")+SUMIFS(工业节能技术装备推荐目录!K:K,工业节能技术装备推荐目录!D:D,'Installation&amp;System Integration'!A19,工业节能技术装备推荐目录!F:F,'Installation&amp;System Integration'!$A$1,工业节能技术装备推荐目录!A:A,"2022")+SUMIFS(用能设备节能分配!Q:Q,用能设备节能分配!O:O,'Installation&amp;System Integration'!A19,用能设备节能分配!P:P,'Installation&amp;System Integration'!$A$1,用能设备节能分配!M:M,"2022")</f>
        <v>0.62162802995091704</v>
      </c>
      <c r="H19" s="73">
        <f>SUMIFS(工业节能技术装备推荐目录!K:K,工业节能技术装备推荐目录!D:D,'Installation&amp;System Integration'!A19,工业节能技术装备推荐目录!F:F,'Installation&amp;System Integration'!$A$1,工业节能技术装备推荐目录!A:A,"2022")+SUMIFS(用能设备节能分配!Q:Q,用能设备节能分配!O:O,'Installation&amp;System Integration'!A19,用能设备节能分配!P:P,'Installation&amp;System Integration'!$A$1,用能设备节能分配!M:M,"2022")</f>
        <v>0</v>
      </c>
      <c r="I19" s="73">
        <f>SUMIFS(工业节能技术装备推荐目录!K:K,工业节能技术装备推荐目录!D:D,'Installation&amp;System Integration'!A19,工业节能技术装备推荐目录!F:F,'Installation&amp;System Integration'!$A$1,工业节能技术装备推荐目录!A:A,"2022")+SUMIFS(用能设备节能分配!Q:Q,用能设备节能分配!O:O,'Installation&amp;System Integration'!A19,用能设备节能分配!P:P,'Installation&amp;System Integration'!$A$1,用能设备节能分配!M:M,"2022")</f>
        <v>0</v>
      </c>
      <c r="K19" s="52"/>
      <c r="L19" s="26" t="s">
        <v>48</v>
      </c>
      <c r="M19" s="50">
        <f>SUMIFS(工业节能技术装备推荐目录!L:L,工业节能技术装备推荐目录!D:D,'Installation&amp;System Integration'!A19,工业节能技术装备推荐目录!F:F,'Installation&amp;System Integration'!$A$1)</f>
        <v>0</v>
      </c>
      <c r="N19" s="73">
        <f>SUMIFS(工业节能技术装备推荐目录!K:K,工业节能技术装备推荐目录!D:D,'Installation&amp;System Integration'!A19,工业节能技术装备推荐目录!F:F,'Installation&amp;System Integration'!$A$1,工业节能技术装备推荐目录!A:A,"2020")</f>
        <v>0</v>
      </c>
      <c r="O19" s="73">
        <f>SUMIFS(工业节能技术装备推荐目录!K:K,工业节能技术装备推荐目录!D:D,'Installation&amp;System Integration'!A19,工业节能技术装备推荐目录!F:F,'Installation&amp;System Integration'!$A$1,工业节能技术装备推荐目录!A:A,"2020")+SUMIFS(工业节能技术装备推荐目录!K:K,工业节能技术装备推荐目录!D:D,'Installation&amp;System Integration'!A19,工业节能技术装备推荐目录!F:F,'Installation&amp;System Integration'!$A$1,工业节能技术装备推荐目录!A:A,"2021")</f>
        <v>0</v>
      </c>
      <c r="P19" s="73">
        <f>SUMIFS(工业节能技术装备推荐目录!K:K,工业节能技术装备推荐目录!D:D,'Installation&amp;System Integration'!A19,工业节能技术装备推荐目录!F:F,'Installation&amp;System Integration'!$A$1,工业节能技术装备推荐目录!A:A,"2020")+SUMIFS(工业节能技术装备推荐目录!K:K,工业节能技术装备推荐目录!D:D,'Installation&amp;System Integration'!A19,工业节能技术装备推荐目录!F:F,'Installation&amp;System Integration'!$A$1,工业节能技术装备推荐目录!A:A,"2021")+SUMIFS(工业节能技术装备推荐目录!K:K,工业节能技术装备推荐目录!D:D,'Installation&amp;System Integration'!A19,工业节能技术装备推荐目录!F:F,'Installation&amp;System Integration'!$A$1,工业节能技术装备推荐目录!A:A,"2022")</f>
        <v>0</v>
      </c>
      <c r="Q19" s="73">
        <f>SUMIFS(工业节能技术装备推荐目录!K:K,工业节能技术装备推荐目录!D:D,'Installation&amp;System Integration'!A19,工业节能技术装备推荐目录!F:F,'Installation&amp;System Integration'!$A$1,工业节能技术装备推荐目录!A:A,"2020")+SUMIFS(工业节能技术装备推荐目录!K:K,工业节能技术装备推荐目录!D:D,'Installation&amp;System Integration'!A19,工业节能技术装备推荐目录!F:F,'Installation&amp;System Integration'!$A$1,工业节能技术装备推荐目录!A:A,"2021")+SUMIFS(工业节能技术装备推荐目录!K:K,工业节能技术装备推荐目录!D:D,'Installation&amp;System Integration'!A19,工业节能技术装备推荐目录!F:F,'Installation&amp;System Integration'!$A$1,工业节能技术装备推荐目录!A:A,"2022")</f>
        <v>0</v>
      </c>
      <c r="R19" s="73">
        <f>SUMIFS(工业节能技术装备推荐目录!K:K,工业节能技术装备推荐目录!D:D,'Installation&amp;System Integration'!A19,工业节能技术装备推荐目录!F:F,'Installation&amp;System Integration'!$A$1,工业节能技术装备推荐目录!A:A,"2020")+SUMIFS(工业节能技术装备推荐目录!K:K,工业节能技术装备推荐目录!D:D,'Installation&amp;System Integration'!A19,工业节能技术装备推荐目录!F:F,'Installation&amp;System Integration'!$A$1,工业节能技术装备推荐目录!A:A,"2022")</f>
        <v>0</v>
      </c>
      <c r="S19" s="73">
        <f>SUMIFS(工业节能技术装备推荐目录!K:K,工业节能技术装备推荐目录!D:D,'Installation&amp;System Integration'!A19,工业节能技术装备推荐目录!F:F,'Installation&amp;System Integration'!$A$1,工业节能技术装备推荐目录!A:A,"2022")</f>
        <v>0</v>
      </c>
      <c r="T19" s="73">
        <f>SUMIFS(工业节能技术装备推荐目录!K:K,工业节能技术装备推荐目录!D:D,'Installation&amp;System Integration'!A19,工业节能技术装备推荐目录!F:F,'Installation&amp;System Integration'!$A$1,工业节能技术装备推荐目录!A:A,"2022")</f>
        <v>0</v>
      </c>
    </row>
    <row r="20" spans="1:20" x14ac:dyDescent="0.15">
      <c r="A20" s="26" t="s">
        <v>49</v>
      </c>
      <c r="B20" s="50">
        <f>SUMIFS(工业节能技术装备推荐目录!L:L,工业节能技术装备推荐目录!D:D,'Installation&amp;System Integration'!A20,工业节能技术装备推荐目录!F:F,'Installation&amp;System Integration'!$A$1)+SUMIFS(用能设备节能分配!R:R,用能设备节能分配!O:O,'Installation&amp;System Integration'!A20,用能设备节能分配!P:P,'Installation&amp;System Integration'!$A$1)</f>
        <v>7.9205513347757162</v>
      </c>
      <c r="C20" s="73">
        <f>SUMIFS(工业节能技术装备推荐目录!K:K,工业节能技术装备推荐目录!D:D,'Installation&amp;System Integration'!A20,工业节能技术装备推荐目录!F:F,'Installation&amp;System Integration'!$A$1,工业节能技术装备推荐目录!A:A,"2020")+SUMIFS(用能设备节能分配!Q:Q,用能设备节能分配!O:O,'Installation&amp;System Integration'!A20,用能设备节能分配!P:P,'Installation&amp;System Integration'!$A$1,用能设备节能分配!M:M,"2020")</f>
        <v>0.31504531612498438</v>
      </c>
      <c r="D20" s="73">
        <f>SUMIFS(工业节能技术装备推荐目录!K:K,工业节能技术装备推荐目录!D:D,'Installation&amp;System Integration'!A20,工业节能技术装备推荐目录!F:F,'Installation&amp;System Integration'!$A$1,工业节能技术装备推荐目录!A:A,"2020")+SUMIFS(用能设备节能分配!Q:Q,用能设备节能分配!O:O,'Installation&amp;System Integration'!A20,用能设备节能分配!P:P,'Installation&amp;System Integration'!$A$1,用能设备节能分配!M:M,"2020")+SUMIFS(工业节能技术装备推荐目录!K:K,工业节能技术装备推荐目录!D:D,'Installation&amp;System Integration'!A20,工业节能技术装备推荐目录!F:F,'Installation&amp;System Integration'!$A$1,工业节能技术装备推荐目录!A:A,"2021")+SUMIFS(用能设备节能分配!Q:Q,用能设备节能分配!O:O,'Installation&amp;System Integration'!A20,用能设备节能分配!P:P,'Installation&amp;System Integration'!$A$1,用能设备节能分配!M:M,"2021")</f>
        <v>0.98162466798753978</v>
      </c>
      <c r="E20" s="73">
        <f>SUMIFS(工业节能技术装备推荐目录!K:K,工业节能技术装备推荐目录!D:D,'Installation&amp;System Integration'!A20,工业节能技术装备推荐目录!F:F,'Installation&amp;System Integration'!$A$1,工业节能技术装备推荐目录!A:A,"2020")+SUMIFS(用能设备节能分配!Q:Q,用能设备节能分配!O:O,'Installation&amp;System Integration'!A20,用能设备节能分配!P:P,'Installation&amp;System Integration'!$A$1,用能设备节能分配!M:M,"2020")+SUMIFS(工业节能技术装备推荐目录!K:K,工业节能技术装备推荐目录!D:D,'Installation&amp;System Integration'!A20,工业节能技术装备推荐目录!F:F,'Installation&amp;System Integration'!$A$1,工业节能技术装备推荐目录!A:A,"2021")+SUMIFS(用能设备节能分配!Q:Q,用能设备节能分配!O:O,'Installation&amp;System Integration'!A20,用能设备节能分配!P:P,'Installation&amp;System Integration'!$A$1,用能设备节能分配!M:M,"2021")+SUMIFS(工业节能技术装备推荐目录!K:K,工业节能技术装备推荐目录!D:D,'Installation&amp;System Integration'!A20,工业节能技术装备推荐目录!F:F,'Installation&amp;System Integration'!$A$1,工业节能技术装备推荐目录!A:A,"2022")+SUMIFS(用能设备节能分配!Q:Q,用能设备节能分配!O:O,'Installation&amp;System Integration'!A20,用能设备节能分配!P:P,'Installation&amp;System Integration'!$A$1,用能设备节能分配!M:M,"2022")</f>
        <v>0.98162466798753978</v>
      </c>
      <c r="F20" s="73">
        <f>SUMIFS(工业节能技术装备推荐目录!K:K,工业节能技术装备推荐目录!D:D,'Installation&amp;System Integration'!A20,工业节能技术装备推荐目录!F:F,'Installation&amp;System Integration'!$A$1,工业节能技术装备推荐目录!A:A,"2020")+SUMIFS(用能设备节能分配!Q:Q,用能设备节能分配!O:O,'Installation&amp;System Integration'!A20,用能设备节能分配!P:P,'Installation&amp;System Integration'!$A$1,用能设备节能分配!M:M,"2020")+SUMIFS(工业节能技术装备推荐目录!K:K,工业节能技术装备推荐目录!D:D,'Installation&amp;System Integration'!A20,工业节能技术装备推荐目录!F:F,'Installation&amp;System Integration'!$A$1,工业节能技术装备推荐目录!A:A,"2021")+SUMIFS(用能设备节能分配!Q:Q,用能设备节能分配!O:O,'Installation&amp;System Integration'!A20,用能设备节能分配!P:P,'Installation&amp;System Integration'!$A$1,用能设备节能分配!M:M,"2021")+SUMIFS(工业节能技术装备推荐目录!K:K,工业节能技术装备推荐目录!D:D,'Installation&amp;System Integration'!A20,工业节能技术装备推荐目录!F:F,'Installation&amp;System Integration'!$A$1,工业节能技术装备推荐目录!A:A,"2022")+SUMIFS(用能设备节能分配!Q:Q,用能设备节能分配!O:O,'Installation&amp;System Integration'!A20,用能设备节能分配!P:P,'Installation&amp;System Integration'!$A$1,用能设备节能分配!M:M,"2022")</f>
        <v>0.98162466798753978</v>
      </c>
      <c r="G20" s="73">
        <f>SUMIFS(工业节能技术装备推荐目录!K:K,工业节能技术装备推荐目录!D:D,'Installation&amp;System Integration'!A20,工业节能技术装备推荐目录!F:F,'Installation&amp;System Integration'!$A$1,工业节能技术装备推荐目录!A:A,"2020")+SUMIFS(用能设备节能分配!Q:Q,用能设备节能分配!O:O,'Installation&amp;System Integration'!A20,用能设备节能分配!P:P,'Installation&amp;System Integration'!$A$1,用能设备节能分配!M:M,"2020")+SUMIFS(工业节能技术装备推荐目录!K:K,工业节能技术装备推荐目录!D:D,'Installation&amp;System Integration'!A20,工业节能技术装备推荐目录!F:F,'Installation&amp;System Integration'!$A$1,工业节能技术装备推荐目录!A:A,"2022")+SUMIFS(用能设备节能分配!Q:Q,用能设备节能分配!O:O,'Installation&amp;System Integration'!A20,用能设备节能分配!P:P,'Installation&amp;System Integration'!$A$1,用能设备节能分配!M:M,"2022")</f>
        <v>0.31504531612498438</v>
      </c>
      <c r="H20" s="73">
        <f>SUMIFS(工业节能技术装备推荐目录!K:K,工业节能技术装备推荐目录!D:D,'Installation&amp;System Integration'!A20,工业节能技术装备推荐目录!F:F,'Installation&amp;System Integration'!$A$1,工业节能技术装备推荐目录!A:A,"2022")+SUMIFS(用能设备节能分配!Q:Q,用能设备节能分配!O:O,'Installation&amp;System Integration'!A20,用能设备节能分配!P:P,'Installation&amp;System Integration'!$A$1,用能设备节能分配!M:M,"2022")</f>
        <v>0</v>
      </c>
      <c r="I20" s="73">
        <f>SUMIFS(工业节能技术装备推荐目录!K:K,工业节能技术装备推荐目录!D:D,'Installation&amp;System Integration'!A20,工业节能技术装备推荐目录!F:F,'Installation&amp;System Integration'!$A$1,工业节能技术装备推荐目录!A:A,"2022")+SUMIFS(用能设备节能分配!Q:Q,用能设备节能分配!O:O,'Installation&amp;System Integration'!A20,用能设备节能分配!P:P,'Installation&amp;System Integration'!$A$1,用能设备节能分配!M:M,"2022")</f>
        <v>0</v>
      </c>
      <c r="K20" s="52"/>
      <c r="L20" s="26" t="s">
        <v>49</v>
      </c>
      <c r="M20" s="50">
        <f>SUMIFS(工业节能技术装备推荐目录!L:L,工业节能技术装备推荐目录!D:D,'Installation&amp;System Integration'!A20,工业节能技术装备推荐目录!F:F,'Installation&amp;System Integration'!$A$1)</f>
        <v>0</v>
      </c>
      <c r="N20" s="73">
        <f>SUMIFS(工业节能技术装备推荐目录!K:K,工业节能技术装备推荐目录!D:D,'Installation&amp;System Integration'!A20,工业节能技术装备推荐目录!F:F,'Installation&amp;System Integration'!$A$1,工业节能技术装备推荐目录!A:A,"2020")</f>
        <v>0</v>
      </c>
      <c r="O20" s="73">
        <f>SUMIFS(工业节能技术装备推荐目录!K:K,工业节能技术装备推荐目录!D:D,'Installation&amp;System Integration'!A20,工业节能技术装备推荐目录!F:F,'Installation&amp;System Integration'!$A$1,工业节能技术装备推荐目录!A:A,"2020")+SUMIFS(工业节能技术装备推荐目录!K:K,工业节能技术装备推荐目录!D:D,'Installation&amp;System Integration'!A20,工业节能技术装备推荐目录!F:F,'Installation&amp;System Integration'!$A$1,工业节能技术装备推荐目录!A:A,"2021")</f>
        <v>0</v>
      </c>
      <c r="P20" s="73">
        <f>SUMIFS(工业节能技术装备推荐目录!K:K,工业节能技术装备推荐目录!D:D,'Installation&amp;System Integration'!A20,工业节能技术装备推荐目录!F:F,'Installation&amp;System Integration'!$A$1,工业节能技术装备推荐目录!A:A,"2020")+SUMIFS(工业节能技术装备推荐目录!K:K,工业节能技术装备推荐目录!D:D,'Installation&amp;System Integration'!A20,工业节能技术装备推荐目录!F:F,'Installation&amp;System Integration'!$A$1,工业节能技术装备推荐目录!A:A,"2021")+SUMIFS(工业节能技术装备推荐目录!K:K,工业节能技术装备推荐目录!D:D,'Installation&amp;System Integration'!A20,工业节能技术装备推荐目录!F:F,'Installation&amp;System Integration'!$A$1,工业节能技术装备推荐目录!A:A,"2022")</f>
        <v>0</v>
      </c>
      <c r="Q20" s="73">
        <f>SUMIFS(工业节能技术装备推荐目录!K:K,工业节能技术装备推荐目录!D:D,'Installation&amp;System Integration'!A20,工业节能技术装备推荐目录!F:F,'Installation&amp;System Integration'!$A$1,工业节能技术装备推荐目录!A:A,"2020")+SUMIFS(工业节能技术装备推荐目录!K:K,工业节能技术装备推荐目录!D:D,'Installation&amp;System Integration'!A20,工业节能技术装备推荐目录!F:F,'Installation&amp;System Integration'!$A$1,工业节能技术装备推荐目录!A:A,"2021")+SUMIFS(工业节能技术装备推荐目录!K:K,工业节能技术装备推荐目录!D:D,'Installation&amp;System Integration'!A20,工业节能技术装备推荐目录!F:F,'Installation&amp;System Integration'!$A$1,工业节能技术装备推荐目录!A:A,"2022")</f>
        <v>0</v>
      </c>
      <c r="R20" s="73">
        <f>SUMIFS(工业节能技术装备推荐目录!K:K,工业节能技术装备推荐目录!D:D,'Installation&amp;System Integration'!A20,工业节能技术装备推荐目录!F:F,'Installation&amp;System Integration'!$A$1,工业节能技术装备推荐目录!A:A,"2020")+SUMIFS(工业节能技术装备推荐目录!K:K,工业节能技术装备推荐目录!D:D,'Installation&amp;System Integration'!A20,工业节能技术装备推荐目录!F:F,'Installation&amp;System Integration'!$A$1,工业节能技术装备推荐目录!A:A,"2022")</f>
        <v>0</v>
      </c>
      <c r="S20" s="73">
        <f>SUMIFS(工业节能技术装备推荐目录!K:K,工业节能技术装备推荐目录!D:D,'Installation&amp;System Integration'!A20,工业节能技术装备推荐目录!F:F,'Installation&amp;System Integration'!$A$1,工业节能技术装备推荐目录!A:A,"2022")</f>
        <v>0</v>
      </c>
      <c r="T20" s="73">
        <f>SUMIFS(工业节能技术装备推荐目录!K:K,工业节能技术装备推荐目录!D:D,'Installation&amp;System Integration'!A20,工业节能技术装备推荐目录!F:F,'Installation&amp;System Integration'!$A$1,工业节能技术装备推荐目录!A:A,"2022")</f>
        <v>0</v>
      </c>
    </row>
    <row r="21" spans="1:20" x14ac:dyDescent="0.15">
      <c r="A21" s="26" t="s">
        <v>50</v>
      </c>
      <c r="B21" s="50">
        <f>SUMIFS(工业节能技术装备推荐目录!L:L,工业节能技术装备推荐目录!D:D,'Installation&amp;System Integration'!A21,工业节能技术装备推荐目录!F:F,'Installation&amp;System Integration'!$A$1)+SUMIFS(用能设备节能分配!R:R,用能设备节能分配!O:O,'Installation&amp;System Integration'!A21,用能设备节能分配!P:P,'Installation&amp;System Integration'!$A$1)</f>
        <v>4.9076173704706862</v>
      </c>
      <c r="C21" s="73">
        <f>SUMIFS(工业节能技术装备推荐目录!K:K,工业节能技术装备推荐目录!D:D,'Installation&amp;System Integration'!A21,工业节能技术装备推荐目录!F:F,'Installation&amp;System Integration'!$A$1,工业节能技术装备推荐目录!A:A,"2020")+SUMIFS(用能设备节能分配!Q:Q,用能设备节能分配!O:O,'Installation&amp;System Integration'!A21,用能设备节能分配!P:P,'Installation&amp;System Integration'!$A$1,用能设备节能分配!M:M,"2020")</f>
        <v>0.19520381859177524</v>
      </c>
      <c r="D21" s="73">
        <f>SUMIFS(工业节能技术装备推荐目录!K:K,工业节能技术装备推荐目录!D:D,'Installation&amp;System Integration'!A21,工业节能技术装备推荐目录!F:F,'Installation&amp;System Integration'!$A$1,工业节能技术装备推荐目录!A:A,"2020")+SUMIFS(用能设备节能分配!Q:Q,用能设备节能分配!O:O,'Installation&amp;System Integration'!A21,用能设备节能分配!P:P,'Installation&amp;System Integration'!$A$1,用能设备节能分配!M:M,"2020")+SUMIFS(工业节能技术装备推荐目录!K:K,工业节能技术装备推荐目录!D:D,'Installation&amp;System Integration'!A21,工业节能技术装备推荐目录!F:F,'Installation&amp;System Integration'!$A$1,工业节能技术装备推荐目录!A:A,"2021")+SUMIFS(用能设备节能分配!Q:Q,用能设备节能分配!O:O,'Installation&amp;System Integration'!A21,用能设备节能分配!P:P,'Installation&amp;System Integration'!$A$1,用能设备节能分配!M:M,"2021")</f>
        <v>0.60822006805850537</v>
      </c>
      <c r="E21" s="73">
        <f>SUMIFS(工业节能技术装备推荐目录!K:K,工业节能技术装备推荐目录!D:D,'Installation&amp;System Integration'!A21,工业节能技术装备推荐目录!F:F,'Installation&amp;System Integration'!$A$1,工业节能技术装备推荐目录!A:A,"2020")+SUMIFS(用能设备节能分配!Q:Q,用能设备节能分配!O:O,'Installation&amp;System Integration'!A21,用能设备节能分配!P:P,'Installation&amp;System Integration'!$A$1,用能设备节能分配!M:M,"2020")+SUMIFS(工业节能技术装备推荐目录!K:K,工业节能技术装备推荐目录!D:D,'Installation&amp;System Integration'!A21,工业节能技术装备推荐目录!F:F,'Installation&amp;System Integration'!$A$1,工业节能技术装备推荐目录!A:A,"2021")+SUMIFS(用能设备节能分配!Q:Q,用能设备节能分配!O:O,'Installation&amp;System Integration'!A21,用能设备节能分配!P:P,'Installation&amp;System Integration'!$A$1,用能设备节能分配!M:M,"2021")+SUMIFS(工业节能技术装备推荐目录!K:K,工业节能技术装备推荐目录!D:D,'Installation&amp;System Integration'!A21,工业节能技术装备推荐目录!F:F,'Installation&amp;System Integration'!$A$1,工业节能技术装备推荐目录!A:A,"2022")+SUMIFS(用能设备节能分配!Q:Q,用能设备节能分配!O:O,'Installation&amp;System Integration'!A21,用能设备节能分配!P:P,'Installation&amp;System Integration'!$A$1,用能设备节能分配!M:M,"2022")</f>
        <v>0.60822006805850537</v>
      </c>
      <c r="F21" s="73">
        <f>SUMIFS(工业节能技术装备推荐目录!K:K,工业节能技术装备推荐目录!D:D,'Installation&amp;System Integration'!A21,工业节能技术装备推荐目录!F:F,'Installation&amp;System Integration'!$A$1,工业节能技术装备推荐目录!A:A,"2020")+SUMIFS(用能设备节能分配!Q:Q,用能设备节能分配!O:O,'Installation&amp;System Integration'!A21,用能设备节能分配!P:P,'Installation&amp;System Integration'!$A$1,用能设备节能分配!M:M,"2020")+SUMIFS(工业节能技术装备推荐目录!K:K,工业节能技术装备推荐目录!D:D,'Installation&amp;System Integration'!A21,工业节能技术装备推荐目录!F:F,'Installation&amp;System Integration'!$A$1,工业节能技术装备推荐目录!A:A,"2021")+SUMIFS(用能设备节能分配!Q:Q,用能设备节能分配!O:O,'Installation&amp;System Integration'!A21,用能设备节能分配!P:P,'Installation&amp;System Integration'!$A$1,用能设备节能分配!M:M,"2021")+SUMIFS(工业节能技术装备推荐目录!K:K,工业节能技术装备推荐目录!D:D,'Installation&amp;System Integration'!A21,工业节能技术装备推荐目录!F:F,'Installation&amp;System Integration'!$A$1,工业节能技术装备推荐目录!A:A,"2022")+SUMIFS(用能设备节能分配!Q:Q,用能设备节能分配!O:O,'Installation&amp;System Integration'!A21,用能设备节能分配!P:P,'Installation&amp;System Integration'!$A$1,用能设备节能分配!M:M,"2022")</f>
        <v>0.60822006805850537</v>
      </c>
      <c r="G21" s="73">
        <f>SUMIFS(工业节能技术装备推荐目录!K:K,工业节能技术装备推荐目录!D:D,'Installation&amp;System Integration'!A21,工业节能技术装备推荐目录!F:F,'Installation&amp;System Integration'!$A$1,工业节能技术装备推荐目录!A:A,"2020")+SUMIFS(用能设备节能分配!Q:Q,用能设备节能分配!O:O,'Installation&amp;System Integration'!A21,用能设备节能分配!P:P,'Installation&amp;System Integration'!$A$1,用能设备节能分配!M:M,"2020")+SUMIFS(工业节能技术装备推荐目录!K:K,工业节能技术装备推荐目录!D:D,'Installation&amp;System Integration'!A21,工业节能技术装备推荐目录!F:F,'Installation&amp;System Integration'!$A$1,工业节能技术装备推荐目录!A:A,"2022")+SUMIFS(用能设备节能分配!Q:Q,用能设备节能分配!O:O,'Installation&amp;System Integration'!A21,用能设备节能分配!P:P,'Installation&amp;System Integration'!$A$1,用能设备节能分配!M:M,"2022")</f>
        <v>0.19520381859177524</v>
      </c>
      <c r="H21" s="73">
        <f>SUMIFS(工业节能技术装备推荐目录!K:K,工业节能技术装备推荐目录!D:D,'Installation&amp;System Integration'!A21,工业节能技术装备推荐目录!F:F,'Installation&amp;System Integration'!$A$1,工业节能技术装备推荐目录!A:A,"2022")+SUMIFS(用能设备节能分配!Q:Q,用能设备节能分配!O:O,'Installation&amp;System Integration'!A21,用能设备节能分配!P:P,'Installation&amp;System Integration'!$A$1,用能设备节能分配!M:M,"2022")</f>
        <v>0</v>
      </c>
      <c r="I21" s="73">
        <f>SUMIFS(工业节能技术装备推荐目录!K:K,工业节能技术装备推荐目录!D:D,'Installation&amp;System Integration'!A21,工业节能技术装备推荐目录!F:F,'Installation&amp;System Integration'!$A$1,工业节能技术装备推荐目录!A:A,"2022")+SUMIFS(用能设备节能分配!Q:Q,用能设备节能分配!O:O,'Installation&amp;System Integration'!A21,用能设备节能分配!P:P,'Installation&amp;System Integration'!$A$1,用能设备节能分配!M:M,"2022")</f>
        <v>0</v>
      </c>
      <c r="K21" s="52"/>
      <c r="L21" s="26" t="s">
        <v>50</v>
      </c>
      <c r="M21" s="50">
        <f>SUMIFS(工业节能技术装备推荐目录!L:L,工业节能技术装备推荐目录!D:D,'Installation&amp;System Integration'!A21,工业节能技术装备推荐目录!F:F,'Installation&amp;System Integration'!$A$1)</f>
        <v>0</v>
      </c>
      <c r="N21" s="73">
        <f>SUMIFS(工业节能技术装备推荐目录!K:K,工业节能技术装备推荐目录!D:D,'Installation&amp;System Integration'!A21,工业节能技术装备推荐目录!F:F,'Installation&amp;System Integration'!$A$1,工业节能技术装备推荐目录!A:A,"2020")</f>
        <v>0</v>
      </c>
      <c r="O21" s="73">
        <f>SUMIFS(工业节能技术装备推荐目录!K:K,工业节能技术装备推荐目录!D:D,'Installation&amp;System Integration'!A21,工业节能技术装备推荐目录!F:F,'Installation&amp;System Integration'!$A$1,工业节能技术装备推荐目录!A:A,"2020")+SUMIFS(工业节能技术装备推荐目录!K:K,工业节能技术装备推荐目录!D:D,'Installation&amp;System Integration'!A21,工业节能技术装备推荐目录!F:F,'Installation&amp;System Integration'!$A$1,工业节能技术装备推荐目录!A:A,"2021")</f>
        <v>0</v>
      </c>
      <c r="P21" s="73">
        <f>SUMIFS(工业节能技术装备推荐目录!K:K,工业节能技术装备推荐目录!D:D,'Installation&amp;System Integration'!A21,工业节能技术装备推荐目录!F:F,'Installation&amp;System Integration'!$A$1,工业节能技术装备推荐目录!A:A,"2020")+SUMIFS(工业节能技术装备推荐目录!K:K,工业节能技术装备推荐目录!D:D,'Installation&amp;System Integration'!A21,工业节能技术装备推荐目录!F:F,'Installation&amp;System Integration'!$A$1,工业节能技术装备推荐目录!A:A,"2021")+SUMIFS(工业节能技术装备推荐目录!K:K,工业节能技术装备推荐目录!D:D,'Installation&amp;System Integration'!A21,工业节能技术装备推荐目录!F:F,'Installation&amp;System Integration'!$A$1,工业节能技术装备推荐目录!A:A,"2022")</f>
        <v>0</v>
      </c>
      <c r="Q21" s="73">
        <f>SUMIFS(工业节能技术装备推荐目录!K:K,工业节能技术装备推荐目录!D:D,'Installation&amp;System Integration'!A21,工业节能技术装备推荐目录!F:F,'Installation&amp;System Integration'!$A$1,工业节能技术装备推荐目录!A:A,"2020")+SUMIFS(工业节能技术装备推荐目录!K:K,工业节能技术装备推荐目录!D:D,'Installation&amp;System Integration'!A21,工业节能技术装备推荐目录!F:F,'Installation&amp;System Integration'!$A$1,工业节能技术装备推荐目录!A:A,"2021")+SUMIFS(工业节能技术装备推荐目录!K:K,工业节能技术装备推荐目录!D:D,'Installation&amp;System Integration'!A21,工业节能技术装备推荐目录!F:F,'Installation&amp;System Integration'!$A$1,工业节能技术装备推荐目录!A:A,"2022")</f>
        <v>0</v>
      </c>
      <c r="R21" s="73">
        <f>SUMIFS(工业节能技术装备推荐目录!K:K,工业节能技术装备推荐目录!D:D,'Installation&amp;System Integration'!A21,工业节能技术装备推荐目录!F:F,'Installation&amp;System Integration'!$A$1,工业节能技术装备推荐目录!A:A,"2020")+SUMIFS(工业节能技术装备推荐目录!K:K,工业节能技术装备推荐目录!D:D,'Installation&amp;System Integration'!A21,工业节能技术装备推荐目录!F:F,'Installation&amp;System Integration'!$A$1,工业节能技术装备推荐目录!A:A,"2022")</f>
        <v>0</v>
      </c>
      <c r="S21" s="73">
        <f>SUMIFS(工业节能技术装备推荐目录!K:K,工业节能技术装备推荐目录!D:D,'Installation&amp;System Integration'!A21,工业节能技术装备推荐目录!F:F,'Installation&amp;System Integration'!$A$1,工业节能技术装备推荐目录!A:A,"2022")</f>
        <v>0</v>
      </c>
      <c r="T21" s="73">
        <f>SUMIFS(工业节能技术装备推荐目录!K:K,工业节能技术装备推荐目录!D:D,'Installation&amp;System Integration'!A21,工业节能技术装备推荐目录!F:F,'Installation&amp;System Integration'!$A$1,工业节能技术装备推荐目录!A:A,"2022")</f>
        <v>0</v>
      </c>
    </row>
    <row r="22" spans="1:20" x14ac:dyDescent="0.15">
      <c r="A22" s="26" t="s">
        <v>81</v>
      </c>
      <c r="B22" s="50">
        <f>SUMIFS(工业节能技术装备推荐目录!L:L,工业节能技术装备推荐目录!D:D,'Installation&amp;System Integration'!A22,工业节能技术装备推荐目录!F:F,'Installation&amp;System Integration'!$A$1)+SUMIFS(用能设备节能分配!R:R,用能设备节能分配!O:O,'Installation&amp;System Integration'!A22,用能设备节能分配!P:P,'Installation&amp;System Integration'!$A$1)</f>
        <v>6.8575015556302894</v>
      </c>
      <c r="C22" s="73">
        <f>SUMIFS(工业节能技术装备推荐目录!K:K,工业节能技术装备推荐目录!D:D,'Installation&amp;System Integration'!A22,工业节能技术装备推荐目录!F:F,'Installation&amp;System Integration'!$A$1,工业节能技术装备推荐目录!A:A,"2020")+SUMIFS(用能设备节能分配!Q:Q,用能设备节能分配!O:O,'Installation&amp;System Integration'!A22,用能设备节能分配!P:P,'Installation&amp;System Integration'!$A$1,用能设备节能分配!M:M,"2020")</f>
        <v>0.27276178817699603</v>
      </c>
      <c r="D22" s="73">
        <f>SUMIFS(工业节能技术装备推荐目录!K:K,工业节能技术装备推荐目录!D:D,'Installation&amp;System Integration'!A22,工业节能技术装备推荐目录!F:F,'Installation&amp;System Integration'!$A$1,工业节能技术装备推荐目录!A:A,"2020")+SUMIFS(用能设备节能分配!Q:Q,用能设备节能分配!O:O,'Installation&amp;System Integration'!A22,用能设备节能分配!P:P,'Installation&amp;System Integration'!$A$1,用能设备节能分配!M:M,"2020")+SUMIFS(工业节能技术装备推荐目录!K:K,工业节能技术装备推荐目录!D:D,'Installation&amp;System Integration'!A22,工业节能技术装备推荐目录!F:F,'Installation&amp;System Integration'!$A$1,工业节能技术装备推荐目录!A:A,"2021")+SUMIFS(用能设备节能分配!Q:Q,用能设备节能分配!O:O,'Installation&amp;System Integration'!A22,用能设备节能分配!P:P,'Installation&amp;System Integration'!$A$1,用能设备节能分配!M:M,"2021")</f>
        <v>0.84987678297273939</v>
      </c>
      <c r="E22" s="73">
        <f>SUMIFS(工业节能技术装备推荐目录!K:K,工业节能技术装备推荐目录!D:D,'Installation&amp;System Integration'!A22,工业节能技术装备推荐目录!F:F,'Installation&amp;System Integration'!$A$1,工业节能技术装备推荐目录!A:A,"2020")+SUMIFS(用能设备节能分配!Q:Q,用能设备节能分配!O:O,'Installation&amp;System Integration'!A22,用能设备节能分配!P:P,'Installation&amp;System Integration'!$A$1,用能设备节能分配!M:M,"2020")+SUMIFS(工业节能技术装备推荐目录!K:K,工业节能技术装备推荐目录!D:D,'Installation&amp;System Integration'!A22,工业节能技术装备推荐目录!F:F,'Installation&amp;System Integration'!$A$1,工业节能技术装备推荐目录!A:A,"2021")+SUMIFS(用能设备节能分配!Q:Q,用能设备节能分配!O:O,'Installation&amp;System Integration'!A22,用能设备节能分配!P:P,'Installation&amp;System Integration'!$A$1,用能设备节能分配!M:M,"2021")+SUMIFS(工业节能技术装备推荐目录!K:K,工业节能技术装备推荐目录!D:D,'Installation&amp;System Integration'!A22,工业节能技术装备推荐目录!F:F,'Installation&amp;System Integration'!$A$1,工业节能技术装备推荐目录!A:A,"2022")+SUMIFS(用能设备节能分配!Q:Q,用能设备节能分配!O:O,'Installation&amp;System Integration'!A22,用能设备节能分配!P:P,'Installation&amp;System Integration'!$A$1,用能设备节能分配!M:M,"2022")</f>
        <v>0.84987678297273939</v>
      </c>
      <c r="F22" s="73">
        <f>SUMIFS(工业节能技术装备推荐目录!K:K,工业节能技术装备推荐目录!D:D,'Installation&amp;System Integration'!A22,工业节能技术装备推荐目录!F:F,'Installation&amp;System Integration'!$A$1,工业节能技术装备推荐目录!A:A,"2020")+SUMIFS(用能设备节能分配!Q:Q,用能设备节能分配!O:O,'Installation&amp;System Integration'!A22,用能设备节能分配!P:P,'Installation&amp;System Integration'!$A$1,用能设备节能分配!M:M,"2020")+SUMIFS(工业节能技术装备推荐目录!K:K,工业节能技术装备推荐目录!D:D,'Installation&amp;System Integration'!A22,工业节能技术装备推荐目录!F:F,'Installation&amp;System Integration'!$A$1,工业节能技术装备推荐目录!A:A,"2021")+SUMIFS(用能设备节能分配!Q:Q,用能设备节能分配!O:O,'Installation&amp;System Integration'!A22,用能设备节能分配!P:P,'Installation&amp;System Integration'!$A$1,用能设备节能分配!M:M,"2021")+SUMIFS(工业节能技术装备推荐目录!K:K,工业节能技术装备推荐目录!D:D,'Installation&amp;System Integration'!A22,工业节能技术装备推荐目录!F:F,'Installation&amp;System Integration'!$A$1,工业节能技术装备推荐目录!A:A,"2022")+SUMIFS(用能设备节能分配!Q:Q,用能设备节能分配!O:O,'Installation&amp;System Integration'!A22,用能设备节能分配!P:P,'Installation&amp;System Integration'!$A$1,用能设备节能分配!M:M,"2022")</f>
        <v>0.84987678297273939</v>
      </c>
      <c r="G22" s="73">
        <f>SUMIFS(工业节能技术装备推荐目录!K:K,工业节能技术装备推荐目录!D:D,'Installation&amp;System Integration'!A22,工业节能技术装备推荐目录!F:F,'Installation&amp;System Integration'!$A$1,工业节能技术装备推荐目录!A:A,"2020")+SUMIFS(用能设备节能分配!Q:Q,用能设备节能分配!O:O,'Installation&amp;System Integration'!A22,用能设备节能分配!P:P,'Installation&amp;System Integration'!$A$1,用能设备节能分配!M:M,"2020")+SUMIFS(工业节能技术装备推荐目录!K:K,工业节能技术装备推荐目录!D:D,'Installation&amp;System Integration'!A22,工业节能技术装备推荐目录!F:F,'Installation&amp;System Integration'!$A$1,工业节能技术装备推荐目录!A:A,"2022")+SUMIFS(用能设备节能分配!Q:Q,用能设备节能分配!O:O,'Installation&amp;System Integration'!A22,用能设备节能分配!P:P,'Installation&amp;System Integration'!$A$1,用能设备节能分配!M:M,"2022")</f>
        <v>0.27276178817699603</v>
      </c>
      <c r="H22" s="73">
        <f>SUMIFS(工业节能技术装备推荐目录!K:K,工业节能技术装备推荐目录!D:D,'Installation&amp;System Integration'!A22,工业节能技术装备推荐目录!F:F,'Installation&amp;System Integration'!$A$1,工业节能技术装备推荐目录!A:A,"2022")+SUMIFS(用能设备节能分配!Q:Q,用能设备节能分配!O:O,'Installation&amp;System Integration'!A22,用能设备节能分配!P:P,'Installation&amp;System Integration'!$A$1,用能设备节能分配!M:M,"2022")</f>
        <v>0</v>
      </c>
      <c r="I22" s="73">
        <f>SUMIFS(工业节能技术装备推荐目录!K:K,工业节能技术装备推荐目录!D:D,'Installation&amp;System Integration'!A22,工业节能技术装备推荐目录!F:F,'Installation&amp;System Integration'!$A$1,工业节能技术装备推荐目录!A:A,"2022")+SUMIFS(用能设备节能分配!Q:Q,用能设备节能分配!O:O,'Installation&amp;System Integration'!A22,用能设备节能分配!P:P,'Installation&amp;System Integration'!$A$1,用能设备节能分配!M:M,"2022")</f>
        <v>0</v>
      </c>
      <c r="K22" s="52"/>
      <c r="L22" s="26" t="s">
        <v>81</v>
      </c>
      <c r="M22" s="50">
        <f>SUMIFS(工业节能技术装备推荐目录!L:L,工业节能技术装备推荐目录!D:D,'Installation&amp;System Integration'!A22,工业节能技术装备推荐目录!F:F,'Installation&amp;System Integration'!$A$1)</f>
        <v>0</v>
      </c>
      <c r="N22" s="73">
        <f>SUMIFS(工业节能技术装备推荐目录!K:K,工业节能技术装备推荐目录!D:D,'Installation&amp;System Integration'!A22,工业节能技术装备推荐目录!F:F,'Installation&amp;System Integration'!$A$1,工业节能技术装备推荐目录!A:A,"2020")</f>
        <v>0</v>
      </c>
      <c r="O22" s="73">
        <f>SUMIFS(工业节能技术装备推荐目录!K:K,工业节能技术装备推荐目录!D:D,'Installation&amp;System Integration'!A22,工业节能技术装备推荐目录!F:F,'Installation&amp;System Integration'!$A$1,工业节能技术装备推荐目录!A:A,"2020")+SUMIFS(工业节能技术装备推荐目录!K:K,工业节能技术装备推荐目录!D:D,'Installation&amp;System Integration'!A22,工业节能技术装备推荐目录!F:F,'Installation&amp;System Integration'!$A$1,工业节能技术装备推荐目录!A:A,"2021")</f>
        <v>0</v>
      </c>
      <c r="P22" s="73">
        <f>SUMIFS(工业节能技术装备推荐目录!K:K,工业节能技术装备推荐目录!D:D,'Installation&amp;System Integration'!A22,工业节能技术装备推荐目录!F:F,'Installation&amp;System Integration'!$A$1,工业节能技术装备推荐目录!A:A,"2020")+SUMIFS(工业节能技术装备推荐目录!K:K,工业节能技术装备推荐目录!D:D,'Installation&amp;System Integration'!A22,工业节能技术装备推荐目录!F:F,'Installation&amp;System Integration'!$A$1,工业节能技术装备推荐目录!A:A,"2021")+SUMIFS(工业节能技术装备推荐目录!K:K,工业节能技术装备推荐目录!D:D,'Installation&amp;System Integration'!A22,工业节能技术装备推荐目录!F:F,'Installation&amp;System Integration'!$A$1,工业节能技术装备推荐目录!A:A,"2022")</f>
        <v>0</v>
      </c>
      <c r="Q22" s="73">
        <f>SUMIFS(工业节能技术装备推荐目录!K:K,工业节能技术装备推荐目录!D:D,'Installation&amp;System Integration'!A22,工业节能技术装备推荐目录!F:F,'Installation&amp;System Integration'!$A$1,工业节能技术装备推荐目录!A:A,"2020")+SUMIFS(工业节能技术装备推荐目录!K:K,工业节能技术装备推荐目录!D:D,'Installation&amp;System Integration'!A22,工业节能技术装备推荐目录!F:F,'Installation&amp;System Integration'!$A$1,工业节能技术装备推荐目录!A:A,"2021")+SUMIFS(工业节能技术装备推荐目录!K:K,工业节能技术装备推荐目录!D:D,'Installation&amp;System Integration'!A22,工业节能技术装备推荐目录!F:F,'Installation&amp;System Integration'!$A$1,工业节能技术装备推荐目录!A:A,"2022")</f>
        <v>0</v>
      </c>
      <c r="R22" s="73">
        <f>SUMIFS(工业节能技术装备推荐目录!K:K,工业节能技术装备推荐目录!D:D,'Installation&amp;System Integration'!A22,工业节能技术装备推荐目录!F:F,'Installation&amp;System Integration'!$A$1,工业节能技术装备推荐目录!A:A,"2020")+SUMIFS(工业节能技术装备推荐目录!K:K,工业节能技术装备推荐目录!D:D,'Installation&amp;System Integration'!A22,工业节能技术装备推荐目录!F:F,'Installation&amp;System Integration'!$A$1,工业节能技术装备推荐目录!A:A,"2022")</f>
        <v>0</v>
      </c>
      <c r="S22" s="73">
        <f>SUMIFS(工业节能技术装备推荐目录!K:K,工业节能技术装备推荐目录!D:D,'Installation&amp;System Integration'!A22,工业节能技术装备推荐目录!F:F,'Installation&amp;System Integration'!$A$1,工业节能技术装备推荐目录!A:A,"2022")</f>
        <v>0</v>
      </c>
      <c r="T22" s="73">
        <f>SUMIFS(工业节能技术装备推荐目录!K:K,工业节能技术装备推荐目录!D:D,'Installation&amp;System Integration'!A22,工业节能技术装备推荐目录!F:F,'Installation&amp;System Integration'!$A$1,工业节能技术装备推荐目录!A:A,"2022")</f>
        <v>0</v>
      </c>
    </row>
    <row r="23" spans="1:20" x14ac:dyDescent="0.15">
      <c r="A23" s="26" t="s">
        <v>71</v>
      </c>
      <c r="B23" s="50">
        <f>SUMIFS(工业节能技术装备推荐目录!L:L,工业节能技术装备推荐目录!D:D,'Installation&amp;System Integration'!A23,工业节能技术装备推荐目录!F:F,'Installation&amp;System Integration'!$A$1)+SUMIFS(用能设备节能分配!R:R,用能设备节能分配!O:O,'Installation&amp;System Integration'!A23,用能设备节能分配!P:P,'Installation&amp;System Integration'!$A$1)</f>
        <v>104.18728916055849</v>
      </c>
      <c r="C23" s="73">
        <f>SUMIFS(工业节能技术装备推荐目录!K:K,工业节能技术装备推荐目录!D:D,'Installation&amp;System Integration'!A23,工业节能技术装备推荐目录!F:F,'Installation&amp;System Integration'!$A$1,工业节能技术装备推荐目录!A:A,"2020")+SUMIFS(用能设备节能分配!Q:Q,用能设备节能分配!O:O,'Installation&amp;System Integration'!A23,用能设备节能分配!P:P,'Installation&amp;System Integration'!$A$1,用能设备节能分配!M:M,"2020")</f>
        <v>15.166552274145728</v>
      </c>
      <c r="D23" s="73">
        <f>SUMIFS(工业节能技术装备推荐目录!K:K,工业节能技术装备推荐目录!D:D,'Installation&amp;System Integration'!A23,工业节能技术装备推荐目录!F:F,'Installation&amp;System Integration'!$A$1,工业节能技术装备推荐目录!A:A,"2020")+SUMIFS(用能设备节能分配!Q:Q,用能设备节能分配!O:O,'Installation&amp;System Integration'!A23,用能设备节能分配!P:P,'Installation&amp;System Integration'!$A$1,用能设备节能分配!M:M,"2020")+SUMIFS(工业节能技术装备推荐目录!K:K,工业节能技术装备推荐目录!D:D,'Installation&amp;System Integration'!A23,工业节能技术装备推荐目录!F:F,'Installation&amp;System Integration'!$A$1,工业节能技术装备推荐目录!A:A,"2021")+SUMIFS(用能设备节能分配!Q:Q,用能设备节能分配!O:O,'Installation&amp;System Integration'!A23,用能设备节能分配!P:P,'Installation&amp;System Integration'!$A$1,用能设备节能分配!M:M,"2021")</f>
        <v>15.518946997282159</v>
      </c>
      <c r="E23" s="73">
        <f>SUMIFS(工业节能技术装备推荐目录!K:K,工业节能技术装备推荐目录!D:D,'Installation&amp;System Integration'!A23,工业节能技术装备推荐目录!F:F,'Installation&amp;System Integration'!$A$1,工业节能技术装备推荐目录!A:A,"2020")+SUMIFS(用能设备节能分配!Q:Q,用能设备节能分配!O:O,'Installation&amp;System Integration'!A23,用能设备节能分配!P:P,'Installation&amp;System Integration'!$A$1,用能设备节能分配!M:M,"2020")+SUMIFS(工业节能技术装备推荐目录!K:K,工业节能技术装备推荐目录!D:D,'Installation&amp;System Integration'!A23,工业节能技术装备推荐目录!F:F,'Installation&amp;System Integration'!$A$1,工业节能技术装备推荐目录!A:A,"2021")+SUMIFS(用能设备节能分配!Q:Q,用能设备节能分配!O:O,'Installation&amp;System Integration'!A23,用能设备节能分配!P:P,'Installation&amp;System Integration'!$A$1,用能设备节能分配!M:M,"2021")+SUMIFS(工业节能技术装备推荐目录!K:K,工业节能技术装备推荐目录!D:D,'Installation&amp;System Integration'!A23,工业节能技术装备推荐目录!F:F,'Installation&amp;System Integration'!$A$1,工业节能技术装备推荐目录!A:A,"2022")+SUMIFS(用能设备节能分配!Q:Q,用能设备节能分配!O:O,'Installation&amp;System Integration'!A23,用能设备节能分配!P:P,'Installation&amp;System Integration'!$A$1,用能设备节能分配!M:M,"2022")</f>
        <v>15.518946997282159</v>
      </c>
      <c r="F23" s="73">
        <f>SUMIFS(工业节能技术装备推荐目录!K:K,工业节能技术装备推荐目录!D:D,'Installation&amp;System Integration'!A23,工业节能技术装备推荐目录!F:F,'Installation&amp;System Integration'!$A$1,工业节能技术装备推荐目录!A:A,"2020")+SUMIFS(用能设备节能分配!Q:Q,用能设备节能分配!O:O,'Installation&amp;System Integration'!A23,用能设备节能分配!P:P,'Installation&amp;System Integration'!$A$1,用能设备节能分配!M:M,"2020")+SUMIFS(工业节能技术装备推荐目录!K:K,工业节能技术装备推荐目录!D:D,'Installation&amp;System Integration'!A23,工业节能技术装备推荐目录!F:F,'Installation&amp;System Integration'!$A$1,工业节能技术装备推荐目录!A:A,"2021")+SUMIFS(用能设备节能分配!Q:Q,用能设备节能分配!O:O,'Installation&amp;System Integration'!A23,用能设备节能分配!P:P,'Installation&amp;System Integration'!$A$1,用能设备节能分配!M:M,"2021")+SUMIFS(工业节能技术装备推荐目录!K:K,工业节能技术装备推荐目录!D:D,'Installation&amp;System Integration'!A23,工业节能技术装备推荐目录!F:F,'Installation&amp;System Integration'!$A$1,工业节能技术装备推荐目录!A:A,"2022")+SUMIFS(用能设备节能分配!Q:Q,用能设备节能分配!O:O,'Installation&amp;System Integration'!A23,用能设备节能分配!P:P,'Installation&amp;System Integration'!$A$1,用能设备节能分配!M:M,"2022")</f>
        <v>15.518946997282159</v>
      </c>
      <c r="G23" s="73">
        <f>SUMIFS(工业节能技术装备推荐目录!K:K,工业节能技术装备推荐目录!D:D,'Installation&amp;System Integration'!A23,工业节能技术装备推荐目录!F:F,'Installation&amp;System Integration'!$A$1,工业节能技术装备推荐目录!A:A,"2020")+SUMIFS(用能设备节能分配!Q:Q,用能设备节能分配!O:O,'Installation&amp;System Integration'!A23,用能设备节能分配!P:P,'Installation&amp;System Integration'!$A$1,用能设备节能分配!M:M,"2020")+SUMIFS(工业节能技术装备推荐目录!K:K,工业节能技术装备推荐目录!D:D,'Installation&amp;System Integration'!A23,工业节能技术装备推荐目录!F:F,'Installation&amp;System Integration'!$A$1,工业节能技术装备推荐目录!A:A,"2022")+SUMIFS(用能设备节能分配!Q:Q,用能设备节能分配!O:O,'Installation&amp;System Integration'!A23,用能设备节能分配!P:P,'Installation&amp;System Integration'!$A$1,用能设备节能分配!M:M,"2022")</f>
        <v>15.166552274145728</v>
      </c>
      <c r="H23" s="73">
        <f>SUMIFS(工业节能技术装备推荐目录!K:K,工业节能技术装备推荐目录!D:D,'Installation&amp;System Integration'!A23,工业节能技术装备推荐目录!F:F,'Installation&amp;System Integration'!$A$1,工业节能技术装备推荐目录!A:A,"2022")+SUMIFS(用能设备节能分配!Q:Q,用能设备节能分配!O:O,'Installation&amp;System Integration'!A23,用能设备节能分配!P:P,'Installation&amp;System Integration'!$A$1,用能设备节能分配!M:M,"2022")</f>
        <v>0</v>
      </c>
      <c r="I23" s="73">
        <f>SUMIFS(工业节能技术装备推荐目录!K:K,工业节能技术装备推荐目录!D:D,'Installation&amp;System Integration'!A23,工业节能技术装备推荐目录!F:F,'Installation&amp;System Integration'!$A$1,工业节能技术装备推荐目录!A:A,"2022")+SUMIFS(用能设备节能分配!Q:Q,用能设备节能分配!O:O,'Installation&amp;System Integration'!A23,用能设备节能分配!P:P,'Installation&amp;System Integration'!$A$1,用能设备节能分配!M:M,"2022")</f>
        <v>0</v>
      </c>
      <c r="K23" s="52"/>
      <c r="L23" s="26" t="s">
        <v>71</v>
      </c>
      <c r="M23" s="50">
        <f>SUMIFS(工业节能技术装备推荐目录!L:L,工业节能技术装备推荐目录!D:D,'Installation&amp;System Integration'!A23,工业节能技术装备推荐目录!F:F,'Installation&amp;System Integration'!$A$1)</f>
        <v>100</v>
      </c>
      <c r="N23" s="73">
        <f>SUMIFS(工业节能技术装备推荐目录!K:K,工业节能技术装备推荐目录!D:D,'Installation&amp;System Integration'!A23,工业节能技术装备推荐目录!F:F,'Installation&amp;System Integration'!$A$1,工业节能技术装备推荐目录!A:A,"2020")</f>
        <v>15</v>
      </c>
      <c r="O23" s="73">
        <f>SUMIFS(工业节能技术装备推荐目录!K:K,工业节能技术装备推荐目录!D:D,'Installation&amp;System Integration'!A23,工业节能技术装备推荐目录!F:F,'Installation&amp;System Integration'!$A$1,工业节能技术装备推荐目录!A:A,"2020")+SUMIFS(工业节能技术装备推荐目录!K:K,工业节能技术装备推荐目录!D:D,'Installation&amp;System Integration'!A23,工业节能技术装备推荐目录!F:F,'Installation&amp;System Integration'!$A$1,工业节能技术装备推荐目录!A:A,"2021")</f>
        <v>15</v>
      </c>
      <c r="P23" s="73">
        <f>SUMIFS(工业节能技术装备推荐目录!K:K,工业节能技术装备推荐目录!D:D,'Installation&amp;System Integration'!A23,工业节能技术装备推荐目录!F:F,'Installation&amp;System Integration'!$A$1,工业节能技术装备推荐目录!A:A,"2020")+SUMIFS(工业节能技术装备推荐目录!K:K,工业节能技术装备推荐目录!D:D,'Installation&amp;System Integration'!A23,工业节能技术装备推荐目录!F:F,'Installation&amp;System Integration'!$A$1,工业节能技术装备推荐目录!A:A,"2021")+SUMIFS(工业节能技术装备推荐目录!K:K,工业节能技术装备推荐目录!D:D,'Installation&amp;System Integration'!A23,工业节能技术装备推荐目录!F:F,'Installation&amp;System Integration'!$A$1,工业节能技术装备推荐目录!A:A,"2022")</f>
        <v>15</v>
      </c>
      <c r="Q23" s="73">
        <f>SUMIFS(工业节能技术装备推荐目录!K:K,工业节能技术装备推荐目录!D:D,'Installation&amp;System Integration'!A23,工业节能技术装备推荐目录!F:F,'Installation&amp;System Integration'!$A$1,工业节能技术装备推荐目录!A:A,"2020")+SUMIFS(工业节能技术装备推荐目录!K:K,工业节能技术装备推荐目录!D:D,'Installation&amp;System Integration'!A23,工业节能技术装备推荐目录!F:F,'Installation&amp;System Integration'!$A$1,工业节能技术装备推荐目录!A:A,"2021")+SUMIFS(工业节能技术装备推荐目录!K:K,工业节能技术装备推荐目录!D:D,'Installation&amp;System Integration'!A23,工业节能技术装备推荐目录!F:F,'Installation&amp;System Integration'!$A$1,工业节能技术装备推荐目录!A:A,"2022")</f>
        <v>15</v>
      </c>
      <c r="R23" s="73">
        <f>SUMIFS(工业节能技术装备推荐目录!K:K,工业节能技术装备推荐目录!D:D,'Installation&amp;System Integration'!A23,工业节能技术装备推荐目录!F:F,'Installation&amp;System Integration'!$A$1,工业节能技术装备推荐目录!A:A,"2020")+SUMIFS(工业节能技术装备推荐目录!K:K,工业节能技术装备推荐目录!D:D,'Installation&amp;System Integration'!A23,工业节能技术装备推荐目录!F:F,'Installation&amp;System Integration'!$A$1,工业节能技术装备推荐目录!A:A,"2022")</f>
        <v>15</v>
      </c>
      <c r="S23" s="73">
        <f>SUMIFS(工业节能技术装备推荐目录!K:K,工业节能技术装备推荐目录!D:D,'Installation&amp;System Integration'!A23,工业节能技术装备推荐目录!F:F,'Installation&amp;System Integration'!$A$1,工业节能技术装备推荐目录!A:A,"2022")</f>
        <v>0</v>
      </c>
      <c r="T23" s="73">
        <f>SUMIFS(工业节能技术装备推荐目录!K:K,工业节能技术装备推荐目录!D:D,'Installation&amp;System Integration'!A23,工业节能技术装备推荐目录!F:F,'Installation&amp;System Integration'!$A$1,工业节能技术装备推荐目录!A:A,"2022")</f>
        <v>0</v>
      </c>
    </row>
    <row r="24" spans="1:20" x14ac:dyDescent="0.15">
      <c r="A24" s="26" t="s">
        <v>53</v>
      </c>
      <c r="B24" s="50">
        <f>SUMIFS(工业节能技术装备推荐目录!L:L,工业节能技术装备推荐目录!D:D,'Installation&amp;System Integration'!A24,工业节能技术装备推荐目录!F:F,'Installation&amp;System Integration'!$A$1)+SUMIFS(用能设备节能分配!R:R,用能设备节能分配!O:O,'Installation&amp;System Integration'!A24,用能设备节能分配!P:P,'Installation&amp;System Integration'!$A$1)</f>
        <v>10.991948284913843</v>
      </c>
      <c r="C24" s="73">
        <f>SUMIFS(工业节能技术装备推荐目录!K:K,工业节能技术装备推荐目录!D:D,'Installation&amp;System Integration'!A24,工业节能技术装备推荐目录!F:F,'Installation&amp;System Integration'!$A$1,工业节能技术装备推荐目录!A:A,"2020")+SUMIFS(用能设备节能分配!Q:Q,用能设备节能分配!O:O,'Installation&amp;System Integration'!A24,用能设备节能分配!P:P,'Installation&amp;System Integration'!$A$1,用能设备节能分配!M:M,"2020")</f>
        <v>0.43721221868050947</v>
      </c>
      <c r="D24" s="73">
        <f>SUMIFS(工业节能技术装备推荐目录!K:K,工业节能技术装备推荐目录!D:D,'Installation&amp;System Integration'!A24,工业节能技术装备推荐目录!F:F,'Installation&amp;System Integration'!$A$1,工业节能技术装备推荐目录!A:A,"2020")+SUMIFS(用能设备节能分配!Q:Q,用能设备节能分配!O:O,'Installation&amp;System Integration'!A24,用能设备节能分配!P:P,'Installation&amp;System Integration'!$A$1,用能设备节能分配!M:M,"2020")+SUMIFS(工业节能技术装备推荐目录!K:K,工业节能技术装备推荐目录!D:D,'Installation&amp;System Integration'!A24,工业节能技术装备推荐目录!F:F,'Installation&amp;System Integration'!$A$1,工业节能技术装备推荐目录!A:A,"2021")+SUMIFS(用能设备节能分配!Q:Q,用能设备节能分配!O:O,'Installation&amp;System Integration'!A24,用能设备节能分配!P:P,'Installation&amp;System Integration'!$A$1,用能设备节能分配!M:M,"2021")</f>
        <v>1.3622748126561186</v>
      </c>
      <c r="E24" s="73">
        <f>SUMIFS(工业节能技术装备推荐目录!K:K,工业节能技术装备推荐目录!D:D,'Installation&amp;System Integration'!A24,工业节能技术装备推荐目录!F:F,'Installation&amp;System Integration'!$A$1,工业节能技术装备推荐目录!A:A,"2020")+SUMIFS(用能设备节能分配!Q:Q,用能设备节能分配!O:O,'Installation&amp;System Integration'!A24,用能设备节能分配!P:P,'Installation&amp;System Integration'!$A$1,用能设备节能分配!M:M,"2020")+SUMIFS(工业节能技术装备推荐目录!K:K,工业节能技术装备推荐目录!D:D,'Installation&amp;System Integration'!A24,工业节能技术装备推荐目录!F:F,'Installation&amp;System Integration'!$A$1,工业节能技术装备推荐目录!A:A,"2021")+SUMIFS(用能设备节能分配!Q:Q,用能设备节能分配!O:O,'Installation&amp;System Integration'!A24,用能设备节能分配!P:P,'Installation&amp;System Integration'!$A$1,用能设备节能分配!M:M,"2021")+SUMIFS(工业节能技术装备推荐目录!K:K,工业节能技术装备推荐目录!D:D,'Installation&amp;System Integration'!A24,工业节能技术装备推荐目录!F:F,'Installation&amp;System Integration'!$A$1,工业节能技术装备推荐目录!A:A,"2022")+SUMIFS(用能设备节能分配!Q:Q,用能设备节能分配!O:O,'Installation&amp;System Integration'!A24,用能设备节能分配!P:P,'Installation&amp;System Integration'!$A$1,用能设备节能分配!M:M,"2022")</f>
        <v>1.3622748126561186</v>
      </c>
      <c r="F24" s="73">
        <f>SUMIFS(工业节能技术装备推荐目录!K:K,工业节能技术装备推荐目录!D:D,'Installation&amp;System Integration'!A24,工业节能技术装备推荐目录!F:F,'Installation&amp;System Integration'!$A$1,工业节能技术装备推荐目录!A:A,"2020")+SUMIFS(用能设备节能分配!Q:Q,用能设备节能分配!O:O,'Installation&amp;System Integration'!A24,用能设备节能分配!P:P,'Installation&amp;System Integration'!$A$1,用能设备节能分配!M:M,"2020")+SUMIFS(工业节能技术装备推荐目录!K:K,工业节能技术装备推荐目录!D:D,'Installation&amp;System Integration'!A24,工业节能技术装备推荐目录!F:F,'Installation&amp;System Integration'!$A$1,工业节能技术装备推荐目录!A:A,"2021")+SUMIFS(用能设备节能分配!Q:Q,用能设备节能分配!O:O,'Installation&amp;System Integration'!A24,用能设备节能分配!P:P,'Installation&amp;System Integration'!$A$1,用能设备节能分配!M:M,"2021")+SUMIFS(工业节能技术装备推荐目录!K:K,工业节能技术装备推荐目录!D:D,'Installation&amp;System Integration'!A24,工业节能技术装备推荐目录!F:F,'Installation&amp;System Integration'!$A$1,工业节能技术装备推荐目录!A:A,"2022")+SUMIFS(用能设备节能分配!Q:Q,用能设备节能分配!O:O,'Installation&amp;System Integration'!A24,用能设备节能分配!P:P,'Installation&amp;System Integration'!$A$1,用能设备节能分配!M:M,"2022")</f>
        <v>1.3622748126561186</v>
      </c>
      <c r="G24" s="73">
        <f>SUMIFS(工业节能技术装备推荐目录!K:K,工业节能技术装备推荐目录!D:D,'Installation&amp;System Integration'!A24,工业节能技术装备推荐目录!F:F,'Installation&amp;System Integration'!$A$1,工业节能技术装备推荐目录!A:A,"2020")+SUMIFS(用能设备节能分配!Q:Q,用能设备节能分配!O:O,'Installation&amp;System Integration'!A24,用能设备节能分配!P:P,'Installation&amp;System Integration'!$A$1,用能设备节能分配!M:M,"2020")+SUMIFS(工业节能技术装备推荐目录!K:K,工业节能技术装备推荐目录!D:D,'Installation&amp;System Integration'!A24,工业节能技术装备推荐目录!F:F,'Installation&amp;System Integration'!$A$1,工业节能技术装备推荐目录!A:A,"2022")+SUMIFS(用能设备节能分配!Q:Q,用能设备节能分配!O:O,'Installation&amp;System Integration'!A24,用能设备节能分配!P:P,'Installation&amp;System Integration'!$A$1,用能设备节能分配!M:M,"2022")</f>
        <v>0.43721221868050947</v>
      </c>
      <c r="H24" s="73">
        <f>SUMIFS(工业节能技术装备推荐目录!K:K,工业节能技术装备推荐目录!D:D,'Installation&amp;System Integration'!A24,工业节能技术装备推荐目录!F:F,'Installation&amp;System Integration'!$A$1,工业节能技术装备推荐目录!A:A,"2022")+SUMIFS(用能设备节能分配!Q:Q,用能设备节能分配!O:O,'Installation&amp;System Integration'!A24,用能设备节能分配!P:P,'Installation&amp;System Integration'!$A$1,用能设备节能分配!M:M,"2022")</f>
        <v>0</v>
      </c>
      <c r="I24" s="73">
        <f>SUMIFS(工业节能技术装备推荐目录!K:K,工业节能技术装备推荐目录!D:D,'Installation&amp;System Integration'!A24,工业节能技术装备推荐目录!F:F,'Installation&amp;System Integration'!$A$1,工业节能技术装备推荐目录!A:A,"2022")+SUMIFS(用能设备节能分配!Q:Q,用能设备节能分配!O:O,'Installation&amp;System Integration'!A24,用能设备节能分配!P:P,'Installation&amp;System Integration'!$A$1,用能设备节能分配!M:M,"2022")</f>
        <v>0</v>
      </c>
      <c r="K24" s="52"/>
      <c r="L24" s="26" t="s">
        <v>53</v>
      </c>
      <c r="M24" s="50">
        <f>SUMIFS(工业节能技术装备推荐目录!L:L,工业节能技术装备推荐目录!D:D,'Installation&amp;System Integration'!A24,工业节能技术装备推荐目录!F:F,'Installation&amp;System Integration'!$A$1)</f>
        <v>0</v>
      </c>
      <c r="N24" s="73">
        <f>SUMIFS(工业节能技术装备推荐目录!K:K,工业节能技术装备推荐目录!D:D,'Installation&amp;System Integration'!A24,工业节能技术装备推荐目录!F:F,'Installation&amp;System Integration'!$A$1,工业节能技术装备推荐目录!A:A,"2020")</f>
        <v>0</v>
      </c>
      <c r="O24" s="73">
        <f>SUMIFS(工业节能技术装备推荐目录!K:K,工业节能技术装备推荐目录!D:D,'Installation&amp;System Integration'!A24,工业节能技术装备推荐目录!F:F,'Installation&amp;System Integration'!$A$1,工业节能技术装备推荐目录!A:A,"2020")+SUMIFS(工业节能技术装备推荐目录!K:K,工业节能技术装备推荐目录!D:D,'Installation&amp;System Integration'!A24,工业节能技术装备推荐目录!F:F,'Installation&amp;System Integration'!$A$1,工业节能技术装备推荐目录!A:A,"2021")</f>
        <v>0</v>
      </c>
      <c r="P24" s="73">
        <f>SUMIFS(工业节能技术装备推荐目录!K:K,工业节能技术装备推荐目录!D:D,'Installation&amp;System Integration'!A24,工业节能技术装备推荐目录!F:F,'Installation&amp;System Integration'!$A$1,工业节能技术装备推荐目录!A:A,"2020")+SUMIFS(工业节能技术装备推荐目录!K:K,工业节能技术装备推荐目录!D:D,'Installation&amp;System Integration'!A24,工业节能技术装备推荐目录!F:F,'Installation&amp;System Integration'!$A$1,工业节能技术装备推荐目录!A:A,"2021")+SUMIFS(工业节能技术装备推荐目录!K:K,工业节能技术装备推荐目录!D:D,'Installation&amp;System Integration'!A24,工业节能技术装备推荐目录!F:F,'Installation&amp;System Integration'!$A$1,工业节能技术装备推荐目录!A:A,"2022")</f>
        <v>0</v>
      </c>
      <c r="Q24" s="73">
        <f>SUMIFS(工业节能技术装备推荐目录!K:K,工业节能技术装备推荐目录!D:D,'Installation&amp;System Integration'!A24,工业节能技术装备推荐目录!F:F,'Installation&amp;System Integration'!$A$1,工业节能技术装备推荐目录!A:A,"2020")+SUMIFS(工业节能技术装备推荐目录!K:K,工业节能技术装备推荐目录!D:D,'Installation&amp;System Integration'!A24,工业节能技术装备推荐目录!F:F,'Installation&amp;System Integration'!$A$1,工业节能技术装备推荐目录!A:A,"2021")+SUMIFS(工业节能技术装备推荐目录!K:K,工业节能技术装备推荐目录!D:D,'Installation&amp;System Integration'!A24,工业节能技术装备推荐目录!F:F,'Installation&amp;System Integration'!$A$1,工业节能技术装备推荐目录!A:A,"2022")</f>
        <v>0</v>
      </c>
      <c r="R24" s="73">
        <f>SUMIFS(工业节能技术装备推荐目录!K:K,工业节能技术装备推荐目录!D:D,'Installation&amp;System Integration'!A24,工业节能技术装备推荐目录!F:F,'Installation&amp;System Integration'!$A$1,工业节能技术装备推荐目录!A:A,"2020")+SUMIFS(工业节能技术装备推荐目录!K:K,工业节能技术装备推荐目录!D:D,'Installation&amp;System Integration'!A24,工业节能技术装备推荐目录!F:F,'Installation&amp;System Integration'!$A$1,工业节能技术装备推荐目录!A:A,"2022")</f>
        <v>0</v>
      </c>
      <c r="S24" s="73">
        <f>SUMIFS(工业节能技术装备推荐目录!K:K,工业节能技术装备推荐目录!D:D,'Installation&amp;System Integration'!A24,工业节能技术装备推荐目录!F:F,'Installation&amp;System Integration'!$A$1,工业节能技术装备推荐目录!A:A,"2022")</f>
        <v>0</v>
      </c>
      <c r="T24" s="73">
        <f>SUMIFS(工业节能技术装备推荐目录!K:K,工业节能技术装备推荐目录!D:D,'Installation&amp;System Integration'!A24,工业节能技术装备推荐目录!F:F,'Installation&amp;System Integration'!$A$1,工业节能技术装备推荐目录!A:A,"2022")</f>
        <v>0</v>
      </c>
    </row>
    <row r="25" spans="1:20" x14ac:dyDescent="0.15">
      <c r="A25" s="26" t="s">
        <v>76</v>
      </c>
      <c r="B25" s="50">
        <f>SUMIFS(工业节能技术装备推荐目录!L:L,工业节能技术装备推荐目录!D:D,'Installation&amp;System Integration'!A25,工业节能技术装备推荐目录!F:F,'Installation&amp;System Integration'!$A$1)+SUMIFS(用能设备节能分配!R:R,用能设备节能分配!O:O,'Installation&amp;System Integration'!A25,用能设备节能分配!P:P,'Installation&amp;System Integration'!$A$1)</f>
        <v>20.61988592324148</v>
      </c>
      <c r="C25" s="73">
        <f>SUMIFS(工业节能技术装备推荐目录!K:K,工业节能技术装备推荐目录!D:D,'Installation&amp;System Integration'!A25,工业节能技术装备推荐目录!F:F,'Installation&amp;System Integration'!$A$1,工业节能技术装备推荐目录!A:A,"2020")+SUMIFS(用能设备节能分配!Q:Q,用能设备节能分配!O:O,'Installation&amp;System Integration'!A25,用能设备节能分配!P:P,'Installation&amp;System Integration'!$A$1,用能设备节能分配!M:M,"2020")</f>
        <v>0.81194967900531112</v>
      </c>
      <c r="D25" s="73">
        <f>SUMIFS(工业节能技术装备推荐目录!K:K,工业节能技术装备推荐目录!D:D,'Installation&amp;System Integration'!A25,工业节能技术装备推荐目录!F:F,'Installation&amp;System Integration'!$A$1,工业节能技术装备推荐目录!A:A,"2020")+SUMIFS(用能设备节能分配!Q:Q,用能设备节能分配!O:O,'Installation&amp;System Integration'!A25,用能设备节能分配!P:P,'Installation&amp;System Integration'!$A$1,用能设备节能分配!M:M,"2020")+SUMIFS(工业节能技术装备推荐目录!K:K,工业节能技术装备推荐目录!D:D,'Installation&amp;System Integration'!A25,工业节能技术装备推荐目录!F:F,'Installation&amp;System Integration'!$A$1,工业节能技术装备推荐目录!A:A,"2021")+SUMIFS(用能设备节能分配!Q:Q,用能设备节能分配!O:O,'Installation&amp;System Integration'!A25,用能设备节能分配!P:P,'Installation&amp;System Integration'!$A$1,用能设备节能分配!M:M,"2021")</f>
        <v>2.5918894898027354</v>
      </c>
      <c r="E25" s="73">
        <f>SUMIFS(工业节能技术装备推荐目录!K:K,工业节能技术装备推荐目录!D:D,'Installation&amp;System Integration'!A25,工业节能技术装备推荐目录!F:F,'Installation&amp;System Integration'!$A$1,工业节能技术装备推荐目录!A:A,"2020")+SUMIFS(用能设备节能分配!Q:Q,用能设备节能分配!O:O,'Installation&amp;System Integration'!A25,用能设备节能分配!P:P,'Installation&amp;System Integration'!$A$1,用能设备节能分配!M:M,"2020")+SUMIFS(工业节能技术装备推荐目录!K:K,工业节能技术装备推荐目录!D:D,'Installation&amp;System Integration'!A25,工业节能技术装备推荐目录!F:F,'Installation&amp;System Integration'!$A$1,工业节能技术装备推荐目录!A:A,"2021")+SUMIFS(用能设备节能分配!Q:Q,用能设备节能分配!O:O,'Installation&amp;System Integration'!A25,用能设备节能分配!P:P,'Installation&amp;System Integration'!$A$1,用能设备节能分配!M:M,"2021")+SUMIFS(工业节能技术装备推荐目录!K:K,工业节能技术装备推荐目录!D:D,'Installation&amp;System Integration'!A25,工业节能技术装备推荐目录!F:F,'Installation&amp;System Integration'!$A$1,工业节能技术装备推荐目录!A:A,"2022")+SUMIFS(用能设备节能分配!Q:Q,用能设备节能分配!O:O,'Installation&amp;System Integration'!A25,用能设备节能分配!P:P,'Installation&amp;System Integration'!$A$1,用能设备节能分配!M:M,"2022")</f>
        <v>2.5918894898027354</v>
      </c>
      <c r="F25" s="73">
        <f>SUMIFS(工业节能技术装备推荐目录!K:K,工业节能技术装备推荐目录!D:D,'Installation&amp;System Integration'!A25,工业节能技术装备推荐目录!F:F,'Installation&amp;System Integration'!$A$1,工业节能技术装备推荐目录!A:A,"2020")+SUMIFS(用能设备节能分配!Q:Q,用能设备节能分配!O:O,'Installation&amp;System Integration'!A25,用能设备节能分配!P:P,'Installation&amp;System Integration'!$A$1,用能设备节能分配!M:M,"2020")+SUMIFS(工业节能技术装备推荐目录!K:K,工业节能技术装备推荐目录!D:D,'Installation&amp;System Integration'!A25,工业节能技术装备推荐目录!F:F,'Installation&amp;System Integration'!$A$1,工业节能技术装备推荐目录!A:A,"2021")+SUMIFS(用能设备节能分配!Q:Q,用能设备节能分配!O:O,'Installation&amp;System Integration'!A25,用能设备节能分配!P:P,'Installation&amp;System Integration'!$A$1,用能设备节能分配!M:M,"2021")+SUMIFS(工业节能技术装备推荐目录!K:K,工业节能技术装备推荐目录!D:D,'Installation&amp;System Integration'!A25,工业节能技术装备推荐目录!F:F,'Installation&amp;System Integration'!$A$1,工业节能技术装备推荐目录!A:A,"2022")+SUMIFS(用能设备节能分配!Q:Q,用能设备节能分配!O:O,'Installation&amp;System Integration'!A25,用能设备节能分配!P:P,'Installation&amp;System Integration'!$A$1,用能设备节能分配!M:M,"2022")</f>
        <v>2.5918894898027354</v>
      </c>
      <c r="G25" s="73">
        <f>SUMIFS(工业节能技术装备推荐目录!K:K,工业节能技术装备推荐目录!D:D,'Installation&amp;System Integration'!A25,工业节能技术装备推荐目录!F:F,'Installation&amp;System Integration'!$A$1,工业节能技术装备推荐目录!A:A,"2020")+SUMIFS(用能设备节能分配!Q:Q,用能设备节能分配!O:O,'Installation&amp;System Integration'!A25,用能设备节能分配!P:P,'Installation&amp;System Integration'!$A$1,用能设备节能分配!M:M,"2020")+SUMIFS(工业节能技术装备推荐目录!K:K,工业节能技术装备推荐目录!D:D,'Installation&amp;System Integration'!A25,工业节能技术装备推荐目录!F:F,'Installation&amp;System Integration'!$A$1,工业节能技术装备推荐目录!A:A,"2022")+SUMIFS(用能设备节能分配!Q:Q,用能设备节能分配!O:O,'Installation&amp;System Integration'!A25,用能设备节能分配!P:P,'Installation&amp;System Integration'!$A$1,用能设备节能分配!M:M,"2022")</f>
        <v>0.81194967900531112</v>
      </c>
      <c r="H25" s="73">
        <f>SUMIFS(工业节能技术装备推荐目录!K:K,工业节能技术装备推荐目录!D:D,'Installation&amp;System Integration'!A25,工业节能技术装备推荐目录!F:F,'Installation&amp;System Integration'!$A$1,工业节能技术装备推荐目录!A:A,"2022")+SUMIFS(用能设备节能分配!Q:Q,用能设备节能分配!O:O,'Installation&amp;System Integration'!A25,用能设备节能分配!P:P,'Installation&amp;System Integration'!$A$1,用能设备节能分配!M:M,"2022")</f>
        <v>0</v>
      </c>
      <c r="I25" s="73">
        <f>SUMIFS(工业节能技术装备推荐目录!K:K,工业节能技术装备推荐目录!D:D,'Installation&amp;System Integration'!A25,工业节能技术装备推荐目录!F:F,'Installation&amp;System Integration'!$A$1,工业节能技术装备推荐目录!A:A,"2022")+SUMIFS(用能设备节能分配!Q:Q,用能设备节能分配!O:O,'Installation&amp;System Integration'!A25,用能设备节能分配!P:P,'Installation&amp;System Integration'!$A$1,用能设备节能分配!M:M,"2022")</f>
        <v>0</v>
      </c>
      <c r="K25" s="52"/>
      <c r="L25" s="26" t="s">
        <v>76</v>
      </c>
      <c r="M25" s="50">
        <f>SUMIFS(工业节能技术装备推荐目录!L:L,工业节能技术装备推荐目录!D:D,'Installation&amp;System Integration'!A25,工业节能技术装备推荐目录!F:F,'Installation&amp;System Integration'!$A$1)</f>
        <v>0.20666666666666667</v>
      </c>
      <c r="N25" s="73">
        <f>SUMIFS(工业节能技术装备推荐目录!K:K,工业节能技术装备推荐目录!D:D,'Installation&amp;System Integration'!A25,工业节能技术装备推荐目录!F:F,'Installation&amp;System Integration'!$A$1,工业节能技术装备推荐目录!A:A,"2020")</f>
        <v>0</v>
      </c>
      <c r="O25" s="73">
        <f>SUMIFS(工业节能技术装备推荐目录!K:K,工业节能技术装备推荐目录!D:D,'Installation&amp;System Integration'!A25,工业节能技术装备推荐目录!F:F,'Installation&amp;System Integration'!$A$1,工业节能技术装备推荐目录!A:A,"2020")+SUMIFS(工业节能技术装备推荐目录!K:K,工业节能技术装备推荐目录!D:D,'Installation&amp;System Integration'!A25,工业节能技术装备推荐目录!F:F,'Installation&amp;System Integration'!$A$1,工业节能技术装备推荐目录!A:A,"2021")</f>
        <v>6.2E-2</v>
      </c>
      <c r="P25" s="73">
        <f>SUMIFS(工业节能技术装备推荐目录!K:K,工业节能技术装备推荐目录!D:D,'Installation&amp;System Integration'!A25,工业节能技术装备推荐目录!F:F,'Installation&amp;System Integration'!$A$1,工业节能技术装备推荐目录!A:A,"2020")+SUMIFS(工业节能技术装备推荐目录!K:K,工业节能技术装备推荐目录!D:D,'Installation&amp;System Integration'!A25,工业节能技术装备推荐目录!F:F,'Installation&amp;System Integration'!$A$1,工业节能技术装备推荐目录!A:A,"2021")+SUMIFS(工业节能技术装备推荐目录!K:K,工业节能技术装备推荐目录!D:D,'Installation&amp;System Integration'!A25,工业节能技术装备推荐目录!F:F,'Installation&amp;System Integration'!$A$1,工业节能技术装备推荐目录!A:A,"2022")</f>
        <v>6.2E-2</v>
      </c>
      <c r="Q25" s="73">
        <f>SUMIFS(工业节能技术装备推荐目录!K:K,工业节能技术装备推荐目录!D:D,'Installation&amp;System Integration'!A25,工业节能技术装备推荐目录!F:F,'Installation&amp;System Integration'!$A$1,工业节能技术装备推荐目录!A:A,"2020")+SUMIFS(工业节能技术装备推荐目录!K:K,工业节能技术装备推荐目录!D:D,'Installation&amp;System Integration'!A25,工业节能技术装备推荐目录!F:F,'Installation&amp;System Integration'!$A$1,工业节能技术装备推荐目录!A:A,"2021")+SUMIFS(工业节能技术装备推荐目录!K:K,工业节能技术装备推荐目录!D:D,'Installation&amp;System Integration'!A25,工业节能技术装备推荐目录!F:F,'Installation&amp;System Integration'!$A$1,工业节能技术装备推荐目录!A:A,"2022")</f>
        <v>6.2E-2</v>
      </c>
      <c r="R25" s="73">
        <f>SUMIFS(工业节能技术装备推荐目录!K:K,工业节能技术装备推荐目录!D:D,'Installation&amp;System Integration'!A25,工业节能技术装备推荐目录!F:F,'Installation&amp;System Integration'!$A$1,工业节能技术装备推荐目录!A:A,"2020")+SUMIFS(工业节能技术装备推荐目录!K:K,工业节能技术装备推荐目录!D:D,'Installation&amp;System Integration'!A25,工业节能技术装备推荐目录!F:F,'Installation&amp;System Integration'!$A$1,工业节能技术装备推荐目录!A:A,"2022")</f>
        <v>0</v>
      </c>
      <c r="S25" s="73">
        <f>SUMIFS(工业节能技术装备推荐目录!K:K,工业节能技术装备推荐目录!D:D,'Installation&amp;System Integration'!A25,工业节能技术装备推荐目录!F:F,'Installation&amp;System Integration'!$A$1,工业节能技术装备推荐目录!A:A,"2022")</f>
        <v>0</v>
      </c>
      <c r="T25" s="73">
        <f>SUMIFS(工业节能技术装备推荐目录!K:K,工业节能技术装备推荐目录!D:D,'Installation&amp;System Integration'!A25,工业节能技术装备推荐目录!F:F,'Installation&amp;System Integration'!$A$1,工业节能技术装备推荐目录!A:A,"2022")</f>
        <v>0</v>
      </c>
    </row>
    <row r="26" spans="1:20" x14ac:dyDescent="0.15">
      <c r="A26" s="26" t="s">
        <v>83</v>
      </c>
      <c r="B26" s="50">
        <f>SUMIFS(工业节能技术装备推荐目录!L:L,工业节能技术装备推荐目录!D:D,'Installation&amp;System Integration'!A26,工业节能技术装备推荐目录!F:F,'Installation&amp;System Integration'!$A$1)+SUMIFS(用能设备节能分配!R:R,用能设备节能分配!O:O,'Installation&amp;System Integration'!A26,用能设备节能分配!P:P,'Installation&amp;System Integration'!$A$1)</f>
        <v>8.2310477557073192</v>
      </c>
      <c r="C26" s="73">
        <f>SUMIFS(工业节能技术装备推荐目录!K:K,工业节能技术装备推荐目录!D:D,'Installation&amp;System Integration'!A26,工业节能技术装备推荐目录!F:F,'Installation&amp;System Integration'!$A$1,工业节能技术装备推荐目录!A:A,"2020")+SUMIFS(用能设备节能分配!Q:Q,用能设备节能分配!O:O,'Installation&amp;System Integration'!A26,用能设备节能分配!P:P,'Installation&amp;System Integration'!$A$1,用能设备节能分配!M:M,"2020")</f>
        <v>0.32739552243683362</v>
      </c>
      <c r="D26" s="73">
        <f>SUMIFS(工业节能技术装备推荐目录!K:K,工业节能技术装备推荐目录!D:D,'Installation&amp;System Integration'!A26,工业节能技术装备推荐目录!F:F,'Installation&amp;System Integration'!$A$1,工业节能技术装备推荐目录!A:A,"2020")+SUMIFS(用能设备节能分配!Q:Q,用能设备节能分配!O:O,'Installation&amp;System Integration'!A26,用能设备节能分配!P:P,'Installation&amp;System Integration'!$A$1,用能设备节能分配!M:M,"2020")+SUMIFS(工业节能技术装备推荐目录!K:K,工业节能技术装备推荐目录!D:D,'Installation&amp;System Integration'!A26,工业节能技术装备推荐目录!F:F,'Installation&amp;System Integration'!$A$1,工业节能技术装备推荐目录!A:A,"2021")+SUMIFS(用能设备节能分配!Q:Q,用能设备节能分配!O:O,'Installation&amp;System Integration'!A26,用能设备节能分配!P:P,'Installation&amp;System Integration'!$A$1,用能设备节能分配!M:M,"2021")</f>
        <v>1.0201056945254399</v>
      </c>
      <c r="E26" s="73">
        <f>SUMIFS(工业节能技术装备推荐目录!K:K,工业节能技术装备推荐目录!D:D,'Installation&amp;System Integration'!A26,工业节能技术装备推荐目录!F:F,'Installation&amp;System Integration'!$A$1,工业节能技术装备推荐目录!A:A,"2020")+SUMIFS(用能设备节能分配!Q:Q,用能设备节能分配!O:O,'Installation&amp;System Integration'!A26,用能设备节能分配!P:P,'Installation&amp;System Integration'!$A$1,用能设备节能分配!M:M,"2020")+SUMIFS(工业节能技术装备推荐目录!K:K,工业节能技术装备推荐目录!D:D,'Installation&amp;System Integration'!A26,工业节能技术装备推荐目录!F:F,'Installation&amp;System Integration'!$A$1,工业节能技术装备推荐目录!A:A,"2021")+SUMIFS(用能设备节能分配!Q:Q,用能设备节能分配!O:O,'Installation&amp;System Integration'!A26,用能设备节能分配!P:P,'Installation&amp;System Integration'!$A$1,用能设备节能分配!M:M,"2021")+SUMIFS(工业节能技术装备推荐目录!K:K,工业节能技术装备推荐目录!D:D,'Installation&amp;System Integration'!A26,工业节能技术装备推荐目录!F:F,'Installation&amp;System Integration'!$A$1,工业节能技术装备推荐目录!A:A,"2022")+SUMIFS(用能设备节能分配!Q:Q,用能设备节能分配!O:O,'Installation&amp;System Integration'!A26,用能设备节能分配!P:P,'Installation&amp;System Integration'!$A$1,用能设备节能分配!M:M,"2022")</f>
        <v>1.0201056945254399</v>
      </c>
      <c r="F26" s="73">
        <f>SUMIFS(工业节能技术装备推荐目录!K:K,工业节能技术装备推荐目录!D:D,'Installation&amp;System Integration'!A26,工业节能技术装备推荐目录!F:F,'Installation&amp;System Integration'!$A$1,工业节能技术装备推荐目录!A:A,"2020")+SUMIFS(用能设备节能分配!Q:Q,用能设备节能分配!O:O,'Installation&amp;System Integration'!A26,用能设备节能分配!P:P,'Installation&amp;System Integration'!$A$1,用能设备节能分配!M:M,"2020")+SUMIFS(工业节能技术装备推荐目录!K:K,工业节能技术装备推荐目录!D:D,'Installation&amp;System Integration'!A26,工业节能技术装备推荐目录!F:F,'Installation&amp;System Integration'!$A$1,工业节能技术装备推荐目录!A:A,"2021")+SUMIFS(用能设备节能分配!Q:Q,用能设备节能分配!O:O,'Installation&amp;System Integration'!A26,用能设备节能分配!P:P,'Installation&amp;System Integration'!$A$1,用能设备节能分配!M:M,"2021")+SUMIFS(工业节能技术装备推荐目录!K:K,工业节能技术装备推荐目录!D:D,'Installation&amp;System Integration'!A26,工业节能技术装备推荐目录!F:F,'Installation&amp;System Integration'!$A$1,工业节能技术装备推荐目录!A:A,"2022")+SUMIFS(用能设备节能分配!Q:Q,用能设备节能分配!O:O,'Installation&amp;System Integration'!A26,用能设备节能分配!P:P,'Installation&amp;System Integration'!$A$1,用能设备节能分配!M:M,"2022")</f>
        <v>1.0201056945254399</v>
      </c>
      <c r="G26" s="73">
        <f>SUMIFS(工业节能技术装备推荐目录!K:K,工业节能技术装备推荐目录!D:D,'Installation&amp;System Integration'!A26,工业节能技术装备推荐目录!F:F,'Installation&amp;System Integration'!$A$1,工业节能技术装备推荐目录!A:A,"2020")+SUMIFS(用能设备节能分配!Q:Q,用能设备节能分配!O:O,'Installation&amp;System Integration'!A26,用能设备节能分配!P:P,'Installation&amp;System Integration'!$A$1,用能设备节能分配!M:M,"2020")+SUMIFS(工业节能技术装备推荐目录!K:K,工业节能技术装备推荐目录!D:D,'Installation&amp;System Integration'!A26,工业节能技术装备推荐目录!F:F,'Installation&amp;System Integration'!$A$1,工业节能技术装备推荐目录!A:A,"2022")+SUMIFS(用能设备节能分配!Q:Q,用能设备节能分配!O:O,'Installation&amp;System Integration'!A26,用能设备节能分配!P:P,'Installation&amp;System Integration'!$A$1,用能设备节能分配!M:M,"2022")</f>
        <v>0.32739552243683362</v>
      </c>
      <c r="H26" s="73">
        <f>SUMIFS(工业节能技术装备推荐目录!K:K,工业节能技术装备推荐目录!D:D,'Installation&amp;System Integration'!A26,工业节能技术装备推荐目录!F:F,'Installation&amp;System Integration'!$A$1,工业节能技术装备推荐目录!A:A,"2022")+SUMIFS(用能设备节能分配!Q:Q,用能设备节能分配!O:O,'Installation&amp;System Integration'!A26,用能设备节能分配!P:P,'Installation&amp;System Integration'!$A$1,用能设备节能分配!M:M,"2022")</f>
        <v>0</v>
      </c>
      <c r="I26" s="73">
        <f>SUMIFS(工业节能技术装备推荐目录!K:K,工业节能技术装备推荐目录!D:D,'Installation&amp;System Integration'!A26,工业节能技术装备推荐目录!F:F,'Installation&amp;System Integration'!$A$1,工业节能技术装备推荐目录!A:A,"2022")+SUMIFS(用能设备节能分配!Q:Q,用能设备节能分配!O:O,'Installation&amp;System Integration'!A26,用能设备节能分配!P:P,'Installation&amp;System Integration'!$A$1,用能设备节能分配!M:M,"2022")</f>
        <v>0</v>
      </c>
      <c r="K26" s="52"/>
      <c r="L26" s="26" t="s">
        <v>83</v>
      </c>
      <c r="M26" s="50">
        <f>SUMIFS(工业节能技术装备推荐目录!L:L,工业节能技术装备推荐目录!D:D,'Installation&amp;System Integration'!A26,工业节能技术装备推荐目录!F:F,'Installation&amp;System Integration'!$A$1)</f>
        <v>0</v>
      </c>
      <c r="N26" s="73">
        <f>SUMIFS(工业节能技术装备推荐目录!K:K,工业节能技术装备推荐目录!D:D,'Installation&amp;System Integration'!A26,工业节能技术装备推荐目录!F:F,'Installation&amp;System Integration'!$A$1,工业节能技术装备推荐目录!A:A,"2020")</f>
        <v>0</v>
      </c>
      <c r="O26" s="73">
        <f>SUMIFS(工业节能技术装备推荐目录!K:K,工业节能技术装备推荐目录!D:D,'Installation&amp;System Integration'!A26,工业节能技术装备推荐目录!F:F,'Installation&amp;System Integration'!$A$1,工业节能技术装备推荐目录!A:A,"2020")+SUMIFS(工业节能技术装备推荐目录!K:K,工业节能技术装备推荐目录!D:D,'Installation&amp;System Integration'!A26,工业节能技术装备推荐目录!F:F,'Installation&amp;System Integration'!$A$1,工业节能技术装备推荐目录!A:A,"2021")</f>
        <v>0</v>
      </c>
      <c r="P26" s="73">
        <f>SUMIFS(工业节能技术装备推荐目录!K:K,工业节能技术装备推荐目录!D:D,'Installation&amp;System Integration'!A26,工业节能技术装备推荐目录!F:F,'Installation&amp;System Integration'!$A$1,工业节能技术装备推荐目录!A:A,"2020")+SUMIFS(工业节能技术装备推荐目录!K:K,工业节能技术装备推荐目录!D:D,'Installation&amp;System Integration'!A26,工业节能技术装备推荐目录!F:F,'Installation&amp;System Integration'!$A$1,工业节能技术装备推荐目录!A:A,"2021")+SUMIFS(工业节能技术装备推荐目录!K:K,工业节能技术装备推荐目录!D:D,'Installation&amp;System Integration'!A26,工业节能技术装备推荐目录!F:F,'Installation&amp;System Integration'!$A$1,工业节能技术装备推荐目录!A:A,"2022")</f>
        <v>0</v>
      </c>
      <c r="Q26" s="73">
        <f>SUMIFS(工业节能技术装备推荐目录!K:K,工业节能技术装备推荐目录!D:D,'Installation&amp;System Integration'!A26,工业节能技术装备推荐目录!F:F,'Installation&amp;System Integration'!$A$1,工业节能技术装备推荐目录!A:A,"2020")+SUMIFS(工业节能技术装备推荐目录!K:K,工业节能技术装备推荐目录!D:D,'Installation&amp;System Integration'!A26,工业节能技术装备推荐目录!F:F,'Installation&amp;System Integration'!$A$1,工业节能技术装备推荐目录!A:A,"2021")+SUMIFS(工业节能技术装备推荐目录!K:K,工业节能技术装备推荐目录!D:D,'Installation&amp;System Integration'!A26,工业节能技术装备推荐目录!F:F,'Installation&amp;System Integration'!$A$1,工业节能技术装备推荐目录!A:A,"2022")</f>
        <v>0</v>
      </c>
      <c r="R26" s="73">
        <f>SUMIFS(工业节能技术装备推荐目录!K:K,工业节能技术装备推荐目录!D:D,'Installation&amp;System Integration'!A26,工业节能技术装备推荐目录!F:F,'Installation&amp;System Integration'!$A$1,工业节能技术装备推荐目录!A:A,"2020")+SUMIFS(工业节能技术装备推荐目录!K:K,工业节能技术装备推荐目录!D:D,'Installation&amp;System Integration'!A26,工业节能技术装备推荐目录!F:F,'Installation&amp;System Integration'!$A$1,工业节能技术装备推荐目录!A:A,"2022")</f>
        <v>0</v>
      </c>
      <c r="S26" s="73">
        <f>SUMIFS(工业节能技术装备推荐目录!K:K,工业节能技术装备推荐目录!D:D,'Installation&amp;System Integration'!A26,工业节能技术装备推荐目录!F:F,'Installation&amp;System Integration'!$A$1,工业节能技术装备推荐目录!A:A,"2022")</f>
        <v>0</v>
      </c>
      <c r="T26" s="73">
        <f>SUMIFS(工业节能技术装备推荐目录!K:K,工业节能技术装备推荐目录!D:D,'Installation&amp;System Integration'!A26,工业节能技术装备推荐目录!F:F,'Installation&amp;System Integration'!$A$1,工业节能技术装备推荐目录!A:A,"2022")</f>
        <v>0</v>
      </c>
    </row>
    <row r="27" spans="1:20" x14ac:dyDescent="0.15">
      <c r="A27" s="26" t="s">
        <v>55</v>
      </c>
      <c r="B27" s="50">
        <f>SUMIFS(工业节能技术装备推荐目录!L:L,工业节能技术装备推荐目录!D:D,'Installation&amp;System Integration'!A27,工业节能技术装备推荐目录!F:F,'Installation&amp;System Integration'!$A$1)+SUMIFS(用能设备节能分配!R:R,用能设备节能分配!O:O,'Installation&amp;System Integration'!A27,用能设备节能分配!P:P,'Installation&amp;System Integration'!$A$1)</f>
        <v>42.392408645494797</v>
      </c>
      <c r="C27" s="73">
        <f>SUMIFS(工业节能技术装备推荐目录!K:K,工业节能技术装备推荐目录!D:D,'Installation&amp;System Integration'!A27,工业节能技术装备推荐目录!F:F,'Installation&amp;System Integration'!$A$1,工业节能技术装备推荐目录!A:A,"2020")+SUMIFS(用能设备节能分配!Q:Q,用能设备节能分配!O:O,'Installation&amp;System Integration'!A27,用能设备节能分配!P:P,'Installation&amp;System Integration'!$A$1,用能设备节能分配!M:M,"2020")</f>
        <v>1.686186885044362</v>
      </c>
      <c r="D27" s="73">
        <f>SUMIFS(工业节能技术装备推荐目录!K:K,工业节能技术装备推荐目录!D:D,'Installation&amp;System Integration'!A27,工业节能技术装备推荐目录!F:F,'Installation&amp;System Integration'!$A$1,工业节能技术装备推荐目录!A:A,"2020")+SUMIFS(用能设备节能分配!Q:Q,用能设备节能分配!O:O,'Installation&amp;System Integration'!A27,用能设备节能分配!P:P,'Installation&amp;System Integration'!$A$1,用能设备节能分配!M:M,"2020")+SUMIFS(工业节能技术装备推荐目录!K:K,工业节能技术装备推荐目录!D:D,'Installation&amp;System Integration'!A27,工业节能技术装备推荐目录!F:F,'Installation&amp;System Integration'!$A$1,工业节能技术装备推荐目录!A:A,"2021")+SUMIFS(用能设备节能分配!Q:Q,用能设备节能分配!O:O,'Installation&amp;System Integration'!A27,用能设备节能分配!P:P,'Installation&amp;System Integration'!$A$1,用能设备节能分配!M:M,"2021")</f>
        <v>5.2538557359156739</v>
      </c>
      <c r="E27" s="73">
        <f>SUMIFS(工业节能技术装备推荐目录!K:K,工业节能技术装备推荐目录!D:D,'Installation&amp;System Integration'!A27,工业节能技术装备推荐目录!F:F,'Installation&amp;System Integration'!$A$1,工业节能技术装备推荐目录!A:A,"2020")+SUMIFS(用能设备节能分配!Q:Q,用能设备节能分配!O:O,'Installation&amp;System Integration'!A27,用能设备节能分配!P:P,'Installation&amp;System Integration'!$A$1,用能设备节能分配!M:M,"2020")+SUMIFS(工业节能技术装备推荐目录!K:K,工业节能技术装备推荐目录!D:D,'Installation&amp;System Integration'!A27,工业节能技术装备推荐目录!F:F,'Installation&amp;System Integration'!$A$1,工业节能技术装备推荐目录!A:A,"2021")+SUMIFS(用能设备节能分配!Q:Q,用能设备节能分配!O:O,'Installation&amp;System Integration'!A27,用能设备节能分配!P:P,'Installation&amp;System Integration'!$A$1,用能设备节能分配!M:M,"2021")+SUMIFS(工业节能技术装备推荐目录!K:K,工业节能技术装备推荐目录!D:D,'Installation&amp;System Integration'!A27,工业节能技术装备推荐目录!F:F,'Installation&amp;System Integration'!$A$1,工业节能技术装备推荐目录!A:A,"2022")+SUMIFS(用能设备节能分配!Q:Q,用能设备节能分配!O:O,'Installation&amp;System Integration'!A27,用能设备节能分配!P:P,'Installation&amp;System Integration'!$A$1,用能设备节能分配!M:M,"2022")</f>
        <v>5.2538557359156739</v>
      </c>
      <c r="F27" s="73">
        <f>SUMIFS(工业节能技术装备推荐目录!K:K,工业节能技术装备推荐目录!D:D,'Installation&amp;System Integration'!A27,工业节能技术装备推荐目录!F:F,'Installation&amp;System Integration'!$A$1,工业节能技术装备推荐目录!A:A,"2020")+SUMIFS(用能设备节能分配!Q:Q,用能设备节能分配!O:O,'Installation&amp;System Integration'!A27,用能设备节能分配!P:P,'Installation&amp;System Integration'!$A$1,用能设备节能分配!M:M,"2020")+SUMIFS(工业节能技术装备推荐目录!K:K,工业节能技术装备推荐目录!D:D,'Installation&amp;System Integration'!A27,工业节能技术装备推荐目录!F:F,'Installation&amp;System Integration'!$A$1,工业节能技术装备推荐目录!A:A,"2021")+SUMIFS(用能设备节能分配!Q:Q,用能设备节能分配!O:O,'Installation&amp;System Integration'!A27,用能设备节能分配!P:P,'Installation&amp;System Integration'!$A$1,用能设备节能分配!M:M,"2021")+SUMIFS(工业节能技术装备推荐目录!K:K,工业节能技术装备推荐目录!D:D,'Installation&amp;System Integration'!A27,工业节能技术装备推荐目录!F:F,'Installation&amp;System Integration'!$A$1,工业节能技术装备推荐目录!A:A,"2022")+SUMIFS(用能设备节能分配!Q:Q,用能设备节能分配!O:O,'Installation&amp;System Integration'!A27,用能设备节能分配!P:P,'Installation&amp;System Integration'!$A$1,用能设备节能分配!M:M,"2022")</f>
        <v>5.2538557359156739</v>
      </c>
      <c r="G27" s="73">
        <f>SUMIFS(工业节能技术装备推荐目录!K:K,工业节能技术装备推荐目录!D:D,'Installation&amp;System Integration'!A27,工业节能技术装备推荐目录!F:F,'Installation&amp;System Integration'!$A$1,工业节能技术装备推荐目录!A:A,"2020")+SUMIFS(用能设备节能分配!Q:Q,用能设备节能分配!O:O,'Installation&amp;System Integration'!A27,用能设备节能分配!P:P,'Installation&amp;System Integration'!$A$1,用能设备节能分配!M:M,"2020")+SUMIFS(工业节能技术装备推荐目录!K:K,工业节能技术装备推荐目录!D:D,'Installation&amp;System Integration'!A27,工业节能技术装备推荐目录!F:F,'Installation&amp;System Integration'!$A$1,工业节能技术装备推荐目录!A:A,"2022")+SUMIFS(用能设备节能分配!Q:Q,用能设备节能分配!O:O,'Installation&amp;System Integration'!A27,用能设备节能分配!P:P,'Installation&amp;System Integration'!$A$1,用能设备节能分配!M:M,"2022")</f>
        <v>1.686186885044362</v>
      </c>
      <c r="H27" s="73">
        <f>SUMIFS(工业节能技术装备推荐目录!K:K,工业节能技术装备推荐目录!D:D,'Installation&amp;System Integration'!A27,工业节能技术装备推荐目录!F:F,'Installation&amp;System Integration'!$A$1,工业节能技术装备推荐目录!A:A,"2022")+SUMIFS(用能设备节能分配!Q:Q,用能设备节能分配!O:O,'Installation&amp;System Integration'!A27,用能设备节能分配!P:P,'Installation&amp;System Integration'!$A$1,用能设备节能分配!M:M,"2022")</f>
        <v>0</v>
      </c>
      <c r="I27" s="73">
        <f>SUMIFS(工业节能技术装备推荐目录!K:K,工业节能技术装备推荐目录!D:D,'Installation&amp;System Integration'!A27,工业节能技术装备推荐目录!F:F,'Installation&amp;System Integration'!$A$1,工业节能技术装备推荐目录!A:A,"2022")+SUMIFS(用能设备节能分配!Q:Q,用能设备节能分配!O:O,'Installation&amp;System Integration'!A27,用能设备节能分配!P:P,'Installation&amp;System Integration'!$A$1,用能设备节能分配!M:M,"2022")</f>
        <v>0</v>
      </c>
      <c r="K27" s="52"/>
      <c r="L27" s="26" t="s">
        <v>55</v>
      </c>
      <c r="M27" s="50">
        <f>SUMIFS(工业节能技术装备推荐目录!L:L,工业节能技术装备推荐目录!D:D,'Installation&amp;System Integration'!A27,工业节能技术装备推荐目录!F:F,'Installation&amp;System Integration'!$A$1)</f>
        <v>0</v>
      </c>
      <c r="N27" s="73">
        <f>SUMIFS(工业节能技术装备推荐目录!K:K,工业节能技术装备推荐目录!D:D,'Installation&amp;System Integration'!A27,工业节能技术装备推荐目录!F:F,'Installation&amp;System Integration'!$A$1,工业节能技术装备推荐目录!A:A,"2020")</f>
        <v>0</v>
      </c>
      <c r="O27" s="73">
        <f>SUMIFS(工业节能技术装备推荐目录!K:K,工业节能技术装备推荐目录!D:D,'Installation&amp;System Integration'!A27,工业节能技术装备推荐目录!F:F,'Installation&amp;System Integration'!$A$1,工业节能技术装备推荐目录!A:A,"2020")+SUMIFS(工业节能技术装备推荐目录!K:K,工业节能技术装备推荐目录!D:D,'Installation&amp;System Integration'!A27,工业节能技术装备推荐目录!F:F,'Installation&amp;System Integration'!$A$1,工业节能技术装备推荐目录!A:A,"2021")</f>
        <v>0</v>
      </c>
      <c r="P27" s="73">
        <f>SUMIFS(工业节能技术装备推荐目录!K:K,工业节能技术装备推荐目录!D:D,'Installation&amp;System Integration'!A27,工业节能技术装备推荐目录!F:F,'Installation&amp;System Integration'!$A$1,工业节能技术装备推荐目录!A:A,"2020")+SUMIFS(工业节能技术装备推荐目录!K:K,工业节能技术装备推荐目录!D:D,'Installation&amp;System Integration'!A27,工业节能技术装备推荐目录!F:F,'Installation&amp;System Integration'!$A$1,工业节能技术装备推荐目录!A:A,"2021")+SUMIFS(工业节能技术装备推荐目录!K:K,工业节能技术装备推荐目录!D:D,'Installation&amp;System Integration'!A27,工业节能技术装备推荐目录!F:F,'Installation&amp;System Integration'!$A$1,工业节能技术装备推荐目录!A:A,"2022")</f>
        <v>0</v>
      </c>
      <c r="Q27" s="73">
        <f>SUMIFS(工业节能技术装备推荐目录!K:K,工业节能技术装备推荐目录!D:D,'Installation&amp;System Integration'!A27,工业节能技术装备推荐目录!F:F,'Installation&amp;System Integration'!$A$1,工业节能技术装备推荐目录!A:A,"2020")+SUMIFS(工业节能技术装备推荐目录!K:K,工业节能技术装备推荐目录!D:D,'Installation&amp;System Integration'!A27,工业节能技术装备推荐目录!F:F,'Installation&amp;System Integration'!$A$1,工业节能技术装备推荐目录!A:A,"2021")+SUMIFS(工业节能技术装备推荐目录!K:K,工业节能技术装备推荐目录!D:D,'Installation&amp;System Integration'!A27,工业节能技术装备推荐目录!F:F,'Installation&amp;System Integration'!$A$1,工业节能技术装备推荐目录!A:A,"2022")</f>
        <v>0</v>
      </c>
      <c r="R27" s="73">
        <f>SUMIFS(工业节能技术装备推荐目录!K:K,工业节能技术装备推荐目录!D:D,'Installation&amp;System Integration'!A27,工业节能技术装备推荐目录!F:F,'Installation&amp;System Integration'!$A$1,工业节能技术装备推荐目录!A:A,"2020")+SUMIFS(工业节能技术装备推荐目录!K:K,工业节能技术装备推荐目录!D:D,'Installation&amp;System Integration'!A27,工业节能技术装备推荐目录!F:F,'Installation&amp;System Integration'!$A$1,工业节能技术装备推荐目录!A:A,"2022")</f>
        <v>0</v>
      </c>
      <c r="S27" s="73">
        <f>SUMIFS(工业节能技术装备推荐目录!K:K,工业节能技术装备推荐目录!D:D,'Installation&amp;System Integration'!A27,工业节能技术装备推荐目录!F:F,'Installation&amp;System Integration'!$A$1,工业节能技术装备推荐目录!A:A,"2022")</f>
        <v>0</v>
      </c>
      <c r="T27" s="73">
        <f>SUMIFS(工业节能技术装备推荐目录!K:K,工业节能技术装备推荐目录!D:D,'Installation&amp;System Integration'!A27,工业节能技术装备推荐目录!F:F,'Installation&amp;System Integration'!$A$1,工业节能技术装备推荐目录!A:A,"2022")</f>
        <v>0</v>
      </c>
    </row>
    <row r="28" spans="1:20" x14ac:dyDescent="0.15">
      <c r="A28" s="62" t="s">
        <v>444</v>
      </c>
      <c r="B28" s="63">
        <f>SUM(B3:B27)</f>
        <v>3127.4655539669784</v>
      </c>
      <c r="C28" s="74">
        <f t="shared" ref="C28:I28" si="0">SUM(C3:C27)</f>
        <v>166.4</v>
      </c>
      <c r="D28" s="74">
        <f t="shared" si="0"/>
        <v>401.16467945051147</v>
      </c>
      <c r="E28" s="74">
        <f t="shared" si="0"/>
        <v>401.16467945051147</v>
      </c>
      <c r="F28" s="74">
        <f t="shared" si="0"/>
        <v>401.16467945051147</v>
      </c>
      <c r="G28" s="74">
        <f t="shared" si="0"/>
        <v>166.4</v>
      </c>
      <c r="H28" s="74">
        <f t="shared" si="0"/>
        <v>0</v>
      </c>
      <c r="I28" s="74">
        <f t="shared" si="0"/>
        <v>0</v>
      </c>
      <c r="L28" s="62" t="s">
        <v>444</v>
      </c>
      <c r="M28" s="63">
        <f>SUM(M3:M27)</f>
        <v>884.07639097744368</v>
      </c>
      <c r="N28" s="74">
        <f t="shared" ref="N28:T28" si="1">SUM(N3:N27)</f>
        <v>81.7</v>
      </c>
      <c r="O28" s="74">
        <f t="shared" si="1"/>
        <v>106.592</v>
      </c>
      <c r="P28" s="74">
        <f t="shared" si="1"/>
        <v>106.592</v>
      </c>
      <c r="Q28" s="74">
        <f t="shared" si="1"/>
        <v>106.592</v>
      </c>
      <c r="R28" s="74">
        <f t="shared" si="1"/>
        <v>81.7</v>
      </c>
      <c r="S28" s="74">
        <f t="shared" si="1"/>
        <v>0</v>
      </c>
      <c r="T28" s="74">
        <f t="shared" si="1"/>
        <v>0</v>
      </c>
    </row>
    <row r="31" spans="1:20" x14ac:dyDescent="0.15">
      <c r="A31" s="51" t="s">
        <v>103</v>
      </c>
      <c r="B31" s="51" t="s">
        <v>443</v>
      </c>
      <c r="C31" s="51"/>
      <c r="D31" s="51"/>
      <c r="E31" s="51"/>
      <c r="F31" s="51"/>
      <c r="G31" s="51"/>
      <c r="H31" s="51"/>
      <c r="I31" s="51"/>
    </row>
    <row r="32" spans="1:20" x14ac:dyDescent="0.15">
      <c r="A32" s="26" t="s">
        <v>384</v>
      </c>
      <c r="B32" s="46">
        <v>2060</v>
      </c>
      <c r="C32" s="20">
        <v>2021</v>
      </c>
      <c r="D32" s="20">
        <v>2022</v>
      </c>
      <c r="E32" s="20">
        <v>2023</v>
      </c>
      <c r="F32" s="20">
        <v>2024</v>
      </c>
      <c r="G32" s="20">
        <v>2025</v>
      </c>
      <c r="H32" s="20">
        <v>2026</v>
      </c>
      <c r="I32" s="20">
        <v>2027</v>
      </c>
    </row>
    <row r="33" spans="1:9" x14ac:dyDescent="0.15">
      <c r="A33" s="26" t="s">
        <v>99</v>
      </c>
      <c r="B33" s="59">
        <f>B3*$K$2/BIFUbC!AQ2</f>
        <v>2.8900463684975158E-3</v>
      </c>
      <c r="C33" s="75">
        <f>C3*$K$2/BIFUbC!D2</f>
        <v>2.1896259219561731E-4</v>
      </c>
      <c r="D33" s="75">
        <f>D3*$K$2/BIFUbC!E2</f>
        <v>6.5389546486683311E-4</v>
      </c>
      <c r="E33" s="75">
        <f>E3*$K$2/BIFUbC!F2</f>
        <v>6.1021671828917793E-4</v>
      </c>
      <c r="F33" s="75">
        <f>F3*$K$2/BIFUbC!G2</f>
        <v>5.8178628554283822E-4</v>
      </c>
      <c r="G33" s="75">
        <f>G3*$K$2/BIFUbC!H2</f>
        <v>1.8201316852993409E-4</v>
      </c>
      <c r="H33" s="75">
        <f>H3*$K$2/BIFUbC!I2</f>
        <v>0</v>
      </c>
      <c r="I33" s="75">
        <f>I3*$K$2/BIFUbC!J2</f>
        <v>0</v>
      </c>
    </row>
    <row r="34" spans="1:9" x14ac:dyDescent="0.15">
      <c r="A34" s="26" t="s">
        <v>35</v>
      </c>
      <c r="B34" s="59">
        <f>B4*$K$2/BIFUbC!AQ3</f>
        <v>5.861923963580048E-3</v>
      </c>
      <c r="C34" s="75">
        <f>C4*$K$2/BIFUbC!D3</f>
        <v>2.1254362409941688E-4</v>
      </c>
      <c r="D34" s="75">
        <f>D4*$K$2/BIFUbC!E3</f>
        <v>6.1388810852781796E-4</v>
      </c>
      <c r="E34" s="75">
        <f>E4*$K$2/BIFUbC!F3</f>
        <v>5.7114749409609448E-4</v>
      </c>
      <c r="F34" s="75">
        <f>F4*$K$2/BIFUbC!G3</f>
        <v>5.4325021598194479E-4</v>
      </c>
      <c r="G34" s="75">
        <f>G4*$K$2/BIFUbC!H3</f>
        <v>1.6624505169014723E-4</v>
      </c>
      <c r="H34" s="75">
        <f>H4*$K$2/BIFUbC!I3</f>
        <v>0</v>
      </c>
      <c r="I34" s="75">
        <f>I4*$K$2/BIFUbC!J3</f>
        <v>0</v>
      </c>
    </row>
    <row r="35" spans="1:9" x14ac:dyDescent="0.15">
      <c r="A35" s="26" t="s">
        <v>67</v>
      </c>
      <c r="B35" s="59">
        <f>B5*$K$2/BIFUbC!AQ4</f>
        <v>3.8707396661547826E-3</v>
      </c>
      <c r="C35" s="75">
        <f>C5*$K$2/BIFUbC!D4</f>
        <v>2.1135456446410184E-4</v>
      </c>
      <c r="D35" s="75">
        <f>D5*$K$2/BIFUbC!E4</f>
        <v>1.3443149950060028E-3</v>
      </c>
      <c r="E35" s="75">
        <f>E5*$K$2/BIFUbC!F4</f>
        <v>1.2241913960071825E-3</v>
      </c>
      <c r="F35" s="75">
        <f>F5*$K$2/BIFUbC!G4</f>
        <v>1.1599366038300195E-3</v>
      </c>
      <c r="G35" s="75">
        <f>G5*$K$2/BIFUbC!H4</f>
        <v>1.5928890781697925E-4</v>
      </c>
      <c r="H35" s="75">
        <f>H5*$K$2/BIFUbC!I4</f>
        <v>0</v>
      </c>
      <c r="I35" s="75">
        <f>I5*$K$2/BIFUbC!J4</f>
        <v>0</v>
      </c>
    </row>
    <row r="36" spans="1:9" x14ac:dyDescent="0.15">
      <c r="A36" s="26" t="s">
        <v>100</v>
      </c>
      <c r="B36" s="59">
        <f>B6*$K$2/BIFUbC!AQ5</f>
        <v>6.0485430394680633E-3</v>
      </c>
      <c r="C36" s="75">
        <f>C6*$K$2/BIFUbC!D5</f>
        <v>2.1378738327516904E-4</v>
      </c>
      <c r="D36" s="75">
        <f>D6*$K$2/BIFUbC!E5</f>
        <v>6.2263870158708325E-4</v>
      </c>
      <c r="E36" s="75">
        <f>E6*$K$2/BIFUbC!F5</f>
        <v>5.7436289675465645E-4</v>
      </c>
      <c r="F36" s="75">
        <f>F6*$K$2/BIFUbC!G5</f>
        <v>5.4965565189155215E-4</v>
      </c>
      <c r="G36" s="75">
        <f>G6*$K$2/BIFUbC!H5</f>
        <v>1.6916098695951199E-4</v>
      </c>
      <c r="H36" s="75">
        <f>H6*$K$2/BIFUbC!I5</f>
        <v>0</v>
      </c>
      <c r="I36" s="75">
        <f>I6*$K$2/BIFUbC!J5</f>
        <v>0</v>
      </c>
    </row>
    <row r="37" spans="1:9" x14ac:dyDescent="0.15">
      <c r="A37" s="26" t="s">
        <v>101</v>
      </c>
      <c r="B37" s="59">
        <f>B7*$K$2/BIFUbC!AQ6</f>
        <v>4.0874677403214847E-3</v>
      </c>
      <c r="C37" s="75">
        <f>C7*$K$2/BIFUbC!D6</f>
        <v>1.9800743847610071E-4</v>
      </c>
      <c r="D37" s="75">
        <f>D7*$K$2/BIFUbC!E6</f>
        <v>7.8127253261785603E-4</v>
      </c>
      <c r="E37" s="75">
        <f>E7*$K$2/BIFUbC!F6</f>
        <v>7.5422929259442236E-4</v>
      </c>
      <c r="F37" s="75">
        <f>F7*$K$2/BIFUbC!G6</f>
        <v>7.3579143215722924E-4</v>
      </c>
      <c r="G37" s="75">
        <f>G7*$K$2/BIFUbC!H6</f>
        <v>1.7366228238819528E-4</v>
      </c>
      <c r="H37" s="75">
        <f>H7*$K$2/BIFUbC!I6</f>
        <v>0</v>
      </c>
      <c r="I37" s="75">
        <f>I7*$K$2/BIFUbC!J6</f>
        <v>0</v>
      </c>
    </row>
    <row r="38" spans="1:9" x14ac:dyDescent="0.15">
      <c r="A38" s="26" t="s">
        <v>72</v>
      </c>
      <c r="B38" s="59">
        <f>B8*$K$2/BIFUbC!AQ7</f>
        <v>2.4625484040241202E-2</v>
      </c>
      <c r="C38" s="75">
        <f>C8*$K$2/BIFUbC!D7</f>
        <v>1.7008689608122164E-3</v>
      </c>
      <c r="D38" s="75">
        <f>D8*$K$2/BIFUbC!E7</f>
        <v>2.3694357881921869E-3</v>
      </c>
      <c r="E38" s="75">
        <f>E8*$K$2/BIFUbC!F7</f>
        <v>2.3021733897018492E-3</v>
      </c>
      <c r="F38" s="75">
        <f>F8*$K$2/BIFUbC!G7</f>
        <v>2.2829607770738611E-3</v>
      </c>
      <c r="G38" s="75">
        <f>G8*$K$2/BIFUbC!H7</f>
        <v>1.6345923957671834E-3</v>
      </c>
      <c r="H38" s="75">
        <f>H8*$K$2/BIFUbC!I7</f>
        <v>0</v>
      </c>
      <c r="I38" s="75">
        <f>I8*$K$2/BIFUbC!J7</f>
        <v>0</v>
      </c>
    </row>
    <row r="39" spans="1:9" x14ac:dyDescent="0.15">
      <c r="A39" s="26" t="s">
        <v>38</v>
      </c>
      <c r="B39" s="59">
        <f>B9*$K$2/BIFUbC!AQ8</f>
        <v>5.1640793153618974E-3</v>
      </c>
      <c r="C39" s="75">
        <f>C9*$K$2/BIFUbC!D8</f>
        <v>1.9326221408642411E-4</v>
      </c>
      <c r="D39" s="75">
        <f>D9*$K$2/BIFUbC!E8</f>
        <v>6.0662592806255396E-4</v>
      </c>
      <c r="E39" s="75">
        <f>E9*$K$2/BIFUbC!F8</f>
        <v>5.8898043851284259E-4</v>
      </c>
      <c r="F39" s="75">
        <f>F9*$K$2/BIFUbC!G8</f>
        <v>5.8258846933837869E-4</v>
      </c>
      <c r="G39" s="75">
        <f>G9*$K$2/BIFUbC!H8</f>
        <v>1.8395963356484396E-4</v>
      </c>
      <c r="H39" s="75">
        <f>H9*$K$2/BIFUbC!I8</f>
        <v>0</v>
      </c>
      <c r="I39" s="75">
        <f>I9*$K$2/BIFUbC!J8</f>
        <v>0</v>
      </c>
    </row>
    <row r="40" spans="1:9" x14ac:dyDescent="0.15">
      <c r="A40" s="26" t="s">
        <v>68</v>
      </c>
      <c r="B40" s="59">
        <f>B10*$K$2/BIFUbC!AQ9</f>
        <v>4.2671523275282213E-3</v>
      </c>
      <c r="C40" s="75">
        <f>C10*$K$2/BIFUbC!D9</f>
        <v>2.0680131630947717E-4</v>
      </c>
      <c r="D40" s="75">
        <f>D10*$K$2/BIFUbC!E9</f>
        <v>6.0753226889994347E-4</v>
      </c>
      <c r="E40" s="75">
        <f>E10*$K$2/BIFUbC!F9</f>
        <v>5.6316459907612747E-4</v>
      </c>
      <c r="F40" s="75">
        <f>F10*$K$2/BIFUbC!G9</f>
        <v>5.3920325576325154E-4</v>
      </c>
      <c r="G40" s="75">
        <f>G10*$K$2/BIFUbC!H9</f>
        <v>1.6574633124760322E-4</v>
      </c>
      <c r="H40" s="75">
        <f>H10*$K$2/BIFUbC!I9</f>
        <v>0</v>
      </c>
      <c r="I40" s="75">
        <f>I10*$K$2/BIFUbC!J9</f>
        <v>0</v>
      </c>
    </row>
    <row r="41" spans="1:9" x14ac:dyDescent="0.15">
      <c r="A41" s="26" t="s">
        <v>40</v>
      </c>
      <c r="B41" s="59">
        <f>B11*$K$2/BIFUbC!AQ10</f>
        <v>7.0154437032124749E-3</v>
      </c>
      <c r="C41" s="75">
        <f>C11*$K$2/BIFUbC!D10</f>
        <v>2.1293689133661522E-4</v>
      </c>
      <c r="D41" s="75">
        <f>D11*$K$2/BIFUbC!E10</f>
        <v>6.2205375710141792E-4</v>
      </c>
      <c r="E41" s="75">
        <f>E11*$K$2/BIFUbC!F10</f>
        <v>5.8402587636458534E-4</v>
      </c>
      <c r="F41" s="75">
        <f>F11*$K$2/BIFUbC!G10</f>
        <v>5.5381392901322454E-4</v>
      </c>
      <c r="G41" s="75">
        <f>G11*$K$2/BIFUbC!H10</f>
        <v>1.6900346093847192E-4</v>
      </c>
      <c r="H41" s="75">
        <f>H11*$K$2/BIFUbC!I10</f>
        <v>0</v>
      </c>
      <c r="I41" s="75">
        <f>I11*$K$2/BIFUbC!J10</f>
        <v>0</v>
      </c>
    </row>
    <row r="42" spans="1:9" x14ac:dyDescent="0.15">
      <c r="A42" s="26" t="s">
        <v>41</v>
      </c>
      <c r="B42" s="59">
        <f>B12*$K$2/BIFUbC!AQ11</f>
        <v>7.4506614357558731E-3</v>
      </c>
      <c r="C42" s="75">
        <f>C12*$K$2/BIFUbC!D11</f>
        <v>2.0922346971502133E-4</v>
      </c>
      <c r="D42" s="75">
        <f>D12*$K$2/BIFUbC!E11</f>
        <v>1.2056830648481073E-3</v>
      </c>
      <c r="E42" s="75">
        <f>E12*$K$2/BIFUbC!F11</f>
        <v>1.09962290847955E-3</v>
      </c>
      <c r="F42" s="75">
        <f>F12*$K$2/BIFUbC!G11</f>
        <v>1.0343270591350829E-3</v>
      </c>
      <c r="G42" s="75">
        <f>G12*$K$2/BIFUbC!H11</f>
        <v>1.5417890489253285E-4</v>
      </c>
      <c r="H42" s="75">
        <f>H12*$K$2/BIFUbC!I11</f>
        <v>0</v>
      </c>
      <c r="I42" s="75">
        <f>I12*$K$2/BIFUbC!J11</f>
        <v>0</v>
      </c>
    </row>
    <row r="43" spans="1:9" x14ac:dyDescent="0.15">
      <c r="A43" s="26" t="s">
        <v>42</v>
      </c>
      <c r="B43" s="59">
        <f>B13*$K$2/BIFUbC!AQ12</f>
        <v>4.4420826897967024E-3</v>
      </c>
      <c r="C43" s="75">
        <f>C13*$K$2/BIFUbC!D12</f>
        <v>2.0163589534683381E-4</v>
      </c>
      <c r="D43" s="75">
        <f>D13*$K$2/BIFUbC!E12</f>
        <v>6.299320762347887E-4</v>
      </c>
      <c r="E43" s="75">
        <f>E13*$K$2/BIFUbC!F12</f>
        <v>6.0577253661276776E-4</v>
      </c>
      <c r="F43" s="75">
        <f>F13*$K$2/BIFUbC!G12</f>
        <v>5.8641748134567002E-4</v>
      </c>
      <c r="G43" s="75">
        <f>G13*$K$2/BIFUbC!H12</f>
        <v>1.8095676334676871E-4</v>
      </c>
      <c r="H43" s="75">
        <f>H13*$K$2/BIFUbC!I12</f>
        <v>0</v>
      </c>
      <c r="I43" s="75">
        <f>I13*$K$2/BIFUbC!J12</f>
        <v>0</v>
      </c>
    </row>
    <row r="44" spans="1:9" x14ac:dyDescent="0.15">
      <c r="A44" s="26" t="s">
        <v>43</v>
      </c>
      <c r="B44" s="59">
        <f>B14*$K$2/BIFUbC!AQ13</f>
        <v>1.8716211884470106E-3</v>
      </c>
      <c r="C44" s="75">
        <f>C14*$K$2/BIFUbC!D13</f>
        <v>1.9035372385117351E-4</v>
      </c>
      <c r="D44" s="75">
        <f>D14*$K$2/BIFUbC!E13</f>
        <v>5.6368755523834846E-4</v>
      </c>
      <c r="E44" s="75">
        <f>E14*$K$2/BIFUbC!F13</f>
        <v>5.375912269011176E-4</v>
      </c>
      <c r="F44" s="75">
        <f>F14*$K$2/BIFUbC!G13</f>
        <v>5.1009979048586283E-4</v>
      </c>
      <c r="G44" s="75">
        <f>G14*$K$2/BIFUbC!H13</f>
        <v>1.5373706092784226E-4</v>
      </c>
      <c r="H44" s="75">
        <f>H14*$K$2/BIFUbC!I13</f>
        <v>0</v>
      </c>
      <c r="I44" s="75">
        <f>I14*$K$2/BIFUbC!J13</f>
        <v>0</v>
      </c>
    </row>
    <row r="45" spans="1:9" x14ac:dyDescent="0.15">
      <c r="A45" s="26" t="s">
        <v>56</v>
      </c>
      <c r="B45" s="59">
        <f>B15*$K$2/BIFUbC!AQ14</f>
        <v>8.2387183970508912E-3</v>
      </c>
      <c r="C45" s="75">
        <f>C15*$K$2/BIFUbC!D14</f>
        <v>2.2077610740538572E-4</v>
      </c>
      <c r="D45" s="75">
        <f>D15*$K$2/BIFUbC!E14</f>
        <v>6.774355659826866E-4</v>
      </c>
      <c r="E45" s="75">
        <f>E15*$K$2/BIFUbC!F14</f>
        <v>6.529744036537702E-4</v>
      </c>
      <c r="F45" s="75">
        <f>F15*$K$2/BIFUbC!G14</f>
        <v>6.4501109892769939E-4</v>
      </c>
      <c r="G45" s="75">
        <f>G15*$K$2/BIFUbC!H14</f>
        <v>2.0452657190637083E-4</v>
      </c>
      <c r="H45" s="75">
        <f>H15*$K$2/BIFUbC!I14</f>
        <v>0</v>
      </c>
      <c r="I45" s="75">
        <f>I15*$K$2/BIFUbC!J14</f>
        <v>0</v>
      </c>
    </row>
    <row r="46" spans="1:9" x14ac:dyDescent="0.15">
      <c r="A46" s="26" t="s">
        <v>45</v>
      </c>
      <c r="B46" s="59">
        <f>B16*$K$2/BIFUbC!AQ15</f>
        <v>1.4678166232716734E-2</v>
      </c>
      <c r="C46" s="75">
        <f>C16*$K$2/BIFUbC!D15</f>
        <v>9.9990722639533647E-4</v>
      </c>
      <c r="D46" s="75">
        <f>D16*$K$2/BIFUbC!E15</f>
        <v>1.5815190017801452E-3</v>
      </c>
      <c r="E46" s="75">
        <f>E16*$K$2/BIFUbC!F15</f>
        <v>1.4707861980782159E-3</v>
      </c>
      <c r="F46" s="75">
        <f>F16*$K$2/BIFUbC!G15</f>
        <v>1.4095890369658138E-3</v>
      </c>
      <c r="G46" s="75">
        <f>G16*$K$2/BIFUbC!H15</f>
        <v>8.1211553257388546E-4</v>
      </c>
      <c r="H46" s="75">
        <f>H16*$K$2/BIFUbC!I15</f>
        <v>0</v>
      </c>
      <c r="I46" s="75">
        <f>I16*$K$2/BIFUbC!J15</f>
        <v>0</v>
      </c>
    </row>
    <row r="47" spans="1:9" x14ac:dyDescent="0.15">
      <c r="A47" s="26" t="s">
        <v>46</v>
      </c>
      <c r="B47" s="59">
        <f>B17*$K$2/BIFUbC!AQ16</f>
        <v>4.3157029305956321E-3</v>
      </c>
      <c r="C47" s="75">
        <f>C17*$K$2/BIFUbC!D16</f>
        <v>2.0945576367882021E-4</v>
      </c>
      <c r="D47" s="75">
        <f>D17*$K$2/BIFUbC!E16</f>
        <v>7.8810941145933573E-4</v>
      </c>
      <c r="E47" s="75">
        <f>E17*$K$2/BIFUbC!F16</f>
        <v>7.1051576874008753E-4</v>
      </c>
      <c r="F47" s="75">
        <f>F17*$K$2/BIFUbC!G16</f>
        <v>6.6463228664813336E-4</v>
      </c>
      <c r="G47" s="75">
        <f>G17*$K$2/BIFUbC!H16</f>
        <v>1.5227660131643647E-4</v>
      </c>
      <c r="H47" s="75">
        <f>H17*$K$2/BIFUbC!I16</f>
        <v>0</v>
      </c>
      <c r="I47" s="75">
        <f>I17*$K$2/BIFUbC!J16</f>
        <v>0</v>
      </c>
    </row>
    <row r="48" spans="1:9" x14ac:dyDescent="0.15">
      <c r="A48" s="26" t="s">
        <v>47</v>
      </c>
      <c r="B48" s="59">
        <f>B18*$K$2/BIFUbC!AQ17</f>
        <v>3.2000534130438817E-3</v>
      </c>
      <c r="C48" s="75">
        <f>C18*$K$2/BIFUbC!D17</f>
        <v>1.8477502669264964E-4</v>
      </c>
      <c r="D48" s="75">
        <f>D18*$K$2/BIFUbC!E17</f>
        <v>5.6914294716954225E-4</v>
      </c>
      <c r="E48" s="75">
        <f>E18*$K$2/BIFUbC!F17</f>
        <v>5.4787026638413881E-4</v>
      </c>
      <c r="F48" s="75">
        <f>F18*$K$2/BIFUbC!G17</f>
        <v>5.3164095189706334E-4</v>
      </c>
      <c r="G48" s="75">
        <f>G18*$K$2/BIFUbC!H17</f>
        <v>1.6450286555524322E-4</v>
      </c>
      <c r="H48" s="75">
        <f>H18*$K$2/BIFUbC!I17</f>
        <v>0</v>
      </c>
      <c r="I48" s="75">
        <f>I18*$K$2/BIFUbC!J17</f>
        <v>0</v>
      </c>
    </row>
    <row r="49" spans="1:9" x14ac:dyDescent="0.15">
      <c r="A49" s="26" t="s">
        <v>48</v>
      </c>
      <c r="B49" s="59">
        <f>B19*$K$2/BIFUbC!AQ18</f>
        <v>1.4302633371795154E-3</v>
      </c>
      <c r="C49" s="75">
        <f>C19*$K$2/BIFUbC!D18</f>
        <v>1.8549908480803917E-4</v>
      </c>
      <c r="D49" s="75">
        <f>D19*$K$2/BIFUbC!E18</f>
        <v>5.2948277797423566E-4</v>
      </c>
      <c r="E49" s="75">
        <f>E19*$K$2/BIFUbC!F18</f>
        <v>5.027218591269931E-4</v>
      </c>
      <c r="F49" s="75">
        <f>F19*$K$2/BIFUbC!G18</f>
        <v>4.7265596485790678E-4</v>
      </c>
      <c r="G49" s="75">
        <f>G19*$K$2/BIFUbC!H18</f>
        <v>1.4124251203168249E-4</v>
      </c>
      <c r="H49" s="75">
        <f>H19*$K$2/BIFUbC!I18</f>
        <v>0</v>
      </c>
      <c r="I49" s="75">
        <f>I19*$K$2/BIFUbC!J18</f>
        <v>0</v>
      </c>
    </row>
    <row r="50" spans="1:9" x14ac:dyDescent="0.15">
      <c r="A50" s="26" t="s">
        <v>49</v>
      </c>
      <c r="B50" s="59">
        <f>B20*$K$2/BIFUbC!AQ19</f>
        <v>1.3363415229040772E-3</v>
      </c>
      <c r="C50" s="75">
        <f>C20*$K$2/BIFUbC!D19</f>
        <v>1.835094443180424E-4</v>
      </c>
      <c r="D50" s="75">
        <f>D20*$K$2/BIFUbC!E19</f>
        <v>5.0311325198761905E-4</v>
      </c>
      <c r="E50" s="75">
        <f>E20*$K$2/BIFUbC!F19</f>
        <v>4.7559546588808092E-4</v>
      </c>
      <c r="F50" s="75">
        <f>F20*$K$2/BIFUbC!G19</f>
        <v>4.4213232045905402E-4</v>
      </c>
      <c r="G50" s="75">
        <f>G20*$K$2/BIFUbC!H19</f>
        <v>1.3010085634222287E-4</v>
      </c>
      <c r="H50" s="75">
        <f>H20*$K$2/BIFUbC!I19</f>
        <v>0</v>
      </c>
      <c r="I50" s="75">
        <f>I20*$K$2/BIFUbC!J19</f>
        <v>0</v>
      </c>
    </row>
    <row r="51" spans="1:9" x14ac:dyDescent="0.15">
      <c r="A51" s="26" t="s">
        <v>50</v>
      </c>
      <c r="B51" s="59">
        <f>B21*$K$2/BIFUbC!AQ20</f>
        <v>2.8381133798230031E-3</v>
      </c>
      <c r="C51" s="75">
        <f>C21*$K$2/BIFUbC!D20</f>
        <v>1.9726411962974226E-4</v>
      </c>
      <c r="D51" s="75">
        <f>D21*$K$2/BIFUbC!E20</f>
        <v>5.5681908620688469E-4</v>
      </c>
      <c r="E51" s="75">
        <f>E21*$K$2/BIFUbC!F20</f>
        <v>5.3641072569168477E-4</v>
      </c>
      <c r="F51" s="75">
        <f>F21*$K$2/BIFUbC!G20</f>
        <v>5.2087909505862853E-4</v>
      </c>
      <c r="G51" s="75">
        <f>G21*$K$2/BIFUbC!H20</f>
        <v>1.6090272534811923E-4</v>
      </c>
      <c r="H51" s="75">
        <f>H21*$K$2/BIFUbC!I20</f>
        <v>0</v>
      </c>
      <c r="I51" s="75">
        <f>I21*$K$2/BIFUbC!J20</f>
        <v>0</v>
      </c>
    </row>
    <row r="52" spans="1:9" x14ac:dyDescent="0.15">
      <c r="A52" s="26" t="s">
        <v>81</v>
      </c>
      <c r="B52" s="59">
        <f>B22*$K$2/BIFUbC!AQ21</f>
        <v>3.3612080807630326E-3</v>
      </c>
      <c r="C52" s="75">
        <f>C22*$K$2/BIFUbC!D21</f>
        <v>2.0961487182307272E-4</v>
      </c>
      <c r="D52" s="75">
        <f>D22*$K$2/BIFUbC!E21</f>
        <v>5.9321433837252943E-4</v>
      </c>
      <c r="E52" s="75">
        <f>E22*$K$2/BIFUbC!F21</f>
        <v>5.3556196303947135E-4</v>
      </c>
      <c r="F52" s="75">
        <f>F22*$K$2/BIFUbC!G21</f>
        <v>5.0405273007158799E-4</v>
      </c>
      <c r="G52" s="75">
        <f>G22*$K$2/BIFUbC!H21</f>
        <v>1.5281741055278109E-4</v>
      </c>
      <c r="H52" s="75">
        <f>H22*$K$2/BIFUbC!I21</f>
        <v>0</v>
      </c>
      <c r="I52" s="75">
        <f>I22*$K$2/BIFUbC!J21</f>
        <v>0</v>
      </c>
    </row>
    <row r="53" spans="1:9" x14ac:dyDescent="0.15">
      <c r="A53" s="26" t="s">
        <v>71</v>
      </c>
      <c r="B53" s="59">
        <f>B23*$K$2/BIFUbC!AQ22</f>
        <v>0.10646476327981956</v>
      </c>
      <c r="C53" s="75">
        <f>C23*$K$2/BIFUbC!D22</f>
        <v>1.8005622736320202E-2</v>
      </c>
      <c r="D53" s="75">
        <f>D23*$K$2/BIFUbC!E22</f>
        <v>1.7715299806771501E-2</v>
      </c>
      <c r="E53" s="75">
        <f>E23*$K$2/BIFUbC!F22</f>
        <v>1.7130729369675905E-2</v>
      </c>
      <c r="F53" s="75">
        <f>F23*$K$2/BIFUbC!G22</f>
        <v>1.680198899519016E-2</v>
      </c>
      <c r="G53" s="75">
        <f>G23*$K$2/BIFUbC!H22</f>
        <v>1.6031129296364528E-2</v>
      </c>
      <c r="H53" s="75">
        <f>H23*$K$2/BIFUbC!I22</f>
        <v>0</v>
      </c>
      <c r="I53" s="75">
        <f>I23*$K$2/BIFUbC!J22</f>
        <v>0</v>
      </c>
    </row>
    <row r="54" spans="1:9" x14ac:dyDescent="0.15">
      <c r="A54" s="26" t="s">
        <v>53</v>
      </c>
      <c r="B54" s="59">
        <f>B24*$K$2/BIFUbC!AQ23</f>
        <v>3.1786368598369233E-3</v>
      </c>
      <c r="C54" s="75">
        <f>C24*$K$2/BIFUbC!D23</f>
        <v>1.9069281217300925E-4</v>
      </c>
      <c r="D54" s="75">
        <f>D24*$K$2/BIFUbC!E23</f>
        <v>5.9212657185288167E-4</v>
      </c>
      <c r="E54" s="75">
        <f>E24*$K$2/BIFUbC!F23</f>
        <v>5.6955884488510931E-4</v>
      </c>
      <c r="F54" s="75">
        <f>F24*$K$2/BIFUbC!G23</f>
        <v>5.5159280187226808E-4</v>
      </c>
      <c r="G54" s="75">
        <f>G24*$K$2/BIFUbC!H23</f>
        <v>1.7028001474886497E-4</v>
      </c>
      <c r="H54" s="75">
        <f>H24*$K$2/BIFUbC!I23</f>
        <v>0</v>
      </c>
      <c r="I54" s="75">
        <f>I24*$K$2/BIFUbC!J23</f>
        <v>0</v>
      </c>
    </row>
    <row r="55" spans="1:9" x14ac:dyDescent="0.15">
      <c r="A55" s="26" t="s">
        <v>76</v>
      </c>
      <c r="B55" s="59">
        <f>B25*$K$2/BIFUbC!AQ24</f>
        <v>7.0928942976597421E-4</v>
      </c>
      <c r="C55" s="75">
        <f>C25*$K$2/BIFUbC!D24</f>
        <v>1.8141401824063014E-4</v>
      </c>
      <c r="D55" s="75">
        <f>D25*$K$2/BIFUbC!E24</f>
        <v>5.363122648526506E-4</v>
      </c>
      <c r="E55" s="75">
        <f>E25*$K$2/BIFUbC!F24</f>
        <v>5.107734820848002E-4</v>
      </c>
      <c r="F55" s="75">
        <f>F25*$K$2/BIFUbC!G24</f>
        <v>4.5961412874463768E-4</v>
      </c>
      <c r="G55" s="75">
        <f>G25*$K$2/BIFUbC!H24</f>
        <v>1.2705493101252443E-4</v>
      </c>
      <c r="H55" s="75">
        <f>H25*$K$2/BIFUbC!I24</f>
        <v>0</v>
      </c>
      <c r="I55" s="75">
        <f>I25*$K$2/BIFUbC!J24</f>
        <v>0</v>
      </c>
    </row>
    <row r="56" spans="1:9" x14ac:dyDescent="0.15">
      <c r="A56" s="26" t="s">
        <v>83</v>
      </c>
      <c r="B56" s="59">
        <f>B26*$K$2/BIFUbC!AQ25</f>
        <v>8.3481393279433039E-4</v>
      </c>
      <c r="C56" s="75">
        <f>C26*$K$2/BIFUbC!D25</f>
        <v>1.8048981401605098E-4</v>
      </c>
      <c r="D56" s="75">
        <f>D26*$K$2/BIFUbC!E25</f>
        <v>4.9239718471162262E-4</v>
      </c>
      <c r="E56" s="75">
        <f>E26*$K$2/BIFUbC!F25</f>
        <v>4.6429763706224694E-4</v>
      </c>
      <c r="F56" s="75">
        <f>F26*$K$2/BIFUbC!G25</f>
        <v>4.287563246246204E-4</v>
      </c>
      <c r="G56" s="75">
        <f>G26*$K$2/BIFUbC!H25</f>
        <v>1.2496940514483527E-4</v>
      </c>
      <c r="H56" s="75">
        <f>H26*$K$2/BIFUbC!I25</f>
        <v>0</v>
      </c>
      <c r="I56" s="75">
        <f>I26*$K$2/BIFUbC!J25</f>
        <v>0</v>
      </c>
    </row>
    <row r="57" spans="1:9" x14ac:dyDescent="0.15">
      <c r="A57" s="26" t="s">
        <v>55</v>
      </c>
      <c r="B57" s="59">
        <f>B27*$K$2/BIFUbC!AQ26</f>
        <v>2.5930757606136092E-3</v>
      </c>
      <c r="C57" s="75">
        <f>C27*$K$2/BIFUbC!D26</f>
        <v>2.1096501660055014E-4</v>
      </c>
      <c r="D57" s="75">
        <f>D27*$K$2/BIFUbC!E26</f>
        <v>6.4595209981816782E-4</v>
      </c>
      <c r="E57" s="75">
        <f>E27*$K$2/BIFUbC!F26</f>
        <v>6.0692397333254996E-4</v>
      </c>
      <c r="F57" s="75">
        <f>F27*$K$2/BIFUbC!G26</f>
        <v>5.7770249397896877E-4</v>
      </c>
      <c r="G57" s="75">
        <f>G27*$K$2/BIFUbC!H26</f>
        <v>1.7813606031617289E-4</v>
      </c>
      <c r="H57" s="75">
        <f>H27*$K$2/BIFUbC!I26</f>
        <v>0</v>
      </c>
      <c r="I57" s="75">
        <f>I27*$K$2/BIFUbC!J26</f>
        <v>0</v>
      </c>
    </row>
    <row r="58" spans="1:9" x14ac:dyDescent="0.15">
      <c r="A58" s="62" t="s">
        <v>445</v>
      </c>
      <c r="B58" s="65">
        <f>B28*$K$2/SUM(BIFUbC!AQ2:AQ26)</f>
        <v>7.0429612830866899E-3</v>
      </c>
      <c r="C58" s="84">
        <f>C28*$K$2/SUM(BIFUbC!D2:D26)</f>
        <v>4.1539411096026683E-4</v>
      </c>
      <c r="D58" s="84">
        <f>D28*$K$2/SUM(BIFUbC!E2:E26)</f>
        <v>9.4298174425841788E-4</v>
      </c>
      <c r="E58" s="84">
        <f>E28*$K$2/SUM(BIFUbC!F2:F26)</f>
        <v>8.8189109156904238E-4</v>
      </c>
      <c r="F58" s="84">
        <f>F28*$K$2/SUM(BIFUbC!G2:G26)</f>
        <v>8.3984330554711533E-4</v>
      </c>
      <c r="G58" s="84">
        <f>G28*$K$2/SUM(BIFUbC!H2:H26)</f>
        <v>3.3229408164022904E-4</v>
      </c>
      <c r="H58" s="84">
        <f>H28*$K$2/SUM(BIFUbC!I2:I26)</f>
        <v>0</v>
      </c>
      <c r="I58" s="84">
        <f>I28*$K$2/SUM(BIFUbC!J2:J26)</f>
        <v>0</v>
      </c>
    </row>
    <row r="61" spans="1:9" x14ac:dyDescent="0.15">
      <c r="A61" s="51" t="s">
        <v>103</v>
      </c>
      <c r="B61" s="51" t="s">
        <v>439</v>
      </c>
      <c r="C61" s="51"/>
      <c r="D61" s="51"/>
      <c r="E61" s="51"/>
      <c r="F61" s="51"/>
      <c r="G61" s="51"/>
      <c r="H61" s="51"/>
      <c r="I61" s="51"/>
    </row>
    <row r="62" spans="1:9" x14ac:dyDescent="0.15">
      <c r="A62" s="26" t="s">
        <v>384</v>
      </c>
      <c r="B62" s="46">
        <v>2060</v>
      </c>
      <c r="C62" s="20">
        <v>2021</v>
      </c>
      <c r="D62" s="20">
        <v>2022</v>
      </c>
      <c r="E62" s="20">
        <v>2023</v>
      </c>
      <c r="F62" s="20">
        <v>2024</v>
      </c>
      <c r="G62" s="20">
        <v>2025</v>
      </c>
      <c r="H62" s="20">
        <v>2026</v>
      </c>
      <c r="I62" s="20">
        <v>2027</v>
      </c>
    </row>
    <row r="63" spans="1:9" x14ac:dyDescent="0.15">
      <c r="A63" s="26" t="s">
        <v>99</v>
      </c>
      <c r="B63" s="58">
        <v>1</v>
      </c>
      <c r="C63" s="76">
        <f>C33/$B33</f>
        <v>7.5764387236960537E-2</v>
      </c>
      <c r="D63" s="76">
        <f t="shared" ref="D63:I63" si="2">D33/$B33</f>
        <v>0.22625777634383834</v>
      </c>
      <c r="E63" s="76">
        <f t="shared" si="2"/>
        <v>0.21114426569094075</v>
      </c>
      <c r="F63" s="76">
        <f t="shared" si="2"/>
        <v>0.20130690354469941</v>
      </c>
      <c r="G63" s="76">
        <f t="shared" si="2"/>
        <v>6.2979324662032848E-2</v>
      </c>
      <c r="H63" s="76">
        <f t="shared" si="2"/>
        <v>0</v>
      </c>
      <c r="I63" s="76">
        <f t="shared" si="2"/>
        <v>0</v>
      </c>
    </row>
    <row r="64" spans="1:9" x14ac:dyDescent="0.15">
      <c r="A64" s="26" t="s">
        <v>35</v>
      </c>
      <c r="B64" s="58">
        <v>1</v>
      </c>
      <c r="C64" s="76">
        <f t="shared" ref="C64:I64" si="3">C34/$B34</f>
        <v>3.6258338630788089E-2</v>
      </c>
      <c r="D64" s="76">
        <f t="shared" si="3"/>
        <v>0.10472467953216141</v>
      </c>
      <c r="E64" s="76">
        <f t="shared" si="3"/>
        <v>9.7433453187829824E-2</v>
      </c>
      <c r="F64" s="76">
        <f t="shared" si="3"/>
        <v>9.2674388026378632E-2</v>
      </c>
      <c r="G64" s="76">
        <f t="shared" si="3"/>
        <v>2.836015150026213E-2</v>
      </c>
      <c r="H64" s="76">
        <f t="shared" si="3"/>
        <v>0</v>
      </c>
      <c r="I64" s="76">
        <f t="shared" si="3"/>
        <v>0</v>
      </c>
    </row>
    <row r="65" spans="1:9" x14ac:dyDescent="0.15">
      <c r="A65" s="26" t="s">
        <v>67</v>
      </c>
      <c r="B65" s="58">
        <v>1</v>
      </c>
      <c r="C65" s="76">
        <f t="shared" ref="C65:I65" si="4">C35/$B35</f>
        <v>5.4603146347494559E-2</v>
      </c>
      <c r="D65" s="76">
        <f t="shared" si="4"/>
        <v>0.34730183658707636</v>
      </c>
      <c r="E65" s="76">
        <f t="shared" si="4"/>
        <v>0.3162680783498163</v>
      </c>
      <c r="F65" s="76">
        <f t="shared" si="4"/>
        <v>0.29966794563125654</v>
      </c>
      <c r="G65" s="76">
        <f t="shared" si="4"/>
        <v>4.1152059181292826E-2</v>
      </c>
      <c r="H65" s="76">
        <f t="shared" si="4"/>
        <v>0</v>
      </c>
      <c r="I65" s="76">
        <f t="shared" si="4"/>
        <v>0</v>
      </c>
    </row>
    <row r="66" spans="1:9" x14ac:dyDescent="0.15">
      <c r="A66" s="26" t="s">
        <v>100</v>
      </c>
      <c r="B66" s="58">
        <v>1</v>
      </c>
      <c r="C66" s="76">
        <f t="shared" ref="C66:I66" si="5">C36/$B36</f>
        <v>3.5345269411188728E-2</v>
      </c>
      <c r="D66" s="76">
        <f t="shared" si="5"/>
        <v>0.10294027793540193</v>
      </c>
      <c r="E66" s="76">
        <f t="shared" si="5"/>
        <v>9.4958883983599557E-2</v>
      </c>
      <c r="F66" s="76">
        <f t="shared" si="5"/>
        <v>9.0874058150025402E-2</v>
      </c>
      <c r="G66" s="76">
        <f t="shared" si="5"/>
        <v>2.7967228778186685E-2</v>
      </c>
      <c r="H66" s="76">
        <f t="shared" si="5"/>
        <v>0</v>
      </c>
      <c r="I66" s="76">
        <f t="shared" si="5"/>
        <v>0</v>
      </c>
    </row>
    <row r="67" spans="1:9" x14ac:dyDescent="0.15">
      <c r="A67" s="26" t="s">
        <v>101</v>
      </c>
      <c r="B67" s="58">
        <v>1</v>
      </c>
      <c r="C67" s="76">
        <f t="shared" ref="C67:I67" si="6">C37/$B37</f>
        <v>4.844256910527376E-2</v>
      </c>
      <c r="D67" s="76">
        <f t="shared" si="6"/>
        <v>0.19113851955597524</v>
      </c>
      <c r="E67" s="76">
        <f t="shared" si="6"/>
        <v>0.18452238415344685</v>
      </c>
      <c r="F67" s="76">
        <f t="shared" si="6"/>
        <v>0.1800115570084862</v>
      </c>
      <c r="G67" s="76">
        <f t="shared" si="6"/>
        <v>4.2486520609098806E-2</v>
      </c>
      <c r="H67" s="76">
        <f t="shared" si="6"/>
        <v>0</v>
      </c>
      <c r="I67" s="76">
        <f t="shared" si="6"/>
        <v>0</v>
      </c>
    </row>
    <row r="68" spans="1:9" x14ac:dyDescent="0.15">
      <c r="A68" s="26" t="s">
        <v>72</v>
      </c>
      <c r="B68" s="58">
        <v>1</v>
      </c>
      <c r="C68" s="76">
        <f t="shared" ref="C68:I68" si="7">C38/$B38</f>
        <v>6.9069463082747043E-2</v>
      </c>
      <c r="D68" s="76">
        <f t="shared" si="7"/>
        <v>9.6218851346037484E-2</v>
      </c>
      <c r="E68" s="76">
        <f t="shared" si="7"/>
        <v>9.3487437076964747E-2</v>
      </c>
      <c r="F68" s="76">
        <f t="shared" si="7"/>
        <v>9.2707244793369753E-2</v>
      </c>
      <c r="G68" s="76">
        <f t="shared" si="7"/>
        <v>6.6378081872260852E-2</v>
      </c>
      <c r="H68" s="76">
        <f t="shared" si="7"/>
        <v>0</v>
      </c>
      <c r="I68" s="76">
        <f t="shared" si="7"/>
        <v>0</v>
      </c>
    </row>
    <row r="69" spans="1:9" x14ac:dyDescent="0.15">
      <c r="A69" s="26" t="s">
        <v>38</v>
      </c>
      <c r="B69" s="58">
        <v>1</v>
      </c>
      <c r="C69" s="76">
        <f t="shared" ref="C69:I69" si="8">C39/$B39</f>
        <v>3.7424331092575473E-2</v>
      </c>
      <c r="D69" s="76">
        <f t="shared" si="8"/>
        <v>0.11747029644916322</v>
      </c>
      <c r="E69" s="76">
        <f t="shared" si="8"/>
        <v>0.1140533292664129</v>
      </c>
      <c r="F69" s="76">
        <f t="shared" si="8"/>
        <v>0.11281555409215302</v>
      </c>
      <c r="G69" s="76">
        <f t="shared" si="8"/>
        <v>3.5622929535107678E-2</v>
      </c>
      <c r="H69" s="76">
        <f t="shared" si="8"/>
        <v>0</v>
      </c>
      <c r="I69" s="76">
        <f t="shared" si="8"/>
        <v>0</v>
      </c>
    </row>
    <row r="70" spans="1:9" x14ac:dyDescent="0.15">
      <c r="A70" s="26" t="s">
        <v>68</v>
      </c>
      <c r="B70" s="58">
        <v>1</v>
      </c>
      <c r="C70" s="76">
        <f t="shared" ref="C70:I70" si="9">C40/$B40</f>
        <v>4.846354206184815E-2</v>
      </c>
      <c r="D70" s="76">
        <f t="shared" si="9"/>
        <v>0.14237416953236842</v>
      </c>
      <c r="E70" s="76">
        <f t="shared" si="9"/>
        <v>0.13197668042995422</v>
      </c>
      <c r="F70" s="76">
        <f t="shared" si="9"/>
        <v>0.12636137976250519</v>
      </c>
      <c r="G70" s="76">
        <f t="shared" si="9"/>
        <v>3.8842375084278506E-2</v>
      </c>
      <c r="H70" s="76">
        <f t="shared" si="9"/>
        <v>0</v>
      </c>
      <c r="I70" s="76">
        <f t="shared" si="9"/>
        <v>0</v>
      </c>
    </row>
    <row r="71" spans="1:9" x14ac:dyDescent="0.15">
      <c r="A71" s="26" t="s">
        <v>40</v>
      </c>
      <c r="B71" s="58">
        <v>1</v>
      </c>
      <c r="C71" s="76">
        <f t="shared" ref="C71:I71" si="10">C41/$B41</f>
        <v>3.0352590704862799E-2</v>
      </c>
      <c r="D71" s="76">
        <f t="shared" si="10"/>
        <v>8.866919662067424E-2</v>
      </c>
      <c r="E71" s="76">
        <f t="shared" si="10"/>
        <v>8.3248601381713222E-2</v>
      </c>
      <c r="F71" s="76">
        <f t="shared" si="10"/>
        <v>7.8942110070618202E-2</v>
      </c>
      <c r="G71" s="76">
        <f t="shared" si="10"/>
        <v>2.4090202713918544E-2</v>
      </c>
      <c r="H71" s="76">
        <f t="shared" si="10"/>
        <v>0</v>
      </c>
      <c r="I71" s="76">
        <f t="shared" si="10"/>
        <v>0</v>
      </c>
    </row>
    <row r="72" spans="1:9" x14ac:dyDescent="0.15">
      <c r="A72" s="26" t="s">
        <v>41</v>
      </c>
      <c r="B72" s="58">
        <v>1</v>
      </c>
      <c r="C72" s="76">
        <f t="shared" ref="C72:I72" si="11">C42/$B42</f>
        <v>2.8081194068348577E-2</v>
      </c>
      <c r="D72" s="76">
        <f t="shared" si="11"/>
        <v>0.16182228587948047</v>
      </c>
      <c r="E72" s="76">
        <f t="shared" si="11"/>
        <v>0.14758728711016686</v>
      </c>
      <c r="F72" s="76">
        <f t="shared" si="11"/>
        <v>0.13882352165021575</v>
      </c>
      <c r="G72" s="76">
        <f t="shared" si="11"/>
        <v>2.0693317797615282E-2</v>
      </c>
      <c r="H72" s="76">
        <f t="shared" si="11"/>
        <v>0</v>
      </c>
      <c r="I72" s="76">
        <f t="shared" si="11"/>
        <v>0</v>
      </c>
    </row>
    <row r="73" spans="1:9" x14ac:dyDescent="0.15">
      <c r="A73" s="26" t="s">
        <v>42</v>
      </c>
      <c r="B73" s="58">
        <v>1</v>
      </c>
      <c r="C73" s="76">
        <f t="shared" ref="C73:I73" si="12">C43/$B43</f>
        <v>4.5392197630625811E-2</v>
      </c>
      <c r="D73" s="76">
        <f t="shared" si="12"/>
        <v>0.14181007428828804</v>
      </c>
      <c r="E73" s="76">
        <f t="shared" si="12"/>
        <v>0.13637128773046134</v>
      </c>
      <c r="F73" s="76">
        <f t="shared" si="12"/>
        <v>0.13201408490045649</v>
      </c>
      <c r="G73" s="76">
        <f t="shared" si="12"/>
        <v>4.0736919139848435E-2</v>
      </c>
      <c r="H73" s="76">
        <f t="shared" si="12"/>
        <v>0</v>
      </c>
      <c r="I73" s="76">
        <f t="shared" si="12"/>
        <v>0</v>
      </c>
    </row>
    <row r="74" spans="1:9" x14ac:dyDescent="0.15">
      <c r="A74" s="26" t="s">
        <v>43</v>
      </c>
      <c r="B74" s="58">
        <v>1</v>
      </c>
      <c r="C74" s="76">
        <f t="shared" ref="C74:I74" si="13">C44/$B44</f>
        <v>0.10170526227538636</v>
      </c>
      <c r="D74" s="76">
        <f t="shared" si="13"/>
        <v>0.3011760919986548</v>
      </c>
      <c r="E74" s="76">
        <f t="shared" si="13"/>
        <v>0.2872329241726459</v>
      </c>
      <c r="F74" s="76">
        <f t="shared" si="13"/>
        <v>0.27254435546817107</v>
      </c>
      <c r="G74" s="76">
        <f t="shared" si="13"/>
        <v>8.2141120156588185E-2</v>
      </c>
      <c r="H74" s="76">
        <f t="shared" si="13"/>
        <v>0</v>
      </c>
      <c r="I74" s="76">
        <f t="shared" si="13"/>
        <v>0</v>
      </c>
    </row>
    <row r="75" spans="1:9" x14ac:dyDescent="0.15">
      <c r="A75" s="26" t="s">
        <v>56</v>
      </c>
      <c r="B75" s="58">
        <v>1</v>
      </c>
      <c r="C75" s="76">
        <f t="shared" ref="C75:I75" si="14">C45/$B45</f>
        <v>2.679738483165223E-2</v>
      </c>
      <c r="D75" s="76">
        <f t="shared" si="14"/>
        <v>8.222584306622005E-2</v>
      </c>
      <c r="E75" s="76">
        <f t="shared" si="14"/>
        <v>7.9256793615801596E-2</v>
      </c>
      <c r="F75" s="76">
        <f t="shared" si="14"/>
        <v>7.829022280438494E-2</v>
      </c>
      <c r="G75" s="76">
        <f t="shared" si="14"/>
        <v>2.4825047058239371E-2</v>
      </c>
      <c r="H75" s="76">
        <f t="shared" si="14"/>
        <v>0</v>
      </c>
      <c r="I75" s="76">
        <f t="shared" si="14"/>
        <v>0</v>
      </c>
    </row>
    <row r="76" spans="1:9" x14ac:dyDescent="0.15">
      <c r="A76" s="26" t="s">
        <v>45</v>
      </c>
      <c r="B76" s="58">
        <v>1</v>
      </c>
      <c r="C76" s="76">
        <f t="shared" ref="C76:I76" si="15">C46/$B46</f>
        <v>6.8122080820055331E-2</v>
      </c>
      <c r="D76" s="76">
        <f t="shared" si="15"/>
        <v>0.10774636127604524</v>
      </c>
      <c r="E76" s="76">
        <f t="shared" si="15"/>
        <v>0.10020231238422164</v>
      </c>
      <c r="F76" s="76">
        <f t="shared" si="15"/>
        <v>9.6033047631244706E-2</v>
      </c>
      <c r="G76" s="76">
        <f t="shared" si="15"/>
        <v>5.5328132935552235E-2</v>
      </c>
      <c r="H76" s="76">
        <f t="shared" si="15"/>
        <v>0</v>
      </c>
      <c r="I76" s="76">
        <f t="shared" si="15"/>
        <v>0</v>
      </c>
    </row>
    <row r="77" spans="1:9" x14ac:dyDescent="0.15">
      <c r="A77" s="26" t="s">
        <v>46</v>
      </c>
      <c r="B77" s="58">
        <v>1</v>
      </c>
      <c r="C77" s="76">
        <f t="shared" ref="C77:I77" si="16">C47/$B47</f>
        <v>4.8533406271759338E-2</v>
      </c>
      <c r="D77" s="76">
        <f t="shared" si="16"/>
        <v>0.18261437919466916</v>
      </c>
      <c r="E77" s="76">
        <f t="shared" si="16"/>
        <v>0.16463500388383442</v>
      </c>
      <c r="F77" s="76">
        <f t="shared" si="16"/>
        <v>0.15400325215535723</v>
      </c>
      <c r="G77" s="76">
        <f t="shared" si="16"/>
        <v>3.5284310288572159E-2</v>
      </c>
      <c r="H77" s="76">
        <f t="shared" si="16"/>
        <v>0</v>
      </c>
      <c r="I77" s="76">
        <f t="shared" si="16"/>
        <v>0</v>
      </c>
    </row>
    <row r="78" spans="1:9" x14ac:dyDescent="0.15">
      <c r="A78" s="26" t="s">
        <v>47</v>
      </c>
      <c r="B78" s="58">
        <v>1</v>
      </c>
      <c r="C78" s="76">
        <f t="shared" ref="C78:I78" si="17">C48/$B48</f>
        <v>5.7741232049277627E-2</v>
      </c>
      <c r="D78" s="76">
        <f t="shared" si="17"/>
        <v>0.17785420232350907</v>
      </c>
      <c r="E78" s="76">
        <f t="shared" si="17"/>
        <v>0.17120660053702233</v>
      </c>
      <c r="F78" s="76">
        <f t="shared" si="17"/>
        <v>0.16613502441241065</v>
      </c>
      <c r="G78" s="76">
        <f t="shared" si="17"/>
        <v>5.1406287434048972E-2</v>
      </c>
      <c r="H78" s="76">
        <f t="shared" si="17"/>
        <v>0</v>
      </c>
      <c r="I78" s="76">
        <f t="shared" si="17"/>
        <v>0</v>
      </c>
    </row>
    <row r="79" spans="1:9" x14ac:dyDescent="0.15">
      <c r="A79" s="26" t="s">
        <v>48</v>
      </c>
      <c r="B79" s="58">
        <v>1</v>
      </c>
      <c r="C79" s="76">
        <f t="shared" ref="C79:I79" si="18">C49/$B49</f>
        <v>0.12969575600941016</v>
      </c>
      <c r="D79" s="76">
        <f t="shared" si="18"/>
        <v>0.37019950397272833</v>
      </c>
      <c r="E79" s="76">
        <f t="shared" si="18"/>
        <v>0.35148902027955387</v>
      </c>
      <c r="F79" s="76">
        <f t="shared" si="18"/>
        <v>0.33046779049093583</v>
      </c>
      <c r="G79" s="76">
        <f t="shared" si="18"/>
        <v>9.8752801921227484E-2</v>
      </c>
      <c r="H79" s="76">
        <f t="shared" si="18"/>
        <v>0</v>
      </c>
      <c r="I79" s="76">
        <f t="shared" si="18"/>
        <v>0</v>
      </c>
    </row>
    <row r="80" spans="1:9" x14ac:dyDescent="0.15">
      <c r="A80" s="26" t="s">
        <v>49</v>
      </c>
      <c r="B80" s="58">
        <v>1</v>
      </c>
      <c r="C80" s="76">
        <f t="shared" ref="C80:I80" si="19">C50/$B50</f>
        <v>0.1373222646851891</v>
      </c>
      <c r="D80" s="76">
        <f t="shared" si="19"/>
        <v>0.37648553409780755</v>
      </c>
      <c r="E80" s="76">
        <f t="shared" si="19"/>
        <v>0.35589365273522167</v>
      </c>
      <c r="F80" s="76">
        <f t="shared" si="19"/>
        <v>0.33085278941137142</v>
      </c>
      <c r="G80" s="76">
        <f t="shared" si="19"/>
        <v>9.7355993293910037E-2</v>
      </c>
      <c r="H80" s="76">
        <f t="shared" si="19"/>
        <v>0</v>
      </c>
      <c r="I80" s="76">
        <f t="shared" si="19"/>
        <v>0</v>
      </c>
    </row>
    <row r="81" spans="1:9" x14ac:dyDescent="0.15">
      <c r="A81" s="26" t="s">
        <v>50</v>
      </c>
      <c r="B81" s="58">
        <v>1</v>
      </c>
      <c r="C81" s="76">
        <f t="shared" ref="C81:I81" si="20">C51/$B51</f>
        <v>6.9505369669919423E-2</v>
      </c>
      <c r="D81" s="76">
        <f t="shared" si="20"/>
        <v>0.19619339035765029</v>
      </c>
      <c r="E81" s="76">
        <f t="shared" si="20"/>
        <v>0.18900257104074455</v>
      </c>
      <c r="F81" s="76">
        <f t="shared" si="20"/>
        <v>0.18353005160460248</v>
      </c>
      <c r="G81" s="76">
        <f t="shared" si="20"/>
        <v>5.6693550896178016E-2</v>
      </c>
      <c r="H81" s="76">
        <f t="shared" si="20"/>
        <v>0</v>
      </c>
      <c r="I81" s="76">
        <f t="shared" si="20"/>
        <v>0</v>
      </c>
    </row>
    <row r="82" spans="1:9" x14ac:dyDescent="0.15">
      <c r="A82" s="26" t="s">
        <v>81</v>
      </c>
      <c r="B82" s="58">
        <v>1</v>
      </c>
      <c r="C82" s="76">
        <f t="shared" ref="C82:I82" si="21">C52/$B52</f>
        <v>6.2362956052244095E-2</v>
      </c>
      <c r="D82" s="76">
        <f t="shared" si="21"/>
        <v>0.17648843038538187</v>
      </c>
      <c r="E82" s="76">
        <f t="shared" si="21"/>
        <v>0.15933615241038354</v>
      </c>
      <c r="F82" s="76">
        <f t="shared" si="21"/>
        <v>0.14996177504046768</v>
      </c>
      <c r="G82" s="76">
        <f t="shared" si="21"/>
        <v>4.5465025336393274E-2</v>
      </c>
      <c r="H82" s="76">
        <f t="shared" si="21"/>
        <v>0</v>
      </c>
      <c r="I82" s="76">
        <f t="shared" si="21"/>
        <v>0</v>
      </c>
    </row>
    <row r="83" spans="1:9" x14ac:dyDescent="0.15">
      <c r="A83" s="26" t="s">
        <v>71</v>
      </c>
      <c r="B83" s="58">
        <v>1</v>
      </c>
      <c r="C83" s="76">
        <f t="shared" ref="C83:I83" si="22">C53/$B53</f>
        <v>0.16912283634160089</v>
      </c>
      <c r="D83" s="76">
        <f t="shared" si="22"/>
        <v>0.1663958972060143</v>
      </c>
      <c r="E83" s="76">
        <f t="shared" si="22"/>
        <v>0.16090515624076948</v>
      </c>
      <c r="F83" s="76">
        <f t="shared" si="22"/>
        <v>0.15781737053253736</v>
      </c>
      <c r="G83" s="76">
        <f t="shared" si="22"/>
        <v>0.15057685568914644</v>
      </c>
      <c r="H83" s="76">
        <f t="shared" si="22"/>
        <v>0</v>
      </c>
      <c r="I83" s="76">
        <f t="shared" si="22"/>
        <v>0</v>
      </c>
    </row>
    <row r="84" spans="1:9" x14ac:dyDescent="0.15">
      <c r="A84" s="26" t="s">
        <v>53</v>
      </c>
      <c r="B84" s="58">
        <v>1</v>
      </c>
      <c r="C84" s="76">
        <f t="shared" ref="C84:I84" si="23">C54/$B54</f>
        <v>5.9992009336603661E-2</v>
      </c>
      <c r="D84" s="76">
        <f t="shared" si="23"/>
        <v>0.1862831767084146</v>
      </c>
      <c r="E84" s="76">
        <f t="shared" si="23"/>
        <v>0.17918336381285466</v>
      </c>
      <c r="F84" s="76">
        <f t="shared" si="23"/>
        <v>0.17353124191121566</v>
      </c>
      <c r="G84" s="76">
        <f t="shared" si="23"/>
        <v>5.3570137847580683E-2</v>
      </c>
      <c r="H84" s="76">
        <f t="shared" si="23"/>
        <v>0</v>
      </c>
      <c r="I84" s="76">
        <f t="shared" si="23"/>
        <v>0</v>
      </c>
    </row>
    <row r="85" spans="1:9" x14ac:dyDescent="0.15">
      <c r="A85" s="26" t="s">
        <v>76</v>
      </c>
      <c r="B85" s="58">
        <v>1</v>
      </c>
      <c r="C85" s="76">
        <f t="shared" ref="C85:I85" si="24">C55/$B55</f>
        <v>0.25576867584293</v>
      </c>
      <c r="D85" s="76">
        <f t="shared" si="24"/>
        <v>0.75612612051698502</v>
      </c>
      <c r="E85" s="76">
        <f t="shared" si="24"/>
        <v>0.72011996887268837</v>
      </c>
      <c r="F85" s="76">
        <f t="shared" si="24"/>
        <v>0.64799235609120043</v>
      </c>
      <c r="G85" s="76">
        <f t="shared" si="24"/>
        <v>0.17912988080824135</v>
      </c>
      <c r="H85" s="76">
        <f t="shared" si="24"/>
        <v>0</v>
      </c>
      <c r="I85" s="76">
        <f t="shared" si="24"/>
        <v>0</v>
      </c>
    </row>
    <row r="86" spans="1:9" x14ac:dyDescent="0.15">
      <c r="A86" s="26" t="s">
        <v>83</v>
      </c>
      <c r="B86" s="58">
        <v>1</v>
      </c>
      <c r="C86" s="76">
        <f t="shared" ref="C86:I86" si="25">C56/$B56</f>
        <v>0.21620364362140743</v>
      </c>
      <c r="D86" s="76">
        <f t="shared" si="25"/>
        <v>0.58982866165571346</v>
      </c>
      <c r="E86" s="76">
        <f t="shared" si="25"/>
        <v>0.55616900823411863</v>
      </c>
      <c r="F86" s="76">
        <f t="shared" si="25"/>
        <v>0.51359507523965975</v>
      </c>
      <c r="G86" s="76">
        <f t="shared" si="25"/>
        <v>0.14969731605524542</v>
      </c>
      <c r="H86" s="76">
        <f t="shared" si="25"/>
        <v>0</v>
      </c>
      <c r="I86" s="76">
        <f t="shared" si="25"/>
        <v>0</v>
      </c>
    </row>
    <row r="87" spans="1:9" x14ac:dyDescent="0.15">
      <c r="A87" s="26" t="s">
        <v>55</v>
      </c>
      <c r="B87" s="58">
        <v>1</v>
      </c>
      <c r="C87" s="76">
        <f t="shared" ref="C87:I87" si="26">C57/$B57</f>
        <v>8.1357058596170248E-2</v>
      </c>
      <c r="D87" s="76">
        <f t="shared" si="26"/>
        <v>0.24910652809670078</v>
      </c>
      <c r="E87" s="76">
        <f t="shared" si="26"/>
        <v>0.23405562712480535</v>
      </c>
      <c r="F87" s="76">
        <f t="shared" si="26"/>
        <v>0.22278658524125222</v>
      </c>
      <c r="G87" s="76">
        <f t="shared" si="26"/>
        <v>6.8696820595021829E-2</v>
      </c>
      <c r="H87" s="76">
        <f t="shared" si="26"/>
        <v>0</v>
      </c>
      <c r="I87" s="76">
        <f t="shared" si="26"/>
        <v>0</v>
      </c>
    </row>
    <row r="88" spans="1:9" x14ac:dyDescent="0.15">
      <c r="A88" s="62" t="s">
        <v>445</v>
      </c>
      <c r="B88" s="62">
        <v>1</v>
      </c>
      <c r="C88" s="85">
        <f>C58/$B58</f>
        <v>5.8980036133070117E-2</v>
      </c>
      <c r="D88" s="85">
        <f t="shared" ref="D88:I88" si="27">D58/$B58</f>
        <v>0.13388995145024299</v>
      </c>
      <c r="E88" s="85">
        <f t="shared" si="27"/>
        <v>0.12521595052451284</v>
      </c>
      <c r="F88" s="85">
        <f t="shared" si="27"/>
        <v>0.11924576492617614</v>
      </c>
      <c r="G88" s="85">
        <f t="shared" si="27"/>
        <v>4.7181017796905436E-2</v>
      </c>
      <c r="H88" s="85">
        <f t="shared" si="27"/>
        <v>0</v>
      </c>
      <c r="I88" s="85">
        <f t="shared" si="27"/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1FB86-23FC-4BF7-B7F2-BC3B4B52B6F4}">
  <dimension ref="A1:T88"/>
  <sheetViews>
    <sheetView workbookViewId="0">
      <selection activeCell="R3" sqref="R3"/>
    </sheetView>
  </sheetViews>
  <sheetFormatPr defaultColWidth="9" defaultRowHeight="12" x14ac:dyDescent="0.15"/>
  <cols>
    <col min="1" max="1" width="27" style="21" customWidth="1"/>
    <col min="2" max="2" width="11" style="21" customWidth="1"/>
    <col min="3" max="9" width="9.5" style="21" customWidth="1"/>
    <col min="10" max="10" width="10" style="21" customWidth="1"/>
    <col min="11" max="11" width="9" style="21" customWidth="1"/>
    <col min="12" max="12" width="22.125" style="21" customWidth="1"/>
    <col min="13" max="16384" width="9" style="21"/>
  </cols>
  <sheetData>
    <row r="1" spans="1:20" x14ac:dyDescent="0.15">
      <c r="A1" s="51" t="s">
        <v>102</v>
      </c>
      <c r="B1" s="51" t="s">
        <v>462</v>
      </c>
      <c r="C1" s="51"/>
      <c r="D1" s="51"/>
      <c r="E1" s="51"/>
      <c r="F1" s="51"/>
      <c r="G1" s="51"/>
      <c r="H1" s="51"/>
      <c r="I1" s="51"/>
      <c r="K1" s="21" t="s">
        <v>440</v>
      </c>
      <c r="L1" s="51" t="s">
        <v>102</v>
      </c>
      <c r="M1" s="51" t="s">
        <v>461</v>
      </c>
      <c r="N1" s="51"/>
      <c r="O1" s="51"/>
      <c r="P1" s="51"/>
      <c r="Q1" s="51"/>
      <c r="R1" s="51"/>
      <c r="S1" s="51"/>
      <c r="T1" s="51"/>
    </row>
    <row r="2" spans="1:20" x14ac:dyDescent="0.15">
      <c r="A2" s="26" t="s">
        <v>384</v>
      </c>
      <c r="B2" s="46" t="s">
        <v>437</v>
      </c>
      <c r="C2" s="20">
        <v>2021</v>
      </c>
      <c r="D2" s="20">
        <v>2022</v>
      </c>
      <c r="E2" s="20">
        <v>2023</v>
      </c>
      <c r="F2" s="20">
        <v>2024</v>
      </c>
      <c r="G2" s="20">
        <v>2025</v>
      </c>
      <c r="H2" s="20">
        <v>2026</v>
      </c>
      <c r="I2" s="20">
        <v>2027</v>
      </c>
      <c r="K2" s="21">
        <v>277435549975.86145</v>
      </c>
      <c r="L2" s="26" t="s">
        <v>384</v>
      </c>
      <c r="M2" s="46" t="s">
        <v>437</v>
      </c>
      <c r="N2" s="20">
        <v>2021</v>
      </c>
      <c r="O2" s="20">
        <v>2022</v>
      </c>
      <c r="P2" s="20">
        <v>2023</v>
      </c>
      <c r="Q2" s="20">
        <v>2024</v>
      </c>
      <c r="R2" s="20">
        <v>2025</v>
      </c>
      <c r="S2" s="20">
        <v>2026</v>
      </c>
      <c r="T2" s="20">
        <v>2027</v>
      </c>
    </row>
    <row r="3" spans="1:20" x14ac:dyDescent="0.15">
      <c r="A3" s="26" t="s">
        <v>99</v>
      </c>
      <c r="B3" s="50">
        <f>SUMIFS(工业节能技术装备推荐目录!L:L,工业节能技术装备推荐目录!D:D,'Cogeneration&amp;Waste Heat Recover'!A3,工业节能技术装备推荐目录!F:F,'Cogeneration&amp;Waste Heat Recover'!$A$1)+SUMIFS(用能设备节能分配!R:R,用能设备节能分配!O:O,'Cogeneration&amp;Waste Heat Recover'!A3,用能设备节能分配!P:P,'Cogeneration&amp;Waste Heat Recover'!$A$1)</f>
        <v>0</v>
      </c>
      <c r="C3" s="73">
        <f>SUMIFS(工业节能技术装备推荐目录!K:K,工业节能技术装备推荐目录!D:D,'Cogeneration&amp;Waste Heat Recover'!A3,工业节能技术装备推荐目录!F:F,'Cogeneration&amp;Waste Heat Recover'!$A$1,工业节能技术装备推荐目录!A:A,"2020")+SUMIFS(用能设备节能分配!Q:Q,用能设备节能分配!O:O,'Cogeneration&amp;Waste Heat Recover'!A3,用能设备节能分配!P:P,'Cogeneration&amp;Waste Heat Recover'!$A$1,用能设备节能分配!M:M,"2020")</f>
        <v>0</v>
      </c>
      <c r="D3" s="73">
        <f>SUMIFS(工业节能技术装备推荐目录!K:K,工业节能技术装备推荐目录!D:D,'Cogeneration&amp;Waste Heat Recover'!A3,工业节能技术装备推荐目录!F:F,'Cogeneration&amp;Waste Heat Recover'!$A$1,工业节能技术装备推荐目录!A:A,"2020")+SUMIFS(用能设备节能分配!Q:Q,用能设备节能分配!O:O,'Cogeneration&amp;Waste Heat Recover'!A3,用能设备节能分配!P:P,'Cogeneration&amp;Waste Heat Recover'!$A$1,用能设备节能分配!M:M,"2020")+SUMIFS(工业节能技术装备推荐目录!K:K,工业节能技术装备推荐目录!D:D,'Cogeneration&amp;Waste Heat Recover'!A3,工业节能技术装备推荐目录!F:F,'Cogeneration&amp;Waste Heat Recover'!$A$1,工业节能技术装备推荐目录!A:A,"2021")+SUMIFS(用能设备节能分配!Q:Q,用能设备节能分配!O:O,'Cogeneration&amp;Waste Heat Recover'!A3,用能设备节能分配!P:P,'Cogeneration&amp;Waste Heat Recover'!$A$1,用能设备节能分配!M:M,"2021")</f>
        <v>0</v>
      </c>
      <c r="E3" s="73">
        <f>SUMIFS(工业节能技术装备推荐目录!K:K,工业节能技术装备推荐目录!D:D,'Cogeneration&amp;Waste Heat Recover'!A3,工业节能技术装备推荐目录!F:F,'Cogeneration&amp;Waste Heat Recover'!$A$1,工业节能技术装备推荐目录!A:A,"2020")+SUMIFS(用能设备节能分配!Q:Q,用能设备节能分配!O:O,'Cogeneration&amp;Waste Heat Recover'!A3,用能设备节能分配!P:P,'Cogeneration&amp;Waste Heat Recover'!$A$1,用能设备节能分配!M:M,"2020")+SUMIFS(工业节能技术装备推荐目录!K:K,工业节能技术装备推荐目录!D:D,'Cogeneration&amp;Waste Heat Recover'!A3,工业节能技术装备推荐目录!F:F,'Cogeneration&amp;Waste Heat Recover'!$A$1,工业节能技术装备推荐目录!A:A,"2021")+SUMIFS(用能设备节能分配!Q:Q,用能设备节能分配!O:O,'Cogeneration&amp;Waste Heat Recover'!A3,用能设备节能分配!P:P,'Cogeneration&amp;Waste Heat Recover'!$A$1,用能设备节能分配!M:M,"2021")+SUMIFS(工业节能技术装备推荐目录!K:K,工业节能技术装备推荐目录!D:D,'Cogeneration&amp;Waste Heat Recover'!A3,工业节能技术装备推荐目录!F:F,'Cogeneration&amp;Waste Heat Recover'!$A$1,工业节能技术装备推荐目录!A:A,"2022")+SUMIFS(用能设备节能分配!Q:Q,用能设备节能分配!O:O,'Cogeneration&amp;Waste Heat Recover'!A3,用能设备节能分配!P:P,'Cogeneration&amp;Waste Heat Recover'!$A$1,用能设备节能分配!M:M,"2022")</f>
        <v>0</v>
      </c>
      <c r="F3" s="73">
        <f>SUMIFS(工业节能技术装备推荐目录!K:K,工业节能技术装备推荐目录!D:D,'Cogeneration&amp;Waste Heat Recover'!A3,工业节能技术装备推荐目录!F:F,'Cogeneration&amp;Waste Heat Recover'!$A$1,工业节能技术装备推荐目录!A:A,"2020")+SUMIFS(用能设备节能分配!Q:Q,用能设备节能分配!O:O,'Cogeneration&amp;Waste Heat Recover'!A3,用能设备节能分配!P:P,'Cogeneration&amp;Waste Heat Recover'!$A$1,用能设备节能分配!M:M,"2020")+SUMIFS(工业节能技术装备推荐目录!K:K,工业节能技术装备推荐目录!D:D,'Cogeneration&amp;Waste Heat Recover'!A3,工业节能技术装备推荐目录!F:F,'Cogeneration&amp;Waste Heat Recover'!$A$1,工业节能技术装备推荐目录!A:A,"2021")+SUMIFS(用能设备节能分配!Q:Q,用能设备节能分配!O:O,'Cogeneration&amp;Waste Heat Recover'!A3,用能设备节能分配!P:P,'Cogeneration&amp;Waste Heat Recover'!$A$1,用能设备节能分配!M:M,"2021")+SUMIFS(工业节能技术装备推荐目录!K:K,工业节能技术装备推荐目录!D:D,'Cogeneration&amp;Waste Heat Recover'!A3,工业节能技术装备推荐目录!F:F,'Cogeneration&amp;Waste Heat Recover'!$A$1,工业节能技术装备推荐目录!A:A,"2022")+SUMIFS(用能设备节能分配!Q:Q,用能设备节能分配!O:O,'Cogeneration&amp;Waste Heat Recover'!A3,用能设备节能分配!P:P,'Cogeneration&amp;Waste Heat Recover'!$A$1,用能设备节能分配!M:M,"2022")</f>
        <v>0</v>
      </c>
      <c r="G3" s="73">
        <f>SUMIFS(工业节能技术装备推荐目录!K:K,工业节能技术装备推荐目录!D:D,'Cogeneration&amp;Waste Heat Recover'!A3,工业节能技术装备推荐目录!F:F,'Cogeneration&amp;Waste Heat Recover'!$A$1,工业节能技术装备推荐目录!A:A,"2020")+SUMIFS(用能设备节能分配!Q:Q,用能设备节能分配!O:O,'Cogeneration&amp;Waste Heat Recover'!A3,用能设备节能分配!P:P,'Cogeneration&amp;Waste Heat Recover'!$A$1,用能设备节能分配!M:M,"2020")+SUMIFS(工业节能技术装备推荐目录!K:K,工业节能技术装备推荐目录!D:D,'Cogeneration&amp;Waste Heat Recover'!A3,工业节能技术装备推荐目录!F:F,'Cogeneration&amp;Waste Heat Recover'!$A$1,工业节能技术装备推荐目录!A:A,"2022")+SUMIFS(用能设备节能分配!Q:Q,用能设备节能分配!O:O,'Cogeneration&amp;Waste Heat Recover'!A3,用能设备节能分配!P:P,'Cogeneration&amp;Waste Heat Recover'!$A$1,用能设备节能分配!M:M,"2022")</f>
        <v>0</v>
      </c>
      <c r="H3" s="73">
        <f>SUMIFS(工业节能技术装备推荐目录!K:K,工业节能技术装备推荐目录!D:D,'Cogeneration&amp;Waste Heat Recover'!A3,工业节能技术装备推荐目录!F:F,'Cogeneration&amp;Waste Heat Recover'!$A$1,工业节能技术装备推荐目录!A:A,"2022")+SUMIFS(用能设备节能分配!Q:Q,用能设备节能分配!O:O,'Cogeneration&amp;Waste Heat Recover'!A3,用能设备节能分配!P:P,'Cogeneration&amp;Waste Heat Recover'!$A$1,用能设备节能分配!M:M,"2022")</f>
        <v>0</v>
      </c>
      <c r="I3" s="73">
        <f>SUMIFS(工业节能技术装备推荐目录!K:K,工业节能技术装备推荐目录!D:D,'Cogeneration&amp;Waste Heat Recover'!A3,工业节能技术装备推荐目录!F:F,'Cogeneration&amp;Waste Heat Recover'!$A$1,工业节能技术装备推荐目录!A:A,"2022")+SUMIFS(用能设备节能分配!Q:Q,用能设备节能分配!O:O,'Cogeneration&amp;Waste Heat Recover'!A3,用能设备节能分配!P:P,'Cogeneration&amp;Waste Heat Recover'!$A$1,用能设备节能分配!M:M,"2022")</f>
        <v>0</v>
      </c>
      <c r="K3" s="52"/>
      <c r="L3" s="26" t="s">
        <v>99</v>
      </c>
      <c r="M3" s="50">
        <f>SUMIFS(工业节能技术装备推荐目录!L:L,工业节能技术装备推荐目录!D:D,'Cogeneration&amp;Waste Heat Recover'!A3,工业节能技术装备推荐目录!F:F,'Cogeneration&amp;Waste Heat Recover'!$A$1)</f>
        <v>0</v>
      </c>
      <c r="N3" s="73">
        <f>SUMIFS(工业节能技术装备推荐目录!K:K,工业节能技术装备推荐目录!D:D,'Cogeneration&amp;Waste Heat Recover'!A3,工业节能技术装备推荐目录!F:F,'Cogeneration&amp;Waste Heat Recover'!$A$1,工业节能技术装备推荐目录!A:A,"2020")</f>
        <v>0</v>
      </c>
      <c r="O3" s="73">
        <f>SUMIFS(工业节能技术装备推荐目录!K:K,工业节能技术装备推荐目录!D:D,'Cogeneration&amp;Waste Heat Recover'!A3,工业节能技术装备推荐目录!F:F,'Cogeneration&amp;Waste Heat Recover'!$A$1,工业节能技术装备推荐目录!A:A,"2020")+SUMIFS(工业节能技术装备推荐目录!K:K,工业节能技术装备推荐目录!D:D,'Cogeneration&amp;Waste Heat Recover'!A3,工业节能技术装备推荐目录!F:F,'Cogeneration&amp;Waste Heat Recover'!$A$1,工业节能技术装备推荐目录!A:A,"2021")</f>
        <v>0</v>
      </c>
      <c r="P3" s="73">
        <f>SUMIFS(工业节能技术装备推荐目录!K:K,工业节能技术装备推荐目录!D:D,'Cogeneration&amp;Waste Heat Recover'!A3,工业节能技术装备推荐目录!F:F,'Cogeneration&amp;Waste Heat Recover'!$A$1,工业节能技术装备推荐目录!A:A,"2020")+SUMIFS(工业节能技术装备推荐目录!K:K,工业节能技术装备推荐目录!D:D,'Cogeneration&amp;Waste Heat Recover'!A3,工业节能技术装备推荐目录!F:F,'Cogeneration&amp;Waste Heat Recover'!$A$1,工业节能技术装备推荐目录!A:A,"2021")+SUMIFS(工业节能技术装备推荐目录!K:K,工业节能技术装备推荐目录!D:D,'Cogeneration&amp;Waste Heat Recover'!A3,工业节能技术装备推荐目录!F:F,'Cogeneration&amp;Waste Heat Recover'!$A$1,工业节能技术装备推荐目录!A:A,"2022")</f>
        <v>0</v>
      </c>
      <c r="Q3" s="73">
        <f>SUMIFS(工业节能技术装备推荐目录!K:K,工业节能技术装备推荐目录!D:D,'Cogeneration&amp;Waste Heat Recover'!A3,工业节能技术装备推荐目录!F:F,'Cogeneration&amp;Waste Heat Recover'!$A$1,工业节能技术装备推荐目录!A:A,"2020")+SUMIFS(工业节能技术装备推荐目录!K:K,工业节能技术装备推荐目录!D:D,'Cogeneration&amp;Waste Heat Recover'!A3,工业节能技术装备推荐目录!F:F,'Cogeneration&amp;Waste Heat Recover'!$A$1,工业节能技术装备推荐目录!A:A,"2021")+SUMIFS(工业节能技术装备推荐目录!K:K,工业节能技术装备推荐目录!D:D,'Cogeneration&amp;Waste Heat Recover'!A3,工业节能技术装备推荐目录!F:F,'Cogeneration&amp;Waste Heat Recover'!$A$1,工业节能技术装备推荐目录!A:A,"2022")</f>
        <v>0</v>
      </c>
      <c r="R3" s="73">
        <f>SUMIFS(工业节能技术装备推荐目录!K:K,工业节能技术装备推荐目录!D:D,'Cogeneration&amp;Waste Heat Recover'!A3,工业节能技术装备推荐目录!F:F,'Cogeneration&amp;Waste Heat Recover'!$A$1,工业节能技术装备推荐目录!A:A,"2020")+SUMIFS(工业节能技术装备推荐目录!K:K,工业节能技术装备推荐目录!D:D,'Cogeneration&amp;Waste Heat Recover'!A3,工业节能技术装备推荐目录!F:F,'Cogeneration&amp;Waste Heat Recover'!$A$1,工业节能技术装备推荐目录!A:A,"2022")</f>
        <v>0</v>
      </c>
      <c r="S3" s="73">
        <f>SUMIFS(工业节能技术装备推荐目录!K:K,工业节能技术装备推荐目录!D:D,'Cogeneration&amp;Waste Heat Recover'!A3,工业节能技术装备推荐目录!F:F,'Cogeneration&amp;Waste Heat Recover'!$A$1,工业节能技术装备推荐目录!A:A,"2022")</f>
        <v>0</v>
      </c>
      <c r="T3" s="73">
        <f>SUMIFS(工业节能技术装备推荐目录!K:K,工业节能技术装备推荐目录!D:D,'Cogeneration&amp;Waste Heat Recover'!A3,工业节能技术装备推荐目录!F:F,'Cogeneration&amp;Waste Heat Recover'!$A$1,工业节能技术装备推荐目录!A:A,"2022")</f>
        <v>0</v>
      </c>
    </row>
    <row r="4" spans="1:20" x14ac:dyDescent="0.15">
      <c r="A4" s="26" t="s">
        <v>35</v>
      </c>
      <c r="B4" s="50">
        <f>SUMIFS(工业节能技术装备推荐目录!L:L,工业节能技术装备推荐目录!D:D,'Cogeneration&amp;Waste Heat Recover'!A4,工业节能技术装备推荐目录!F:F,'Cogeneration&amp;Waste Heat Recover'!$A$1)+SUMIFS(用能设备节能分配!R:R,用能设备节能分配!O:O,'Cogeneration&amp;Waste Heat Recover'!A4,用能设备节能分配!P:P,'Cogeneration&amp;Waste Heat Recover'!$A$1)</f>
        <v>0</v>
      </c>
      <c r="C4" s="73">
        <f>SUMIFS(工业节能技术装备推荐目录!K:K,工业节能技术装备推荐目录!D:D,'Cogeneration&amp;Waste Heat Recover'!A4,工业节能技术装备推荐目录!F:F,'Cogeneration&amp;Waste Heat Recover'!$A$1,工业节能技术装备推荐目录!A:A,"2020")+SUMIFS(用能设备节能分配!Q:Q,用能设备节能分配!O:O,'Cogeneration&amp;Waste Heat Recover'!A4,用能设备节能分配!P:P,'Cogeneration&amp;Waste Heat Recover'!$A$1,用能设备节能分配!M:M,"2020")</f>
        <v>0</v>
      </c>
      <c r="D4" s="73">
        <f>SUMIFS(工业节能技术装备推荐目录!K:K,工业节能技术装备推荐目录!D:D,'Cogeneration&amp;Waste Heat Recover'!A4,工业节能技术装备推荐目录!F:F,'Cogeneration&amp;Waste Heat Recover'!$A$1,工业节能技术装备推荐目录!A:A,"2020")+SUMIFS(用能设备节能分配!Q:Q,用能设备节能分配!O:O,'Cogeneration&amp;Waste Heat Recover'!A4,用能设备节能分配!P:P,'Cogeneration&amp;Waste Heat Recover'!$A$1,用能设备节能分配!M:M,"2020")+SUMIFS(工业节能技术装备推荐目录!K:K,工业节能技术装备推荐目录!D:D,'Cogeneration&amp;Waste Heat Recover'!A4,工业节能技术装备推荐目录!F:F,'Cogeneration&amp;Waste Heat Recover'!$A$1,工业节能技术装备推荐目录!A:A,"2021")+SUMIFS(用能设备节能分配!Q:Q,用能设备节能分配!O:O,'Cogeneration&amp;Waste Heat Recover'!A4,用能设备节能分配!P:P,'Cogeneration&amp;Waste Heat Recover'!$A$1,用能设备节能分配!M:M,"2021")</f>
        <v>0</v>
      </c>
      <c r="E4" s="73">
        <f>SUMIFS(工业节能技术装备推荐目录!K:K,工业节能技术装备推荐目录!D:D,'Cogeneration&amp;Waste Heat Recover'!A4,工业节能技术装备推荐目录!F:F,'Cogeneration&amp;Waste Heat Recover'!$A$1,工业节能技术装备推荐目录!A:A,"2020")+SUMIFS(用能设备节能分配!Q:Q,用能设备节能分配!O:O,'Cogeneration&amp;Waste Heat Recover'!A4,用能设备节能分配!P:P,'Cogeneration&amp;Waste Heat Recover'!$A$1,用能设备节能分配!M:M,"2020")+SUMIFS(工业节能技术装备推荐目录!K:K,工业节能技术装备推荐目录!D:D,'Cogeneration&amp;Waste Heat Recover'!A4,工业节能技术装备推荐目录!F:F,'Cogeneration&amp;Waste Heat Recover'!$A$1,工业节能技术装备推荐目录!A:A,"2021")+SUMIFS(用能设备节能分配!Q:Q,用能设备节能分配!O:O,'Cogeneration&amp;Waste Heat Recover'!A4,用能设备节能分配!P:P,'Cogeneration&amp;Waste Heat Recover'!$A$1,用能设备节能分配!M:M,"2021")+SUMIFS(工业节能技术装备推荐目录!K:K,工业节能技术装备推荐目录!D:D,'Cogeneration&amp;Waste Heat Recover'!A4,工业节能技术装备推荐目录!F:F,'Cogeneration&amp;Waste Heat Recover'!$A$1,工业节能技术装备推荐目录!A:A,"2022")+SUMIFS(用能设备节能分配!Q:Q,用能设备节能分配!O:O,'Cogeneration&amp;Waste Heat Recover'!A4,用能设备节能分配!P:P,'Cogeneration&amp;Waste Heat Recover'!$A$1,用能设备节能分配!M:M,"2022")</f>
        <v>0</v>
      </c>
      <c r="F4" s="73">
        <f>SUMIFS(工业节能技术装备推荐目录!K:K,工业节能技术装备推荐目录!D:D,'Cogeneration&amp;Waste Heat Recover'!A4,工业节能技术装备推荐目录!F:F,'Cogeneration&amp;Waste Heat Recover'!$A$1,工业节能技术装备推荐目录!A:A,"2020")+SUMIFS(用能设备节能分配!Q:Q,用能设备节能分配!O:O,'Cogeneration&amp;Waste Heat Recover'!A4,用能设备节能分配!P:P,'Cogeneration&amp;Waste Heat Recover'!$A$1,用能设备节能分配!M:M,"2020")+SUMIFS(工业节能技术装备推荐目录!K:K,工业节能技术装备推荐目录!D:D,'Cogeneration&amp;Waste Heat Recover'!A4,工业节能技术装备推荐目录!F:F,'Cogeneration&amp;Waste Heat Recover'!$A$1,工业节能技术装备推荐目录!A:A,"2021")+SUMIFS(用能设备节能分配!Q:Q,用能设备节能分配!O:O,'Cogeneration&amp;Waste Heat Recover'!A4,用能设备节能分配!P:P,'Cogeneration&amp;Waste Heat Recover'!$A$1,用能设备节能分配!M:M,"2021")+SUMIFS(工业节能技术装备推荐目录!K:K,工业节能技术装备推荐目录!D:D,'Cogeneration&amp;Waste Heat Recover'!A4,工业节能技术装备推荐目录!F:F,'Cogeneration&amp;Waste Heat Recover'!$A$1,工业节能技术装备推荐目录!A:A,"2022")+SUMIFS(用能设备节能分配!Q:Q,用能设备节能分配!O:O,'Cogeneration&amp;Waste Heat Recover'!A4,用能设备节能分配!P:P,'Cogeneration&amp;Waste Heat Recover'!$A$1,用能设备节能分配!M:M,"2022")</f>
        <v>0</v>
      </c>
      <c r="G4" s="73">
        <f>SUMIFS(工业节能技术装备推荐目录!K:K,工业节能技术装备推荐目录!D:D,'Cogeneration&amp;Waste Heat Recover'!A4,工业节能技术装备推荐目录!F:F,'Cogeneration&amp;Waste Heat Recover'!$A$1,工业节能技术装备推荐目录!A:A,"2020")+SUMIFS(用能设备节能分配!Q:Q,用能设备节能分配!O:O,'Cogeneration&amp;Waste Heat Recover'!A4,用能设备节能分配!P:P,'Cogeneration&amp;Waste Heat Recover'!$A$1,用能设备节能分配!M:M,"2020")+SUMIFS(工业节能技术装备推荐目录!K:K,工业节能技术装备推荐目录!D:D,'Cogeneration&amp;Waste Heat Recover'!A4,工业节能技术装备推荐目录!F:F,'Cogeneration&amp;Waste Heat Recover'!$A$1,工业节能技术装备推荐目录!A:A,"2022")+SUMIFS(用能设备节能分配!Q:Q,用能设备节能分配!O:O,'Cogeneration&amp;Waste Heat Recover'!A4,用能设备节能分配!P:P,'Cogeneration&amp;Waste Heat Recover'!$A$1,用能设备节能分配!M:M,"2022")</f>
        <v>0</v>
      </c>
      <c r="H4" s="73">
        <f>SUMIFS(工业节能技术装备推荐目录!K:K,工业节能技术装备推荐目录!D:D,'Cogeneration&amp;Waste Heat Recover'!A4,工业节能技术装备推荐目录!F:F,'Cogeneration&amp;Waste Heat Recover'!$A$1,工业节能技术装备推荐目录!A:A,"2022")+SUMIFS(用能设备节能分配!Q:Q,用能设备节能分配!O:O,'Cogeneration&amp;Waste Heat Recover'!A4,用能设备节能分配!P:P,'Cogeneration&amp;Waste Heat Recover'!$A$1,用能设备节能分配!M:M,"2022")</f>
        <v>0</v>
      </c>
      <c r="I4" s="73">
        <f>SUMIFS(工业节能技术装备推荐目录!K:K,工业节能技术装备推荐目录!D:D,'Cogeneration&amp;Waste Heat Recover'!A4,工业节能技术装备推荐目录!F:F,'Cogeneration&amp;Waste Heat Recover'!$A$1,工业节能技术装备推荐目录!A:A,"2022")+SUMIFS(用能设备节能分配!Q:Q,用能设备节能分配!O:O,'Cogeneration&amp;Waste Heat Recover'!A4,用能设备节能分配!P:P,'Cogeneration&amp;Waste Heat Recover'!$A$1,用能设备节能分配!M:M,"2022")</f>
        <v>0</v>
      </c>
      <c r="K4" s="52"/>
      <c r="L4" s="26" t="s">
        <v>35</v>
      </c>
      <c r="M4" s="50">
        <f>SUMIFS(工业节能技术装备推荐目录!L:L,工业节能技术装备推荐目录!D:D,'Cogeneration&amp;Waste Heat Recover'!A4,工业节能技术装备推荐目录!F:F,'Cogeneration&amp;Waste Heat Recover'!$A$1)</f>
        <v>0</v>
      </c>
      <c r="N4" s="73">
        <f>SUMIFS(工业节能技术装备推荐目录!K:K,工业节能技术装备推荐目录!D:D,'Cogeneration&amp;Waste Heat Recover'!A4,工业节能技术装备推荐目录!F:F,'Cogeneration&amp;Waste Heat Recover'!$A$1,工业节能技术装备推荐目录!A:A,"2020")</f>
        <v>0</v>
      </c>
      <c r="O4" s="73">
        <f>SUMIFS(工业节能技术装备推荐目录!K:K,工业节能技术装备推荐目录!D:D,'Cogeneration&amp;Waste Heat Recover'!A4,工业节能技术装备推荐目录!F:F,'Cogeneration&amp;Waste Heat Recover'!$A$1,工业节能技术装备推荐目录!A:A,"2020")+SUMIFS(工业节能技术装备推荐目录!K:K,工业节能技术装备推荐目录!D:D,'Cogeneration&amp;Waste Heat Recover'!A4,工业节能技术装备推荐目录!F:F,'Cogeneration&amp;Waste Heat Recover'!$A$1,工业节能技术装备推荐目录!A:A,"2021")</f>
        <v>0</v>
      </c>
      <c r="P4" s="73">
        <f>SUMIFS(工业节能技术装备推荐目录!K:K,工业节能技术装备推荐目录!D:D,'Cogeneration&amp;Waste Heat Recover'!A4,工业节能技术装备推荐目录!F:F,'Cogeneration&amp;Waste Heat Recover'!$A$1,工业节能技术装备推荐目录!A:A,"2020")+SUMIFS(工业节能技术装备推荐目录!K:K,工业节能技术装备推荐目录!D:D,'Cogeneration&amp;Waste Heat Recover'!A4,工业节能技术装备推荐目录!F:F,'Cogeneration&amp;Waste Heat Recover'!$A$1,工业节能技术装备推荐目录!A:A,"2021")+SUMIFS(工业节能技术装备推荐目录!K:K,工业节能技术装备推荐目录!D:D,'Cogeneration&amp;Waste Heat Recover'!A4,工业节能技术装备推荐目录!F:F,'Cogeneration&amp;Waste Heat Recover'!$A$1,工业节能技术装备推荐目录!A:A,"2022")</f>
        <v>0</v>
      </c>
      <c r="Q4" s="73">
        <f>SUMIFS(工业节能技术装备推荐目录!K:K,工业节能技术装备推荐目录!D:D,'Cogeneration&amp;Waste Heat Recover'!A4,工业节能技术装备推荐目录!F:F,'Cogeneration&amp;Waste Heat Recover'!$A$1,工业节能技术装备推荐目录!A:A,"2020")+SUMIFS(工业节能技术装备推荐目录!K:K,工业节能技术装备推荐目录!D:D,'Cogeneration&amp;Waste Heat Recover'!A4,工业节能技术装备推荐目录!F:F,'Cogeneration&amp;Waste Heat Recover'!$A$1,工业节能技术装备推荐目录!A:A,"2021")+SUMIFS(工业节能技术装备推荐目录!K:K,工业节能技术装备推荐目录!D:D,'Cogeneration&amp;Waste Heat Recover'!A4,工业节能技术装备推荐目录!F:F,'Cogeneration&amp;Waste Heat Recover'!$A$1,工业节能技术装备推荐目录!A:A,"2022")</f>
        <v>0</v>
      </c>
      <c r="R4" s="73">
        <f>SUMIFS(工业节能技术装备推荐目录!K:K,工业节能技术装备推荐目录!D:D,'Cogeneration&amp;Waste Heat Recover'!A4,工业节能技术装备推荐目录!F:F,'Cogeneration&amp;Waste Heat Recover'!$A$1,工业节能技术装备推荐目录!A:A,"2020")+SUMIFS(工业节能技术装备推荐目录!K:K,工业节能技术装备推荐目录!D:D,'Cogeneration&amp;Waste Heat Recover'!A4,工业节能技术装备推荐目录!F:F,'Cogeneration&amp;Waste Heat Recover'!$A$1,工业节能技术装备推荐目录!A:A,"2022")</f>
        <v>0</v>
      </c>
      <c r="S4" s="73">
        <f>SUMIFS(工业节能技术装备推荐目录!K:K,工业节能技术装备推荐目录!D:D,'Cogeneration&amp;Waste Heat Recover'!A4,工业节能技术装备推荐目录!F:F,'Cogeneration&amp;Waste Heat Recover'!$A$1,工业节能技术装备推荐目录!A:A,"2022")</f>
        <v>0</v>
      </c>
      <c r="T4" s="73">
        <f>SUMIFS(工业节能技术装备推荐目录!K:K,工业节能技术装备推荐目录!D:D,'Cogeneration&amp;Waste Heat Recover'!A4,工业节能技术装备推荐目录!F:F,'Cogeneration&amp;Waste Heat Recover'!$A$1,工业节能技术装备推荐目录!A:A,"2022")</f>
        <v>0</v>
      </c>
    </row>
    <row r="5" spans="1:20" x14ac:dyDescent="0.15">
      <c r="A5" s="26" t="s">
        <v>67</v>
      </c>
      <c r="B5" s="50">
        <f>SUMIFS(工业节能技术装备推荐目录!L:L,工业节能技术装备推荐目录!D:D,'Cogeneration&amp;Waste Heat Recover'!A5,工业节能技术装备推荐目录!F:F,'Cogeneration&amp;Waste Heat Recover'!$A$1)+SUMIFS(用能设备节能分配!R:R,用能设备节能分配!O:O,'Cogeneration&amp;Waste Heat Recover'!A5,用能设备节能分配!P:P,'Cogeneration&amp;Waste Heat Recover'!$A$1)</f>
        <v>0</v>
      </c>
      <c r="C5" s="73">
        <f>SUMIFS(工业节能技术装备推荐目录!K:K,工业节能技术装备推荐目录!D:D,'Cogeneration&amp;Waste Heat Recover'!A5,工业节能技术装备推荐目录!F:F,'Cogeneration&amp;Waste Heat Recover'!$A$1,工业节能技术装备推荐目录!A:A,"2020")+SUMIFS(用能设备节能分配!Q:Q,用能设备节能分配!O:O,'Cogeneration&amp;Waste Heat Recover'!A5,用能设备节能分配!P:P,'Cogeneration&amp;Waste Heat Recover'!$A$1,用能设备节能分配!M:M,"2020")</f>
        <v>0</v>
      </c>
      <c r="D5" s="73">
        <f>SUMIFS(工业节能技术装备推荐目录!K:K,工业节能技术装备推荐目录!D:D,'Cogeneration&amp;Waste Heat Recover'!A5,工业节能技术装备推荐目录!F:F,'Cogeneration&amp;Waste Heat Recover'!$A$1,工业节能技术装备推荐目录!A:A,"2020")+SUMIFS(用能设备节能分配!Q:Q,用能设备节能分配!O:O,'Cogeneration&amp;Waste Heat Recover'!A5,用能设备节能分配!P:P,'Cogeneration&amp;Waste Heat Recover'!$A$1,用能设备节能分配!M:M,"2020")+SUMIFS(工业节能技术装备推荐目录!K:K,工业节能技术装备推荐目录!D:D,'Cogeneration&amp;Waste Heat Recover'!A5,工业节能技术装备推荐目录!F:F,'Cogeneration&amp;Waste Heat Recover'!$A$1,工业节能技术装备推荐目录!A:A,"2021")+SUMIFS(用能设备节能分配!Q:Q,用能设备节能分配!O:O,'Cogeneration&amp;Waste Heat Recover'!A5,用能设备节能分配!P:P,'Cogeneration&amp;Waste Heat Recover'!$A$1,用能设备节能分配!M:M,"2021")</f>
        <v>0</v>
      </c>
      <c r="E5" s="73">
        <f>SUMIFS(工业节能技术装备推荐目录!K:K,工业节能技术装备推荐目录!D:D,'Cogeneration&amp;Waste Heat Recover'!A5,工业节能技术装备推荐目录!F:F,'Cogeneration&amp;Waste Heat Recover'!$A$1,工业节能技术装备推荐目录!A:A,"2020")+SUMIFS(用能设备节能分配!Q:Q,用能设备节能分配!O:O,'Cogeneration&amp;Waste Heat Recover'!A5,用能设备节能分配!P:P,'Cogeneration&amp;Waste Heat Recover'!$A$1,用能设备节能分配!M:M,"2020")+SUMIFS(工业节能技术装备推荐目录!K:K,工业节能技术装备推荐目录!D:D,'Cogeneration&amp;Waste Heat Recover'!A5,工业节能技术装备推荐目录!F:F,'Cogeneration&amp;Waste Heat Recover'!$A$1,工业节能技术装备推荐目录!A:A,"2021")+SUMIFS(用能设备节能分配!Q:Q,用能设备节能分配!O:O,'Cogeneration&amp;Waste Heat Recover'!A5,用能设备节能分配!P:P,'Cogeneration&amp;Waste Heat Recover'!$A$1,用能设备节能分配!M:M,"2021")+SUMIFS(工业节能技术装备推荐目录!K:K,工业节能技术装备推荐目录!D:D,'Cogeneration&amp;Waste Heat Recover'!A5,工业节能技术装备推荐目录!F:F,'Cogeneration&amp;Waste Heat Recover'!$A$1,工业节能技术装备推荐目录!A:A,"2022")+SUMIFS(用能设备节能分配!Q:Q,用能设备节能分配!O:O,'Cogeneration&amp;Waste Heat Recover'!A5,用能设备节能分配!P:P,'Cogeneration&amp;Waste Heat Recover'!$A$1,用能设备节能分配!M:M,"2022")</f>
        <v>0</v>
      </c>
      <c r="F5" s="73">
        <f>SUMIFS(工业节能技术装备推荐目录!K:K,工业节能技术装备推荐目录!D:D,'Cogeneration&amp;Waste Heat Recover'!A5,工业节能技术装备推荐目录!F:F,'Cogeneration&amp;Waste Heat Recover'!$A$1,工业节能技术装备推荐目录!A:A,"2020")+SUMIFS(用能设备节能分配!Q:Q,用能设备节能分配!O:O,'Cogeneration&amp;Waste Heat Recover'!A5,用能设备节能分配!P:P,'Cogeneration&amp;Waste Heat Recover'!$A$1,用能设备节能分配!M:M,"2020")+SUMIFS(工业节能技术装备推荐目录!K:K,工业节能技术装备推荐目录!D:D,'Cogeneration&amp;Waste Heat Recover'!A5,工业节能技术装备推荐目录!F:F,'Cogeneration&amp;Waste Heat Recover'!$A$1,工业节能技术装备推荐目录!A:A,"2021")+SUMIFS(用能设备节能分配!Q:Q,用能设备节能分配!O:O,'Cogeneration&amp;Waste Heat Recover'!A5,用能设备节能分配!P:P,'Cogeneration&amp;Waste Heat Recover'!$A$1,用能设备节能分配!M:M,"2021")+SUMIFS(工业节能技术装备推荐目录!K:K,工业节能技术装备推荐目录!D:D,'Cogeneration&amp;Waste Heat Recover'!A5,工业节能技术装备推荐目录!F:F,'Cogeneration&amp;Waste Heat Recover'!$A$1,工业节能技术装备推荐目录!A:A,"2022")+SUMIFS(用能设备节能分配!Q:Q,用能设备节能分配!O:O,'Cogeneration&amp;Waste Heat Recover'!A5,用能设备节能分配!P:P,'Cogeneration&amp;Waste Heat Recover'!$A$1,用能设备节能分配!M:M,"2022")</f>
        <v>0</v>
      </c>
      <c r="G5" s="73">
        <f>SUMIFS(工业节能技术装备推荐目录!K:K,工业节能技术装备推荐目录!D:D,'Cogeneration&amp;Waste Heat Recover'!A5,工业节能技术装备推荐目录!F:F,'Cogeneration&amp;Waste Heat Recover'!$A$1,工业节能技术装备推荐目录!A:A,"2020")+SUMIFS(用能设备节能分配!Q:Q,用能设备节能分配!O:O,'Cogeneration&amp;Waste Heat Recover'!A5,用能设备节能分配!P:P,'Cogeneration&amp;Waste Heat Recover'!$A$1,用能设备节能分配!M:M,"2020")+SUMIFS(工业节能技术装备推荐目录!K:K,工业节能技术装备推荐目录!D:D,'Cogeneration&amp;Waste Heat Recover'!A5,工业节能技术装备推荐目录!F:F,'Cogeneration&amp;Waste Heat Recover'!$A$1,工业节能技术装备推荐目录!A:A,"2022")+SUMIFS(用能设备节能分配!Q:Q,用能设备节能分配!O:O,'Cogeneration&amp;Waste Heat Recover'!A5,用能设备节能分配!P:P,'Cogeneration&amp;Waste Heat Recover'!$A$1,用能设备节能分配!M:M,"2022")</f>
        <v>0</v>
      </c>
      <c r="H5" s="73">
        <f>SUMIFS(工业节能技术装备推荐目录!K:K,工业节能技术装备推荐目录!D:D,'Cogeneration&amp;Waste Heat Recover'!A5,工业节能技术装备推荐目录!F:F,'Cogeneration&amp;Waste Heat Recover'!$A$1,工业节能技术装备推荐目录!A:A,"2022")+SUMIFS(用能设备节能分配!Q:Q,用能设备节能分配!O:O,'Cogeneration&amp;Waste Heat Recover'!A5,用能设备节能分配!P:P,'Cogeneration&amp;Waste Heat Recover'!$A$1,用能设备节能分配!M:M,"2022")</f>
        <v>0</v>
      </c>
      <c r="I5" s="73">
        <f>SUMIFS(工业节能技术装备推荐目录!K:K,工业节能技术装备推荐目录!D:D,'Cogeneration&amp;Waste Heat Recover'!A5,工业节能技术装备推荐目录!F:F,'Cogeneration&amp;Waste Heat Recover'!$A$1,工业节能技术装备推荐目录!A:A,"2022")+SUMIFS(用能设备节能分配!Q:Q,用能设备节能分配!O:O,'Cogeneration&amp;Waste Heat Recover'!A5,用能设备节能分配!P:P,'Cogeneration&amp;Waste Heat Recover'!$A$1,用能设备节能分配!M:M,"2022")</f>
        <v>0</v>
      </c>
      <c r="K5" s="52"/>
      <c r="L5" s="26" t="s">
        <v>67</v>
      </c>
      <c r="M5" s="50">
        <f>SUMIFS(工业节能技术装备推荐目录!L:L,工业节能技术装备推荐目录!D:D,'Cogeneration&amp;Waste Heat Recover'!A5,工业节能技术装备推荐目录!F:F,'Cogeneration&amp;Waste Heat Recover'!$A$1)</f>
        <v>0</v>
      </c>
      <c r="N5" s="73">
        <f>SUMIFS(工业节能技术装备推荐目录!K:K,工业节能技术装备推荐目录!D:D,'Cogeneration&amp;Waste Heat Recover'!A5,工业节能技术装备推荐目录!F:F,'Cogeneration&amp;Waste Heat Recover'!$A$1,工业节能技术装备推荐目录!A:A,"2020")</f>
        <v>0</v>
      </c>
      <c r="O5" s="73">
        <f>SUMIFS(工业节能技术装备推荐目录!K:K,工业节能技术装备推荐目录!D:D,'Cogeneration&amp;Waste Heat Recover'!A5,工业节能技术装备推荐目录!F:F,'Cogeneration&amp;Waste Heat Recover'!$A$1,工业节能技术装备推荐目录!A:A,"2020")+SUMIFS(工业节能技术装备推荐目录!K:K,工业节能技术装备推荐目录!D:D,'Cogeneration&amp;Waste Heat Recover'!A5,工业节能技术装备推荐目录!F:F,'Cogeneration&amp;Waste Heat Recover'!$A$1,工业节能技术装备推荐目录!A:A,"2021")</f>
        <v>0</v>
      </c>
      <c r="P5" s="73">
        <f>SUMIFS(工业节能技术装备推荐目录!K:K,工业节能技术装备推荐目录!D:D,'Cogeneration&amp;Waste Heat Recover'!A5,工业节能技术装备推荐目录!F:F,'Cogeneration&amp;Waste Heat Recover'!$A$1,工业节能技术装备推荐目录!A:A,"2020")+SUMIFS(工业节能技术装备推荐目录!K:K,工业节能技术装备推荐目录!D:D,'Cogeneration&amp;Waste Heat Recover'!A5,工业节能技术装备推荐目录!F:F,'Cogeneration&amp;Waste Heat Recover'!$A$1,工业节能技术装备推荐目录!A:A,"2021")+SUMIFS(工业节能技术装备推荐目录!K:K,工业节能技术装备推荐目录!D:D,'Cogeneration&amp;Waste Heat Recover'!A5,工业节能技术装备推荐目录!F:F,'Cogeneration&amp;Waste Heat Recover'!$A$1,工业节能技术装备推荐目录!A:A,"2022")</f>
        <v>0</v>
      </c>
      <c r="Q5" s="73">
        <f>SUMIFS(工业节能技术装备推荐目录!K:K,工业节能技术装备推荐目录!D:D,'Cogeneration&amp;Waste Heat Recover'!A5,工业节能技术装备推荐目录!F:F,'Cogeneration&amp;Waste Heat Recover'!$A$1,工业节能技术装备推荐目录!A:A,"2020")+SUMIFS(工业节能技术装备推荐目录!K:K,工业节能技术装备推荐目录!D:D,'Cogeneration&amp;Waste Heat Recover'!A5,工业节能技术装备推荐目录!F:F,'Cogeneration&amp;Waste Heat Recover'!$A$1,工业节能技术装备推荐目录!A:A,"2021")+SUMIFS(工业节能技术装备推荐目录!K:K,工业节能技术装备推荐目录!D:D,'Cogeneration&amp;Waste Heat Recover'!A5,工业节能技术装备推荐目录!F:F,'Cogeneration&amp;Waste Heat Recover'!$A$1,工业节能技术装备推荐目录!A:A,"2022")</f>
        <v>0</v>
      </c>
      <c r="R5" s="73">
        <f>SUMIFS(工业节能技术装备推荐目录!K:K,工业节能技术装备推荐目录!D:D,'Cogeneration&amp;Waste Heat Recover'!A5,工业节能技术装备推荐目录!F:F,'Cogeneration&amp;Waste Heat Recover'!$A$1,工业节能技术装备推荐目录!A:A,"2020")+SUMIFS(工业节能技术装备推荐目录!K:K,工业节能技术装备推荐目录!D:D,'Cogeneration&amp;Waste Heat Recover'!A5,工业节能技术装备推荐目录!F:F,'Cogeneration&amp;Waste Heat Recover'!$A$1,工业节能技术装备推荐目录!A:A,"2022")</f>
        <v>0</v>
      </c>
      <c r="S5" s="73">
        <f>SUMIFS(工业节能技术装备推荐目录!K:K,工业节能技术装备推荐目录!D:D,'Cogeneration&amp;Waste Heat Recover'!A5,工业节能技术装备推荐目录!F:F,'Cogeneration&amp;Waste Heat Recover'!$A$1,工业节能技术装备推荐目录!A:A,"2022")</f>
        <v>0</v>
      </c>
      <c r="T5" s="73">
        <f>SUMIFS(工业节能技术装备推荐目录!K:K,工业节能技术装备推荐目录!D:D,'Cogeneration&amp;Waste Heat Recover'!A5,工业节能技术装备推荐目录!F:F,'Cogeneration&amp;Waste Heat Recover'!$A$1,工业节能技术装备推荐目录!A:A,"2022")</f>
        <v>0</v>
      </c>
    </row>
    <row r="6" spans="1:20" x14ac:dyDescent="0.15">
      <c r="A6" s="26" t="s">
        <v>100</v>
      </c>
      <c r="B6" s="50">
        <f>SUMIFS(工业节能技术装备推荐目录!L:L,工业节能技术装备推荐目录!D:D,'Cogeneration&amp;Waste Heat Recover'!A6,工业节能技术装备推荐目录!F:F,'Cogeneration&amp;Waste Heat Recover'!$A$1)+SUMIFS(用能设备节能分配!R:R,用能设备节能分配!O:O,'Cogeneration&amp;Waste Heat Recover'!A6,用能设备节能分配!P:P,'Cogeneration&amp;Waste Heat Recover'!$A$1)</f>
        <v>0</v>
      </c>
      <c r="C6" s="73">
        <f>SUMIFS(工业节能技术装备推荐目录!K:K,工业节能技术装备推荐目录!D:D,'Cogeneration&amp;Waste Heat Recover'!A6,工业节能技术装备推荐目录!F:F,'Cogeneration&amp;Waste Heat Recover'!$A$1,工业节能技术装备推荐目录!A:A,"2020")+SUMIFS(用能设备节能分配!Q:Q,用能设备节能分配!O:O,'Cogeneration&amp;Waste Heat Recover'!A6,用能设备节能分配!P:P,'Cogeneration&amp;Waste Heat Recover'!$A$1,用能设备节能分配!M:M,"2020")</f>
        <v>0</v>
      </c>
      <c r="D6" s="73">
        <f>SUMIFS(工业节能技术装备推荐目录!K:K,工业节能技术装备推荐目录!D:D,'Cogeneration&amp;Waste Heat Recover'!A6,工业节能技术装备推荐目录!F:F,'Cogeneration&amp;Waste Heat Recover'!$A$1,工业节能技术装备推荐目录!A:A,"2020")+SUMIFS(用能设备节能分配!Q:Q,用能设备节能分配!O:O,'Cogeneration&amp;Waste Heat Recover'!A6,用能设备节能分配!P:P,'Cogeneration&amp;Waste Heat Recover'!$A$1,用能设备节能分配!M:M,"2020")+SUMIFS(工业节能技术装备推荐目录!K:K,工业节能技术装备推荐目录!D:D,'Cogeneration&amp;Waste Heat Recover'!A6,工业节能技术装备推荐目录!F:F,'Cogeneration&amp;Waste Heat Recover'!$A$1,工业节能技术装备推荐目录!A:A,"2021")+SUMIFS(用能设备节能分配!Q:Q,用能设备节能分配!O:O,'Cogeneration&amp;Waste Heat Recover'!A6,用能设备节能分配!P:P,'Cogeneration&amp;Waste Heat Recover'!$A$1,用能设备节能分配!M:M,"2021")</f>
        <v>0</v>
      </c>
      <c r="E6" s="73">
        <f>SUMIFS(工业节能技术装备推荐目录!K:K,工业节能技术装备推荐目录!D:D,'Cogeneration&amp;Waste Heat Recover'!A6,工业节能技术装备推荐目录!F:F,'Cogeneration&amp;Waste Heat Recover'!$A$1,工业节能技术装备推荐目录!A:A,"2020")+SUMIFS(用能设备节能分配!Q:Q,用能设备节能分配!O:O,'Cogeneration&amp;Waste Heat Recover'!A6,用能设备节能分配!P:P,'Cogeneration&amp;Waste Heat Recover'!$A$1,用能设备节能分配!M:M,"2020")+SUMIFS(工业节能技术装备推荐目录!K:K,工业节能技术装备推荐目录!D:D,'Cogeneration&amp;Waste Heat Recover'!A6,工业节能技术装备推荐目录!F:F,'Cogeneration&amp;Waste Heat Recover'!$A$1,工业节能技术装备推荐目录!A:A,"2021")+SUMIFS(用能设备节能分配!Q:Q,用能设备节能分配!O:O,'Cogeneration&amp;Waste Heat Recover'!A6,用能设备节能分配!P:P,'Cogeneration&amp;Waste Heat Recover'!$A$1,用能设备节能分配!M:M,"2021")+SUMIFS(工业节能技术装备推荐目录!K:K,工业节能技术装备推荐目录!D:D,'Cogeneration&amp;Waste Heat Recover'!A6,工业节能技术装备推荐目录!F:F,'Cogeneration&amp;Waste Heat Recover'!$A$1,工业节能技术装备推荐目录!A:A,"2022")+SUMIFS(用能设备节能分配!Q:Q,用能设备节能分配!O:O,'Cogeneration&amp;Waste Heat Recover'!A6,用能设备节能分配!P:P,'Cogeneration&amp;Waste Heat Recover'!$A$1,用能设备节能分配!M:M,"2022")</f>
        <v>0</v>
      </c>
      <c r="F6" s="73">
        <f>SUMIFS(工业节能技术装备推荐目录!K:K,工业节能技术装备推荐目录!D:D,'Cogeneration&amp;Waste Heat Recover'!A6,工业节能技术装备推荐目录!F:F,'Cogeneration&amp;Waste Heat Recover'!$A$1,工业节能技术装备推荐目录!A:A,"2020")+SUMIFS(用能设备节能分配!Q:Q,用能设备节能分配!O:O,'Cogeneration&amp;Waste Heat Recover'!A6,用能设备节能分配!P:P,'Cogeneration&amp;Waste Heat Recover'!$A$1,用能设备节能分配!M:M,"2020")+SUMIFS(工业节能技术装备推荐目录!K:K,工业节能技术装备推荐目录!D:D,'Cogeneration&amp;Waste Heat Recover'!A6,工业节能技术装备推荐目录!F:F,'Cogeneration&amp;Waste Heat Recover'!$A$1,工业节能技术装备推荐目录!A:A,"2021")+SUMIFS(用能设备节能分配!Q:Q,用能设备节能分配!O:O,'Cogeneration&amp;Waste Heat Recover'!A6,用能设备节能分配!P:P,'Cogeneration&amp;Waste Heat Recover'!$A$1,用能设备节能分配!M:M,"2021")+SUMIFS(工业节能技术装备推荐目录!K:K,工业节能技术装备推荐目录!D:D,'Cogeneration&amp;Waste Heat Recover'!A6,工业节能技术装备推荐目录!F:F,'Cogeneration&amp;Waste Heat Recover'!$A$1,工业节能技术装备推荐目录!A:A,"2022")+SUMIFS(用能设备节能分配!Q:Q,用能设备节能分配!O:O,'Cogeneration&amp;Waste Heat Recover'!A6,用能设备节能分配!P:P,'Cogeneration&amp;Waste Heat Recover'!$A$1,用能设备节能分配!M:M,"2022")</f>
        <v>0</v>
      </c>
      <c r="G6" s="73">
        <f>SUMIFS(工业节能技术装备推荐目录!K:K,工业节能技术装备推荐目录!D:D,'Cogeneration&amp;Waste Heat Recover'!A6,工业节能技术装备推荐目录!F:F,'Cogeneration&amp;Waste Heat Recover'!$A$1,工业节能技术装备推荐目录!A:A,"2020")+SUMIFS(用能设备节能分配!Q:Q,用能设备节能分配!O:O,'Cogeneration&amp;Waste Heat Recover'!A6,用能设备节能分配!P:P,'Cogeneration&amp;Waste Heat Recover'!$A$1,用能设备节能分配!M:M,"2020")+SUMIFS(工业节能技术装备推荐目录!K:K,工业节能技术装备推荐目录!D:D,'Cogeneration&amp;Waste Heat Recover'!A6,工业节能技术装备推荐目录!F:F,'Cogeneration&amp;Waste Heat Recover'!$A$1,工业节能技术装备推荐目录!A:A,"2022")+SUMIFS(用能设备节能分配!Q:Q,用能设备节能分配!O:O,'Cogeneration&amp;Waste Heat Recover'!A6,用能设备节能分配!P:P,'Cogeneration&amp;Waste Heat Recover'!$A$1,用能设备节能分配!M:M,"2022")</f>
        <v>0</v>
      </c>
      <c r="H6" s="73">
        <f>SUMIFS(工业节能技术装备推荐目录!K:K,工业节能技术装备推荐目录!D:D,'Cogeneration&amp;Waste Heat Recover'!A6,工业节能技术装备推荐目录!F:F,'Cogeneration&amp;Waste Heat Recover'!$A$1,工业节能技术装备推荐目录!A:A,"2022")+SUMIFS(用能设备节能分配!Q:Q,用能设备节能分配!O:O,'Cogeneration&amp;Waste Heat Recover'!A6,用能设备节能分配!P:P,'Cogeneration&amp;Waste Heat Recover'!$A$1,用能设备节能分配!M:M,"2022")</f>
        <v>0</v>
      </c>
      <c r="I6" s="73">
        <f>SUMIFS(工业节能技术装备推荐目录!K:K,工业节能技术装备推荐目录!D:D,'Cogeneration&amp;Waste Heat Recover'!A6,工业节能技术装备推荐目录!F:F,'Cogeneration&amp;Waste Heat Recover'!$A$1,工业节能技术装备推荐目录!A:A,"2022")+SUMIFS(用能设备节能分配!Q:Q,用能设备节能分配!O:O,'Cogeneration&amp;Waste Heat Recover'!A6,用能设备节能分配!P:P,'Cogeneration&amp;Waste Heat Recover'!$A$1,用能设备节能分配!M:M,"2022")</f>
        <v>0</v>
      </c>
      <c r="K6" s="52"/>
      <c r="L6" s="26" t="s">
        <v>100</v>
      </c>
      <c r="M6" s="50">
        <f>SUMIFS(工业节能技术装备推荐目录!L:L,工业节能技术装备推荐目录!D:D,'Cogeneration&amp;Waste Heat Recover'!A6,工业节能技术装备推荐目录!F:F,'Cogeneration&amp;Waste Heat Recover'!$A$1)</f>
        <v>0</v>
      </c>
      <c r="N6" s="73">
        <f>SUMIFS(工业节能技术装备推荐目录!K:K,工业节能技术装备推荐目录!D:D,'Cogeneration&amp;Waste Heat Recover'!A6,工业节能技术装备推荐目录!F:F,'Cogeneration&amp;Waste Heat Recover'!$A$1,工业节能技术装备推荐目录!A:A,"2020")</f>
        <v>0</v>
      </c>
      <c r="O6" s="73">
        <f>SUMIFS(工业节能技术装备推荐目录!K:K,工业节能技术装备推荐目录!D:D,'Cogeneration&amp;Waste Heat Recover'!A6,工业节能技术装备推荐目录!F:F,'Cogeneration&amp;Waste Heat Recover'!$A$1,工业节能技术装备推荐目录!A:A,"2020")+SUMIFS(工业节能技术装备推荐目录!K:K,工业节能技术装备推荐目录!D:D,'Cogeneration&amp;Waste Heat Recover'!A6,工业节能技术装备推荐目录!F:F,'Cogeneration&amp;Waste Heat Recover'!$A$1,工业节能技术装备推荐目录!A:A,"2021")</f>
        <v>0</v>
      </c>
      <c r="P6" s="73">
        <f>SUMIFS(工业节能技术装备推荐目录!K:K,工业节能技术装备推荐目录!D:D,'Cogeneration&amp;Waste Heat Recover'!A6,工业节能技术装备推荐目录!F:F,'Cogeneration&amp;Waste Heat Recover'!$A$1,工业节能技术装备推荐目录!A:A,"2020")+SUMIFS(工业节能技术装备推荐目录!K:K,工业节能技术装备推荐目录!D:D,'Cogeneration&amp;Waste Heat Recover'!A6,工业节能技术装备推荐目录!F:F,'Cogeneration&amp;Waste Heat Recover'!$A$1,工业节能技术装备推荐目录!A:A,"2021")+SUMIFS(工业节能技术装备推荐目录!K:K,工业节能技术装备推荐目录!D:D,'Cogeneration&amp;Waste Heat Recover'!A6,工业节能技术装备推荐目录!F:F,'Cogeneration&amp;Waste Heat Recover'!$A$1,工业节能技术装备推荐目录!A:A,"2022")</f>
        <v>0</v>
      </c>
      <c r="Q6" s="73">
        <f>SUMIFS(工业节能技术装备推荐目录!K:K,工业节能技术装备推荐目录!D:D,'Cogeneration&amp;Waste Heat Recover'!A6,工业节能技术装备推荐目录!F:F,'Cogeneration&amp;Waste Heat Recover'!$A$1,工业节能技术装备推荐目录!A:A,"2020")+SUMIFS(工业节能技术装备推荐目录!K:K,工业节能技术装备推荐目录!D:D,'Cogeneration&amp;Waste Heat Recover'!A6,工业节能技术装备推荐目录!F:F,'Cogeneration&amp;Waste Heat Recover'!$A$1,工业节能技术装备推荐目录!A:A,"2021")+SUMIFS(工业节能技术装备推荐目录!K:K,工业节能技术装备推荐目录!D:D,'Cogeneration&amp;Waste Heat Recover'!A6,工业节能技术装备推荐目录!F:F,'Cogeneration&amp;Waste Heat Recover'!$A$1,工业节能技术装备推荐目录!A:A,"2022")</f>
        <v>0</v>
      </c>
      <c r="R6" s="73">
        <f>SUMIFS(工业节能技术装备推荐目录!K:K,工业节能技术装备推荐目录!D:D,'Cogeneration&amp;Waste Heat Recover'!A6,工业节能技术装备推荐目录!F:F,'Cogeneration&amp;Waste Heat Recover'!$A$1,工业节能技术装备推荐目录!A:A,"2020")+SUMIFS(工业节能技术装备推荐目录!K:K,工业节能技术装备推荐目录!D:D,'Cogeneration&amp;Waste Heat Recover'!A6,工业节能技术装备推荐目录!F:F,'Cogeneration&amp;Waste Heat Recover'!$A$1,工业节能技术装备推荐目录!A:A,"2022")</f>
        <v>0</v>
      </c>
      <c r="S6" s="73">
        <f>SUMIFS(工业节能技术装备推荐目录!K:K,工业节能技术装备推荐目录!D:D,'Cogeneration&amp;Waste Heat Recover'!A6,工业节能技术装备推荐目录!F:F,'Cogeneration&amp;Waste Heat Recover'!$A$1,工业节能技术装备推荐目录!A:A,"2022")</f>
        <v>0</v>
      </c>
      <c r="T6" s="73">
        <f>SUMIFS(工业节能技术装备推荐目录!K:K,工业节能技术装备推荐目录!D:D,'Cogeneration&amp;Waste Heat Recover'!A6,工业节能技术装备推荐目录!F:F,'Cogeneration&amp;Waste Heat Recover'!$A$1,工业节能技术装备推荐目录!A:A,"2022")</f>
        <v>0</v>
      </c>
    </row>
    <row r="7" spans="1:20" x14ac:dyDescent="0.15">
      <c r="A7" s="26" t="s">
        <v>101</v>
      </c>
      <c r="B7" s="50">
        <f>SUMIFS(工业节能技术装备推荐目录!L:L,工业节能技术装备推荐目录!D:D,'Cogeneration&amp;Waste Heat Recover'!A7,工业节能技术装备推荐目录!F:F,'Cogeneration&amp;Waste Heat Recover'!$A$1)+SUMIFS(用能设备节能分配!R:R,用能设备节能分配!O:O,'Cogeneration&amp;Waste Heat Recover'!A7,用能设备节能分配!P:P,'Cogeneration&amp;Waste Heat Recover'!$A$1)</f>
        <v>16.519752329247776</v>
      </c>
      <c r="C7" s="73">
        <f>SUMIFS(工业节能技术装备推荐目录!K:K,工业节能技术装备推荐目录!D:D,'Cogeneration&amp;Waste Heat Recover'!A7,工业节能技术装备推荐目录!F:F,'Cogeneration&amp;Waste Heat Recover'!$A$1,工业节能技术装备推荐目录!A:A,"2020")+SUMIFS(用能设备节能分配!Q:Q,用能设备节能分配!O:O,'Cogeneration&amp;Waste Heat Recover'!A7,用能设备节能分配!P:P,'Cogeneration&amp;Waste Heat Recover'!$A$1,用能设备节能分配!M:M,"2020")</f>
        <v>1.6734745568711924</v>
      </c>
      <c r="D7" s="73">
        <f>SUMIFS(工业节能技术装备推荐目录!K:K,工业节能技术装备推荐目录!D:D,'Cogeneration&amp;Waste Heat Recover'!A7,工业节能技术装备推荐目录!F:F,'Cogeneration&amp;Waste Heat Recover'!$A$1,工业节能技术装备推荐目录!A:A,"2020")+SUMIFS(用能设备节能分配!Q:Q,用能设备节能分配!O:O,'Cogeneration&amp;Waste Heat Recover'!A7,用能设备节能分配!P:P,'Cogeneration&amp;Waste Heat Recover'!$A$1,用能设备节能分配!M:M,"2020")+SUMIFS(工业节能技术装备推荐目录!K:K,工业节能技术装备推荐目录!D:D,'Cogeneration&amp;Waste Heat Recover'!A7,工业节能技术装备推荐目录!F:F,'Cogeneration&amp;Waste Heat Recover'!$A$1,工业节能技术装备推荐目录!A:A,"2021")+SUMIFS(用能设备节能分配!Q:Q,用能设备节能分配!O:O,'Cogeneration&amp;Waste Heat Recover'!A7,用能设备节能分配!P:P,'Cogeneration&amp;Waste Heat Recover'!$A$1,用能设备节能分配!M:M,"2021")</f>
        <v>1.6814340992637882</v>
      </c>
      <c r="E7" s="73">
        <f>SUMIFS(工业节能技术装备推荐目录!K:K,工业节能技术装备推荐目录!D:D,'Cogeneration&amp;Waste Heat Recover'!A7,工业节能技术装备推荐目录!F:F,'Cogeneration&amp;Waste Heat Recover'!$A$1,工业节能技术装备推荐目录!A:A,"2020")+SUMIFS(用能设备节能分配!Q:Q,用能设备节能分配!O:O,'Cogeneration&amp;Waste Heat Recover'!A7,用能设备节能分配!P:P,'Cogeneration&amp;Waste Heat Recover'!$A$1,用能设备节能分配!M:M,"2020")+SUMIFS(工业节能技术装备推荐目录!K:K,工业节能技术装备推荐目录!D:D,'Cogeneration&amp;Waste Heat Recover'!A7,工业节能技术装备推荐目录!F:F,'Cogeneration&amp;Waste Heat Recover'!$A$1,工业节能技术装备推荐目录!A:A,"2021")+SUMIFS(用能设备节能分配!Q:Q,用能设备节能分配!O:O,'Cogeneration&amp;Waste Heat Recover'!A7,用能设备节能分配!P:P,'Cogeneration&amp;Waste Heat Recover'!$A$1,用能设备节能分配!M:M,"2021")+SUMIFS(工业节能技术装备推荐目录!K:K,工业节能技术装备推荐目录!D:D,'Cogeneration&amp;Waste Heat Recover'!A7,工业节能技术装备推荐目录!F:F,'Cogeneration&amp;Waste Heat Recover'!$A$1,工业节能技术装备推荐目录!A:A,"2022")+SUMIFS(用能设备节能分配!Q:Q,用能设备节能分配!O:O,'Cogeneration&amp;Waste Heat Recover'!A7,用能设备节能分配!P:P,'Cogeneration&amp;Waste Heat Recover'!$A$1,用能设备节能分配!M:M,"2022")</f>
        <v>2.2151026292839116</v>
      </c>
      <c r="F7" s="73">
        <f>SUMIFS(工业节能技术装备推荐目录!K:K,工业节能技术装备推荐目录!D:D,'Cogeneration&amp;Waste Heat Recover'!A7,工业节能技术装备推荐目录!F:F,'Cogeneration&amp;Waste Heat Recover'!$A$1,工业节能技术装备推荐目录!A:A,"2020")+SUMIFS(用能设备节能分配!Q:Q,用能设备节能分配!O:O,'Cogeneration&amp;Waste Heat Recover'!A7,用能设备节能分配!P:P,'Cogeneration&amp;Waste Heat Recover'!$A$1,用能设备节能分配!M:M,"2020")+SUMIFS(工业节能技术装备推荐目录!K:K,工业节能技术装备推荐目录!D:D,'Cogeneration&amp;Waste Heat Recover'!A7,工业节能技术装备推荐目录!F:F,'Cogeneration&amp;Waste Heat Recover'!$A$1,工业节能技术装备推荐目录!A:A,"2021")+SUMIFS(用能设备节能分配!Q:Q,用能设备节能分配!O:O,'Cogeneration&amp;Waste Heat Recover'!A7,用能设备节能分配!P:P,'Cogeneration&amp;Waste Heat Recover'!$A$1,用能设备节能分配!M:M,"2021")+SUMIFS(工业节能技术装备推荐目录!K:K,工业节能技术装备推荐目录!D:D,'Cogeneration&amp;Waste Heat Recover'!A7,工业节能技术装备推荐目录!F:F,'Cogeneration&amp;Waste Heat Recover'!$A$1,工业节能技术装备推荐目录!A:A,"2022")+SUMIFS(用能设备节能分配!Q:Q,用能设备节能分配!O:O,'Cogeneration&amp;Waste Heat Recover'!A7,用能设备节能分配!P:P,'Cogeneration&amp;Waste Heat Recover'!$A$1,用能设备节能分配!M:M,"2022")</f>
        <v>2.2151026292839116</v>
      </c>
      <c r="G7" s="73">
        <f>SUMIFS(工业节能技术装备推荐目录!K:K,工业节能技术装备推荐目录!D:D,'Cogeneration&amp;Waste Heat Recover'!A7,工业节能技术装备推荐目录!F:F,'Cogeneration&amp;Waste Heat Recover'!$A$1,工业节能技术装备推荐目录!A:A,"2020")+SUMIFS(用能设备节能分配!Q:Q,用能设备节能分配!O:O,'Cogeneration&amp;Waste Heat Recover'!A7,用能设备节能分配!P:P,'Cogeneration&amp;Waste Heat Recover'!$A$1,用能设备节能分配!M:M,"2020")+SUMIFS(工业节能技术装备推荐目录!K:K,工业节能技术装备推荐目录!D:D,'Cogeneration&amp;Waste Heat Recover'!A7,工业节能技术装备推荐目录!F:F,'Cogeneration&amp;Waste Heat Recover'!$A$1,工业节能技术装备推荐目录!A:A,"2022")+SUMIFS(用能设备节能分配!Q:Q,用能设备节能分配!O:O,'Cogeneration&amp;Waste Heat Recover'!A7,用能设备节能分配!P:P,'Cogeneration&amp;Waste Heat Recover'!$A$1,用能设备节能分配!M:M,"2022")</f>
        <v>2.2071430868913158</v>
      </c>
      <c r="H7" s="73">
        <f>SUMIFS(工业节能技术装备推荐目录!K:K,工业节能技术装备推荐目录!D:D,'Cogeneration&amp;Waste Heat Recover'!A7,工业节能技术装备推荐目录!F:F,'Cogeneration&amp;Waste Heat Recover'!$A$1,工业节能技术装备推荐目录!A:A,"2022")+SUMIFS(用能设备节能分配!Q:Q,用能设备节能分配!O:O,'Cogeneration&amp;Waste Heat Recover'!A7,用能设备节能分配!P:P,'Cogeneration&amp;Waste Heat Recover'!$A$1,用能设备节能分配!M:M,"2022")</f>
        <v>0.53366853002012349</v>
      </c>
      <c r="I7" s="73">
        <f>SUMIFS(工业节能技术装备推荐目录!K:K,工业节能技术装备推荐目录!D:D,'Cogeneration&amp;Waste Heat Recover'!A7,工业节能技术装备推荐目录!F:F,'Cogeneration&amp;Waste Heat Recover'!$A$1,工业节能技术装备推荐目录!A:A,"2022")+SUMIFS(用能设备节能分配!Q:Q,用能设备节能分配!O:O,'Cogeneration&amp;Waste Heat Recover'!A7,用能设备节能分配!P:P,'Cogeneration&amp;Waste Heat Recover'!$A$1,用能设备节能分配!M:M,"2022")</f>
        <v>0.53366853002012349</v>
      </c>
      <c r="K7" s="52"/>
      <c r="L7" s="26" t="s">
        <v>101</v>
      </c>
      <c r="M7" s="50">
        <f>SUMIFS(工业节能技术装备推荐目录!L:L,工业节能技术装备推荐目录!D:D,'Cogeneration&amp;Waste Heat Recover'!A7,工业节能技术装备推荐目录!F:F,'Cogeneration&amp;Waste Heat Recover'!$A$1)</f>
        <v>0</v>
      </c>
      <c r="N7" s="73">
        <f>SUMIFS(工业节能技术装备推荐目录!K:K,工业节能技术装备推荐目录!D:D,'Cogeneration&amp;Waste Heat Recover'!A7,工业节能技术装备推荐目录!F:F,'Cogeneration&amp;Waste Heat Recover'!$A$1,工业节能技术装备推荐目录!A:A,"2020")</f>
        <v>0</v>
      </c>
      <c r="O7" s="73">
        <f>SUMIFS(工业节能技术装备推荐目录!K:K,工业节能技术装备推荐目录!D:D,'Cogeneration&amp;Waste Heat Recover'!A7,工业节能技术装备推荐目录!F:F,'Cogeneration&amp;Waste Heat Recover'!$A$1,工业节能技术装备推荐目录!A:A,"2020")+SUMIFS(工业节能技术装备推荐目录!K:K,工业节能技术装备推荐目录!D:D,'Cogeneration&amp;Waste Heat Recover'!A7,工业节能技术装备推荐目录!F:F,'Cogeneration&amp;Waste Heat Recover'!$A$1,工业节能技术装备推荐目录!A:A,"2021")</f>
        <v>0</v>
      </c>
      <c r="P7" s="73">
        <f>SUMIFS(工业节能技术装备推荐目录!K:K,工业节能技术装备推荐目录!D:D,'Cogeneration&amp;Waste Heat Recover'!A7,工业节能技术装备推荐目录!F:F,'Cogeneration&amp;Waste Heat Recover'!$A$1,工业节能技术装备推荐目录!A:A,"2020")+SUMIFS(工业节能技术装备推荐目录!K:K,工业节能技术装备推荐目录!D:D,'Cogeneration&amp;Waste Heat Recover'!A7,工业节能技术装备推荐目录!F:F,'Cogeneration&amp;Waste Heat Recover'!$A$1,工业节能技术装备推荐目录!A:A,"2021")+SUMIFS(工业节能技术装备推荐目录!K:K,工业节能技术装备推荐目录!D:D,'Cogeneration&amp;Waste Heat Recover'!A7,工业节能技术装备推荐目录!F:F,'Cogeneration&amp;Waste Heat Recover'!$A$1,工业节能技术装备推荐目录!A:A,"2022")</f>
        <v>0</v>
      </c>
      <c r="Q7" s="73">
        <f>SUMIFS(工业节能技术装备推荐目录!K:K,工业节能技术装备推荐目录!D:D,'Cogeneration&amp;Waste Heat Recover'!A7,工业节能技术装备推荐目录!F:F,'Cogeneration&amp;Waste Heat Recover'!$A$1,工业节能技术装备推荐目录!A:A,"2020")+SUMIFS(工业节能技术装备推荐目录!K:K,工业节能技术装备推荐目录!D:D,'Cogeneration&amp;Waste Heat Recover'!A7,工业节能技术装备推荐目录!F:F,'Cogeneration&amp;Waste Heat Recover'!$A$1,工业节能技术装备推荐目录!A:A,"2021")+SUMIFS(工业节能技术装备推荐目录!K:K,工业节能技术装备推荐目录!D:D,'Cogeneration&amp;Waste Heat Recover'!A7,工业节能技术装备推荐目录!F:F,'Cogeneration&amp;Waste Heat Recover'!$A$1,工业节能技术装备推荐目录!A:A,"2022")</f>
        <v>0</v>
      </c>
      <c r="R7" s="73">
        <f>SUMIFS(工业节能技术装备推荐目录!K:K,工业节能技术装备推荐目录!D:D,'Cogeneration&amp;Waste Heat Recover'!A7,工业节能技术装备推荐目录!F:F,'Cogeneration&amp;Waste Heat Recover'!$A$1,工业节能技术装备推荐目录!A:A,"2020")+SUMIFS(工业节能技术装备推荐目录!K:K,工业节能技术装备推荐目录!D:D,'Cogeneration&amp;Waste Heat Recover'!A7,工业节能技术装备推荐目录!F:F,'Cogeneration&amp;Waste Heat Recover'!$A$1,工业节能技术装备推荐目录!A:A,"2022")</f>
        <v>0</v>
      </c>
      <c r="S7" s="73">
        <f>SUMIFS(工业节能技术装备推荐目录!K:K,工业节能技术装备推荐目录!D:D,'Cogeneration&amp;Waste Heat Recover'!A7,工业节能技术装备推荐目录!F:F,'Cogeneration&amp;Waste Heat Recover'!$A$1,工业节能技术装备推荐目录!A:A,"2022")</f>
        <v>0</v>
      </c>
      <c r="T7" s="73">
        <f>SUMIFS(工业节能技术装备推荐目录!K:K,工业节能技术装备推荐目录!D:D,'Cogeneration&amp;Waste Heat Recover'!A7,工业节能技术装备推荐目录!F:F,'Cogeneration&amp;Waste Heat Recover'!$A$1,工业节能技术装备推荐目录!A:A,"2022")</f>
        <v>0</v>
      </c>
    </row>
    <row r="8" spans="1:20" x14ac:dyDescent="0.15">
      <c r="A8" s="26" t="s">
        <v>72</v>
      </c>
      <c r="B8" s="50">
        <f>SUMIFS(工业节能技术装备推荐目录!L:L,工业节能技术装备推荐目录!D:D,'Cogeneration&amp;Waste Heat Recover'!A8,工业节能技术装备推荐目录!F:F,'Cogeneration&amp;Waste Heat Recover'!$A$1)+SUMIFS(用能设备节能分配!R:R,用能设备节能分配!O:O,'Cogeneration&amp;Waste Heat Recover'!A8,用能设备节能分配!P:P,'Cogeneration&amp;Waste Heat Recover'!$A$1)</f>
        <v>166.59098202476142</v>
      </c>
      <c r="C8" s="73">
        <f>SUMIFS(工业节能技术装备推荐目录!K:K,工业节能技术装备推荐目录!D:D,'Cogeneration&amp;Waste Heat Recover'!A8,工业节能技术装备推荐目录!F:F,'Cogeneration&amp;Waste Heat Recover'!$A$1,工业节能技术装备推荐目录!A:A,"2020")+SUMIFS(用能设备节能分配!Q:Q,用能设备节能分配!O:O,'Cogeneration&amp;Waste Heat Recover'!A8,用能设备节能分配!P:P,'Cogeneration&amp;Waste Heat Recover'!$A$1,用能设备节能分配!M:M,"2020")</f>
        <v>1.6806902269829485</v>
      </c>
      <c r="D8" s="73">
        <f>SUMIFS(工业节能技术装备推荐目录!K:K,工业节能技术装备推荐目录!D:D,'Cogeneration&amp;Waste Heat Recover'!A8,工业节能技术装备推荐目录!F:F,'Cogeneration&amp;Waste Heat Recover'!$A$1,工业节能技术装备推荐目录!A:A,"2020")+SUMIFS(用能设备节能分配!Q:Q,用能设备节能分配!O:O,'Cogeneration&amp;Waste Heat Recover'!A8,用能设备节能分配!P:P,'Cogeneration&amp;Waste Heat Recover'!$A$1,用能设备节能分配!M:M,"2020")+SUMIFS(工业节能技术装备推荐目录!K:K,工业节能技术装备推荐目录!D:D,'Cogeneration&amp;Waste Heat Recover'!A8,工业节能技术装备推荐目录!F:F,'Cogeneration&amp;Waste Heat Recover'!$A$1,工业节能技术装备推荐目录!A:A,"2021")+SUMIFS(用能设备节能分配!Q:Q,用能设备节能分配!O:O,'Cogeneration&amp;Waste Heat Recover'!A8,用能设备节能分配!P:P,'Cogeneration&amp;Waste Heat Recover'!$A$1,用能设备节能分配!M:M,"2021")</f>
        <v>6.3386840892472804</v>
      </c>
      <c r="E8" s="73">
        <f>SUMIFS(工业节能技术装备推荐目录!K:K,工业节能技术装备推荐目录!D:D,'Cogeneration&amp;Waste Heat Recover'!A8,工业节能技术装备推荐目录!F:F,'Cogeneration&amp;Waste Heat Recover'!$A$1,工业节能技术装备推荐目录!A:A,"2020")+SUMIFS(用能设备节能分配!Q:Q,用能设备节能分配!O:O,'Cogeneration&amp;Waste Heat Recover'!A8,用能设备节能分配!P:P,'Cogeneration&amp;Waste Heat Recover'!$A$1,用能设备节能分配!M:M,"2020")+SUMIFS(工业节能技术装备推荐目录!K:K,工业节能技术装备推荐目录!D:D,'Cogeneration&amp;Waste Heat Recover'!A8,工业节能技术装备推荐目录!F:F,'Cogeneration&amp;Waste Heat Recover'!$A$1,工业节能技术装备推荐目录!A:A,"2021")+SUMIFS(用能设备节能分配!Q:Q,用能设备节能分配!O:O,'Cogeneration&amp;Waste Heat Recover'!A8,用能设备节能分配!P:P,'Cogeneration&amp;Waste Heat Recover'!$A$1,用能设备节能分配!M:M,"2021")+SUMIFS(工业节能技术装备推荐目录!K:K,工业节能技术装备推荐目录!D:D,'Cogeneration&amp;Waste Heat Recover'!A8,工业节能技术装备推荐目录!F:F,'Cogeneration&amp;Waste Heat Recover'!$A$1,工业节能技术装备推荐目录!A:A,"2022")+SUMIFS(用能设备节能分配!Q:Q,用能设备节能分配!O:O,'Cogeneration&amp;Waste Heat Recover'!A8,用能设备节能分配!P:P,'Cogeneration&amp;Waste Heat Recover'!$A$1,用能设备节能分配!M:M,"2022")</f>
        <v>6.8746536856599825</v>
      </c>
      <c r="F8" s="73">
        <f>SUMIFS(工业节能技术装备推荐目录!K:K,工业节能技术装备推荐目录!D:D,'Cogeneration&amp;Waste Heat Recover'!A8,工业节能技术装备推荐目录!F:F,'Cogeneration&amp;Waste Heat Recover'!$A$1,工业节能技术装备推荐目录!A:A,"2020")+SUMIFS(用能设备节能分配!Q:Q,用能设备节能分配!O:O,'Cogeneration&amp;Waste Heat Recover'!A8,用能设备节能分配!P:P,'Cogeneration&amp;Waste Heat Recover'!$A$1,用能设备节能分配!M:M,"2020")+SUMIFS(工业节能技术装备推荐目录!K:K,工业节能技术装备推荐目录!D:D,'Cogeneration&amp;Waste Heat Recover'!A8,工业节能技术装备推荐目录!F:F,'Cogeneration&amp;Waste Heat Recover'!$A$1,工业节能技术装备推荐目录!A:A,"2021")+SUMIFS(用能设备节能分配!Q:Q,用能设备节能分配!O:O,'Cogeneration&amp;Waste Heat Recover'!A8,用能设备节能分配!P:P,'Cogeneration&amp;Waste Heat Recover'!$A$1,用能设备节能分配!M:M,"2021")+SUMIFS(工业节能技术装备推荐目录!K:K,工业节能技术装备推荐目录!D:D,'Cogeneration&amp;Waste Heat Recover'!A8,工业节能技术装备推荐目录!F:F,'Cogeneration&amp;Waste Heat Recover'!$A$1,工业节能技术装备推荐目录!A:A,"2022")+SUMIFS(用能设备节能分配!Q:Q,用能设备节能分配!O:O,'Cogeneration&amp;Waste Heat Recover'!A8,用能设备节能分配!P:P,'Cogeneration&amp;Waste Heat Recover'!$A$1,用能设备节能分配!M:M,"2022")</f>
        <v>6.8746536856599825</v>
      </c>
      <c r="G8" s="73">
        <f>SUMIFS(工业节能技术装备推荐目录!K:K,工业节能技术装备推荐目录!D:D,'Cogeneration&amp;Waste Heat Recover'!A8,工业节能技术装备推荐目录!F:F,'Cogeneration&amp;Waste Heat Recover'!$A$1,工业节能技术装备推荐目录!A:A,"2020")+SUMIFS(用能设备节能分配!Q:Q,用能设备节能分配!O:O,'Cogeneration&amp;Waste Heat Recover'!A8,用能设备节能分配!P:P,'Cogeneration&amp;Waste Heat Recover'!$A$1,用能设备节能分配!M:M,"2020")+SUMIFS(工业节能技术装备推荐目录!K:K,工业节能技术装备推荐目录!D:D,'Cogeneration&amp;Waste Heat Recover'!A8,工业节能技术装备推荐目录!F:F,'Cogeneration&amp;Waste Heat Recover'!$A$1,工业节能技术装备推荐目录!A:A,"2022")+SUMIFS(用能设备节能分配!Q:Q,用能设备节能分配!O:O,'Cogeneration&amp;Waste Heat Recover'!A8,用能设备节能分配!P:P,'Cogeneration&amp;Waste Heat Recover'!$A$1,用能设备节能分配!M:M,"2022")</f>
        <v>2.2166598233956503</v>
      </c>
      <c r="H8" s="73">
        <f>SUMIFS(工业节能技术装备推荐目录!K:K,工业节能技术装备推荐目录!D:D,'Cogeneration&amp;Waste Heat Recover'!A8,工业节能技术装备推荐目录!F:F,'Cogeneration&amp;Waste Heat Recover'!$A$1,工业节能技术装备推荐目录!A:A,"2022")+SUMIFS(用能设备节能分配!Q:Q,用能设备节能分配!O:O,'Cogeneration&amp;Waste Heat Recover'!A8,用能设备节能分配!P:P,'Cogeneration&amp;Waste Heat Recover'!$A$1,用能设备节能分配!M:M,"2022")</f>
        <v>0.5359695964127017</v>
      </c>
      <c r="I8" s="73">
        <f>SUMIFS(工业节能技术装备推荐目录!K:K,工业节能技术装备推荐目录!D:D,'Cogeneration&amp;Waste Heat Recover'!A8,工业节能技术装备推荐目录!F:F,'Cogeneration&amp;Waste Heat Recover'!$A$1,工业节能技术装备推荐目录!A:A,"2022")+SUMIFS(用能设备节能分配!Q:Q,用能设备节能分配!O:O,'Cogeneration&amp;Waste Heat Recover'!A8,用能设备节能分配!P:P,'Cogeneration&amp;Waste Heat Recover'!$A$1,用能设备节能分配!M:M,"2022")</f>
        <v>0.5359695964127017</v>
      </c>
      <c r="K8" s="52"/>
      <c r="L8" s="26" t="s">
        <v>72</v>
      </c>
      <c r="M8" s="50">
        <f>SUMIFS(工业节能技术装备推荐目录!L:L,工业节能技术装备推荐目录!D:D,'Cogeneration&amp;Waste Heat Recover'!A8,工业节能技术装备推荐目录!F:F,'Cogeneration&amp;Waste Heat Recover'!$A$1)</f>
        <v>150</v>
      </c>
      <c r="N8" s="73">
        <f>SUMIFS(工业节能技术装备推荐目录!K:K,工业节能技术装备推荐目录!D:D,'Cogeneration&amp;Waste Heat Recover'!A8,工业节能技术装备推荐目录!F:F,'Cogeneration&amp;Waste Heat Recover'!$A$1,工业节能技术装备推荐目录!A:A,"2020")</f>
        <v>0</v>
      </c>
      <c r="O8" s="73">
        <f>SUMIFS(工业节能技术装备推荐目录!K:K,工业节能技术装备推荐目录!D:D,'Cogeneration&amp;Waste Heat Recover'!A8,工业节能技术装备推荐目录!F:F,'Cogeneration&amp;Waste Heat Recover'!$A$1,工业节能技术装备推荐目录!A:A,"2020")+SUMIFS(工业节能技术装备推荐目录!K:K,工业节能技术装备推荐目录!D:D,'Cogeneration&amp;Waste Heat Recover'!A8,工业节能技术装备推荐目录!F:F,'Cogeneration&amp;Waste Heat Recover'!$A$1,工业节能技术装备推荐目录!A:A,"2021")</f>
        <v>4.6500000000000004</v>
      </c>
      <c r="P8" s="73">
        <f>SUMIFS(工业节能技术装备推荐目录!K:K,工业节能技术装备推荐目录!D:D,'Cogeneration&amp;Waste Heat Recover'!A8,工业节能技术装备推荐目录!F:F,'Cogeneration&amp;Waste Heat Recover'!$A$1,工业节能技术装备推荐目录!A:A,"2020")+SUMIFS(工业节能技术装备推荐目录!K:K,工业节能技术装备推荐目录!D:D,'Cogeneration&amp;Waste Heat Recover'!A8,工业节能技术装备推荐目录!F:F,'Cogeneration&amp;Waste Heat Recover'!$A$1,工业节能技术装备推荐目录!A:A,"2021")+SUMIFS(工业节能技术装备推荐目录!K:K,工业节能技术装备推荐目录!D:D,'Cogeneration&amp;Waste Heat Recover'!A8,工业节能技术装备推荐目录!F:F,'Cogeneration&amp;Waste Heat Recover'!$A$1,工业节能技术装备推荐目录!A:A,"2022")</f>
        <v>4.6500000000000004</v>
      </c>
      <c r="Q8" s="73">
        <f>SUMIFS(工业节能技术装备推荐目录!K:K,工业节能技术装备推荐目录!D:D,'Cogeneration&amp;Waste Heat Recover'!A8,工业节能技术装备推荐目录!F:F,'Cogeneration&amp;Waste Heat Recover'!$A$1,工业节能技术装备推荐目录!A:A,"2020")+SUMIFS(工业节能技术装备推荐目录!K:K,工业节能技术装备推荐目录!D:D,'Cogeneration&amp;Waste Heat Recover'!A8,工业节能技术装备推荐目录!F:F,'Cogeneration&amp;Waste Heat Recover'!$A$1,工业节能技术装备推荐目录!A:A,"2021")+SUMIFS(工业节能技术装备推荐目录!K:K,工业节能技术装备推荐目录!D:D,'Cogeneration&amp;Waste Heat Recover'!A8,工业节能技术装备推荐目录!F:F,'Cogeneration&amp;Waste Heat Recover'!$A$1,工业节能技术装备推荐目录!A:A,"2022")</f>
        <v>4.6500000000000004</v>
      </c>
      <c r="R8" s="73">
        <f>SUMIFS(工业节能技术装备推荐目录!K:K,工业节能技术装备推荐目录!D:D,'Cogeneration&amp;Waste Heat Recover'!A8,工业节能技术装备推荐目录!F:F,'Cogeneration&amp;Waste Heat Recover'!$A$1,工业节能技术装备推荐目录!A:A,"2020")+SUMIFS(工业节能技术装备推荐目录!K:K,工业节能技术装备推荐目录!D:D,'Cogeneration&amp;Waste Heat Recover'!A8,工业节能技术装备推荐目录!F:F,'Cogeneration&amp;Waste Heat Recover'!$A$1,工业节能技术装备推荐目录!A:A,"2022")</f>
        <v>0</v>
      </c>
      <c r="S8" s="73">
        <f>SUMIFS(工业节能技术装备推荐目录!K:K,工业节能技术装备推荐目录!D:D,'Cogeneration&amp;Waste Heat Recover'!A8,工业节能技术装备推荐目录!F:F,'Cogeneration&amp;Waste Heat Recover'!$A$1,工业节能技术装备推荐目录!A:A,"2022")</f>
        <v>0</v>
      </c>
      <c r="T8" s="73">
        <f>SUMIFS(工业节能技术装备推荐目录!K:K,工业节能技术装备推荐目录!D:D,'Cogeneration&amp;Waste Heat Recover'!A8,工业节能技术装备推荐目录!F:F,'Cogeneration&amp;Waste Heat Recover'!$A$1,工业节能技术装备推荐目录!A:A,"2022")</f>
        <v>0</v>
      </c>
    </row>
    <row r="9" spans="1:20" x14ac:dyDescent="0.15">
      <c r="A9" s="26" t="s">
        <v>38</v>
      </c>
      <c r="B9" s="50">
        <f>SUMIFS(工业节能技术装备推荐目录!L:L,工业节能技术装备推荐目录!D:D,'Cogeneration&amp;Waste Heat Recover'!A9,工业节能技术装备推荐目录!F:F,'Cogeneration&amp;Waste Heat Recover'!$A$1)+SUMIFS(用能设备节能分配!R:R,用能设备节能分配!O:O,'Cogeneration&amp;Waste Heat Recover'!A9,用能设备节能分配!P:P,'Cogeneration&amp;Waste Heat Recover'!$A$1)</f>
        <v>0</v>
      </c>
      <c r="C9" s="73">
        <f>SUMIFS(工业节能技术装备推荐目录!K:K,工业节能技术装备推荐目录!D:D,'Cogeneration&amp;Waste Heat Recover'!A9,工业节能技术装备推荐目录!F:F,'Cogeneration&amp;Waste Heat Recover'!$A$1,工业节能技术装备推荐目录!A:A,"2020")+SUMIFS(用能设备节能分配!Q:Q,用能设备节能分配!O:O,'Cogeneration&amp;Waste Heat Recover'!A9,用能设备节能分配!P:P,'Cogeneration&amp;Waste Heat Recover'!$A$1,用能设备节能分配!M:M,"2020")</f>
        <v>0</v>
      </c>
      <c r="D9" s="73">
        <f>SUMIFS(工业节能技术装备推荐目录!K:K,工业节能技术装备推荐目录!D:D,'Cogeneration&amp;Waste Heat Recover'!A9,工业节能技术装备推荐目录!F:F,'Cogeneration&amp;Waste Heat Recover'!$A$1,工业节能技术装备推荐目录!A:A,"2020")+SUMIFS(用能设备节能分配!Q:Q,用能设备节能分配!O:O,'Cogeneration&amp;Waste Heat Recover'!A9,用能设备节能分配!P:P,'Cogeneration&amp;Waste Heat Recover'!$A$1,用能设备节能分配!M:M,"2020")+SUMIFS(工业节能技术装备推荐目录!K:K,工业节能技术装备推荐目录!D:D,'Cogeneration&amp;Waste Heat Recover'!A9,工业节能技术装备推荐目录!F:F,'Cogeneration&amp;Waste Heat Recover'!$A$1,工业节能技术装备推荐目录!A:A,"2021")+SUMIFS(用能设备节能分配!Q:Q,用能设备节能分配!O:O,'Cogeneration&amp;Waste Heat Recover'!A9,用能设备节能分配!P:P,'Cogeneration&amp;Waste Heat Recover'!$A$1,用能设备节能分配!M:M,"2021")</f>
        <v>0</v>
      </c>
      <c r="E9" s="73">
        <f>SUMIFS(工业节能技术装备推荐目录!K:K,工业节能技术装备推荐目录!D:D,'Cogeneration&amp;Waste Heat Recover'!A9,工业节能技术装备推荐目录!F:F,'Cogeneration&amp;Waste Heat Recover'!$A$1,工业节能技术装备推荐目录!A:A,"2020")+SUMIFS(用能设备节能分配!Q:Q,用能设备节能分配!O:O,'Cogeneration&amp;Waste Heat Recover'!A9,用能设备节能分配!P:P,'Cogeneration&amp;Waste Heat Recover'!$A$1,用能设备节能分配!M:M,"2020")+SUMIFS(工业节能技术装备推荐目录!K:K,工业节能技术装备推荐目录!D:D,'Cogeneration&amp;Waste Heat Recover'!A9,工业节能技术装备推荐目录!F:F,'Cogeneration&amp;Waste Heat Recover'!$A$1,工业节能技术装备推荐目录!A:A,"2021")+SUMIFS(用能设备节能分配!Q:Q,用能设备节能分配!O:O,'Cogeneration&amp;Waste Heat Recover'!A9,用能设备节能分配!P:P,'Cogeneration&amp;Waste Heat Recover'!$A$1,用能设备节能分配!M:M,"2021")+SUMIFS(工业节能技术装备推荐目录!K:K,工业节能技术装备推荐目录!D:D,'Cogeneration&amp;Waste Heat Recover'!A9,工业节能技术装备推荐目录!F:F,'Cogeneration&amp;Waste Heat Recover'!$A$1,工业节能技术装备推荐目录!A:A,"2022")+SUMIFS(用能设备节能分配!Q:Q,用能设备节能分配!O:O,'Cogeneration&amp;Waste Heat Recover'!A9,用能设备节能分配!P:P,'Cogeneration&amp;Waste Heat Recover'!$A$1,用能设备节能分配!M:M,"2022")</f>
        <v>0</v>
      </c>
      <c r="F9" s="73">
        <f>SUMIFS(工业节能技术装备推荐目录!K:K,工业节能技术装备推荐目录!D:D,'Cogeneration&amp;Waste Heat Recover'!A9,工业节能技术装备推荐目录!F:F,'Cogeneration&amp;Waste Heat Recover'!$A$1,工业节能技术装备推荐目录!A:A,"2020")+SUMIFS(用能设备节能分配!Q:Q,用能设备节能分配!O:O,'Cogeneration&amp;Waste Heat Recover'!A9,用能设备节能分配!P:P,'Cogeneration&amp;Waste Heat Recover'!$A$1,用能设备节能分配!M:M,"2020")+SUMIFS(工业节能技术装备推荐目录!K:K,工业节能技术装备推荐目录!D:D,'Cogeneration&amp;Waste Heat Recover'!A9,工业节能技术装备推荐目录!F:F,'Cogeneration&amp;Waste Heat Recover'!$A$1,工业节能技术装备推荐目录!A:A,"2021")+SUMIFS(用能设备节能分配!Q:Q,用能设备节能分配!O:O,'Cogeneration&amp;Waste Heat Recover'!A9,用能设备节能分配!P:P,'Cogeneration&amp;Waste Heat Recover'!$A$1,用能设备节能分配!M:M,"2021")+SUMIFS(工业节能技术装备推荐目录!K:K,工业节能技术装备推荐目录!D:D,'Cogeneration&amp;Waste Heat Recover'!A9,工业节能技术装备推荐目录!F:F,'Cogeneration&amp;Waste Heat Recover'!$A$1,工业节能技术装备推荐目录!A:A,"2022")+SUMIFS(用能设备节能分配!Q:Q,用能设备节能分配!O:O,'Cogeneration&amp;Waste Heat Recover'!A9,用能设备节能分配!P:P,'Cogeneration&amp;Waste Heat Recover'!$A$1,用能设备节能分配!M:M,"2022")</f>
        <v>0</v>
      </c>
      <c r="G9" s="73">
        <f>SUMIFS(工业节能技术装备推荐目录!K:K,工业节能技术装备推荐目录!D:D,'Cogeneration&amp;Waste Heat Recover'!A9,工业节能技术装备推荐目录!F:F,'Cogeneration&amp;Waste Heat Recover'!$A$1,工业节能技术装备推荐目录!A:A,"2020")+SUMIFS(用能设备节能分配!Q:Q,用能设备节能分配!O:O,'Cogeneration&amp;Waste Heat Recover'!A9,用能设备节能分配!P:P,'Cogeneration&amp;Waste Heat Recover'!$A$1,用能设备节能分配!M:M,"2020")+SUMIFS(工业节能技术装备推荐目录!K:K,工业节能技术装备推荐目录!D:D,'Cogeneration&amp;Waste Heat Recover'!A9,工业节能技术装备推荐目录!F:F,'Cogeneration&amp;Waste Heat Recover'!$A$1,工业节能技术装备推荐目录!A:A,"2022")+SUMIFS(用能设备节能分配!Q:Q,用能设备节能分配!O:O,'Cogeneration&amp;Waste Heat Recover'!A9,用能设备节能分配!P:P,'Cogeneration&amp;Waste Heat Recover'!$A$1,用能设备节能分配!M:M,"2022")</f>
        <v>0</v>
      </c>
      <c r="H9" s="73">
        <f>SUMIFS(工业节能技术装备推荐目录!K:K,工业节能技术装备推荐目录!D:D,'Cogeneration&amp;Waste Heat Recover'!A9,工业节能技术装备推荐目录!F:F,'Cogeneration&amp;Waste Heat Recover'!$A$1,工业节能技术装备推荐目录!A:A,"2022")+SUMIFS(用能设备节能分配!Q:Q,用能设备节能分配!O:O,'Cogeneration&amp;Waste Heat Recover'!A9,用能设备节能分配!P:P,'Cogeneration&amp;Waste Heat Recover'!$A$1,用能设备节能分配!M:M,"2022")</f>
        <v>0</v>
      </c>
      <c r="I9" s="73">
        <f>SUMIFS(工业节能技术装备推荐目录!K:K,工业节能技术装备推荐目录!D:D,'Cogeneration&amp;Waste Heat Recover'!A9,工业节能技术装备推荐目录!F:F,'Cogeneration&amp;Waste Heat Recover'!$A$1,工业节能技术装备推荐目录!A:A,"2022")+SUMIFS(用能设备节能分配!Q:Q,用能设备节能分配!O:O,'Cogeneration&amp;Waste Heat Recover'!A9,用能设备节能分配!P:P,'Cogeneration&amp;Waste Heat Recover'!$A$1,用能设备节能分配!M:M,"2022")</f>
        <v>0</v>
      </c>
      <c r="K9" s="52"/>
      <c r="L9" s="26" t="s">
        <v>38</v>
      </c>
      <c r="M9" s="50">
        <f>SUMIFS(工业节能技术装备推荐目录!L:L,工业节能技术装备推荐目录!D:D,'Cogeneration&amp;Waste Heat Recover'!A9,工业节能技术装备推荐目录!F:F,'Cogeneration&amp;Waste Heat Recover'!$A$1)</f>
        <v>0</v>
      </c>
      <c r="N9" s="73">
        <f>SUMIFS(工业节能技术装备推荐目录!K:K,工业节能技术装备推荐目录!D:D,'Cogeneration&amp;Waste Heat Recover'!A9,工业节能技术装备推荐目录!F:F,'Cogeneration&amp;Waste Heat Recover'!$A$1,工业节能技术装备推荐目录!A:A,"2020")</f>
        <v>0</v>
      </c>
      <c r="O9" s="73">
        <f>SUMIFS(工业节能技术装备推荐目录!K:K,工业节能技术装备推荐目录!D:D,'Cogeneration&amp;Waste Heat Recover'!A9,工业节能技术装备推荐目录!F:F,'Cogeneration&amp;Waste Heat Recover'!$A$1,工业节能技术装备推荐目录!A:A,"2020")+SUMIFS(工业节能技术装备推荐目录!K:K,工业节能技术装备推荐目录!D:D,'Cogeneration&amp;Waste Heat Recover'!A9,工业节能技术装备推荐目录!F:F,'Cogeneration&amp;Waste Heat Recover'!$A$1,工业节能技术装备推荐目录!A:A,"2021")</f>
        <v>0</v>
      </c>
      <c r="P9" s="73">
        <f>SUMIFS(工业节能技术装备推荐目录!K:K,工业节能技术装备推荐目录!D:D,'Cogeneration&amp;Waste Heat Recover'!A9,工业节能技术装备推荐目录!F:F,'Cogeneration&amp;Waste Heat Recover'!$A$1,工业节能技术装备推荐目录!A:A,"2020")+SUMIFS(工业节能技术装备推荐目录!K:K,工业节能技术装备推荐目录!D:D,'Cogeneration&amp;Waste Heat Recover'!A9,工业节能技术装备推荐目录!F:F,'Cogeneration&amp;Waste Heat Recover'!$A$1,工业节能技术装备推荐目录!A:A,"2021")+SUMIFS(工业节能技术装备推荐目录!K:K,工业节能技术装备推荐目录!D:D,'Cogeneration&amp;Waste Heat Recover'!A9,工业节能技术装备推荐目录!F:F,'Cogeneration&amp;Waste Heat Recover'!$A$1,工业节能技术装备推荐目录!A:A,"2022")</f>
        <v>0</v>
      </c>
      <c r="Q9" s="73">
        <f>SUMIFS(工业节能技术装备推荐目录!K:K,工业节能技术装备推荐目录!D:D,'Cogeneration&amp;Waste Heat Recover'!A9,工业节能技术装备推荐目录!F:F,'Cogeneration&amp;Waste Heat Recover'!$A$1,工业节能技术装备推荐目录!A:A,"2020")+SUMIFS(工业节能技术装备推荐目录!K:K,工业节能技术装备推荐目录!D:D,'Cogeneration&amp;Waste Heat Recover'!A9,工业节能技术装备推荐目录!F:F,'Cogeneration&amp;Waste Heat Recover'!$A$1,工业节能技术装备推荐目录!A:A,"2021")+SUMIFS(工业节能技术装备推荐目录!K:K,工业节能技术装备推荐目录!D:D,'Cogeneration&amp;Waste Heat Recover'!A9,工业节能技术装备推荐目录!F:F,'Cogeneration&amp;Waste Heat Recover'!$A$1,工业节能技术装备推荐目录!A:A,"2022")</f>
        <v>0</v>
      </c>
      <c r="R9" s="73">
        <f>SUMIFS(工业节能技术装备推荐目录!K:K,工业节能技术装备推荐目录!D:D,'Cogeneration&amp;Waste Heat Recover'!A9,工业节能技术装备推荐目录!F:F,'Cogeneration&amp;Waste Heat Recover'!$A$1,工业节能技术装备推荐目录!A:A,"2020")+SUMIFS(工业节能技术装备推荐目录!K:K,工业节能技术装备推荐目录!D:D,'Cogeneration&amp;Waste Heat Recover'!A9,工业节能技术装备推荐目录!F:F,'Cogeneration&amp;Waste Heat Recover'!$A$1,工业节能技术装备推荐目录!A:A,"2022")</f>
        <v>0</v>
      </c>
      <c r="S9" s="73">
        <f>SUMIFS(工业节能技术装备推荐目录!K:K,工业节能技术装备推荐目录!D:D,'Cogeneration&amp;Waste Heat Recover'!A9,工业节能技术装备推荐目录!F:F,'Cogeneration&amp;Waste Heat Recover'!$A$1,工业节能技术装备推荐目录!A:A,"2022")</f>
        <v>0</v>
      </c>
      <c r="T9" s="73">
        <f>SUMIFS(工业节能技术装备推荐目录!K:K,工业节能技术装备推荐目录!D:D,'Cogeneration&amp;Waste Heat Recover'!A9,工业节能技术装备推荐目录!F:F,'Cogeneration&amp;Waste Heat Recover'!$A$1,工业节能技术装备推荐目录!A:A,"2022")</f>
        <v>0</v>
      </c>
    </row>
    <row r="10" spans="1:20" x14ac:dyDescent="0.15">
      <c r="A10" s="26" t="s">
        <v>68</v>
      </c>
      <c r="B10" s="50">
        <f>SUMIFS(工业节能技术装备推荐目录!L:L,工业节能技术装备推荐目录!D:D,'Cogeneration&amp;Waste Heat Recover'!A10,工业节能技术装备推荐目录!F:F,'Cogeneration&amp;Waste Heat Recover'!$A$1)+SUMIFS(用能设备节能分配!R:R,用能设备节能分配!O:O,'Cogeneration&amp;Waste Heat Recover'!A10,用能设备节能分配!P:P,'Cogeneration&amp;Waste Heat Recover'!$A$1)</f>
        <v>10.953513489934831</v>
      </c>
      <c r="C10" s="73">
        <f>SUMIFS(工业节能技术装备推荐目录!K:K,工业节能技术装备推荐目录!D:D,'Cogeneration&amp;Waste Heat Recover'!A10,工业节能技术装备推荐目录!F:F,'Cogeneration&amp;Waste Heat Recover'!$A$1,工业节能技术装备推荐目录!A:A,"2020")+SUMIFS(用能设备节能分配!Q:Q,用能设备节能分配!O:O,'Cogeneration&amp;Waste Heat Recover'!A10,用能设备节能分配!P:P,'Cogeneration&amp;Waste Heat Recover'!$A$1,用能设备节能分配!M:M,"2020")</f>
        <v>1.1096065950878566</v>
      </c>
      <c r="D10" s="73">
        <f>SUMIFS(工业节能技术装备推荐目录!K:K,工业节能技术装备推荐目录!D:D,'Cogeneration&amp;Waste Heat Recover'!A10,工业节能技术装备推荐目录!F:F,'Cogeneration&amp;Waste Heat Recover'!$A$1,工业节能技术装备推荐目录!A:A,"2020")+SUMIFS(用能设备节能分配!Q:Q,用能设备节能分配!O:O,'Cogeneration&amp;Waste Heat Recover'!A10,用能设备节能分配!P:P,'Cogeneration&amp;Waste Heat Recover'!$A$1,用能设备节能分配!M:M,"2020")+SUMIFS(工业节能技术装备推荐目录!K:K,工业节能技术装备推荐目录!D:D,'Cogeneration&amp;Waste Heat Recover'!A10,工业节能技术装备推荐目录!F:F,'Cogeneration&amp;Waste Heat Recover'!$A$1,工业节能技术装备推荐目录!A:A,"2021")+SUMIFS(用能设备节能分配!Q:Q,用能设备节能分配!O:O,'Cogeneration&amp;Waste Heat Recover'!A10,用能设备节能分配!P:P,'Cogeneration&amp;Waste Heat Recover'!$A$1,用能设备节能分配!M:M,"2021")</f>
        <v>1.1148842138580031</v>
      </c>
      <c r="E10" s="73">
        <f>SUMIFS(工业节能技术装备推荐目录!K:K,工业节能技术装备推荐目录!D:D,'Cogeneration&amp;Waste Heat Recover'!A10,工业节能技术装备推荐目录!F:F,'Cogeneration&amp;Waste Heat Recover'!$A$1,工业节能技术装备推荐目录!A:A,"2020")+SUMIFS(用能设备节能分配!Q:Q,用能设备节能分配!O:O,'Cogeneration&amp;Waste Heat Recover'!A10,用能设备节能分配!P:P,'Cogeneration&amp;Waste Heat Recover'!$A$1,用能设备节能分配!M:M,"2020")+SUMIFS(工业节能技术装备推荐目录!K:K,工业节能技术装备推荐目录!D:D,'Cogeneration&amp;Waste Heat Recover'!A10,工业节能技术装备推荐目录!F:F,'Cogeneration&amp;Waste Heat Recover'!$A$1,工业节能技术装备推荐目录!A:A,"2021")+SUMIFS(用能设备节能分配!Q:Q,用能设备节能分配!O:O,'Cogeneration&amp;Waste Heat Recover'!A10,用能设备节能分配!P:P,'Cogeneration&amp;Waste Heat Recover'!$A$1,用能设备节能分配!M:M,"2021")+SUMIFS(工业节能技术装备推荐目录!K:K,工业节能技术装备推荐目录!D:D,'Cogeneration&amp;Waste Heat Recover'!A10,工业节能技术装备推荐目录!F:F,'Cogeneration&amp;Waste Heat Recover'!$A$1,工业节能技术装备推荐目录!A:A,"2022")+SUMIFS(用能设备节能分配!Q:Q,用能设备节能分配!O:O,'Cogeneration&amp;Waste Heat Recover'!A10,用能设备节能分配!P:P,'Cogeneration&amp;Waste Heat Recover'!$A$1,用能设备节能分配!M:M,"2022")</f>
        <v>1.4687360953041755</v>
      </c>
      <c r="F10" s="73">
        <f>SUMIFS(工业节能技术装备推荐目录!K:K,工业节能技术装备推荐目录!D:D,'Cogeneration&amp;Waste Heat Recover'!A10,工业节能技术装备推荐目录!F:F,'Cogeneration&amp;Waste Heat Recover'!$A$1,工业节能技术装备推荐目录!A:A,"2020")+SUMIFS(用能设备节能分配!Q:Q,用能设备节能分配!O:O,'Cogeneration&amp;Waste Heat Recover'!A10,用能设备节能分配!P:P,'Cogeneration&amp;Waste Heat Recover'!$A$1,用能设备节能分配!M:M,"2020")+SUMIFS(工业节能技术装备推荐目录!K:K,工业节能技术装备推荐目录!D:D,'Cogeneration&amp;Waste Heat Recover'!A10,工业节能技术装备推荐目录!F:F,'Cogeneration&amp;Waste Heat Recover'!$A$1,工业节能技术装备推荐目录!A:A,"2021")+SUMIFS(用能设备节能分配!Q:Q,用能设备节能分配!O:O,'Cogeneration&amp;Waste Heat Recover'!A10,用能设备节能分配!P:P,'Cogeneration&amp;Waste Heat Recover'!$A$1,用能设备节能分配!M:M,"2021")+SUMIFS(工业节能技术装备推荐目录!K:K,工业节能技术装备推荐目录!D:D,'Cogeneration&amp;Waste Heat Recover'!A10,工业节能技术装备推荐目录!F:F,'Cogeneration&amp;Waste Heat Recover'!$A$1,工业节能技术装备推荐目录!A:A,"2022")+SUMIFS(用能设备节能分配!Q:Q,用能设备节能分配!O:O,'Cogeneration&amp;Waste Heat Recover'!A10,用能设备节能分配!P:P,'Cogeneration&amp;Waste Heat Recover'!$A$1,用能设备节能分配!M:M,"2022")</f>
        <v>1.4687360953041755</v>
      </c>
      <c r="G10" s="73">
        <f>SUMIFS(工业节能技术装备推荐目录!K:K,工业节能技术装备推荐目录!D:D,'Cogeneration&amp;Waste Heat Recover'!A10,工业节能技术装备推荐目录!F:F,'Cogeneration&amp;Waste Heat Recover'!$A$1,工业节能技术装备推荐目录!A:A,"2020")+SUMIFS(用能设备节能分配!Q:Q,用能设备节能分配!O:O,'Cogeneration&amp;Waste Heat Recover'!A10,用能设备节能分配!P:P,'Cogeneration&amp;Waste Heat Recover'!$A$1,用能设备节能分配!M:M,"2020")+SUMIFS(工业节能技术装备推荐目录!K:K,工业节能技术装备推荐目录!D:D,'Cogeneration&amp;Waste Heat Recover'!A10,工业节能技术装备推荐目录!F:F,'Cogeneration&amp;Waste Heat Recover'!$A$1,工业节能技术装备推荐目录!A:A,"2022")+SUMIFS(用能设备节能分配!Q:Q,用能设备节能分配!O:O,'Cogeneration&amp;Waste Heat Recover'!A10,用能设备节能分配!P:P,'Cogeneration&amp;Waste Heat Recover'!$A$1,用能设备节能分配!M:M,"2022")</f>
        <v>1.4634584765340288</v>
      </c>
      <c r="H10" s="73">
        <f>SUMIFS(工业节能技术装备推荐目录!K:K,工业节能技术装备推荐目录!D:D,'Cogeneration&amp;Waste Heat Recover'!A10,工业节能技术装备推荐目录!F:F,'Cogeneration&amp;Waste Heat Recover'!$A$1,工业节能技术装备推荐目录!A:A,"2022")+SUMIFS(用能设备节能分配!Q:Q,用能设备节能分配!O:O,'Cogeneration&amp;Waste Heat Recover'!A10,用能设备节能分配!P:P,'Cogeneration&amp;Waste Heat Recover'!$A$1,用能设备节能分配!M:M,"2022")</f>
        <v>0.3538518814461723</v>
      </c>
      <c r="I10" s="73">
        <f>SUMIFS(工业节能技术装备推荐目录!K:K,工业节能技术装备推荐目录!D:D,'Cogeneration&amp;Waste Heat Recover'!A10,工业节能技术装备推荐目录!F:F,'Cogeneration&amp;Waste Heat Recover'!$A$1,工业节能技术装备推荐目录!A:A,"2022")+SUMIFS(用能设备节能分配!Q:Q,用能设备节能分配!O:O,'Cogeneration&amp;Waste Heat Recover'!A10,用能设备节能分配!P:P,'Cogeneration&amp;Waste Heat Recover'!$A$1,用能设备节能分配!M:M,"2022")</f>
        <v>0.3538518814461723</v>
      </c>
      <c r="K10" s="52"/>
      <c r="L10" s="26" t="s">
        <v>68</v>
      </c>
      <c r="M10" s="50">
        <f>SUMIFS(工业节能技术装备推荐目录!L:L,工业节能技术装备推荐目录!D:D,'Cogeneration&amp;Waste Heat Recover'!A10,工业节能技术装备推荐目录!F:F,'Cogeneration&amp;Waste Heat Recover'!$A$1)</f>
        <v>0</v>
      </c>
      <c r="N10" s="73">
        <f>SUMIFS(工业节能技术装备推荐目录!K:K,工业节能技术装备推荐目录!D:D,'Cogeneration&amp;Waste Heat Recover'!A10,工业节能技术装备推荐目录!F:F,'Cogeneration&amp;Waste Heat Recover'!$A$1,工业节能技术装备推荐目录!A:A,"2020")</f>
        <v>0</v>
      </c>
      <c r="O10" s="73">
        <f>SUMIFS(工业节能技术装备推荐目录!K:K,工业节能技术装备推荐目录!D:D,'Cogeneration&amp;Waste Heat Recover'!A10,工业节能技术装备推荐目录!F:F,'Cogeneration&amp;Waste Heat Recover'!$A$1,工业节能技术装备推荐目录!A:A,"2020")+SUMIFS(工业节能技术装备推荐目录!K:K,工业节能技术装备推荐目录!D:D,'Cogeneration&amp;Waste Heat Recover'!A10,工业节能技术装备推荐目录!F:F,'Cogeneration&amp;Waste Heat Recover'!$A$1,工业节能技术装备推荐目录!A:A,"2021")</f>
        <v>0</v>
      </c>
      <c r="P10" s="73">
        <f>SUMIFS(工业节能技术装备推荐目录!K:K,工业节能技术装备推荐目录!D:D,'Cogeneration&amp;Waste Heat Recover'!A10,工业节能技术装备推荐目录!F:F,'Cogeneration&amp;Waste Heat Recover'!$A$1,工业节能技术装备推荐目录!A:A,"2020")+SUMIFS(工业节能技术装备推荐目录!K:K,工业节能技术装备推荐目录!D:D,'Cogeneration&amp;Waste Heat Recover'!A10,工业节能技术装备推荐目录!F:F,'Cogeneration&amp;Waste Heat Recover'!$A$1,工业节能技术装备推荐目录!A:A,"2021")+SUMIFS(工业节能技术装备推荐目录!K:K,工业节能技术装备推荐目录!D:D,'Cogeneration&amp;Waste Heat Recover'!A10,工业节能技术装备推荐目录!F:F,'Cogeneration&amp;Waste Heat Recover'!$A$1,工业节能技术装备推荐目录!A:A,"2022")</f>
        <v>0</v>
      </c>
      <c r="Q10" s="73">
        <f>SUMIFS(工业节能技术装备推荐目录!K:K,工业节能技术装备推荐目录!D:D,'Cogeneration&amp;Waste Heat Recover'!A10,工业节能技术装备推荐目录!F:F,'Cogeneration&amp;Waste Heat Recover'!$A$1,工业节能技术装备推荐目录!A:A,"2020")+SUMIFS(工业节能技术装备推荐目录!K:K,工业节能技术装备推荐目录!D:D,'Cogeneration&amp;Waste Heat Recover'!A10,工业节能技术装备推荐目录!F:F,'Cogeneration&amp;Waste Heat Recover'!$A$1,工业节能技术装备推荐目录!A:A,"2021")+SUMIFS(工业节能技术装备推荐目录!K:K,工业节能技术装备推荐目录!D:D,'Cogeneration&amp;Waste Heat Recover'!A10,工业节能技术装备推荐目录!F:F,'Cogeneration&amp;Waste Heat Recover'!$A$1,工业节能技术装备推荐目录!A:A,"2022")</f>
        <v>0</v>
      </c>
      <c r="R10" s="73">
        <f>SUMIFS(工业节能技术装备推荐目录!K:K,工业节能技术装备推荐目录!D:D,'Cogeneration&amp;Waste Heat Recover'!A10,工业节能技术装备推荐目录!F:F,'Cogeneration&amp;Waste Heat Recover'!$A$1,工业节能技术装备推荐目录!A:A,"2020")+SUMIFS(工业节能技术装备推荐目录!K:K,工业节能技术装备推荐目录!D:D,'Cogeneration&amp;Waste Heat Recover'!A10,工业节能技术装备推荐目录!F:F,'Cogeneration&amp;Waste Heat Recover'!$A$1,工业节能技术装备推荐目录!A:A,"2022")</f>
        <v>0</v>
      </c>
      <c r="S10" s="73">
        <f>SUMIFS(工业节能技术装备推荐目录!K:K,工业节能技术装备推荐目录!D:D,'Cogeneration&amp;Waste Heat Recover'!A10,工业节能技术装备推荐目录!F:F,'Cogeneration&amp;Waste Heat Recover'!$A$1,工业节能技术装备推荐目录!A:A,"2022")</f>
        <v>0</v>
      </c>
      <c r="T10" s="73">
        <f>SUMIFS(工业节能技术装备推荐目录!K:K,工业节能技术装备推荐目录!D:D,'Cogeneration&amp;Waste Heat Recover'!A10,工业节能技术装备推荐目录!F:F,'Cogeneration&amp;Waste Heat Recover'!$A$1,工业节能技术装备推荐目录!A:A,"2022")</f>
        <v>0</v>
      </c>
    </row>
    <row r="11" spans="1:20" x14ac:dyDescent="0.15">
      <c r="A11" s="26" t="s">
        <v>40</v>
      </c>
      <c r="B11" s="50">
        <f>SUMIFS(工业节能技术装备推荐目录!L:L,工业节能技术装备推荐目录!D:D,'Cogeneration&amp;Waste Heat Recover'!A11,工业节能技术装备推荐目录!F:F,'Cogeneration&amp;Waste Heat Recover'!$A$1)+SUMIFS(用能设备节能分配!R:R,用能设备节能分配!O:O,'Cogeneration&amp;Waste Heat Recover'!A11,用能设备节能分配!P:P,'Cogeneration&amp;Waste Heat Recover'!$A$1)</f>
        <v>4067.237595979755</v>
      </c>
      <c r="C11" s="73">
        <f>SUMIFS(工业节能技术装备推荐目录!K:K,工业节能技术装备推荐目录!D:D,'Cogeneration&amp;Waste Heat Recover'!A11,工业节能技术装备推荐目录!F:F,'Cogeneration&amp;Waste Heat Recover'!$A$1,工业节能技术装备推荐目录!A:A,"2020")+SUMIFS(用能设备节能分配!Q:Q,用能设备节能分配!O:O,'Cogeneration&amp;Waste Heat Recover'!A11,用能设备节能分配!P:P,'Cogeneration&amp;Waste Heat Recover'!$A$1,用能设备节能分配!M:M,"2020")</f>
        <v>55.205237652605405</v>
      </c>
      <c r="D11" s="73">
        <f>SUMIFS(工业节能技术装备推荐目录!K:K,工业节能技术装备推荐目录!D:D,'Cogeneration&amp;Waste Heat Recover'!A11,工业节能技术装备推荐目录!F:F,'Cogeneration&amp;Waste Heat Recover'!$A$1,工业节能技术装备推荐目录!A:A,"2020")+SUMIFS(用能设备节能分配!Q:Q,用能设备节能分配!O:O,'Cogeneration&amp;Waste Heat Recover'!A11,用能设备节能分配!P:P,'Cogeneration&amp;Waste Heat Recover'!$A$1,用能设备节能分配!M:M,"2020")+SUMIFS(工业节能技术装备推荐目录!K:K,工业节能技术装备推荐目录!D:D,'Cogeneration&amp;Waste Heat Recover'!A11,工业节能技术装备推荐目录!F:F,'Cogeneration&amp;Waste Heat Recover'!$A$1,工业节能技术装备推荐目录!A:A,"2021")+SUMIFS(用能设备节能分配!Q:Q,用能设备节能分配!O:O,'Cogeneration&amp;Waste Heat Recover'!A11,用能设备节能分配!P:P,'Cogeneration&amp;Waste Heat Recover'!$A$1,用能设备节能分配!M:M,"2021")</f>
        <v>162.00335832874092</v>
      </c>
      <c r="E11" s="73">
        <f>SUMIFS(工业节能技术装备推荐目录!K:K,工业节能技术装备推荐目录!D:D,'Cogeneration&amp;Waste Heat Recover'!A11,工业节能技术装备推荐目录!F:F,'Cogeneration&amp;Waste Heat Recover'!$A$1,工业节能技术装备推荐目录!A:A,"2020")+SUMIFS(用能设备节能分配!Q:Q,用能设备节能分配!O:O,'Cogeneration&amp;Waste Heat Recover'!A11,用能设备节能分配!P:P,'Cogeneration&amp;Waste Heat Recover'!$A$1,用能设备节能分配!M:M,"2020")+SUMIFS(工业节能技术装备推荐目录!K:K,工业节能技术装备推荐目录!D:D,'Cogeneration&amp;Waste Heat Recover'!A11,工业节能技术装备推荐目录!F:F,'Cogeneration&amp;Waste Heat Recover'!$A$1,工业节能技术装备推荐目录!A:A,"2021")+SUMIFS(用能设备节能分配!Q:Q,用能设备节能分配!O:O,'Cogeneration&amp;Waste Heat Recover'!A11,用能设备节能分配!P:P,'Cogeneration&amp;Waste Heat Recover'!$A$1,用能设备节能分配!M:M,"2021")+SUMIFS(工业节能技术装备推荐目录!K:K,工业节能技术装备推荐目录!D:D,'Cogeneration&amp;Waste Heat Recover'!A11,工业节能技术装备推荐目录!F:F,'Cogeneration&amp;Waste Heat Recover'!$A$1,工业节能技术装备推荐目录!A:A,"2022")+SUMIFS(用能设备节能分配!Q:Q,用能设备节能分配!O:O,'Cogeneration&amp;Waste Heat Recover'!A11,用能设备节能分配!P:P,'Cogeneration&amp;Waste Heat Recover'!$A$1,用能设备节能分配!M:M,"2022")</f>
        <v>215.60822594176261</v>
      </c>
      <c r="F11" s="73">
        <f>SUMIFS(工业节能技术装备推荐目录!K:K,工业节能技术装备推荐目录!D:D,'Cogeneration&amp;Waste Heat Recover'!A11,工业节能技术装备推荐目录!F:F,'Cogeneration&amp;Waste Heat Recover'!$A$1,工业节能技术装备推荐目录!A:A,"2020")+SUMIFS(用能设备节能分配!Q:Q,用能设备节能分配!O:O,'Cogeneration&amp;Waste Heat Recover'!A11,用能设备节能分配!P:P,'Cogeneration&amp;Waste Heat Recover'!$A$1,用能设备节能分配!M:M,"2020")+SUMIFS(工业节能技术装备推荐目录!K:K,工业节能技术装备推荐目录!D:D,'Cogeneration&amp;Waste Heat Recover'!A11,工业节能技术装备推荐目录!F:F,'Cogeneration&amp;Waste Heat Recover'!$A$1,工业节能技术装备推荐目录!A:A,"2021")+SUMIFS(用能设备节能分配!Q:Q,用能设备节能分配!O:O,'Cogeneration&amp;Waste Heat Recover'!A11,用能设备节能分配!P:P,'Cogeneration&amp;Waste Heat Recover'!$A$1,用能设备节能分配!M:M,"2021")+SUMIFS(工业节能技术装备推荐目录!K:K,工业节能技术装备推荐目录!D:D,'Cogeneration&amp;Waste Heat Recover'!A11,工业节能技术装备推荐目录!F:F,'Cogeneration&amp;Waste Heat Recover'!$A$1,工业节能技术装备推荐目录!A:A,"2022")+SUMIFS(用能设备节能分配!Q:Q,用能设备节能分配!O:O,'Cogeneration&amp;Waste Heat Recover'!A11,用能设备节能分配!P:P,'Cogeneration&amp;Waste Heat Recover'!$A$1,用能设备节能分配!M:M,"2022")</f>
        <v>215.60822594176261</v>
      </c>
      <c r="G11" s="73">
        <f>SUMIFS(工业节能技术装备推荐目录!K:K,工业节能技术装备推荐目录!D:D,'Cogeneration&amp;Waste Heat Recover'!A11,工业节能技术装备推荐目录!F:F,'Cogeneration&amp;Waste Heat Recover'!$A$1,工业节能技术装备推荐目录!A:A,"2020")+SUMIFS(用能设备节能分配!Q:Q,用能设备节能分配!O:O,'Cogeneration&amp;Waste Heat Recover'!A11,用能设备节能分配!P:P,'Cogeneration&amp;Waste Heat Recover'!$A$1,用能设备节能分配!M:M,"2020")+SUMIFS(工业节能技术装备推荐目录!K:K,工业节能技术装备推荐目录!D:D,'Cogeneration&amp;Waste Heat Recover'!A11,工业节能技术装备推荐目录!F:F,'Cogeneration&amp;Waste Heat Recover'!$A$1,工业节能技术装备推荐目录!A:A,"2022")+SUMIFS(用能设备节能分配!Q:Q,用能设备节能分配!O:O,'Cogeneration&amp;Waste Heat Recover'!A11,用能设备节能分配!P:P,'Cogeneration&amp;Waste Heat Recover'!$A$1,用能设备节能分配!M:M,"2022")</f>
        <v>108.8101052656271</v>
      </c>
      <c r="H11" s="73">
        <f>SUMIFS(工业节能技术装备推荐目录!K:K,工业节能技术装备推荐目录!D:D,'Cogeneration&amp;Waste Heat Recover'!A11,工业节能技术装备推荐目录!F:F,'Cogeneration&amp;Waste Heat Recover'!$A$1,工业节能技术装备推荐目录!A:A,"2022")+SUMIFS(用能设备节能分配!Q:Q,用能设备节能分配!O:O,'Cogeneration&amp;Waste Heat Recover'!A11,用能设备节能分配!P:P,'Cogeneration&amp;Waste Heat Recover'!$A$1,用能设备节能分配!M:M,"2022")</f>
        <v>53.604867613021703</v>
      </c>
      <c r="I11" s="73">
        <f>SUMIFS(工业节能技术装备推荐目录!K:K,工业节能技术装备推荐目录!D:D,'Cogeneration&amp;Waste Heat Recover'!A11,工业节能技术装备推荐目录!F:F,'Cogeneration&amp;Waste Heat Recover'!$A$1,工业节能技术装备推荐目录!A:A,"2022")+SUMIFS(用能设备节能分配!Q:Q,用能设备节能分配!O:O,'Cogeneration&amp;Waste Heat Recover'!A11,用能设备节能分配!P:P,'Cogeneration&amp;Waste Heat Recover'!$A$1,用能设备节能分配!M:M,"2022")</f>
        <v>53.604867613021703</v>
      </c>
      <c r="K11" s="52"/>
      <c r="L11" s="26" t="s">
        <v>40</v>
      </c>
      <c r="M11" s="50">
        <f>SUMIFS(工业节能技术装备推荐目录!L:L,工业节能技术装备推荐目录!D:D,'Cogeneration&amp;Waste Heat Recover'!A11,工业节能技术装备推荐目录!F:F,'Cogeneration&amp;Waste Heat Recover'!$A$1)</f>
        <v>3503.3704861325778</v>
      </c>
      <c r="N11" s="73">
        <f>SUMIFS(工业节能技术装备推荐目录!K:K,工业节能技术装备推荐目录!D:D,'Cogeneration&amp;Waste Heat Recover'!A11,工业节能技术装备推荐目录!F:F,'Cogeneration&amp;Waste Heat Recover'!$A$1,工业节能技术装备推荐目录!A:A,"2020")</f>
        <v>0</v>
      </c>
      <c r="O11" s="73">
        <f>SUMIFS(工业节能技术装备推荐目录!K:K,工业节能技术装备推荐目录!D:D,'Cogeneration&amp;Waste Heat Recover'!A11,工业节能技术装备推荐目录!F:F,'Cogeneration&amp;Waste Heat Recover'!$A$1,工业节能技术装备推荐目录!A:A,"2020")+SUMIFS(工业节能技术装备推荐目录!K:K,工业节能技术装备推荐目录!D:D,'Cogeneration&amp;Waste Heat Recover'!A11,工业节能技术装备推荐目录!F:F,'Cogeneration&amp;Waste Heat Recover'!$A$1,工业节能技术装备推荐目录!A:A,"2021")</f>
        <v>103.86182886969161</v>
      </c>
      <c r="P11" s="73">
        <f>SUMIFS(工业节能技术装备推荐目录!K:K,工业节能技术装备推荐目录!D:D,'Cogeneration&amp;Waste Heat Recover'!A11,工业节能技术装备推荐目录!F:F,'Cogeneration&amp;Waste Heat Recover'!$A$1,工业节能技术装备推荐目录!A:A,"2020")+SUMIFS(工业节能技术装备推荐目录!K:K,工业节能技术装备推荐目录!D:D,'Cogeneration&amp;Waste Heat Recover'!A11,工业节能技术装备推荐目录!F:F,'Cogeneration&amp;Waste Heat Recover'!$A$1,工业节能技术装备推荐目录!A:A,"2021")+SUMIFS(工业节能技术装备推荐目录!K:K,工业节能技术装备推荐目录!D:D,'Cogeneration&amp;Waste Heat Recover'!A11,工业节能技术装备推荐目录!F:F,'Cogeneration&amp;Waste Heat Recover'!$A$1,工业节能技术装备推荐目录!A:A,"2022")</f>
        <v>139.86182886969161</v>
      </c>
      <c r="Q11" s="73">
        <f>SUMIFS(工业节能技术装备推荐目录!K:K,工业节能技术装备推荐目录!D:D,'Cogeneration&amp;Waste Heat Recover'!A11,工业节能技术装备推荐目录!F:F,'Cogeneration&amp;Waste Heat Recover'!$A$1,工业节能技术装备推荐目录!A:A,"2020")+SUMIFS(工业节能技术装备推荐目录!K:K,工业节能技术装备推荐目录!D:D,'Cogeneration&amp;Waste Heat Recover'!A11,工业节能技术装备推荐目录!F:F,'Cogeneration&amp;Waste Heat Recover'!$A$1,工业节能技术装备推荐目录!A:A,"2021")+SUMIFS(工业节能技术装备推荐目录!K:K,工业节能技术装备推荐目录!D:D,'Cogeneration&amp;Waste Heat Recover'!A11,工业节能技术装备推荐目录!F:F,'Cogeneration&amp;Waste Heat Recover'!$A$1,工业节能技术装备推荐目录!A:A,"2022")</f>
        <v>139.86182886969161</v>
      </c>
      <c r="R11" s="73">
        <f>SUMIFS(工业节能技术装备推荐目录!K:K,工业节能技术装备推荐目录!D:D,'Cogeneration&amp;Waste Heat Recover'!A11,工业节能技术装备推荐目录!F:F,'Cogeneration&amp;Waste Heat Recover'!$A$1,工业节能技术装备推荐目录!A:A,"2020")+SUMIFS(工业节能技术装备推荐目录!K:K,工业节能技术装备推荐目录!D:D,'Cogeneration&amp;Waste Heat Recover'!A11,工业节能技术装备推荐目录!F:F,'Cogeneration&amp;Waste Heat Recover'!$A$1,工业节能技术装备推荐目录!A:A,"2022")</f>
        <v>36</v>
      </c>
      <c r="S11" s="73">
        <f>SUMIFS(工业节能技术装备推荐目录!K:K,工业节能技术装备推荐目录!D:D,'Cogeneration&amp;Waste Heat Recover'!A11,工业节能技术装备推荐目录!F:F,'Cogeneration&amp;Waste Heat Recover'!$A$1,工业节能技术装备推荐目录!A:A,"2022")</f>
        <v>36</v>
      </c>
      <c r="T11" s="73">
        <f>SUMIFS(工业节能技术装备推荐目录!K:K,工业节能技术装备推荐目录!D:D,'Cogeneration&amp;Waste Heat Recover'!A11,工业节能技术装备推荐目录!F:F,'Cogeneration&amp;Waste Heat Recover'!$A$1,工业节能技术装备推荐目录!A:A,"2022")</f>
        <v>36</v>
      </c>
    </row>
    <row r="12" spans="1:20" x14ac:dyDescent="0.15">
      <c r="A12" s="26" t="s">
        <v>41</v>
      </c>
      <c r="B12" s="50">
        <f>SUMIFS(工业节能技术装备推荐目录!L:L,工业节能技术装备推荐目录!D:D,'Cogeneration&amp;Waste Heat Recover'!A12,工业节能技术装备推荐目录!F:F,'Cogeneration&amp;Waste Heat Recover'!$A$1)+SUMIFS(用能设备节能分配!R:R,用能设备节能分配!O:O,'Cogeneration&amp;Waste Heat Recover'!A12,用能设备节能分配!P:P,'Cogeneration&amp;Waste Heat Recover'!$A$1)</f>
        <v>1242.4680061067024</v>
      </c>
      <c r="C12" s="73">
        <f>SUMIFS(工业节能技术装备推荐目录!K:K,工业节能技术装备推荐目录!D:D,'Cogeneration&amp;Waste Heat Recover'!A12,工业节能技术装备推荐目录!F:F,'Cogeneration&amp;Waste Heat Recover'!$A$1,工业节能技术装备推荐目录!A:A,"2020")+SUMIFS(用能设备节能分配!Q:Q,用能设备节能分配!O:O,'Cogeneration&amp;Waste Heat Recover'!A12,用能设备节能分配!P:P,'Cogeneration&amp;Waste Heat Recover'!$A$1,用能设备节能分配!M:M,"2020")</f>
        <v>15.738423549919752</v>
      </c>
      <c r="D12" s="73">
        <f>SUMIFS(工业节能技术装备推荐目录!K:K,工业节能技术装备推荐目录!D:D,'Cogeneration&amp;Waste Heat Recover'!A12,工业节能技术装备推荐目录!F:F,'Cogeneration&amp;Waste Heat Recover'!$A$1,工业节能技术装备推荐目录!A:A,"2020")+SUMIFS(用能设备节能分配!Q:Q,用能设备节能分配!O:O,'Cogeneration&amp;Waste Heat Recover'!A12,用能设备节能分配!P:P,'Cogeneration&amp;Waste Heat Recover'!$A$1,用能设备节能分配!M:M,"2020")+SUMIFS(工业节能技术装备推荐目录!K:K,工业节能技术装备推荐目录!D:D,'Cogeneration&amp;Waste Heat Recover'!A12,工业节能技术装备推荐目录!F:F,'Cogeneration&amp;Waste Heat Recover'!$A$1,工业节能技术装备推荐目录!A:A,"2021")+SUMIFS(用能设备节能分配!Q:Q,用能设备节能分配!O:O,'Cogeneration&amp;Waste Heat Recover'!A12,用能设备节能分配!P:P,'Cogeneration&amp;Waste Heat Recover'!$A$1,用能设备节能分配!M:M,"2021")</f>
        <v>44.451451300499933</v>
      </c>
      <c r="E12" s="73">
        <f>SUMIFS(工业节能技术装备推荐目录!K:K,工业节能技术装备推荐目录!D:D,'Cogeneration&amp;Waste Heat Recover'!A12,工业节能技术装备推荐目录!F:F,'Cogeneration&amp;Waste Heat Recover'!$A$1,工业节能技术装备推荐目录!A:A,"2020")+SUMIFS(用能设备节能分配!Q:Q,用能设备节能分配!O:O,'Cogeneration&amp;Waste Heat Recover'!A12,用能设备节能分配!P:P,'Cogeneration&amp;Waste Heat Recover'!$A$1,用能设备节能分配!M:M,"2020")+SUMIFS(工业节能技术装备推荐目录!K:K,工业节能技术装备推荐目录!D:D,'Cogeneration&amp;Waste Heat Recover'!A12,工业节能技术装备推荐目录!F:F,'Cogeneration&amp;Waste Heat Recover'!$A$1,工业节能技术装备推荐目录!A:A,"2021")+SUMIFS(用能设备节能分配!Q:Q,用能设备节能分配!O:O,'Cogeneration&amp;Waste Heat Recover'!A12,用能设备节能分配!P:P,'Cogeneration&amp;Waste Heat Recover'!$A$1,用能设备节能分配!M:M,"2021")+SUMIFS(工业节能技术装备推荐目录!K:K,工业节能技术装备推荐目录!D:D,'Cogeneration&amp;Waste Heat Recover'!A12,工业节能技术装备推荐目录!F:F,'Cogeneration&amp;Waste Heat Recover'!$A$1,工业节能技术装备推荐目录!A:A,"2022")+SUMIFS(用能设备节能分配!Q:Q,用能设备节能分配!O:O,'Cogeneration&amp;Waste Heat Recover'!A12,用能设备节能分配!P:P,'Cogeneration&amp;Waste Heat Recover'!$A$1,用能设备节能分配!M:M,"2022")</f>
        <v>102.47041100098271</v>
      </c>
      <c r="F12" s="73">
        <f>SUMIFS(工业节能技术装备推荐目录!K:K,工业节能技术装备推荐目录!D:D,'Cogeneration&amp;Waste Heat Recover'!A12,工业节能技术装备推荐目录!F:F,'Cogeneration&amp;Waste Heat Recover'!$A$1,工业节能技术装备推荐目录!A:A,"2020")+SUMIFS(用能设备节能分配!Q:Q,用能设备节能分配!O:O,'Cogeneration&amp;Waste Heat Recover'!A12,用能设备节能分配!P:P,'Cogeneration&amp;Waste Heat Recover'!$A$1,用能设备节能分配!M:M,"2020")+SUMIFS(工业节能技术装备推荐目录!K:K,工业节能技术装备推荐目录!D:D,'Cogeneration&amp;Waste Heat Recover'!A12,工业节能技术装备推荐目录!F:F,'Cogeneration&amp;Waste Heat Recover'!$A$1,工业节能技术装备推荐目录!A:A,"2021")+SUMIFS(用能设备节能分配!Q:Q,用能设备节能分配!O:O,'Cogeneration&amp;Waste Heat Recover'!A12,用能设备节能分配!P:P,'Cogeneration&amp;Waste Heat Recover'!$A$1,用能设备节能分配!M:M,"2021")+SUMIFS(工业节能技术装备推荐目录!K:K,工业节能技术装备推荐目录!D:D,'Cogeneration&amp;Waste Heat Recover'!A12,工业节能技术装备推荐目录!F:F,'Cogeneration&amp;Waste Heat Recover'!$A$1,工业节能技术装备推荐目录!A:A,"2022")+SUMIFS(用能设备节能分配!Q:Q,用能设备节能分配!O:O,'Cogeneration&amp;Waste Heat Recover'!A12,用能设备节能分配!P:P,'Cogeneration&amp;Waste Heat Recover'!$A$1,用能设备节能分配!M:M,"2022")</f>
        <v>102.47041100098271</v>
      </c>
      <c r="G12" s="73">
        <f>SUMIFS(工业节能技术装备推荐目录!K:K,工业节能技术装备推荐目录!D:D,'Cogeneration&amp;Waste Heat Recover'!A12,工业节能技术装备推荐目录!F:F,'Cogeneration&amp;Waste Heat Recover'!$A$1,工业节能技术装备推荐目录!A:A,"2020")+SUMIFS(用能设备节能分配!Q:Q,用能设备节能分配!O:O,'Cogeneration&amp;Waste Heat Recover'!A12,用能设备节能分配!P:P,'Cogeneration&amp;Waste Heat Recover'!$A$1,用能设备节能分配!M:M,"2020")+SUMIFS(工业节能技术装备推荐目录!K:K,工业节能技术装备推荐目录!D:D,'Cogeneration&amp;Waste Heat Recover'!A12,工业节能技术装备推荐目录!F:F,'Cogeneration&amp;Waste Heat Recover'!$A$1,工业节能技术装备推荐目录!A:A,"2022")+SUMIFS(用能设备节能分配!Q:Q,用能设备节能分配!O:O,'Cogeneration&amp;Waste Heat Recover'!A12,用能设备节能分配!P:P,'Cogeneration&amp;Waste Heat Recover'!$A$1,用能设备节能分配!M:M,"2022")</f>
        <v>73.757383250402526</v>
      </c>
      <c r="H12" s="73">
        <f>SUMIFS(工业节能技术装备推荐目录!K:K,工业节能技术装备推荐目录!D:D,'Cogeneration&amp;Waste Heat Recover'!A12,工业节能技术装备推荐目录!F:F,'Cogeneration&amp;Waste Heat Recover'!$A$1,工业节能技术装备推荐目录!A:A,"2022")+SUMIFS(用能设备节能分配!Q:Q,用能设备节能分配!O:O,'Cogeneration&amp;Waste Heat Recover'!A12,用能设备节能分配!P:P,'Cogeneration&amp;Waste Heat Recover'!$A$1,用能设备节能分配!M:M,"2022")</f>
        <v>58.018959700482768</v>
      </c>
      <c r="I12" s="73">
        <f>SUMIFS(工业节能技术装备推荐目录!K:K,工业节能技术装备推荐目录!D:D,'Cogeneration&amp;Waste Heat Recover'!A12,工业节能技术装备推荐目录!F:F,'Cogeneration&amp;Waste Heat Recover'!$A$1,工业节能技术装备推荐目录!A:A,"2022")+SUMIFS(用能设备节能分配!Q:Q,用能设备节能分配!O:O,'Cogeneration&amp;Waste Heat Recover'!A12,用能设备节能分配!P:P,'Cogeneration&amp;Waste Heat Recover'!$A$1,用能设备节能分配!M:M,"2022")</f>
        <v>58.018959700482768</v>
      </c>
      <c r="K12" s="52"/>
      <c r="L12" s="26" t="s">
        <v>41</v>
      </c>
      <c r="M12" s="50">
        <f>SUMIFS(工业节能技术装备推荐目录!L:L,工业节能技术装备推荐目录!D:D,'Cogeneration&amp;Waste Heat Recover'!A12,工业节能技术装备推荐目录!F:F,'Cogeneration&amp;Waste Heat Recover'!$A$1)</f>
        <v>1087.1057043436128</v>
      </c>
      <c r="N12" s="73">
        <f>SUMIFS(工业节能技术装备推荐目录!K:K,工业节能技术装备推荐目录!D:D,'Cogeneration&amp;Waste Heat Recover'!A12,工业节能技术装备推荐目录!F:F,'Cogeneration&amp;Waste Heat Recover'!$A$1,工业节能技术装备推荐目录!A:A,"2020")</f>
        <v>0</v>
      </c>
      <c r="O12" s="73">
        <f>SUMIFS(工业节能技术装备推荐目录!K:K,工业节能技术装备推荐目录!D:D,'Cogeneration&amp;Waste Heat Recover'!A12,工业节能技术装备推荐目录!F:F,'Cogeneration&amp;Waste Heat Recover'!$A$1,工业节能技术装备推荐目录!A:A,"2020")+SUMIFS(工业节能技术装备推荐目录!K:K,工业节能技术装备推荐目录!D:D,'Cogeneration&amp;Waste Heat Recover'!A12,工业节能技术装备推荐目录!F:F,'Cogeneration&amp;Waste Heat Recover'!$A$1,工业节能技术装备推荐目录!A:A,"2021")</f>
        <v>28.638171130308383</v>
      </c>
      <c r="P12" s="73">
        <f>SUMIFS(工业节能技术装备推荐目录!K:K,工业节能技术装备推荐目录!D:D,'Cogeneration&amp;Waste Heat Recover'!A12,工业节能技术装备推荐目录!F:F,'Cogeneration&amp;Waste Heat Recover'!$A$1,工业节能技术装备推荐目录!A:A,"2020")+SUMIFS(工业节能技术装备推荐目录!K:K,工业节能技术装备推荐目录!D:D,'Cogeneration&amp;Waste Heat Recover'!A12,工业节能技术装备推荐目录!F:F,'Cogeneration&amp;Waste Heat Recover'!$A$1,工业节能技术装备推荐目录!A:A,"2021")+SUMIFS(工业节能技术装备推荐目录!K:K,工业节能技术装备推荐目录!D:D,'Cogeneration&amp;Waste Heat Recover'!A12,工业节能技术装备推荐目录!F:F,'Cogeneration&amp;Waste Heat Recover'!$A$1,工业节能技术装备推荐目录!A:A,"2022")</f>
        <v>81.638171130308379</v>
      </c>
      <c r="Q12" s="73">
        <f>SUMIFS(工业节能技术装备推荐目录!K:K,工业节能技术装备推荐目录!D:D,'Cogeneration&amp;Waste Heat Recover'!A12,工业节能技术装备推荐目录!F:F,'Cogeneration&amp;Waste Heat Recover'!$A$1,工业节能技术装备推荐目录!A:A,"2020")+SUMIFS(工业节能技术装备推荐目录!K:K,工业节能技术装备推荐目录!D:D,'Cogeneration&amp;Waste Heat Recover'!A12,工业节能技术装备推荐目录!F:F,'Cogeneration&amp;Waste Heat Recover'!$A$1,工业节能技术装备推荐目录!A:A,"2021")+SUMIFS(工业节能技术装备推荐目录!K:K,工业节能技术装备推荐目录!D:D,'Cogeneration&amp;Waste Heat Recover'!A12,工业节能技术装备推荐目录!F:F,'Cogeneration&amp;Waste Heat Recover'!$A$1,工业节能技术装备推荐目录!A:A,"2022")</f>
        <v>81.638171130308379</v>
      </c>
      <c r="R12" s="73">
        <f>SUMIFS(工业节能技术装备推荐目录!K:K,工业节能技术装备推荐目录!D:D,'Cogeneration&amp;Waste Heat Recover'!A12,工业节能技术装备推荐目录!F:F,'Cogeneration&amp;Waste Heat Recover'!$A$1,工业节能技术装备推荐目录!A:A,"2020")+SUMIFS(工业节能技术装备推荐目录!K:K,工业节能技术装备推荐目录!D:D,'Cogeneration&amp;Waste Heat Recover'!A12,工业节能技术装备推荐目录!F:F,'Cogeneration&amp;Waste Heat Recover'!$A$1,工业节能技术装备推荐目录!A:A,"2022")</f>
        <v>53</v>
      </c>
      <c r="S12" s="73">
        <f>SUMIFS(工业节能技术装备推荐目录!K:K,工业节能技术装备推荐目录!D:D,'Cogeneration&amp;Waste Heat Recover'!A12,工业节能技术装备推荐目录!F:F,'Cogeneration&amp;Waste Heat Recover'!$A$1,工业节能技术装备推荐目录!A:A,"2022")</f>
        <v>53</v>
      </c>
      <c r="T12" s="73">
        <f>SUMIFS(工业节能技术装备推荐目录!K:K,工业节能技术装备推荐目录!D:D,'Cogeneration&amp;Waste Heat Recover'!A12,工业节能技术装备推荐目录!F:F,'Cogeneration&amp;Waste Heat Recover'!$A$1,工业节能技术装备推荐目录!A:A,"2022")</f>
        <v>53</v>
      </c>
    </row>
    <row r="13" spans="1:20" x14ac:dyDescent="0.15">
      <c r="A13" s="26" t="s">
        <v>42</v>
      </c>
      <c r="B13" s="50">
        <f>SUMIFS(工业节能技术装备推荐目录!L:L,工业节能技术装备推荐目录!D:D,'Cogeneration&amp;Waste Heat Recover'!A13,工业节能技术装备推荐目录!F:F,'Cogeneration&amp;Waste Heat Recover'!$A$1)+SUMIFS(用能设备节能分配!R:R,用能设备节能分配!O:O,'Cogeneration&amp;Waste Heat Recover'!A13,用能设备节能分配!P:P,'Cogeneration&amp;Waste Heat Recover'!$A$1)</f>
        <v>0</v>
      </c>
      <c r="C13" s="73">
        <f>SUMIFS(工业节能技术装备推荐目录!K:K,工业节能技术装备推荐目录!D:D,'Cogeneration&amp;Waste Heat Recover'!A13,工业节能技术装备推荐目录!F:F,'Cogeneration&amp;Waste Heat Recover'!$A$1,工业节能技术装备推荐目录!A:A,"2020")+SUMIFS(用能设备节能分配!Q:Q,用能设备节能分配!O:O,'Cogeneration&amp;Waste Heat Recover'!A13,用能设备节能分配!P:P,'Cogeneration&amp;Waste Heat Recover'!$A$1,用能设备节能分配!M:M,"2020")</f>
        <v>0</v>
      </c>
      <c r="D13" s="73">
        <f>SUMIFS(工业节能技术装备推荐目录!K:K,工业节能技术装备推荐目录!D:D,'Cogeneration&amp;Waste Heat Recover'!A13,工业节能技术装备推荐目录!F:F,'Cogeneration&amp;Waste Heat Recover'!$A$1,工业节能技术装备推荐目录!A:A,"2020")+SUMIFS(用能设备节能分配!Q:Q,用能设备节能分配!O:O,'Cogeneration&amp;Waste Heat Recover'!A13,用能设备节能分配!P:P,'Cogeneration&amp;Waste Heat Recover'!$A$1,用能设备节能分配!M:M,"2020")+SUMIFS(工业节能技术装备推荐目录!K:K,工业节能技术装备推荐目录!D:D,'Cogeneration&amp;Waste Heat Recover'!A13,工业节能技术装备推荐目录!F:F,'Cogeneration&amp;Waste Heat Recover'!$A$1,工业节能技术装备推荐目录!A:A,"2021")+SUMIFS(用能设备节能分配!Q:Q,用能设备节能分配!O:O,'Cogeneration&amp;Waste Heat Recover'!A13,用能设备节能分配!P:P,'Cogeneration&amp;Waste Heat Recover'!$A$1,用能设备节能分配!M:M,"2021")</f>
        <v>0</v>
      </c>
      <c r="E13" s="73">
        <f>SUMIFS(工业节能技术装备推荐目录!K:K,工业节能技术装备推荐目录!D:D,'Cogeneration&amp;Waste Heat Recover'!A13,工业节能技术装备推荐目录!F:F,'Cogeneration&amp;Waste Heat Recover'!$A$1,工业节能技术装备推荐目录!A:A,"2020")+SUMIFS(用能设备节能分配!Q:Q,用能设备节能分配!O:O,'Cogeneration&amp;Waste Heat Recover'!A13,用能设备节能分配!P:P,'Cogeneration&amp;Waste Heat Recover'!$A$1,用能设备节能分配!M:M,"2020")+SUMIFS(工业节能技术装备推荐目录!K:K,工业节能技术装备推荐目录!D:D,'Cogeneration&amp;Waste Heat Recover'!A13,工业节能技术装备推荐目录!F:F,'Cogeneration&amp;Waste Heat Recover'!$A$1,工业节能技术装备推荐目录!A:A,"2021")+SUMIFS(用能设备节能分配!Q:Q,用能设备节能分配!O:O,'Cogeneration&amp;Waste Heat Recover'!A13,用能设备节能分配!P:P,'Cogeneration&amp;Waste Heat Recover'!$A$1,用能设备节能分配!M:M,"2021")+SUMIFS(工业节能技术装备推荐目录!K:K,工业节能技术装备推荐目录!D:D,'Cogeneration&amp;Waste Heat Recover'!A13,工业节能技术装备推荐目录!F:F,'Cogeneration&amp;Waste Heat Recover'!$A$1,工业节能技术装备推荐目录!A:A,"2022")+SUMIFS(用能设备节能分配!Q:Q,用能设备节能分配!O:O,'Cogeneration&amp;Waste Heat Recover'!A13,用能设备节能分配!P:P,'Cogeneration&amp;Waste Heat Recover'!$A$1,用能设备节能分配!M:M,"2022")</f>
        <v>0</v>
      </c>
      <c r="F13" s="73">
        <f>SUMIFS(工业节能技术装备推荐目录!K:K,工业节能技术装备推荐目录!D:D,'Cogeneration&amp;Waste Heat Recover'!A13,工业节能技术装备推荐目录!F:F,'Cogeneration&amp;Waste Heat Recover'!$A$1,工业节能技术装备推荐目录!A:A,"2020")+SUMIFS(用能设备节能分配!Q:Q,用能设备节能分配!O:O,'Cogeneration&amp;Waste Heat Recover'!A13,用能设备节能分配!P:P,'Cogeneration&amp;Waste Heat Recover'!$A$1,用能设备节能分配!M:M,"2020")+SUMIFS(工业节能技术装备推荐目录!K:K,工业节能技术装备推荐目录!D:D,'Cogeneration&amp;Waste Heat Recover'!A13,工业节能技术装备推荐目录!F:F,'Cogeneration&amp;Waste Heat Recover'!$A$1,工业节能技术装备推荐目录!A:A,"2021")+SUMIFS(用能设备节能分配!Q:Q,用能设备节能分配!O:O,'Cogeneration&amp;Waste Heat Recover'!A13,用能设备节能分配!P:P,'Cogeneration&amp;Waste Heat Recover'!$A$1,用能设备节能分配!M:M,"2021")+SUMIFS(工业节能技术装备推荐目录!K:K,工业节能技术装备推荐目录!D:D,'Cogeneration&amp;Waste Heat Recover'!A13,工业节能技术装备推荐目录!F:F,'Cogeneration&amp;Waste Heat Recover'!$A$1,工业节能技术装备推荐目录!A:A,"2022")+SUMIFS(用能设备节能分配!Q:Q,用能设备节能分配!O:O,'Cogeneration&amp;Waste Heat Recover'!A13,用能设备节能分配!P:P,'Cogeneration&amp;Waste Heat Recover'!$A$1,用能设备节能分配!M:M,"2022")</f>
        <v>0</v>
      </c>
      <c r="G13" s="73">
        <f>SUMIFS(工业节能技术装备推荐目录!K:K,工业节能技术装备推荐目录!D:D,'Cogeneration&amp;Waste Heat Recover'!A13,工业节能技术装备推荐目录!F:F,'Cogeneration&amp;Waste Heat Recover'!$A$1,工业节能技术装备推荐目录!A:A,"2020")+SUMIFS(用能设备节能分配!Q:Q,用能设备节能分配!O:O,'Cogeneration&amp;Waste Heat Recover'!A13,用能设备节能分配!P:P,'Cogeneration&amp;Waste Heat Recover'!$A$1,用能设备节能分配!M:M,"2020")+SUMIFS(工业节能技术装备推荐目录!K:K,工业节能技术装备推荐目录!D:D,'Cogeneration&amp;Waste Heat Recover'!A13,工业节能技术装备推荐目录!F:F,'Cogeneration&amp;Waste Heat Recover'!$A$1,工业节能技术装备推荐目录!A:A,"2022")+SUMIFS(用能设备节能分配!Q:Q,用能设备节能分配!O:O,'Cogeneration&amp;Waste Heat Recover'!A13,用能设备节能分配!P:P,'Cogeneration&amp;Waste Heat Recover'!$A$1,用能设备节能分配!M:M,"2022")</f>
        <v>0</v>
      </c>
      <c r="H13" s="73">
        <f>SUMIFS(工业节能技术装备推荐目录!K:K,工业节能技术装备推荐目录!D:D,'Cogeneration&amp;Waste Heat Recover'!A13,工业节能技术装备推荐目录!F:F,'Cogeneration&amp;Waste Heat Recover'!$A$1,工业节能技术装备推荐目录!A:A,"2022")+SUMIFS(用能设备节能分配!Q:Q,用能设备节能分配!O:O,'Cogeneration&amp;Waste Heat Recover'!A13,用能设备节能分配!P:P,'Cogeneration&amp;Waste Heat Recover'!$A$1,用能设备节能分配!M:M,"2022")</f>
        <v>0</v>
      </c>
      <c r="I13" s="73">
        <f>SUMIFS(工业节能技术装备推荐目录!K:K,工业节能技术装备推荐目录!D:D,'Cogeneration&amp;Waste Heat Recover'!A13,工业节能技术装备推荐目录!F:F,'Cogeneration&amp;Waste Heat Recover'!$A$1,工业节能技术装备推荐目录!A:A,"2022")+SUMIFS(用能设备节能分配!Q:Q,用能设备节能分配!O:O,'Cogeneration&amp;Waste Heat Recover'!A13,用能设备节能分配!P:P,'Cogeneration&amp;Waste Heat Recover'!$A$1,用能设备节能分配!M:M,"2022")</f>
        <v>0</v>
      </c>
      <c r="K13" s="52"/>
      <c r="L13" s="26" t="s">
        <v>42</v>
      </c>
      <c r="M13" s="50">
        <f>SUMIFS(工业节能技术装备推荐目录!L:L,工业节能技术装备推荐目录!D:D,'Cogeneration&amp;Waste Heat Recover'!A13,工业节能技术装备推荐目录!F:F,'Cogeneration&amp;Waste Heat Recover'!$A$1)</f>
        <v>0</v>
      </c>
      <c r="N13" s="73">
        <f>SUMIFS(工业节能技术装备推荐目录!K:K,工业节能技术装备推荐目录!D:D,'Cogeneration&amp;Waste Heat Recover'!A13,工业节能技术装备推荐目录!F:F,'Cogeneration&amp;Waste Heat Recover'!$A$1,工业节能技术装备推荐目录!A:A,"2020")</f>
        <v>0</v>
      </c>
      <c r="O13" s="73">
        <f>SUMIFS(工业节能技术装备推荐目录!K:K,工业节能技术装备推荐目录!D:D,'Cogeneration&amp;Waste Heat Recover'!A13,工业节能技术装备推荐目录!F:F,'Cogeneration&amp;Waste Heat Recover'!$A$1,工业节能技术装备推荐目录!A:A,"2020")+SUMIFS(工业节能技术装备推荐目录!K:K,工业节能技术装备推荐目录!D:D,'Cogeneration&amp;Waste Heat Recover'!A13,工业节能技术装备推荐目录!F:F,'Cogeneration&amp;Waste Heat Recover'!$A$1,工业节能技术装备推荐目录!A:A,"2021")</f>
        <v>0</v>
      </c>
      <c r="P13" s="73">
        <f>SUMIFS(工业节能技术装备推荐目录!K:K,工业节能技术装备推荐目录!D:D,'Cogeneration&amp;Waste Heat Recover'!A13,工业节能技术装备推荐目录!F:F,'Cogeneration&amp;Waste Heat Recover'!$A$1,工业节能技术装备推荐目录!A:A,"2020")+SUMIFS(工业节能技术装备推荐目录!K:K,工业节能技术装备推荐目录!D:D,'Cogeneration&amp;Waste Heat Recover'!A13,工业节能技术装备推荐目录!F:F,'Cogeneration&amp;Waste Heat Recover'!$A$1,工业节能技术装备推荐目录!A:A,"2021")+SUMIFS(工业节能技术装备推荐目录!K:K,工业节能技术装备推荐目录!D:D,'Cogeneration&amp;Waste Heat Recover'!A13,工业节能技术装备推荐目录!F:F,'Cogeneration&amp;Waste Heat Recover'!$A$1,工业节能技术装备推荐目录!A:A,"2022")</f>
        <v>0</v>
      </c>
      <c r="Q13" s="73">
        <f>SUMIFS(工业节能技术装备推荐目录!K:K,工业节能技术装备推荐目录!D:D,'Cogeneration&amp;Waste Heat Recover'!A13,工业节能技术装备推荐目录!F:F,'Cogeneration&amp;Waste Heat Recover'!$A$1,工业节能技术装备推荐目录!A:A,"2020")+SUMIFS(工业节能技术装备推荐目录!K:K,工业节能技术装备推荐目录!D:D,'Cogeneration&amp;Waste Heat Recover'!A13,工业节能技术装备推荐目录!F:F,'Cogeneration&amp;Waste Heat Recover'!$A$1,工业节能技术装备推荐目录!A:A,"2021")+SUMIFS(工业节能技术装备推荐目录!K:K,工业节能技术装备推荐目录!D:D,'Cogeneration&amp;Waste Heat Recover'!A13,工业节能技术装备推荐目录!F:F,'Cogeneration&amp;Waste Heat Recover'!$A$1,工业节能技术装备推荐目录!A:A,"2022")</f>
        <v>0</v>
      </c>
      <c r="R13" s="73">
        <f>SUMIFS(工业节能技术装备推荐目录!K:K,工业节能技术装备推荐目录!D:D,'Cogeneration&amp;Waste Heat Recover'!A13,工业节能技术装备推荐目录!F:F,'Cogeneration&amp;Waste Heat Recover'!$A$1,工业节能技术装备推荐目录!A:A,"2020")+SUMIFS(工业节能技术装备推荐目录!K:K,工业节能技术装备推荐目录!D:D,'Cogeneration&amp;Waste Heat Recover'!A13,工业节能技术装备推荐目录!F:F,'Cogeneration&amp;Waste Heat Recover'!$A$1,工业节能技术装备推荐目录!A:A,"2022")</f>
        <v>0</v>
      </c>
      <c r="S13" s="73">
        <f>SUMIFS(工业节能技术装备推荐目录!K:K,工业节能技术装备推荐目录!D:D,'Cogeneration&amp;Waste Heat Recover'!A13,工业节能技术装备推荐目录!F:F,'Cogeneration&amp;Waste Heat Recover'!$A$1,工业节能技术装备推荐目录!A:A,"2022")</f>
        <v>0</v>
      </c>
      <c r="T13" s="73">
        <f>SUMIFS(工业节能技术装备推荐目录!K:K,工业节能技术装备推荐目录!D:D,'Cogeneration&amp;Waste Heat Recover'!A13,工业节能技术装备推荐目录!F:F,'Cogeneration&amp;Waste Heat Recover'!$A$1,工业节能技术装备推荐目录!A:A,"2022")</f>
        <v>0</v>
      </c>
    </row>
    <row r="14" spans="1:20" x14ac:dyDescent="0.15">
      <c r="A14" s="26" t="s">
        <v>43</v>
      </c>
      <c r="B14" s="50">
        <f>SUMIFS(工业节能技术装备推荐目录!L:L,工业节能技术装备推荐目录!D:D,'Cogeneration&amp;Waste Heat Recover'!A14,工业节能技术装备推荐目录!F:F,'Cogeneration&amp;Waste Heat Recover'!$A$1)+SUMIFS(用能设备节能分配!R:R,用能设备节能分配!O:O,'Cogeneration&amp;Waste Heat Recover'!A14,用能设备节能分配!P:P,'Cogeneration&amp;Waste Heat Recover'!$A$1)</f>
        <v>0</v>
      </c>
      <c r="C14" s="73">
        <f>SUMIFS(工业节能技术装备推荐目录!K:K,工业节能技术装备推荐目录!D:D,'Cogeneration&amp;Waste Heat Recover'!A14,工业节能技术装备推荐目录!F:F,'Cogeneration&amp;Waste Heat Recover'!$A$1,工业节能技术装备推荐目录!A:A,"2020")+SUMIFS(用能设备节能分配!Q:Q,用能设备节能分配!O:O,'Cogeneration&amp;Waste Heat Recover'!A14,用能设备节能分配!P:P,'Cogeneration&amp;Waste Heat Recover'!$A$1,用能设备节能分配!M:M,"2020")</f>
        <v>0</v>
      </c>
      <c r="D14" s="73">
        <f>SUMIFS(工业节能技术装备推荐目录!K:K,工业节能技术装备推荐目录!D:D,'Cogeneration&amp;Waste Heat Recover'!A14,工业节能技术装备推荐目录!F:F,'Cogeneration&amp;Waste Heat Recover'!$A$1,工业节能技术装备推荐目录!A:A,"2020")+SUMIFS(用能设备节能分配!Q:Q,用能设备节能分配!O:O,'Cogeneration&amp;Waste Heat Recover'!A14,用能设备节能分配!P:P,'Cogeneration&amp;Waste Heat Recover'!$A$1,用能设备节能分配!M:M,"2020")+SUMIFS(工业节能技术装备推荐目录!K:K,工业节能技术装备推荐目录!D:D,'Cogeneration&amp;Waste Heat Recover'!A14,工业节能技术装备推荐目录!F:F,'Cogeneration&amp;Waste Heat Recover'!$A$1,工业节能技术装备推荐目录!A:A,"2021")+SUMIFS(用能设备节能分配!Q:Q,用能设备节能分配!O:O,'Cogeneration&amp;Waste Heat Recover'!A14,用能设备节能分配!P:P,'Cogeneration&amp;Waste Heat Recover'!$A$1,用能设备节能分配!M:M,"2021")</f>
        <v>0</v>
      </c>
      <c r="E14" s="73">
        <f>SUMIFS(工业节能技术装备推荐目录!K:K,工业节能技术装备推荐目录!D:D,'Cogeneration&amp;Waste Heat Recover'!A14,工业节能技术装备推荐目录!F:F,'Cogeneration&amp;Waste Heat Recover'!$A$1,工业节能技术装备推荐目录!A:A,"2020")+SUMIFS(用能设备节能分配!Q:Q,用能设备节能分配!O:O,'Cogeneration&amp;Waste Heat Recover'!A14,用能设备节能分配!P:P,'Cogeneration&amp;Waste Heat Recover'!$A$1,用能设备节能分配!M:M,"2020")+SUMIFS(工业节能技术装备推荐目录!K:K,工业节能技术装备推荐目录!D:D,'Cogeneration&amp;Waste Heat Recover'!A14,工业节能技术装备推荐目录!F:F,'Cogeneration&amp;Waste Heat Recover'!$A$1,工业节能技术装备推荐目录!A:A,"2021")+SUMIFS(用能设备节能分配!Q:Q,用能设备节能分配!O:O,'Cogeneration&amp;Waste Heat Recover'!A14,用能设备节能分配!P:P,'Cogeneration&amp;Waste Heat Recover'!$A$1,用能设备节能分配!M:M,"2021")+SUMIFS(工业节能技术装备推荐目录!K:K,工业节能技术装备推荐目录!D:D,'Cogeneration&amp;Waste Heat Recover'!A14,工业节能技术装备推荐目录!F:F,'Cogeneration&amp;Waste Heat Recover'!$A$1,工业节能技术装备推荐目录!A:A,"2022")+SUMIFS(用能设备节能分配!Q:Q,用能设备节能分配!O:O,'Cogeneration&amp;Waste Heat Recover'!A14,用能设备节能分配!P:P,'Cogeneration&amp;Waste Heat Recover'!$A$1,用能设备节能分配!M:M,"2022")</f>
        <v>0</v>
      </c>
      <c r="F14" s="73">
        <f>SUMIFS(工业节能技术装备推荐目录!K:K,工业节能技术装备推荐目录!D:D,'Cogeneration&amp;Waste Heat Recover'!A14,工业节能技术装备推荐目录!F:F,'Cogeneration&amp;Waste Heat Recover'!$A$1,工业节能技术装备推荐目录!A:A,"2020")+SUMIFS(用能设备节能分配!Q:Q,用能设备节能分配!O:O,'Cogeneration&amp;Waste Heat Recover'!A14,用能设备节能分配!P:P,'Cogeneration&amp;Waste Heat Recover'!$A$1,用能设备节能分配!M:M,"2020")+SUMIFS(工业节能技术装备推荐目录!K:K,工业节能技术装备推荐目录!D:D,'Cogeneration&amp;Waste Heat Recover'!A14,工业节能技术装备推荐目录!F:F,'Cogeneration&amp;Waste Heat Recover'!$A$1,工业节能技术装备推荐目录!A:A,"2021")+SUMIFS(用能设备节能分配!Q:Q,用能设备节能分配!O:O,'Cogeneration&amp;Waste Heat Recover'!A14,用能设备节能分配!P:P,'Cogeneration&amp;Waste Heat Recover'!$A$1,用能设备节能分配!M:M,"2021")+SUMIFS(工业节能技术装备推荐目录!K:K,工业节能技术装备推荐目录!D:D,'Cogeneration&amp;Waste Heat Recover'!A14,工业节能技术装备推荐目录!F:F,'Cogeneration&amp;Waste Heat Recover'!$A$1,工业节能技术装备推荐目录!A:A,"2022")+SUMIFS(用能设备节能分配!Q:Q,用能设备节能分配!O:O,'Cogeneration&amp;Waste Heat Recover'!A14,用能设备节能分配!P:P,'Cogeneration&amp;Waste Heat Recover'!$A$1,用能设备节能分配!M:M,"2022")</f>
        <v>0</v>
      </c>
      <c r="G14" s="73">
        <f>SUMIFS(工业节能技术装备推荐目录!K:K,工业节能技术装备推荐目录!D:D,'Cogeneration&amp;Waste Heat Recover'!A14,工业节能技术装备推荐目录!F:F,'Cogeneration&amp;Waste Heat Recover'!$A$1,工业节能技术装备推荐目录!A:A,"2020")+SUMIFS(用能设备节能分配!Q:Q,用能设备节能分配!O:O,'Cogeneration&amp;Waste Heat Recover'!A14,用能设备节能分配!P:P,'Cogeneration&amp;Waste Heat Recover'!$A$1,用能设备节能分配!M:M,"2020")+SUMIFS(工业节能技术装备推荐目录!K:K,工业节能技术装备推荐目录!D:D,'Cogeneration&amp;Waste Heat Recover'!A14,工业节能技术装备推荐目录!F:F,'Cogeneration&amp;Waste Heat Recover'!$A$1,工业节能技术装备推荐目录!A:A,"2022")+SUMIFS(用能设备节能分配!Q:Q,用能设备节能分配!O:O,'Cogeneration&amp;Waste Heat Recover'!A14,用能设备节能分配!P:P,'Cogeneration&amp;Waste Heat Recover'!$A$1,用能设备节能分配!M:M,"2022")</f>
        <v>0</v>
      </c>
      <c r="H14" s="73">
        <f>SUMIFS(工业节能技术装备推荐目录!K:K,工业节能技术装备推荐目录!D:D,'Cogeneration&amp;Waste Heat Recover'!A14,工业节能技术装备推荐目录!F:F,'Cogeneration&amp;Waste Heat Recover'!$A$1,工业节能技术装备推荐目录!A:A,"2022")+SUMIFS(用能设备节能分配!Q:Q,用能设备节能分配!O:O,'Cogeneration&amp;Waste Heat Recover'!A14,用能设备节能分配!P:P,'Cogeneration&amp;Waste Heat Recover'!$A$1,用能设备节能分配!M:M,"2022")</f>
        <v>0</v>
      </c>
      <c r="I14" s="73">
        <f>SUMIFS(工业节能技术装备推荐目录!K:K,工业节能技术装备推荐目录!D:D,'Cogeneration&amp;Waste Heat Recover'!A14,工业节能技术装备推荐目录!F:F,'Cogeneration&amp;Waste Heat Recover'!$A$1,工业节能技术装备推荐目录!A:A,"2022")+SUMIFS(用能设备节能分配!Q:Q,用能设备节能分配!O:O,'Cogeneration&amp;Waste Heat Recover'!A14,用能设备节能分配!P:P,'Cogeneration&amp;Waste Heat Recover'!$A$1,用能设备节能分配!M:M,"2022")</f>
        <v>0</v>
      </c>
      <c r="K14" s="52"/>
      <c r="L14" s="26" t="s">
        <v>43</v>
      </c>
      <c r="M14" s="50">
        <f>SUMIFS(工业节能技术装备推荐目录!L:L,工业节能技术装备推荐目录!D:D,'Cogeneration&amp;Waste Heat Recover'!A14,工业节能技术装备推荐目录!F:F,'Cogeneration&amp;Waste Heat Recover'!$A$1)</f>
        <v>0</v>
      </c>
      <c r="N14" s="73">
        <f>SUMIFS(工业节能技术装备推荐目录!K:K,工业节能技术装备推荐目录!D:D,'Cogeneration&amp;Waste Heat Recover'!A14,工业节能技术装备推荐目录!F:F,'Cogeneration&amp;Waste Heat Recover'!$A$1,工业节能技术装备推荐目录!A:A,"2020")</f>
        <v>0</v>
      </c>
      <c r="O14" s="73">
        <f>SUMIFS(工业节能技术装备推荐目录!K:K,工业节能技术装备推荐目录!D:D,'Cogeneration&amp;Waste Heat Recover'!A14,工业节能技术装备推荐目录!F:F,'Cogeneration&amp;Waste Heat Recover'!$A$1,工业节能技术装备推荐目录!A:A,"2020")+SUMIFS(工业节能技术装备推荐目录!K:K,工业节能技术装备推荐目录!D:D,'Cogeneration&amp;Waste Heat Recover'!A14,工业节能技术装备推荐目录!F:F,'Cogeneration&amp;Waste Heat Recover'!$A$1,工业节能技术装备推荐目录!A:A,"2021")</f>
        <v>0</v>
      </c>
      <c r="P14" s="73">
        <f>SUMIFS(工业节能技术装备推荐目录!K:K,工业节能技术装备推荐目录!D:D,'Cogeneration&amp;Waste Heat Recover'!A14,工业节能技术装备推荐目录!F:F,'Cogeneration&amp;Waste Heat Recover'!$A$1,工业节能技术装备推荐目录!A:A,"2020")+SUMIFS(工业节能技术装备推荐目录!K:K,工业节能技术装备推荐目录!D:D,'Cogeneration&amp;Waste Heat Recover'!A14,工业节能技术装备推荐目录!F:F,'Cogeneration&amp;Waste Heat Recover'!$A$1,工业节能技术装备推荐目录!A:A,"2021")+SUMIFS(工业节能技术装备推荐目录!K:K,工业节能技术装备推荐目录!D:D,'Cogeneration&amp;Waste Heat Recover'!A14,工业节能技术装备推荐目录!F:F,'Cogeneration&amp;Waste Heat Recover'!$A$1,工业节能技术装备推荐目录!A:A,"2022")</f>
        <v>0</v>
      </c>
      <c r="Q14" s="73">
        <f>SUMIFS(工业节能技术装备推荐目录!K:K,工业节能技术装备推荐目录!D:D,'Cogeneration&amp;Waste Heat Recover'!A14,工业节能技术装备推荐目录!F:F,'Cogeneration&amp;Waste Heat Recover'!$A$1,工业节能技术装备推荐目录!A:A,"2020")+SUMIFS(工业节能技术装备推荐目录!K:K,工业节能技术装备推荐目录!D:D,'Cogeneration&amp;Waste Heat Recover'!A14,工业节能技术装备推荐目录!F:F,'Cogeneration&amp;Waste Heat Recover'!$A$1,工业节能技术装备推荐目录!A:A,"2021")+SUMIFS(工业节能技术装备推荐目录!K:K,工业节能技术装备推荐目录!D:D,'Cogeneration&amp;Waste Heat Recover'!A14,工业节能技术装备推荐目录!F:F,'Cogeneration&amp;Waste Heat Recover'!$A$1,工业节能技术装备推荐目录!A:A,"2022")</f>
        <v>0</v>
      </c>
      <c r="R14" s="73">
        <f>SUMIFS(工业节能技术装备推荐目录!K:K,工业节能技术装备推荐目录!D:D,'Cogeneration&amp;Waste Heat Recover'!A14,工业节能技术装备推荐目录!F:F,'Cogeneration&amp;Waste Heat Recover'!$A$1,工业节能技术装备推荐目录!A:A,"2020")+SUMIFS(工业节能技术装备推荐目录!K:K,工业节能技术装备推荐目录!D:D,'Cogeneration&amp;Waste Heat Recover'!A14,工业节能技术装备推荐目录!F:F,'Cogeneration&amp;Waste Heat Recover'!$A$1,工业节能技术装备推荐目录!A:A,"2022")</f>
        <v>0</v>
      </c>
      <c r="S14" s="73">
        <f>SUMIFS(工业节能技术装备推荐目录!K:K,工业节能技术装备推荐目录!D:D,'Cogeneration&amp;Waste Heat Recover'!A14,工业节能技术装备推荐目录!F:F,'Cogeneration&amp;Waste Heat Recover'!$A$1,工业节能技术装备推荐目录!A:A,"2022")</f>
        <v>0</v>
      </c>
      <c r="T14" s="73">
        <f>SUMIFS(工业节能技术装备推荐目录!K:K,工业节能技术装备推荐目录!D:D,'Cogeneration&amp;Waste Heat Recover'!A14,工业节能技术装备推荐目录!F:F,'Cogeneration&amp;Waste Heat Recover'!$A$1,工业节能技术装备推荐目录!A:A,"2022")</f>
        <v>0</v>
      </c>
    </row>
    <row r="15" spans="1:20" x14ac:dyDescent="0.15">
      <c r="A15" s="26" t="s">
        <v>56</v>
      </c>
      <c r="B15" s="50">
        <f>SUMIFS(工业节能技术装备推荐目录!L:L,工业节能技术装备推荐目录!D:D,'Cogeneration&amp;Waste Heat Recover'!A15,工业节能技术装备推荐目录!F:F,'Cogeneration&amp;Waste Heat Recover'!$A$1)+SUMIFS(用能设备节能分配!R:R,用能设备节能分配!O:O,'Cogeneration&amp;Waste Heat Recover'!A15,用能设备节能分配!P:P,'Cogeneration&amp;Waste Heat Recover'!$A$1)</f>
        <v>26.056129505861314</v>
      </c>
      <c r="C15" s="73">
        <f>SUMIFS(工业节能技术装备推荐目录!K:K,工业节能技术装备推荐目录!D:D,'Cogeneration&amp;Waste Heat Recover'!A15,工业节能技术装备推荐目录!F:F,'Cogeneration&amp;Waste Heat Recover'!$A$1,工业节能技术装备推荐目录!A:A,"2020")+SUMIFS(用能设备节能分配!Q:Q,用能设备节能分配!O:O,'Cogeneration&amp;Waste Heat Recover'!A15,用能设备节能分配!P:P,'Cogeneration&amp;Waste Heat Recover'!$A$1,用能设备节能分配!M:M,"2020")</f>
        <v>0</v>
      </c>
      <c r="D15" s="73">
        <f>SUMIFS(工业节能技术装备推荐目录!K:K,工业节能技术装备推荐目录!D:D,'Cogeneration&amp;Waste Heat Recover'!A15,工业节能技术装备推荐目录!F:F,'Cogeneration&amp;Waste Heat Recover'!$A$1,工业节能技术装备推荐目录!A:A,"2020")+SUMIFS(用能设备节能分配!Q:Q,用能设备节能分配!O:O,'Cogeneration&amp;Waste Heat Recover'!A15,用能设备节能分配!P:P,'Cogeneration&amp;Waste Heat Recover'!$A$1,用能设备节能分配!M:M,"2020")+SUMIFS(工业节能技术装备推荐目录!K:K,工业节能技术装备推荐目录!D:D,'Cogeneration&amp;Waste Heat Recover'!A15,工业节能技术装备推荐目录!F:F,'Cogeneration&amp;Waste Heat Recover'!$A$1,工业节能技术装备推荐目录!A:A,"2021")+SUMIFS(用能设备节能分配!Q:Q,用能设备节能分配!O:O,'Cogeneration&amp;Waste Heat Recover'!A15,用能设备节能分配!P:P,'Cogeneration&amp;Waste Heat Recover'!$A$1,用能设备节能分配!M:M,"2021")</f>
        <v>0.72723043517230634</v>
      </c>
      <c r="E15" s="73">
        <f>SUMIFS(工业节能技术装备推荐目录!K:K,工业节能技术装备推荐目录!D:D,'Cogeneration&amp;Waste Heat Recover'!A15,工业节能技术装备推荐目录!F:F,'Cogeneration&amp;Waste Heat Recover'!$A$1,工业节能技术装备推荐目录!A:A,"2020")+SUMIFS(用能设备节能分配!Q:Q,用能设备节能分配!O:O,'Cogeneration&amp;Waste Heat Recover'!A15,用能设备节能分配!P:P,'Cogeneration&amp;Waste Heat Recover'!$A$1,用能设备节能分配!M:M,"2020")+SUMIFS(工业节能技术装备推荐目录!K:K,工业节能技术装备推荐目录!D:D,'Cogeneration&amp;Waste Heat Recover'!A15,工业节能技术装备推荐目录!F:F,'Cogeneration&amp;Waste Heat Recover'!$A$1,工业节能技术装备推荐目录!A:A,"2021")+SUMIFS(用能设备节能分配!Q:Q,用能设备节能分配!O:O,'Cogeneration&amp;Waste Heat Recover'!A15,用能设备节能分配!P:P,'Cogeneration&amp;Waste Heat Recover'!$A$1,用能设备节能分配!M:M,"2021")+SUMIFS(工业节能技术装备推荐目录!K:K,工业节能技术装备推荐目录!D:D,'Cogeneration&amp;Waste Heat Recover'!A15,工业节能技术装备推荐目录!F:F,'Cogeneration&amp;Waste Heat Recover'!$A$1,工业节能技术装备推荐目录!A:A,"2022")+SUMIFS(用能设备节能分配!Q:Q,用能设备节能分配!O:O,'Cogeneration&amp;Waste Heat Recover'!A15,用能设备节能分配!P:P,'Cogeneration&amp;Waste Heat Recover'!$A$1,用能设备节能分配!M:M,"2022")</f>
        <v>0.72723043517230634</v>
      </c>
      <c r="F15" s="73">
        <f>SUMIFS(工业节能技术装备推荐目录!K:K,工业节能技术装备推荐目录!D:D,'Cogeneration&amp;Waste Heat Recover'!A15,工业节能技术装备推荐目录!F:F,'Cogeneration&amp;Waste Heat Recover'!$A$1,工业节能技术装备推荐目录!A:A,"2020")+SUMIFS(用能设备节能分配!Q:Q,用能设备节能分配!O:O,'Cogeneration&amp;Waste Heat Recover'!A15,用能设备节能分配!P:P,'Cogeneration&amp;Waste Heat Recover'!$A$1,用能设备节能分配!M:M,"2020")+SUMIFS(工业节能技术装备推荐目录!K:K,工业节能技术装备推荐目录!D:D,'Cogeneration&amp;Waste Heat Recover'!A15,工业节能技术装备推荐目录!F:F,'Cogeneration&amp;Waste Heat Recover'!$A$1,工业节能技术装备推荐目录!A:A,"2021")+SUMIFS(用能设备节能分配!Q:Q,用能设备节能分配!O:O,'Cogeneration&amp;Waste Heat Recover'!A15,用能设备节能分配!P:P,'Cogeneration&amp;Waste Heat Recover'!$A$1,用能设备节能分配!M:M,"2021")+SUMIFS(工业节能技术装备推荐目录!K:K,工业节能技术装备推荐目录!D:D,'Cogeneration&amp;Waste Heat Recover'!A15,工业节能技术装备推荐目录!F:F,'Cogeneration&amp;Waste Heat Recover'!$A$1,工业节能技术装备推荐目录!A:A,"2022")+SUMIFS(用能设备节能分配!Q:Q,用能设备节能分配!O:O,'Cogeneration&amp;Waste Heat Recover'!A15,用能设备节能分配!P:P,'Cogeneration&amp;Waste Heat Recover'!$A$1,用能设备节能分配!M:M,"2022")</f>
        <v>0.72723043517230634</v>
      </c>
      <c r="G15" s="73">
        <f>SUMIFS(工业节能技术装备推荐目录!K:K,工业节能技术装备推荐目录!D:D,'Cogeneration&amp;Waste Heat Recover'!A15,工业节能技术装备推荐目录!F:F,'Cogeneration&amp;Waste Heat Recover'!$A$1,工业节能技术装备推荐目录!A:A,"2020")+SUMIFS(用能设备节能分配!Q:Q,用能设备节能分配!O:O,'Cogeneration&amp;Waste Heat Recover'!A15,用能设备节能分配!P:P,'Cogeneration&amp;Waste Heat Recover'!$A$1,用能设备节能分配!M:M,"2020")+SUMIFS(工业节能技术装备推荐目录!K:K,工业节能技术装备推荐目录!D:D,'Cogeneration&amp;Waste Heat Recover'!A15,工业节能技术装备推荐目录!F:F,'Cogeneration&amp;Waste Heat Recover'!$A$1,工业节能技术装备推荐目录!A:A,"2022")+SUMIFS(用能设备节能分配!Q:Q,用能设备节能分配!O:O,'Cogeneration&amp;Waste Heat Recover'!A15,用能设备节能分配!P:P,'Cogeneration&amp;Waste Heat Recover'!$A$1,用能设备节能分配!M:M,"2022")</f>
        <v>0</v>
      </c>
      <c r="H15" s="73">
        <f>SUMIFS(工业节能技术装备推荐目录!K:K,工业节能技术装备推荐目录!D:D,'Cogeneration&amp;Waste Heat Recover'!A15,工业节能技术装备推荐目录!F:F,'Cogeneration&amp;Waste Heat Recover'!$A$1,工业节能技术装备推荐目录!A:A,"2022")+SUMIFS(用能设备节能分配!Q:Q,用能设备节能分配!O:O,'Cogeneration&amp;Waste Heat Recover'!A15,用能设备节能分配!P:P,'Cogeneration&amp;Waste Heat Recover'!$A$1,用能设备节能分配!M:M,"2022")</f>
        <v>0</v>
      </c>
      <c r="I15" s="73">
        <f>SUMIFS(工业节能技术装备推荐目录!K:K,工业节能技术装备推荐目录!D:D,'Cogeneration&amp;Waste Heat Recover'!A15,工业节能技术装备推荐目录!F:F,'Cogeneration&amp;Waste Heat Recover'!$A$1,工业节能技术装备推荐目录!A:A,"2022")+SUMIFS(用能设备节能分配!Q:Q,用能设备节能分配!O:O,'Cogeneration&amp;Waste Heat Recover'!A15,用能设备节能分配!P:P,'Cogeneration&amp;Waste Heat Recover'!$A$1,用能设备节能分配!M:M,"2022")</f>
        <v>0</v>
      </c>
      <c r="K15" s="52"/>
      <c r="L15" s="26" t="s">
        <v>56</v>
      </c>
      <c r="M15" s="50">
        <f>SUMIFS(工业节能技术装备推荐目录!L:L,工业节能技术装备推荐目录!D:D,'Cogeneration&amp;Waste Heat Recover'!A15,工业节能技术装备推荐目录!F:F,'Cogeneration&amp;Waste Heat Recover'!$A$1)</f>
        <v>22.540000000000003</v>
      </c>
      <c r="N15" s="73">
        <f>SUMIFS(工业节能技术装备推荐目录!K:K,工业节能技术装备推荐目录!D:D,'Cogeneration&amp;Waste Heat Recover'!A15,工业节能技术装备推荐目录!F:F,'Cogeneration&amp;Waste Heat Recover'!$A$1,工业节能技术装备推荐目录!A:A,"2020")</f>
        <v>0</v>
      </c>
      <c r="O15" s="73">
        <f>SUMIFS(工业节能技术装备推荐目录!K:K,工业节能技术装备推荐目录!D:D,'Cogeneration&amp;Waste Heat Recover'!A15,工业节能技术装备推荐目录!F:F,'Cogeneration&amp;Waste Heat Recover'!$A$1,工业节能技术装备推荐目录!A:A,"2020")+SUMIFS(工业节能技术装备推荐目录!K:K,工业节能技术装备推荐目录!D:D,'Cogeneration&amp;Waste Heat Recover'!A15,工业节能技术装备推荐目录!F:F,'Cogeneration&amp;Waste Heat Recover'!$A$1,工业节能技术装备推荐目录!A:A,"2021")</f>
        <v>0.23</v>
      </c>
      <c r="P15" s="73">
        <f>SUMIFS(工业节能技术装备推荐目录!K:K,工业节能技术装备推荐目录!D:D,'Cogeneration&amp;Waste Heat Recover'!A15,工业节能技术装备推荐目录!F:F,'Cogeneration&amp;Waste Heat Recover'!$A$1,工业节能技术装备推荐目录!A:A,"2020")+SUMIFS(工业节能技术装备推荐目录!K:K,工业节能技术装备推荐目录!D:D,'Cogeneration&amp;Waste Heat Recover'!A15,工业节能技术装备推荐目录!F:F,'Cogeneration&amp;Waste Heat Recover'!$A$1,工业节能技术装备推荐目录!A:A,"2021")+SUMIFS(工业节能技术装备推荐目录!K:K,工业节能技术装备推荐目录!D:D,'Cogeneration&amp;Waste Heat Recover'!A15,工业节能技术装备推荐目录!F:F,'Cogeneration&amp;Waste Heat Recover'!$A$1,工业节能技术装备推荐目录!A:A,"2022")</f>
        <v>0.23</v>
      </c>
      <c r="Q15" s="73">
        <f>SUMIFS(工业节能技术装备推荐目录!K:K,工业节能技术装备推荐目录!D:D,'Cogeneration&amp;Waste Heat Recover'!A15,工业节能技术装备推荐目录!F:F,'Cogeneration&amp;Waste Heat Recover'!$A$1,工业节能技术装备推荐目录!A:A,"2020")+SUMIFS(工业节能技术装备推荐目录!K:K,工业节能技术装备推荐目录!D:D,'Cogeneration&amp;Waste Heat Recover'!A15,工业节能技术装备推荐目录!F:F,'Cogeneration&amp;Waste Heat Recover'!$A$1,工业节能技术装备推荐目录!A:A,"2021")+SUMIFS(工业节能技术装备推荐目录!K:K,工业节能技术装备推荐目录!D:D,'Cogeneration&amp;Waste Heat Recover'!A15,工业节能技术装备推荐目录!F:F,'Cogeneration&amp;Waste Heat Recover'!$A$1,工业节能技术装备推荐目录!A:A,"2022")</f>
        <v>0.23</v>
      </c>
      <c r="R15" s="73">
        <f>SUMIFS(工业节能技术装备推荐目录!K:K,工业节能技术装备推荐目录!D:D,'Cogeneration&amp;Waste Heat Recover'!A15,工业节能技术装备推荐目录!F:F,'Cogeneration&amp;Waste Heat Recover'!$A$1,工业节能技术装备推荐目录!A:A,"2020")+SUMIFS(工业节能技术装备推荐目录!K:K,工业节能技术装备推荐目录!D:D,'Cogeneration&amp;Waste Heat Recover'!A15,工业节能技术装备推荐目录!F:F,'Cogeneration&amp;Waste Heat Recover'!$A$1,工业节能技术装备推荐目录!A:A,"2022")</f>
        <v>0</v>
      </c>
      <c r="S15" s="73">
        <f>SUMIFS(工业节能技术装备推荐目录!K:K,工业节能技术装备推荐目录!D:D,'Cogeneration&amp;Waste Heat Recover'!A15,工业节能技术装备推荐目录!F:F,'Cogeneration&amp;Waste Heat Recover'!$A$1,工业节能技术装备推荐目录!A:A,"2022")</f>
        <v>0</v>
      </c>
      <c r="T15" s="73">
        <f>SUMIFS(工业节能技术装备推荐目录!K:K,工业节能技术装备推荐目录!D:D,'Cogeneration&amp;Waste Heat Recover'!A15,工业节能技术装备推荐目录!F:F,'Cogeneration&amp;Waste Heat Recover'!$A$1,工业节能技术装备推荐目录!A:A,"2022")</f>
        <v>0</v>
      </c>
    </row>
    <row r="16" spans="1:20" x14ac:dyDescent="0.15">
      <c r="A16" s="26" t="s">
        <v>45</v>
      </c>
      <c r="B16" s="50">
        <f>SUMIFS(工业节能技术装备推荐目录!L:L,工业节能技术装备推荐目录!D:D,'Cogeneration&amp;Waste Heat Recover'!A16,工业节能技术装备推荐目录!F:F,'Cogeneration&amp;Waste Heat Recover'!$A$1)+SUMIFS(用能设备节能分配!R:R,用能设备节能分配!O:O,'Cogeneration&amp;Waste Heat Recover'!A16,用能设备节能分配!P:P,'Cogeneration&amp;Waste Heat Recover'!$A$1)</f>
        <v>7061.0761203468564</v>
      </c>
      <c r="C16" s="73">
        <f>SUMIFS(工业节能技术装备推荐目录!K:K,工业节能技术装备推荐目录!D:D,'Cogeneration&amp;Waste Heat Recover'!A16,工业节能技术装备推荐目录!F:F,'Cogeneration&amp;Waste Heat Recover'!$A$1,工业节能技术装备推荐目录!A:A,"2020")+SUMIFS(用能设备节能分配!Q:Q,用能设备节能分配!O:O,'Cogeneration&amp;Waste Heat Recover'!A16,用能设备节能分配!P:P,'Cogeneration&amp;Waste Heat Recover'!$A$1,用能设备节能分配!M:M,"2020")</f>
        <v>25.225111791812406</v>
      </c>
      <c r="D16" s="73">
        <f>SUMIFS(工业节能技术装备推荐目录!K:K,工业节能技术装备推荐目录!D:D,'Cogeneration&amp;Waste Heat Recover'!A16,工业节能技术装备推荐目录!F:F,'Cogeneration&amp;Waste Heat Recover'!$A$1,工业节能技术装备推荐目录!A:A,"2020")+SUMIFS(用能设备节能分配!Q:Q,用能设备节能分配!O:O,'Cogeneration&amp;Waste Heat Recover'!A16,用能设备节能分配!P:P,'Cogeneration&amp;Waste Heat Recover'!$A$1,用能设备节能分配!M:M,"2020")+SUMIFS(工业节能技术装备推荐目录!K:K,工业节能技术装备推荐目录!D:D,'Cogeneration&amp;Waste Heat Recover'!A16,工业节能技术装备推荐目录!F:F,'Cogeneration&amp;Waste Heat Recover'!$A$1,工业节能技术装备推荐目录!A:A,"2021")+SUMIFS(用能设备节能分配!Q:Q,用能设备节能分配!O:O,'Cogeneration&amp;Waste Heat Recover'!A16,用能设备节能分配!P:P,'Cogeneration&amp;Waste Heat Recover'!$A$1,用能设备节能分配!M:M,"2021")</f>
        <v>26.566801316582243</v>
      </c>
      <c r="E16" s="73">
        <f>SUMIFS(工业节能技术装备推荐目录!K:K,工业节能技术装备推荐目录!D:D,'Cogeneration&amp;Waste Heat Recover'!A16,工业节能技术装备推荐目录!F:F,'Cogeneration&amp;Waste Heat Recover'!$A$1,工业节能技术装备推荐目录!A:A,"2020")+SUMIFS(用能设备节能分配!Q:Q,用能设备节能分配!O:O,'Cogeneration&amp;Waste Heat Recover'!A16,用能设备节能分配!P:P,'Cogeneration&amp;Waste Heat Recover'!$A$1,用能设备节能分配!M:M,"2020")+SUMIFS(工业节能技术装备推荐目录!K:K,工业节能技术装备推荐目录!D:D,'Cogeneration&amp;Waste Heat Recover'!A16,工业节能技术装备推荐目录!F:F,'Cogeneration&amp;Waste Heat Recover'!$A$1,工业节能技术装备推荐目录!A:A,"2021")+SUMIFS(用能设备节能分配!Q:Q,用能设备节能分配!O:O,'Cogeneration&amp;Waste Heat Recover'!A16,用能设备节能分配!P:P,'Cogeneration&amp;Waste Heat Recover'!$A$1,用能设备节能分配!M:M,"2021")+SUMIFS(工业节能技术装备推荐目录!K:K,工业节能技术装备推荐目录!D:D,'Cogeneration&amp;Waste Heat Recover'!A16,工业节能技术装备推荐目录!F:F,'Cogeneration&amp;Waste Heat Recover'!$A$1,工业节能技术装备推荐目录!A:A,"2022")+SUMIFS(用能设备节能分配!Q:Q,用能设备节能分配!O:O,'Cogeneration&amp;Waste Heat Recover'!A16,用能设备节能分配!P:P,'Cogeneration&amp;Waste Heat Recover'!$A$1,用能设备节能分配!M:M,"2022")</f>
        <v>340.61105169030691</v>
      </c>
      <c r="F16" s="73">
        <f>SUMIFS(工业节能技术装备推荐目录!K:K,工业节能技术装备推荐目录!D:D,'Cogeneration&amp;Waste Heat Recover'!A16,工业节能技术装备推荐目录!F:F,'Cogeneration&amp;Waste Heat Recover'!$A$1,工业节能技术装备推荐目录!A:A,"2020")+SUMIFS(用能设备节能分配!Q:Q,用能设备节能分配!O:O,'Cogeneration&amp;Waste Heat Recover'!A16,用能设备节能分配!P:P,'Cogeneration&amp;Waste Heat Recover'!$A$1,用能设备节能分配!M:M,"2020")+SUMIFS(工业节能技术装备推荐目录!K:K,工业节能技术装备推荐目录!D:D,'Cogeneration&amp;Waste Heat Recover'!A16,工业节能技术装备推荐目录!F:F,'Cogeneration&amp;Waste Heat Recover'!$A$1,工业节能技术装备推荐目录!A:A,"2021")+SUMIFS(用能设备节能分配!Q:Q,用能设备节能分配!O:O,'Cogeneration&amp;Waste Heat Recover'!A16,用能设备节能分配!P:P,'Cogeneration&amp;Waste Heat Recover'!$A$1,用能设备节能分配!M:M,"2021")+SUMIFS(工业节能技术装备推荐目录!K:K,工业节能技术装备推荐目录!D:D,'Cogeneration&amp;Waste Heat Recover'!A16,工业节能技术装备推荐目录!F:F,'Cogeneration&amp;Waste Heat Recover'!$A$1,工业节能技术装备推荐目录!A:A,"2022")+SUMIFS(用能设备节能分配!Q:Q,用能设备节能分配!O:O,'Cogeneration&amp;Waste Heat Recover'!A16,用能设备节能分配!P:P,'Cogeneration&amp;Waste Heat Recover'!$A$1,用能设备节能分配!M:M,"2022")</f>
        <v>340.61105169030691</v>
      </c>
      <c r="G16" s="73">
        <f>SUMIFS(工业节能技术装备推荐目录!K:K,工业节能技术装备推荐目录!D:D,'Cogeneration&amp;Waste Heat Recover'!A16,工业节能技术装备推荐目录!F:F,'Cogeneration&amp;Waste Heat Recover'!$A$1,工业节能技术装备推荐目录!A:A,"2020")+SUMIFS(用能设备节能分配!Q:Q,用能设备节能分配!O:O,'Cogeneration&amp;Waste Heat Recover'!A16,用能设备节能分配!P:P,'Cogeneration&amp;Waste Heat Recover'!$A$1,用能设备节能分配!M:M,"2020")+SUMIFS(工业节能技术装备推荐目录!K:K,工业节能技术装备推荐目录!D:D,'Cogeneration&amp;Waste Heat Recover'!A16,工业节能技术装备推荐目录!F:F,'Cogeneration&amp;Waste Heat Recover'!$A$1,工业节能技术装备推荐目录!A:A,"2022")+SUMIFS(用能设备节能分配!Q:Q,用能设备节能分配!O:O,'Cogeneration&amp;Waste Heat Recover'!A16,用能设备节能分配!P:P,'Cogeneration&amp;Waste Heat Recover'!$A$1,用能设备节能分配!M:M,"2022")</f>
        <v>339.26936216553707</v>
      </c>
      <c r="H16" s="73">
        <f>SUMIFS(工业节能技术装备推荐目录!K:K,工业节能技术装备推荐目录!D:D,'Cogeneration&amp;Waste Heat Recover'!A16,工业节能技术装备推荐目录!F:F,'Cogeneration&amp;Waste Heat Recover'!$A$1,工业节能技术装备推荐目录!A:A,"2022")+SUMIFS(用能设备节能分配!Q:Q,用能设备节能分配!O:O,'Cogeneration&amp;Waste Heat Recover'!A16,用能设备节能分配!P:P,'Cogeneration&amp;Waste Heat Recover'!$A$1,用能设备节能分配!M:M,"2022")</f>
        <v>314.04425037372465</v>
      </c>
      <c r="I16" s="73">
        <f>SUMIFS(工业节能技术装备推荐目录!K:K,工业节能技术装备推荐目录!D:D,'Cogeneration&amp;Waste Heat Recover'!A16,工业节能技术装备推荐目录!F:F,'Cogeneration&amp;Waste Heat Recover'!$A$1,工业节能技术装备推荐目录!A:A,"2022")+SUMIFS(用能设备节能分配!Q:Q,用能设备节能分配!O:O,'Cogeneration&amp;Waste Heat Recover'!A16,用能设备节能分配!P:P,'Cogeneration&amp;Waste Heat Recover'!$A$1,用能设备节能分配!M:M,"2022")</f>
        <v>314.04425037372465</v>
      </c>
      <c r="K16" s="52"/>
      <c r="L16" s="26" t="s">
        <v>45</v>
      </c>
      <c r="M16" s="50">
        <f>SUMIFS(工业节能技术装备推荐目录!L:L,工业节能技术装备推荐目录!D:D,'Cogeneration&amp;Waste Heat Recover'!A16,工业节能技术装备推荐目录!F:F,'Cogeneration&amp;Waste Heat Recover'!$A$1)</f>
        <v>6803.4264572636666</v>
      </c>
      <c r="N16" s="73">
        <f>SUMIFS(工业节能技术装备推荐目录!K:K,工业节能技术装备推荐目录!D:D,'Cogeneration&amp;Waste Heat Recover'!A16,工业节能技术装备推荐目录!F:F,'Cogeneration&amp;Waste Heat Recover'!$A$1,工业节能技术装备推荐目录!A:A,"2020")</f>
        <v>0</v>
      </c>
      <c r="O16" s="73">
        <f>SUMIFS(工业节能技术装备推荐目录!K:K,工业节能技术装备推荐目录!D:D,'Cogeneration&amp;Waste Heat Recover'!A16,工业节能技术装备推荐目录!F:F,'Cogeneration&amp;Waste Heat Recover'!$A$1,工业节能技术装备推荐目录!A:A,"2020")+SUMIFS(工业节能技术装备推荐目录!K:K,工业节能技术装备推荐目录!D:D,'Cogeneration&amp;Waste Heat Recover'!A16,工业节能技术装备推荐目录!F:F,'Cogeneration&amp;Waste Heat Recover'!$A$1,工业节能技术装备推荐目录!A:A,"2021")</f>
        <v>0</v>
      </c>
      <c r="P16" s="73">
        <f>SUMIFS(工业节能技术装备推荐目录!K:K,工业节能技术装备推荐目录!D:D,'Cogeneration&amp;Waste Heat Recover'!A16,工业节能技术装备推荐目录!F:F,'Cogeneration&amp;Waste Heat Recover'!$A$1,工业节能技术装备推荐目录!A:A,"2020")+SUMIFS(工业节能技术装备推荐目录!K:K,工业节能技术装备推荐目录!D:D,'Cogeneration&amp;Waste Heat Recover'!A16,工业节能技术装备推荐目录!F:F,'Cogeneration&amp;Waste Heat Recover'!$A$1,工业节能技术装备推荐目录!A:A,"2021")+SUMIFS(工业节能技术装备推荐目录!K:K,工业节能技术装备推荐目录!D:D,'Cogeneration&amp;Waste Heat Recover'!A16,工业节能技术装备推荐目录!F:F,'Cogeneration&amp;Waste Heat Recover'!$A$1,工业节能技术装备推荐目录!A:A,"2022")</f>
        <v>306</v>
      </c>
      <c r="Q16" s="73">
        <f>SUMIFS(工业节能技术装备推荐目录!K:K,工业节能技术装备推荐目录!D:D,'Cogeneration&amp;Waste Heat Recover'!A16,工业节能技术装备推荐目录!F:F,'Cogeneration&amp;Waste Heat Recover'!$A$1,工业节能技术装备推荐目录!A:A,"2020")+SUMIFS(工业节能技术装备推荐目录!K:K,工业节能技术装备推荐目录!D:D,'Cogeneration&amp;Waste Heat Recover'!A16,工业节能技术装备推荐目录!F:F,'Cogeneration&amp;Waste Heat Recover'!$A$1,工业节能技术装备推荐目录!A:A,"2021")+SUMIFS(工业节能技术装备推荐目录!K:K,工业节能技术装备推荐目录!D:D,'Cogeneration&amp;Waste Heat Recover'!A16,工业节能技术装备推荐目录!F:F,'Cogeneration&amp;Waste Heat Recover'!$A$1,工业节能技术装备推荐目录!A:A,"2022")</f>
        <v>306</v>
      </c>
      <c r="R16" s="73">
        <f>SUMIFS(工业节能技术装备推荐目录!K:K,工业节能技术装备推荐目录!D:D,'Cogeneration&amp;Waste Heat Recover'!A16,工业节能技术装备推荐目录!F:F,'Cogeneration&amp;Waste Heat Recover'!$A$1,工业节能技术装备推荐目录!A:A,"2020")+SUMIFS(工业节能技术装备推荐目录!K:K,工业节能技术装备推荐目录!D:D,'Cogeneration&amp;Waste Heat Recover'!A16,工业节能技术装备推荐目录!F:F,'Cogeneration&amp;Waste Heat Recover'!$A$1,工业节能技术装备推荐目录!A:A,"2022")</f>
        <v>306</v>
      </c>
      <c r="S16" s="73">
        <f>SUMIFS(工业节能技术装备推荐目录!K:K,工业节能技术装备推荐目录!D:D,'Cogeneration&amp;Waste Heat Recover'!A16,工业节能技术装备推荐目录!F:F,'Cogeneration&amp;Waste Heat Recover'!$A$1,工业节能技术装备推荐目录!A:A,"2022")</f>
        <v>306</v>
      </c>
      <c r="T16" s="73">
        <f>SUMIFS(工业节能技术装备推荐目录!K:K,工业节能技术装备推荐目录!D:D,'Cogeneration&amp;Waste Heat Recover'!A16,工业节能技术装备推荐目录!F:F,'Cogeneration&amp;Waste Heat Recover'!$A$1,工业节能技术装备推荐目录!A:A,"2022")</f>
        <v>306</v>
      </c>
    </row>
    <row r="17" spans="1:20" x14ac:dyDescent="0.15">
      <c r="A17" s="26" t="s">
        <v>46</v>
      </c>
      <c r="B17" s="50">
        <f>SUMIFS(工业节能技术装备推荐目录!L:L,工业节能技术装备推荐目录!D:D,'Cogeneration&amp;Waste Heat Recover'!A17,工业节能技术装备推荐目录!F:F,'Cogeneration&amp;Waste Heat Recover'!$A$1)+SUMIFS(用能设备节能分配!R:R,用能设备节能分配!O:O,'Cogeneration&amp;Waste Heat Recover'!A17,用能设备节能分配!P:P,'Cogeneration&amp;Waste Heat Recover'!$A$1)</f>
        <v>11.871425556537503</v>
      </c>
      <c r="C17" s="73">
        <f>SUMIFS(工业节能技术装备推荐目录!K:K,工业节能技术装备推荐目录!D:D,'Cogeneration&amp;Waste Heat Recover'!A17,工业节能技术装备推荐目录!F:F,'Cogeneration&amp;Waste Heat Recover'!$A$1,工业节能技术装备推荐目录!A:A,"2020")+SUMIFS(用能设备节能分配!Q:Q,用能设备节能分配!O:O,'Cogeneration&amp;Waste Heat Recover'!A17,用能设备节能分配!P:P,'Cogeneration&amp;Waste Heat Recover'!$A$1,用能设备节能分配!M:M,"2020")</f>
        <v>1.5505910169367016</v>
      </c>
      <c r="D17" s="73">
        <f>SUMIFS(工业节能技术装备推荐目录!K:K,工业节能技术装备推荐目录!D:D,'Cogeneration&amp;Waste Heat Recover'!A17,工业节能技术装备推荐目录!F:F,'Cogeneration&amp;Waste Heat Recover'!$A$1,工业节能技术装备推荐目录!A:A,"2020")+SUMIFS(用能设备节能分配!Q:Q,用能设备节能分配!O:O,'Cogeneration&amp;Waste Heat Recover'!A17,用能设备节能分配!P:P,'Cogeneration&amp;Waste Heat Recover'!$A$1,用能设备节能分配!M:M,"2020")+SUMIFS(工业节能技术装备推荐目录!K:K,工业节能技术装备推荐目录!D:D,'Cogeneration&amp;Waste Heat Recover'!A17,工业节能技术装备推荐目录!F:F,'Cogeneration&amp;Waste Heat Recover'!$A$1,工业节能技术装备推荐目录!A:A,"2021")+SUMIFS(用能设备节能分配!Q:Q,用能设备节能分配!O:O,'Cogeneration&amp;Waste Heat Recover'!A17,用能设备节能分配!P:P,'Cogeneration&amp;Waste Heat Recover'!$A$1,用能设备节能分配!M:M,"2021")</f>
        <v>1.77829160685179</v>
      </c>
      <c r="E17" s="73">
        <f>SUMIFS(工业节能技术装备推荐目录!K:K,工业节能技术装备推荐目录!D:D,'Cogeneration&amp;Waste Heat Recover'!A17,工业节能技术装备推荐目录!F:F,'Cogeneration&amp;Waste Heat Recover'!$A$1,工业节能技术装备推荐目录!A:A,"2020")+SUMIFS(用能设备节能分配!Q:Q,用能设备节能分配!O:O,'Cogeneration&amp;Waste Heat Recover'!A17,用能设备节能分配!P:P,'Cogeneration&amp;Waste Heat Recover'!$A$1,用能设备节能分配!M:M,"2020")+SUMIFS(工业节能技术装备推荐目录!K:K,工业节能技术装备推荐目录!D:D,'Cogeneration&amp;Waste Heat Recover'!A17,工业节能技术装备推荐目录!F:F,'Cogeneration&amp;Waste Heat Recover'!$A$1,工业节能技术装备推荐目录!A:A,"2021")+SUMIFS(用能设备节能分配!Q:Q,用能设备节能分配!O:O,'Cogeneration&amp;Waste Heat Recover'!A17,用能设备节能分配!P:P,'Cogeneration&amp;Waste Heat Recover'!$A$1,用能设备节能分配!M:M,"2021")+SUMIFS(工业节能技术装备推荐目录!K:K,工业节能技术装备推荐目录!D:D,'Cogeneration&amp;Waste Heat Recover'!A17,工业节能技术装备推荐目录!F:F,'Cogeneration&amp;Waste Heat Recover'!$A$1,工业节能技术装备推荐目录!A:A,"2022")+SUMIFS(用能设备节能分配!Q:Q,用能设备节能分配!O:O,'Cogeneration&amp;Waste Heat Recover'!A17,用能设备节能分配!P:P,'Cogeneration&amp;Waste Heat Recover'!$A$1,用能设备节能分配!M:M,"2022")</f>
        <v>1.77829160685179</v>
      </c>
      <c r="F17" s="73">
        <f>SUMIFS(工业节能技术装备推荐目录!K:K,工业节能技术装备推荐目录!D:D,'Cogeneration&amp;Waste Heat Recover'!A17,工业节能技术装备推荐目录!F:F,'Cogeneration&amp;Waste Heat Recover'!$A$1,工业节能技术装备推荐目录!A:A,"2020")+SUMIFS(用能设备节能分配!Q:Q,用能设备节能分配!O:O,'Cogeneration&amp;Waste Heat Recover'!A17,用能设备节能分配!P:P,'Cogeneration&amp;Waste Heat Recover'!$A$1,用能设备节能分配!M:M,"2020")+SUMIFS(工业节能技术装备推荐目录!K:K,工业节能技术装备推荐目录!D:D,'Cogeneration&amp;Waste Heat Recover'!A17,工业节能技术装备推荐目录!F:F,'Cogeneration&amp;Waste Heat Recover'!$A$1,工业节能技术装备推荐目录!A:A,"2021")+SUMIFS(用能设备节能分配!Q:Q,用能设备节能分配!O:O,'Cogeneration&amp;Waste Heat Recover'!A17,用能设备节能分配!P:P,'Cogeneration&amp;Waste Heat Recover'!$A$1,用能设备节能分配!M:M,"2021")+SUMIFS(工业节能技术装备推荐目录!K:K,工业节能技术装备推荐目录!D:D,'Cogeneration&amp;Waste Heat Recover'!A17,工业节能技术装备推荐目录!F:F,'Cogeneration&amp;Waste Heat Recover'!$A$1,工业节能技术装备推荐目录!A:A,"2022")+SUMIFS(用能设备节能分配!Q:Q,用能设备节能分配!O:O,'Cogeneration&amp;Waste Heat Recover'!A17,用能设备节能分配!P:P,'Cogeneration&amp;Waste Heat Recover'!$A$1,用能设备节能分配!M:M,"2022")</f>
        <v>1.77829160685179</v>
      </c>
      <c r="G17" s="73">
        <f>SUMIFS(工业节能技术装备推荐目录!K:K,工业节能技术装备推荐目录!D:D,'Cogeneration&amp;Waste Heat Recover'!A17,工业节能技术装备推荐目录!F:F,'Cogeneration&amp;Waste Heat Recover'!$A$1,工业节能技术装备推荐目录!A:A,"2020")+SUMIFS(用能设备节能分配!Q:Q,用能设备节能分配!O:O,'Cogeneration&amp;Waste Heat Recover'!A17,用能设备节能分配!P:P,'Cogeneration&amp;Waste Heat Recover'!$A$1,用能设备节能分配!M:M,"2020")+SUMIFS(工业节能技术装备推荐目录!K:K,工业节能技术装备推荐目录!D:D,'Cogeneration&amp;Waste Heat Recover'!A17,工业节能技术装备推荐目录!F:F,'Cogeneration&amp;Waste Heat Recover'!$A$1,工业节能技术装备推荐目录!A:A,"2022")+SUMIFS(用能设备节能分配!Q:Q,用能设备节能分配!O:O,'Cogeneration&amp;Waste Heat Recover'!A17,用能设备节能分配!P:P,'Cogeneration&amp;Waste Heat Recover'!$A$1,用能设备节能分配!M:M,"2022")</f>
        <v>1.5505910169367016</v>
      </c>
      <c r="H17" s="73">
        <f>SUMIFS(工业节能技术装备推荐目录!K:K,工业节能技术装备推荐目录!D:D,'Cogeneration&amp;Waste Heat Recover'!A17,工业节能技术装备推荐目录!F:F,'Cogeneration&amp;Waste Heat Recover'!$A$1,工业节能技术装备推荐目录!A:A,"2022")+SUMIFS(用能设备节能分配!Q:Q,用能设备节能分配!O:O,'Cogeneration&amp;Waste Heat Recover'!A17,用能设备节能分配!P:P,'Cogeneration&amp;Waste Heat Recover'!$A$1,用能设备节能分配!M:M,"2022")</f>
        <v>0</v>
      </c>
      <c r="I17" s="73">
        <f>SUMIFS(工业节能技术装备推荐目录!K:K,工业节能技术装备推荐目录!D:D,'Cogeneration&amp;Waste Heat Recover'!A17,工业节能技术装备推荐目录!F:F,'Cogeneration&amp;Waste Heat Recover'!$A$1,工业节能技术装备推荐目录!A:A,"2022")+SUMIFS(用能设备节能分配!Q:Q,用能设备节能分配!O:O,'Cogeneration&amp;Waste Heat Recover'!A17,用能设备节能分配!P:P,'Cogeneration&amp;Waste Heat Recover'!$A$1,用能设备节能分配!M:M,"2022")</f>
        <v>0</v>
      </c>
      <c r="K17" s="52"/>
      <c r="L17" s="26" t="s">
        <v>46</v>
      </c>
      <c r="M17" s="50">
        <f>SUMIFS(工业节能技术装备推荐目录!L:L,工业节能技术装备推荐目录!D:D,'Cogeneration&amp;Waste Heat Recover'!A17,工业节能技术装备推荐目录!F:F,'Cogeneration&amp;Waste Heat Recover'!$A$1)</f>
        <v>0</v>
      </c>
      <c r="N17" s="73">
        <f>SUMIFS(工业节能技术装备推荐目录!K:K,工业节能技术装备推荐目录!D:D,'Cogeneration&amp;Waste Heat Recover'!A17,工业节能技术装备推荐目录!F:F,'Cogeneration&amp;Waste Heat Recover'!$A$1,工业节能技术装备推荐目录!A:A,"2020")</f>
        <v>0</v>
      </c>
      <c r="O17" s="73">
        <f>SUMIFS(工业节能技术装备推荐目录!K:K,工业节能技术装备推荐目录!D:D,'Cogeneration&amp;Waste Heat Recover'!A17,工业节能技术装备推荐目录!F:F,'Cogeneration&amp;Waste Heat Recover'!$A$1,工业节能技术装备推荐目录!A:A,"2020")+SUMIFS(工业节能技术装备推荐目录!K:K,工业节能技术装备推荐目录!D:D,'Cogeneration&amp;Waste Heat Recover'!A17,工业节能技术装备推荐目录!F:F,'Cogeneration&amp;Waste Heat Recover'!$A$1,工业节能技术装备推荐目录!A:A,"2021")</f>
        <v>0</v>
      </c>
      <c r="P17" s="73">
        <f>SUMIFS(工业节能技术装备推荐目录!K:K,工业节能技术装备推荐目录!D:D,'Cogeneration&amp;Waste Heat Recover'!A17,工业节能技术装备推荐目录!F:F,'Cogeneration&amp;Waste Heat Recover'!$A$1,工业节能技术装备推荐目录!A:A,"2020")+SUMIFS(工业节能技术装备推荐目录!K:K,工业节能技术装备推荐目录!D:D,'Cogeneration&amp;Waste Heat Recover'!A17,工业节能技术装备推荐目录!F:F,'Cogeneration&amp;Waste Heat Recover'!$A$1,工业节能技术装备推荐目录!A:A,"2021")+SUMIFS(工业节能技术装备推荐目录!K:K,工业节能技术装备推荐目录!D:D,'Cogeneration&amp;Waste Heat Recover'!A17,工业节能技术装备推荐目录!F:F,'Cogeneration&amp;Waste Heat Recover'!$A$1,工业节能技术装备推荐目录!A:A,"2022")</f>
        <v>0</v>
      </c>
      <c r="Q17" s="73">
        <f>SUMIFS(工业节能技术装备推荐目录!K:K,工业节能技术装备推荐目录!D:D,'Cogeneration&amp;Waste Heat Recover'!A17,工业节能技术装备推荐目录!F:F,'Cogeneration&amp;Waste Heat Recover'!$A$1,工业节能技术装备推荐目录!A:A,"2020")+SUMIFS(工业节能技术装备推荐目录!K:K,工业节能技术装备推荐目录!D:D,'Cogeneration&amp;Waste Heat Recover'!A17,工业节能技术装备推荐目录!F:F,'Cogeneration&amp;Waste Heat Recover'!$A$1,工业节能技术装备推荐目录!A:A,"2021")+SUMIFS(工业节能技术装备推荐目录!K:K,工业节能技术装备推荐目录!D:D,'Cogeneration&amp;Waste Heat Recover'!A17,工业节能技术装备推荐目录!F:F,'Cogeneration&amp;Waste Heat Recover'!$A$1,工业节能技术装备推荐目录!A:A,"2022")</f>
        <v>0</v>
      </c>
      <c r="R17" s="73">
        <f>SUMIFS(工业节能技术装备推荐目录!K:K,工业节能技术装备推荐目录!D:D,'Cogeneration&amp;Waste Heat Recover'!A17,工业节能技术装备推荐目录!F:F,'Cogeneration&amp;Waste Heat Recover'!$A$1,工业节能技术装备推荐目录!A:A,"2020")+SUMIFS(工业节能技术装备推荐目录!K:K,工业节能技术装备推荐目录!D:D,'Cogeneration&amp;Waste Heat Recover'!A17,工业节能技术装备推荐目录!F:F,'Cogeneration&amp;Waste Heat Recover'!$A$1,工业节能技术装备推荐目录!A:A,"2022")</f>
        <v>0</v>
      </c>
      <c r="S17" s="73">
        <f>SUMIFS(工业节能技术装备推荐目录!K:K,工业节能技术装备推荐目录!D:D,'Cogeneration&amp;Waste Heat Recover'!A17,工业节能技术装备推荐目录!F:F,'Cogeneration&amp;Waste Heat Recover'!$A$1,工业节能技术装备推荐目录!A:A,"2022")</f>
        <v>0</v>
      </c>
      <c r="T17" s="73">
        <f>SUMIFS(工业节能技术装备推荐目录!K:K,工业节能技术装备推荐目录!D:D,'Cogeneration&amp;Waste Heat Recover'!A17,工业节能技术装备推荐目录!F:F,'Cogeneration&amp;Waste Heat Recover'!$A$1,工业节能技术装备推荐目录!A:A,"2022")</f>
        <v>0</v>
      </c>
    </row>
    <row r="18" spans="1:20" x14ac:dyDescent="0.15">
      <c r="A18" s="26" t="s">
        <v>47</v>
      </c>
      <c r="B18" s="50">
        <f>SUMIFS(工业节能技术装备推荐目录!L:L,工业节能技术装备推荐目录!D:D,'Cogeneration&amp;Waste Heat Recover'!A18,工业节能技术装备推荐目录!F:F,'Cogeneration&amp;Waste Heat Recover'!$A$1)+SUMIFS(用能设备节能分配!R:R,用能设备节能分配!O:O,'Cogeneration&amp;Waste Heat Recover'!A18,用能设备节能分配!P:P,'Cogeneration&amp;Waste Heat Recover'!$A$1)</f>
        <v>0</v>
      </c>
      <c r="C18" s="73">
        <f>SUMIFS(工业节能技术装备推荐目录!K:K,工业节能技术装备推荐目录!D:D,'Cogeneration&amp;Waste Heat Recover'!A18,工业节能技术装备推荐目录!F:F,'Cogeneration&amp;Waste Heat Recover'!$A$1,工业节能技术装备推荐目录!A:A,"2020")+SUMIFS(用能设备节能分配!Q:Q,用能设备节能分配!O:O,'Cogeneration&amp;Waste Heat Recover'!A18,用能设备节能分配!P:P,'Cogeneration&amp;Waste Heat Recover'!$A$1,用能设备节能分配!M:M,"2020")</f>
        <v>0</v>
      </c>
      <c r="D18" s="73">
        <f>SUMIFS(工业节能技术装备推荐目录!K:K,工业节能技术装备推荐目录!D:D,'Cogeneration&amp;Waste Heat Recover'!A18,工业节能技术装备推荐目录!F:F,'Cogeneration&amp;Waste Heat Recover'!$A$1,工业节能技术装备推荐目录!A:A,"2020")+SUMIFS(用能设备节能分配!Q:Q,用能设备节能分配!O:O,'Cogeneration&amp;Waste Heat Recover'!A18,用能设备节能分配!P:P,'Cogeneration&amp;Waste Heat Recover'!$A$1,用能设备节能分配!M:M,"2020")+SUMIFS(工业节能技术装备推荐目录!K:K,工业节能技术装备推荐目录!D:D,'Cogeneration&amp;Waste Heat Recover'!A18,工业节能技术装备推荐目录!F:F,'Cogeneration&amp;Waste Heat Recover'!$A$1,工业节能技术装备推荐目录!A:A,"2021")+SUMIFS(用能设备节能分配!Q:Q,用能设备节能分配!O:O,'Cogeneration&amp;Waste Heat Recover'!A18,用能设备节能分配!P:P,'Cogeneration&amp;Waste Heat Recover'!$A$1,用能设备节能分配!M:M,"2021")</f>
        <v>0</v>
      </c>
      <c r="E18" s="73">
        <f>SUMIFS(工业节能技术装备推荐目录!K:K,工业节能技术装备推荐目录!D:D,'Cogeneration&amp;Waste Heat Recover'!A18,工业节能技术装备推荐目录!F:F,'Cogeneration&amp;Waste Heat Recover'!$A$1,工业节能技术装备推荐目录!A:A,"2020")+SUMIFS(用能设备节能分配!Q:Q,用能设备节能分配!O:O,'Cogeneration&amp;Waste Heat Recover'!A18,用能设备节能分配!P:P,'Cogeneration&amp;Waste Heat Recover'!$A$1,用能设备节能分配!M:M,"2020")+SUMIFS(工业节能技术装备推荐目录!K:K,工业节能技术装备推荐目录!D:D,'Cogeneration&amp;Waste Heat Recover'!A18,工业节能技术装备推荐目录!F:F,'Cogeneration&amp;Waste Heat Recover'!$A$1,工业节能技术装备推荐目录!A:A,"2021")+SUMIFS(用能设备节能分配!Q:Q,用能设备节能分配!O:O,'Cogeneration&amp;Waste Heat Recover'!A18,用能设备节能分配!P:P,'Cogeneration&amp;Waste Heat Recover'!$A$1,用能设备节能分配!M:M,"2021")+SUMIFS(工业节能技术装备推荐目录!K:K,工业节能技术装备推荐目录!D:D,'Cogeneration&amp;Waste Heat Recover'!A18,工业节能技术装备推荐目录!F:F,'Cogeneration&amp;Waste Heat Recover'!$A$1,工业节能技术装备推荐目录!A:A,"2022")+SUMIFS(用能设备节能分配!Q:Q,用能设备节能分配!O:O,'Cogeneration&amp;Waste Heat Recover'!A18,用能设备节能分配!P:P,'Cogeneration&amp;Waste Heat Recover'!$A$1,用能设备节能分配!M:M,"2022")</f>
        <v>0</v>
      </c>
      <c r="F18" s="73">
        <f>SUMIFS(工业节能技术装备推荐目录!K:K,工业节能技术装备推荐目录!D:D,'Cogeneration&amp;Waste Heat Recover'!A18,工业节能技术装备推荐目录!F:F,'Cogeneration&amp;Waste Heat Recover'!$A$1,工业节能技术装备推荐目录!A:A,"2020")+SUMIFS(用能设备节能分配!Q:Q,用能设备节能分配!O:O,'Cogeneration&amp;Waste Heat Recover'!A18,用能设备节能分配!P:P,'Cogeneration&amp;Waste Heat Recover'!$A$1,用能设备节能分配!M:M,"2020")+SUMIFS(工业节能技术装备推荐目录!K:K,工业节能技术装备推荐目录!D:D,'Cogeneration&amp;Waste Heat Recover'!A18,工业节能技术装备推荐目录!F:F,'Cogeneration&amp;Waste Heat Recover'!$A$1,工业节能技术装备推荐目录!A:A,"2021")+SUMIFS(用能设备节能分配!Q:Q,用能设备节能分配!O:O,'Cogeneration&amp;Waste Heat Recover'!A18,用能设备节能分配!P:P,'Cogeneration&amp;Waste Heat Recover'!$A$1,用能设备节能分配!M:M,"2021")+SUMIFS(工业节能技术装备推荐目录!K:K,工业节能技术装备推荐目录!D:D,'Cogeneration&amp;Waste Heat Recover'!A18,工业节能技术装备推荐目录!F:F,'Cogeneration&amp;Waste Heat Recover'!$A$1,工业节能技术装备推荐目录!A:A,"2022")+SUMIFS(用能设备节能分配!Q:Q,用能设备节能分配!O:O,'Cogeneration&amp;Waste Heat Recover'!A18,用能设备节能分配!P:P,'Cogeneration&amp;Waste Heat Recover'!$A$1,用能设备节能分配!M:M,"2022")</f>
        <v>0</v>
      </c>
      <c r="G18" s="73">
        <f>SUMIFS(工业节能技术装备推荐目录!K:K,工业节能技术装备推荐目录!D:D,'Cogeneration&amp;Waste Heat Recover'!A18,工业节能技术装备推荐目录!F:F,'Cogeneration&amp;Waste Heat Recover'!$A$1,工业节能技术装备推荐目录!A:A,"2020")+SUMIFS(用能设备节能分配!Q:Q,用能设备节能分配!O:O,'Cogeneration&amp;Waste Heat Recover'!A18,用能设备节能分配!P:P,'Cogeneration&amp;Waste Heat Recover'!$A$1,用能设备节能分配!M:M,"2020")+SUMIFS(工业节能技术装备推荐目录!K:K,工业节能技术装备推荐目录!D:D,'Cogeneration&amp;Waste Heat Recover'!A18,工业节能技术装备推荐目录!F:F,'Cogeneration&amp;Waste Heat Recover'!$A$1,工业节能技术装备推荐目录!A:A,"2022")+SUMIFS(用能设备节能分配!Q:Q,用能设备节能分配!O:O,'Cogeneration&amp;Waste Heat Recover'!A18,用能设备节能分配!P:P,'Cogeneration&amp;Waste Heat Recover'!$A$1,用能设备节能分配!M:M,"2022")</f>
        <v>0</v>
      </c>
      <c r="H18" s="73">
        <f>SUMIFS(工业节能技术装备推荐目录!K:K,工业节能技术装备推荐目录!D:D,'Cogeneration&amp;Waste Heat Recover'!A18,工业节能技术装备推荐目录!F:F,'Cogeneration&amp;Waste Heat Recover'!$A$1,工业节能技术装备推荐目录!A:A,"2022")+SUMIFS(用能设备节能分配!Q:Q,用能设备节能分配!O:O,'Cogeneration&amp;Waste Heat Recover'!A18,用能设备节能分配!P:P,'Cogeneration&amp;Waste Heat Recover'!$A$1,用能设备节能分配!M:M,"2022")</f>
        <v>0</v>
      </c>
      <c r="I18" s="73">
        <f>SUMIFS(工业节能技术装备推荐目录!K:K,工业节能技术装备推荐目录!D:D,'Cogeneration&amp;Waste Heat Recover'!A18,工业节能技术装备推荐目录!F:F,'Cogeneration&amp;Waste Heat Recover'!$A$1,工业节能技术装备推荐目录!A:A,"2022")+SUMIFS(用能设备节能分配!Q:Q,用能设备节能分配!O:O,'Cogeneration&amp;Waste Heat Recover'!A18,用能设备节能分配!P:P,'Cogeneration&amp;Waste Heat Recover'!$A$1,用能设备节能分配!M:M,"2022")</f>
        <v>0</v>
      </c>
      <c r="K18" s="52"/>
      <c r="L18" s="26" t="s">
        <v>47</v>
      </c>
      <c r="M18" s="50">
        <f>SUMIFS(工业节能技术装备推荐目录!L:L,工业节能技术装备推荐目录!D:D,'Cogeneration&amp;Waste Heat Recover'!A18,工业节能技术装备推荐目录!F:F,'Cogeneration&amp;Waste Heat Recover'!$A$1)</f>
        <v>0</v>
      </c>
      <c r="N18" s="73">
        <f>SUMIFS(工业节能技术装备推荐目录!K:K,工业节能技术装备推荐目录!D:D,'Cogeneration&amp;Waste Heat Recover'!A18,工业节能技术装备推荐目录!F:F,'Cogeneration&amp;Waste Heat Recover'!$A$1,工业节能技术装备推荐目录!A:A,"2020")</f>
        <v>0</v>
      </c>
      <c r="O18" s="73">
        <f>SUMIFS(工业节能技术装备推荐目录!K:K,工业节能技术装备推荐目录!D:D,'Cogeneration&amp;Waste Heat Recover'!A18,工业节能技术装备推荐目录!F:F,'Cogeneration&amp;Waste Heat Recover'!$A$1,工业节能技术装备推荐目录!A:A,"2020")+SUMIFS(工业节能技术装备推荐目录!K:K,工业节能技术装备推荐目录!D:D,'Cogeneration&amp;Waste Heat Recover'!A18,工业节能技术装备推荐目录!F:F,'Cogeneration&amp;Waste Heat Recover'!$A$1,工业节能技术装备推荐目录!A:A,"2021")</f>
        <v>0</v>
      </c>
      <c r="P18" s="73">
        <f>SUMIFS(工业节能技术装备推荐目录!K:K,工业节能技术装备推荐目录!D:D,'Cogeneration&amp;Waste Heat Recover'!A18,工业节能技术装备推荐目录!F:F,'Cogeneration&amp;Waste Heat Recover'!$A$1,工业节能技术装备推荐目录!A:A,"2020")+SUMIFS(工业节能技术装备推荐目录!K:K,工业节能技术装备推荐目录!D:D,'Cogeneration&amp;Waste Heat Recover'!A18,工业节能技术装备推荐目录!F:F,'Cogeneration&amp;Waste Heat Recover'!$A$1,工业节能技术装备推荐目录!A:A,"2021")+SUMIFS(工业节能技术装备推荐目录!K:K,工业节能技术装备推荐目录!D:D,'Cogeneration&amp;Waste Heat Recover'!A18,工业节能技术装备推荐目录!F:F,'Cogeneration&amp;Waste Heat Recover'!$A$1,工业节能技术装备推荐目录!A:A,"2022")</f>
        <v>0</v>
      </c>
      <c r="Q18" s="73">
        <f>SUMIFS(工业节能技术装备推荐目录!K:K,工业节能技术装备推荐目录!D:D,'Cogeneration&amp;Waste Heat Recover'!A18,工业节能技术装备推荐目录!F:F,'Cogeneration&amp;Waste Heat Recover'!$A$1,工业节能技术装备推荐目录!A:A,"2020")+SUMIFS(工业节能技术装备推荐目录!K:K,工业节能技术装备推荐目录!D:D,'Cogeneration&amp;Waste Heat Recover'!A18,工业节能技术装备推荐目录!F:F,'Cogeneration&amp;Waste Heat Recover'!$A$1,工业节能技术装备推荐目录!A:A,"2021")+SUMIFS(工业节能技术装备推荐目录!K:K,工业节能技术装备推荐目录!D:D,'Cogeneration&amp;Waste Heat Recover'!A18,工业节能技术装备推荐目录!F:F,'Cogeneration&amp;Waste Heat Recover'!$A$1,工业节能技术装备推荐目录!A:A,"2022")</f>
        <v>0</v>
      </c>
      <c r="R18" s="73">
        <f>SUMIFS(工业节能技术装备推荐目录!K:K,工业节能技术装备推荐目录!D:D,'Cogeneration&amp;Waste Heat Recover'!A18,工业节能技术装备推荐目录!F:F,'Cogeneration&amp;Waste Heat Recover'!$A$1,工业节能技术装备推荐目录!A:A,"2020")+SUMIFS(工业节能技术装备推荐目录!K:K,工业节能技术装备推荐目录!D:D,'Cogeneration&amp;Waste Heat Recover'!A18,工业节能技术装备推荐目录!F:F,'Cogeneration&amp;Waste Heat Recover'!$A$1,工业节能技术装备推荐目录!A:A,"2022")</f>
        <v>0</v>
      </c>
      <c r="S18" s="73">
        <f>SUMIFS(工业节能技术装备推荐目录!K:K,工业节能技术装备推荐目录!D:D,'Cogeneration&amp;Waste Heat Recover'!A18,工业节能技术装备推荐目录!F:F,'Cogeneration&amp;Waste Heat Recover'!$A$1,工业节能技术装备推荐目录!A:A,"2022")</f>
        <v>0</v>
      </c>
      <c r="T18" s="73">
        <f>SUMIFS(工业节能技术装备推荐目录!K:K,工业节能技术装备推荐目录!D:D,'Cogeneration&amp;Waste Heat Recover'!A18,工业节能技术装备推荐目录!F:F,'Cogeneration&amp;Waste Heat Recover'!$A$1,工业节能技术装备推荐目录!A:A,"2022")</f>
        <v>0</v>
      </c>
    </row>
    <row r="19" spans="1:20" x14ac:dyDescent="0.15">
      <c r="A19" s="26" t="s">
        <v>48</v>
      </c>
      <c r="B19" s="50">
        <f>SUMIFS(工业节能技术装备推荐目录!L:L,工业节能技术装备推荐目录!D:D,'Cogeneration&amp;Waste Heat Recover'!A19,工业节能技术装备推荐目录!F:F,'Cogeneration&amp;Waste Heat Recover'!$A$1)+SUMIFS(用能设备节能分配!R:R,用能设备节能分配!O:O,'Cogeneration&amp;Waste Heat Recover'!A19,用能设备节能分配!P:P,'Cogeneration&amp;Waste Heat Recover'!$A$1)</f>
        <v>0</v>
      </c>
      <c r="C19" s="73">
        <f>SUMIFS(工业节能技术装备推荐目录!K:K,工业节能技术装备推荐目录!D:D,'Cogeneration&amp;Waste Heat Recover'!A19,工业节能技术装备推荐目录!F:F,'Cogeneration&amp;Waste Heat Recover'!$A$1,工业节能技术装备推荐目录!A:A,"2020")+SUMIFS(用能设备节能分配!Q:Q,用能设备节能分配!O:O,'Cogeneration&amp;Waste Heat Recover'!A19,用能设备节能分配!P:P,'Cogeneration&amp;Waste Heat Recover'!$A$1,用能设备节能分配!M:M,"2020")</f>
        <v>0</v>
      </c>
      <c r="D19" s="73">
        <f>SUMIFS(工业节能技术装备推荐目录!K:K,工业节能技术装备推荐目录!D:D,'Cogeneration&amp;Waste Heat Recover'!A19,工业节能技术装备推荐目录!F:F,'Cogeneration&amp;Waste Heat Recover'!$A$1,工业节能技术装备推荐目录!A:A,"2020")+SUMIFS(用能设备节能分配!Q:Q,用能设备节能分配!O:O,'Cogeneration&amp;Waste Heat Recover'!A19,用能设备节能分配!P:P,'Cogeneration&amp;Waste Heat Recover'!$A$1,用能设备节能分配!M:M,"2020")+SUMIFS(工业节能技术装备推荐目录!K:K,工业节能技术装备推荐目录!D:D,'Cogeneration&amp;Waste Heat Recover'!A19,工业节能技术装备推荐目录!F:F,'Cogeneration&amp;Waste Heat Recover'!$A$1,工业节能技术装备推荐目录!A:A,"2021")+SUMIFS(用能设备节能分配!Q:Q,用能设备节能分配!O:O,'Cogeneration&amp;Waste Heat Recover'!A19,用能设备节能分配!P:P,'Cogeneration&amp;Waste Heat Recover'!$A$1,用能设备节能分配!M:M,"2021")</f>
        <v>0</v>
      </c>
      <c r="E19" s="73">
        <f>SUMIFS(工业节能技术装备推荐目录!K:K,工业节能技术装备推荐目录!D:D,'Cogeneration&amp;Waste Heat Recover'!A19,工业节能技术装备推荐目录!F:F,'Cogeneration&amp;Waste Heat Recover'!$A$1,工业节能技术装备推荐目录!A:A,"2020")+SUMIFS(用能设备节能分配!Q:Q,用能设备节能分配!O:O,'Cogeneration&amp;Waste Heat Recover'!A19,用能设备节能分配!P:P,'Cogeneration&amp;Waste Heat Recover'!$A$1,用能设备节能分配!M:M,"2020")+SUMIFS(工业节能技术装备推荐目录!K:K,工业节能技术装备推荐目录!D:D,'Cogeneration&amp;Waste Heat Recover'!A19,工业节能技术装备推荐目录!F:F,'Cogeneration&amp;Waste Heat Recover'!$A$1,工业节能技术装备推荐目录!A:A,"2021")+SUMIFS(用能设备节能分配!Q:Q,用能设备节能分配!O:O,'Cogeneration&amp;Waste Heat Recover'!A19,用能设备节能分配!P:P,'Cogeneration&amp;Waste Heat Recover'!$A$1,用能设备节能分配!M:M,"2021")+SUMIFS(工业节能技术装备推荐目录!K:K,工业节能技术装备推荐目录!D:D,'Cogeneration&amp;Waste Heat Recover'!A19,工业节能技术装备推荐目录!F:F,'Cogeneration&amp;Waste Heat Recover'!$A$1,工业节能技术装备推荐目录!A:A,"2022")+SUMIFS(用能设备节能分配!Q:Q,用能设备节能分配!O:O,'Cogeneration&amp;Waste Heat Recover'!A19,用能设备节能分配!P:P,'Cogeneration&amp;Waste Heat Recover'!$A$1,用能设备节能分配!M:M,"2022")</f>
        <v>0</v>
      </c>
      <c r="F19" s="73">
        <f>SUMIFS(工业节能技术装备推荐目录!K:K,工业节能技术装备推荐目录!D:D,'Cogeneration&amp;Waste Heat Recover'!A19,工业节能技术装备推荐目录!F:F,'Cogeneration&amp;Waste Heat Recover'!$A$1,工业节能技术装备推荐目录!A:A,"2020")+SUMIFS(用能设备节能分配!Q:Q,用能设备节能分配!O:O,'Cogeneration&amp;Waste Heat Recover'!A19,用能设备节能分配!P:P,'Cogeneration&amp;Waste Heat Recover'!$A$1,用能设备节能分配!M:M,"2020")+SUMIFS(工业节能技术装备推荐目录!K:K,工业节能技术装备推荐目录!D:D,'Cogeneration&amp;Waste Heat Recover'!A19,工业节能技术装备推荐目录!F:F,'Cogeneration&amp;Waste Heat Recover'!$A$1,工业节能技术装备推荐目录!A:A,"2021")+SUMIFS(用能设备节能分配!Q:Q,用能设备节能分配!O:O,'Cogeneration&amp;Waste Heat Recover'!A19,用能设备节能分配!P:P,'Cogeneration&amp;Waste Heat Recover'!$A$1,用能设备节能分配!M:M,"2021")+SUMIFS(工业节能技术装备推荐目录!K:K,工业节能技术装备推荐目录!D:D,'Cogeneration&amp;Waste Heat Recover'!A19,工业节能技术装备推荐目录!F:F,'Cogeneration&amp;Waste Heat Recover'!$A$1,工业节能技术装备推荐目录!A:A,"2022")+SUMIFS(用能设备节能分配!Q:Q,用能设备节能分配!O:O,'Cogeneration&amp;Waste Heat Recover'!A19,用能设备节能分配!P:P,'Cogeneration&amp;Waste Heat Recover'!$A$1,用能设备节能分配!M:M,"2022")</f>
        <v>0</v>
      </c>
      <c r="G19" s="73">
        <f>SUMIFS(工业节能技术装备推荐目录!K:K,工业节能技术装备推荐目录!D:D,'Cogeneration&amp;Waste Heat Recover'!A19,工业节能技术装备推荐目录!F:F,'Cogeneration&amp;Waste Heat Recover'!$A$1,工业节能技术装备推荐目录!A:A,"2020")+SUMIFS(用能设备节能分配!Q:Q,用能设备节能分配!O:O,'Cogeneration&amp;Waste Heat Recover'!A19,用能设备节能分配!P:P,'Cogeneration&amp;Waste Heat Recover'!$A$1,用能设备节能分配!M:M,"2020")+SUMIFS(工业节能技术装备推荐目录!K:K,工业节能技术装备推荐目录!D:D,'Cogeneration&amp;Waste Heat Recover'!A19,工业节能技术装备推荐目录!F:F,'Cogeneration&amp;Waste Heat Recover'!$A$1,工业节能技术装备推荐目录!A:A,"2022")+SUMIFS(用能设备节能分配!Q:Q,用能设备节能分配!O:O,'Cogeneration&amp;Waste Heat Recover'!A19,用能设备节能分配!P:P,'Cogeneration&amp;Waste Heat Recover'!$A$1,用能设备节能分配!M:M,"2022")</f>
        <v>0</v>
      </c>
      <c r="H19" s="73">
        <f>SUMIFS(工业节能技术装备推荐目录!K:K,工业节能技术装备推荐目录!D:D,'Cogeneration&amp;Waste Heat Recover'!A19,工业节能技术装备推荐目录!F:F,'Cogeneration&amp;Waste Heat Recover'!$A$1,工业节能技术装备推荐目录!A:A,"2022")+SUMIFS(用能设备节能分配!Q:Q,用能设备节能分配!O:O,'Cogeneration&amp;Waste Heat Recover'!A19,用能设备节能分配!P:P,'Cogeneration&amp;Waste Heat Recover'!$A$1,用能设备节能分配!M:M,"2022")</f>
        <v>0</v>
      </c>
      <c r="I19" s="73">
        <f>SUMIFS(工业节能技术装备推荐目录!K:K,工业节能技术装备推荐目录!D:D,'Cogeneration&amp;Waste Heat Recover'!A19,工业节能技术装备推荐目录!F:F,'Cogeneration&amp;Waste Heat Recover'!$A$1,工业节能技术装备推荐目录!A:A,"2022")+SUMIFS(用能设备节能分配!Q:Q,用能设备节能分配!O:O,'Cogeneration&amp;Waste Heat Recover'!A19,用能设备节能分配!P:P,'Cogeneration&amp;Waste Heat Recover'!$A$1,用能设备节能分配!M:M,"2022")</f>
        <v>0</v>
      </c>
      <c r="K19" s="52"/>
      <c r="L19" s="26" t="s">
        <v>48</v>
      </c>
      <c r="M19" s="50">
        <f>SUMIFS(工业节能技术装备推荐目录!L:L,工业节能技术装备推荐目录!D:D,'Cogeneration&amp;Waste Heat Recover'!A19,工业节能技术装备推荐目录!F:F,'Cogeneration&amp;Waste Heat Recover'!$A$1)</f>
        <v>0</v>
      </c>
      <c r="N19" s="73">
        <f>SUMIFS(工业节能技术装备推荐目录!K:K,工业节能技术装备推荐目录!D:D,'Cogeneration&amp;Waste Heat Recover'!A19,工业节能技术装备推荐目录!F:F,'Cogeneration&amp;Waste Heat Recover'!$A$1,工业节能技术装备推荐目录!A:A,"2020")</f>
        <v>0</v>
      </c>
      <c r="O19" s="73">
        <f>SUMIFS(工业节能技术装备推荐目录!K:K,工业节能技术装备推荐目录!D:D,'Cogeneration&amp;Waste Heat Recover'!A19,工业节能技术装备推荐目录!F:F,'Cogeneration&amp;Waste Heat Recover'!$A$1,工业节能技术装备推荐目录!A:A,"2020")+SUMIFS(工业节能技术装备推荐目录!K:K,工业节能技术装备推荐目录!D:D,'Cogeneration&amp;Waste Heat Recover'!A19,工业节能技术装备推荐目录!F:F,'Cogeneration&amp;Waste Heat Recover'!$A$1,工业节能技术装备推荐目录!A:A,"2021")</f>
        <v>0</v>
      </c>
      <c r="P19" s="73">
        <f>SUMIFS(工业节能技术装备推荐目录!K:K,工业节能技术装备推荐目录!D:D,'Cogeneration&amp;Waste Heat Recover'!A19,工业节能技术装备推荐目录!F:F,'Cogeneration&amp;Waste Heat Recover'!$A$1,工业节能技术装备推荐目录!A:A,"2020")+SUMIFS(工业节能技术装备推荐目录!K:K,工业节能技术装备推荐目录!D:D,'Cogeneration&amp;Waste Heat Recover'!A19,工业节能技术装备推荐目录!F:F,'Cogeneration&amp;Waste Heat Recover'!$A$1,工业节能技术装备推荐目录!A:A,"2021")+SUMIFS(工业节能技术装备推荐目录!K:K,工业节能技术装备推荐目录!D:D,'Cogeneration&amp;Waste Heat Recover'!A19,工业节能技术装备推荐目录!F:F,'Cogeneration&amp;Waste Heat Recover'!$A$1,工业节能技术装备推荐目录!A:A,"2022")</f>
        <v>0</v>
      </c>
      <c r="Q19" s="73">
        <f>SUMIFS(工业节能技术装备推荐目录!K:K,工业节能技术装备推荐目录!D:D,'Cogeneration&amp;Waste Heat Recover'!A19,工业节能技术装备推荐目录!F:F,'Cogeneration&amp;Waste Heat Recover'!$A$1,工业节能技术装备推荐目录!A:A,"2020")+SUMIFS(工业节能技术装备推荐目录!K:K,工业节能技术装备推荐目录!D:D,'Cogeneration&amp;Waste Heat Recover'!A19,工业节能技术装备推荐目录!F:F,'Cogeneration&amp;Waste Heat Recover'!$A$1,工业节能技术装备推荐目录!A:A,"2021")+SUMIFS(工业节能技术装备推荐目录!K:K,工业节能技术装备推荐目录!D:D,'Cogeneration&amp;Waste Heat Recover'!A19,工业节能技术装备推荐目录!F:F,'Cogeneration&amp;Waste Heat Recover'!$A$1,工业节能技术装备推荐目录!A:A,"2022")</f>
        <v>0</v>
      </c>
      <c r="R19" s="73">
        <f>SUMIFS(工业节能技术装备推荐目录!K:K,工业节能技术装备推荐目录!D:D,'Cogeneration&amp;Waste Heat Recover'!A19,工业节能技术装备推荐目录!F:F,'Cogeneration&amp;Waste Heat Recover'!$A$1,工业节能技术装备推荐目录!A:A,"2020")+SUMIFS(工业节能技术装备推荐目录!K:K,工业节能技术装备推荐目录!D:D,'Cogeneration&amp;Waste Heat Recover'!A19,工业节能技术装备推荐目录!F:F,'Cogeneration&amp;Waste Heat Recover'!$A$1,工业节能技术装备推荐目录!A:A,"2022")</f>
        <v>0</v>
      </c>
      <c r="S19" s="73">
        <f>SUMIFS(工业节能技术装备推荐目录!K:K,工业节能技术装备推荐目录!D:D,'Cogeneration&amp;Waste Heat Recover'!A19,工业节能技术装备推荐目录!F:F,'Cogeneration&amp;Waste Heat Recover'!$A$1,工业节能技术装备推荐目录!A:A,"2022")</f>
        <v>0</v>
      </c>
      <c r="T19" s="73">
        <f>SUMIFS(工业节能技术装备推荐目录!K:K,工业节能技术装备推荐目录!D:D,'Cogeneration&amp;Waste Heat Recover'!A19,工业节能技术装备推荐目录!F:F,'Cogeneration&amp;Waste Heat Recover'!$A$1,工业节能技术装备推荐目录!A:A,"2022")</f>
        <v>0</v>
      </c>
    </row>
    <row r="20" spans="1:20" x14ac:dyDescent="0.15">
      <c r="A20" s="26" t="s">
        <v>49</v>
      </c>
      <c r="B20" s="50">
        <f>SUMIFS(工业节能技术装备推荐目录!L:L,工业节能技术装备推荐目录!D:D,'Cogeneration&amp;Waste Heat Recover'!A20,工业节能技术装备推荐目录!F:F,'Cogeneration&amp;Waste Heat Recover'!$A$1)+SUMIFS(用能设备节能分配!R:R,用能设备节能分配!O:O,'Cogeneration&amp;Waste Heat Recover'!A20,用能设备节能分配!P:P,'Cogeneration&amp;Waste Heat Recover'!$A$1)</f>
        <v>0</v>
      </c>
      <c r="C20" s="73">
        <f>SUMIFS(工业节能技术装备推荐目录!K:K,工业节能技术装备推荐目录!D:D,'Cogeneration&amp;Waste Heat Recover'!A20,工业节能技术装备推荐目录!F:F,'Cogeneration&amp;Waste Heat Recover'!$A$1,工业节能技术装备推荐目录!A:A,"2020")+SUMIFS(用能设备节能分配!Q:Q,用能设备节能分配!O:O,'Cogeneration&amp;Waste Heat Recover'!A20,用能设备节能分配!P:P,'Cogeneration&amp;Waste Heat Recover'!$A$1,用能设备节能分配!M:M,"2020")</f>
        <v>0</v>
      </c>
      <c r="D20" s="73">
        <f>SUMIFS(工业节能技术装备推荐目录!K:K,工业节能技术装备推荐目录!D:D,'Cogeneration&amp;Waste Heat Recover'!A20,工业节能技术装备推荐目录!F:F,'Cogeneration&amp;Waste Heat Recover'!$A$1,工业节能技术装备推荐目录!A:A,"2020")+SUMIFS(用能设备节能分配!Q:Q,用能设备节能分配!O:O,'Cogeneration&amp;Waste Heat Recover'!A20,用能设备节能分配!P:P,'Cogeneration&amp;Waste Heat Recover'!$A$1,用能设备节能分配!M:M,"2020")+SUMIFS(工业节能技术装备推荐目录!K:K,工业节能技术装备推荐目录!D:D,'Cogeneration&amp;Waste Heat Recover'!A20,工业节能技术装备推荐目录!F:F,'Cogeneration&amp;Waste Heat Recover'!$A$1,工业节能技术装备推荐目录!A:A,"2021")+SUMIFS(用能设备节能分配!Q:Q,用能设备节能分配!O:O,'Cogeneration&amp;Waste Heat Recover'!A20,用能设备节能分配!P:P,'Cogeneration&amp;Waste Heat Recover'!$A$1,用能设备节能分配!M:M,"2021")</f>
        <v>0</v>
      </c>
      <c r="E20" s="73">
        <f>SUMIFS(工业节能技术装备推荐目录!K:K,工业节能技术装备推荐目录!D:D,'Cogeneration&amp;Waste Heat Recover'!A20,工业节能技术装备推荐目录!F:F,'Cogeneration&amp;Waste Heat Recover'!$A$1,工业节能技术装备推荐目录!A:A,"2020")+SUMIFS(用能设备节能分配!Q:Q,用能设备节能分配!O:O,'Cogeneration&amp;Waste Heat Recover'!A20,用能设备节能分配!P:P,'Cogeneration&amp;Waste Heat Recover'!$A$1,用能设备节能分配!M:M,"2020")+SUMIFS(工业节能技术装备推荐目录!K:K,工业节能技术装备推荐目录!D:D,'Cogeneration&amp;Waste Heat Recover'!A20,工业节能技术装备推荐目录!F:F,'Cogeneration&amp;Waste Heat Recover'!$A$1,工业节能技术装备推荐目录!A:A,"2021")+SUMIFS(用能设备节能分配!Q:Q,用能设备节能分配!O:O,'Cogeneration&amp;Waste Heat Recover'!A20,用能设备节能分配!P:P,'Cogeneration&amp;Waste Heat Recover'!$A$1,用能设备节能分配!M:M,"2021")+SUMIFS(工业节能技术装备推荐目录!K:K,工业节能技术装备推荐目录!D:D,'Cogeneration&amp;Waste Heat Recover'!A20,工业节能技术装备推荐目录!F:F,'Cogeneration&amp;Waste Heat Recover'!$A$1,工业节能技术装备推荐目录!A:A,"2022")+SUMIFS(用能设备节能分配!Q:Q,用能设备节能分配!O:O,'Cogeneration&amp;Waste Heat Recover'!A20,用能设备节能分配!P:P,'Cogeneration&amp;Waste Heat Recover'!$A$1,用能设备节能分配!M:M,"2022")</f>
        <v>0</v>
      </c>
      <c r="F20" s="73">
        <f>SUMIFS(工业节能技术装备推荐目录!K:K,工业节能技术装备推荐目录!D:D,'Cogeneration&amp;Waste Heat Recover'!A20,工业节能技术装备推荐目录!F:F,'Cogeneration&amp;Waste Heat Recover'!$A$1,工业节能技术装备推荐目录!A:A,"2020")+SUMIFS(用能设备节能分配!Q:Q,用能设备节能分配!O:O,'Cogeneration&amp;Waste Heat Recover'!A20,用能设备节能分配!P:P,'Cogeneration&amp;Waste Heat Recover'!$A$1,用能设备节能分配!M:M,"2020")+SUMIFS(工业节能技术装备推荐目录!K:K,工业节能技术装备推荐目录!D:D,'Cogeneration&amp;Waste Heat Recover'!A20,工业节能技术装备推荐目录!F:F,'Cogeneration&amp;Waste Heat Recover'!$A$1,工业节能技术装备推荐目录!A:A,"2021")+SUMIFS(用能设备节能分配!Q:Q,用能设备节能分配!O:O,'Cogeneration&amp;Waste Heat Recover'!A20,用能设备节能分配!P:P,'Cogeneration&amp;Waste Heat Recover'!$A$1,用能设备节能分配!M:M,"2021")+SUMIFS(工业节能技术装备推荐目录!K:K,工业节能技术装备推荐目录!D:D,'Cogeneration&amp;Waste Heat Recover'!A20,工业节能技术装备推荐目录!F:F,'Cogeneration&amp;Waste Heat Recover'!$A$1,工业节能技术装备推荐目录!A:A,"2022")+SUMIFS(用能设备节能分配!Q:Q,用能设备节能分配!O:O,'Cogeneration&amp;Waste Heat Recover'!A20,用能设备节能分配!P:P,'Cogeneration&amp;Waste Heat Recover'!$A$1,用能设备节能分配!M:M,"2022")</f>
        <v>0</v>
      </c>
      <c r="G20" s="73">
        <f>SUMIFS(工业节能技术装备推荐目录!K:K,工业节能技术装备推荐目录!D:D,'Cogeneration&amp;Waste Heat Recover'!A20,工业节能技术装备推荐目录!F:F,'Cogeneration&amp;Waste Heat Recover'!$A$1,工业节能技术装备推荐目录!A:A,"2020")+SUMIFS(用能设备节能分配!Q:Q,用能设备节能分配!O:O,'Cogeneration&amp;Waste Heat Recover'!A20,用能设备节能分配!P:P,'Cogeneration&amp;Waste Heat Recover'!$A$1,用能设备节能分配!M:M,"2020")+SUMIFS(工业节能技术装备推荐目录!K:K,工业节能技术装备推荐目录!D:D,'Cogeneration&amp;Waste Heat Recover'!A20,工业节能技术装备推荐目录!F:F,'Cogeneration&amp;Waste Heat Recover'!$A$1,工业节能技术装备推荐目录!A:A,"2022")+SUMIFS(用能设备节能分配!Q:Q,用能设备节能分配!O:O,'Cogeneration&amp;Waste Heat Recover'!A20,用能设备节能分配!P:P,'Cogeneration&amp;Waste Heat Recover'!$A$1,用能设备节能分配!M:M,"2022")</f>
        <v>0</v>
      </c>
      <c r="H20" s="73">
        <f>SUMIFS(工业节能技术装备推荐目录!K:K,工业节能技术装备推荐目录!D:D,'Cogeneration&amp;Waste Heat Recover'!A20,工业节能技术装备推荐目录!F:F,'Cogeneration&amp;Waste Heat Recover'!$A$1,工业节能技术装备推荐目录!A:A,"2022")+SUMIFS(用能设备节能分配!Q:Q,用能设备节能分配!O:O,'Cogeneration&amp;Waste Heat Recover'!A20,用能设备节能分配!P:P,'Cogeneration&amp;Waste Heat Recover'!$A$1,用能设备节能分配!M:M,"2022")</f>
        <v>0</v>
      </c>
      <c r="I20" s="73">
        <f>SUMIFS(工业节能技术装备推荐目录!K:K,工业节能技术装备推荐目录!D:D,'Cogeneration&amp;Waste Heat Recover'!A20,工业节能技术装备推荐目录!F:F,'Cogeneration&amp;Waste Heat Recover'!$A$1,工业节能技术装备推荐目录!A:A,"2022")+SUMIFS(用能设备节能分配!Q:Q,用能设备节能分配!O:O,'Cogeneration&amp;Waste Heat Recover'!A20,用能设备节能分配!P:P,'Cogeneration&amp;Waste Heat Recover'!$A$1,用能设备节能分配!M:M,"2022")</f>
        <v>0</v>
      </c>
      <c r="K20" s="52"/>
      <c r="L20" s="26" t="s">
        <v>49</v>
      </c>
      <c r="M20" s="50">
        <f>SUMIFS(工业节能技术装备推荐目录!L:L,工业节能技术装备推荐目录!D:D,'Cogeneration&amp;Waste Heat Recover'!A20,工业节能技术装备推荐目录!F:F,'Cogeneration&amp;Waste Heat Recover'!$A$1)</f>
        <v>0</v>
      </c>
      <c r="N20" s="73">
        <f>SUMIFS(工业节能技术装备推荐目录!K:K,工业节能技术装备推荐目录!D:D,'Cogeneration&amp;Waste Heat Recover'!A20,工业节能技术装备推荐目录!F:F,'Cogeneration&amp;Waste Heat Recover'!$A$1,工业节能技术装备推荐目录!A:A,"2020")</f>
        <v>0</v>
      </c>
      <c r="O20" s="73">
        <f>SUMIFS(工业节能技术装备推荐目录!K:K,工业节能技术装备推荐目录!D:D,'Cogeneration&amp;Waste Heat Recover'!A20,工业节能技术装备推荐目录!F:F,'Cogeneration&amp;Waste Heat Recover'!$A$1,工业节能技术装备推荐目录!A:A,"2020")+SUMIFS(工业节能技术装备推荐目录!K:K,工业节能技术装备推荐目录!D:D,'Cogeneration&amp;Waste Heat Recover'!A20,工业节能技术装备推荐目录!F:F,'Cogeneration&amp;Waste Heat Recover'!$A$1,工业节能技术装备推荐目录!A:A,"2021")</f>
        <v>0</v>
      </c>
      <c r="P20" s="73">
        <f>SUMIFS(工业节能技术装备推荐目录!K:K,工业节能技术装备推荐目录!D:D,'Cogeneration&amp;Waste Heat Recover'!A20,工业节能技术装备推荐目录!F:F,'Cogeneration&amp;Waste Heat Recover'!$A$1,工业节能技术装备推荐目录!A:A,"2020")+SUMIFS(工业节能技术装备推荐目录!K:K,工业节能技术装备推荐目录!D:D,'Cogeneration&amp;Waste Heat Recover'!A20,工业节能技术装备推荐目录!F:F,'Cogeneration&amp;Waste Heat Recover'!$A$1,工业节能技术装备推荐目录!A:A,"2021")+SUMIFS(工业节能技术装备推荐目录!K:K,工业节能技术装备推荐目录!D:D,'Cogeneration&amp;Waste Heat Recover'!A20,工业节能技术装备推荐目录!F:F,'Cogeneration&amp;Waste Heat Recover'!$A$1,工业节能技术装备推荐目录!A:A,"2022")</f>
        <v>0</v>
      </c>
      <c r="Q20" s="73">
        <f>SUMIFS(工业节能技术装备推荐目录!K:K,工业节能技术装备推荐目录!D:D,'Cogeneration&amp;Waste Heat Recover'!A20,工业节能技术装备推荐目录!F:F,'Cogeneration&amp;Waste Heat Recover'!$A$1,工业节能技术装备推荐目录!A:A,"2020")+SUMIFS(工业节能技术装备推荐目录!K:K,工业节能技术装备推荐目录!D:D,'Cogeneration&amp;Waste Heat Recover'!A20,工业节能技术装备推荐目录!F:F,'Cogeneration&amp;Waste Heat Recover'!$A$1,工业节能技术装备推荐目录!A:A,"2021")+SUMIFS(工业节能技术装备推荐目录!K:K,工业节能技术装备推荐目录!D:D,'Cogeneration&amp;Waste Heat Recover'!A20,工业节能技术装备推荐目录!F:F,'Cogeneration&amp;Waste Heat Recover'!$A$1,工业节能技术装备推荐目录!A:A,"2022")</f>
        <v>0</v>
      </c>
      <c r="R20" s="73">
        <f>SUMIFS(工业节能技术装备推荐目录!K:K,工业节能技术装备推荐目录!D:D,'Cogeneration&amp;Waste Heat Recover'!A20,工业节能技术装备推荐目录!F:F,'Cogeneration&amp;Waste Heat Recover'!$A$1,工业节能技术装备推荐目录!A:A,"2020")+SUMIFS(工业节能技术装备推荐目录!K:K,工业节能技术装备推荐目录!D:D,'Cogeneration&amp;Waste Heat Recover'!A20,工业节能技术装备推荐目录!F:F,'Cogeneration&amp;Waste Heat Recover'!$A$1,工业节能技术装备推荐目录!A:A,"2022")</f>
        <v>0</v>
      </c>
      <c r="S20" s="73">
        <f>SUMIFS(工业节能技术装备推荐目录!K:K,工业节能技术装备推荐目录!D:D,'Cogeneration&amp;Waste Heat Recover'!A20,工业节能技术装备推荐目录!F:F,'Cogeneration&amp;Waste Heat Recover'!$A$1,工业节能技术装备推荐目录!A:A,"2022")</f>
        <v>0</v>
      </c>
      <c r="T20" s="73">
        <f>SUMIFS(工业节能技术装备推荐目录!K:K,工业节能技术装备推荐目录!D:D,'Cogeneration&amp;Waste Heat Recover'!A20,工业节能技术装备推荐目录!F:F,'Cogeneration&amp;Waste Heat Recover'!$A$1,工业节能技术装备推荐目录!A:A,"2022")</f>
        <v>0</v>
      </c>
    </row>
    <row r="21" spans="1:20" x14ac:dyDescent="0.15">
      <c r="A21" s="26" t="s">
        <v>50</v>
      </c>
      <c r="B21" s="50">
        <f>SUMIFS(工业节能技术装备推荐目录!L:L,工业节能技术装备推荐目录!D:D,'Cogeneration&amp;Waste Heat Recover'!A21,工业节能技术装备推荐目录!F:F,'Cogeneration&amp;Waste Heat Recover'!$A$1)+SUMIFS(用能设备节能分配!R:R,用能设备节能分配!O:O,'Cogeneration&amp;Waste Heat Recover'!A21,用能设备节能分配!P:P,'Cogeneration&amp;Waste Heat Recover'!$A$1)</f>
        <v>0</v>
      </c>
      <c r="C21" s="73">
        <f>SUMIFS(工业节能技术装备推荐目录!K:K,工业节能技术装备推荐目录!D:D,'Cogeneration&amp;Waste Heat Recover'!A21,工业节能技术装备推荐目录!F:F,'Cogeneration&amp;Waste Heat Recover'!$A$1,工业节能技术装备推荐目录!A:A,"2020")+SUMIFS(用能设备节能分配!Q:Q,用能设备节能分配!O:O,'Cogeneration&amp;Waste Heat Recover'!A21,用能设备节能分配!P:P,'Cogeneration&amp;Waste Heat Recover'!$A$1,用能设备节能分配!M:M,"2020")</f>
        <v>0</v>
      </c>
      <c r="D21" s="73">
        <f>SUMIFS(工业节能技术装备推荐目录!K:K,工业节能技术装备推荐目录!D:D,'Cogeneration&amp;Waste Heat Recover'!A21,工业节能技术装备推荐目录!F:F,'Cogeneration&amp;Waste Heat Recover'!$A$1,工业节能技术装备推荐目录!A:A,"2020")+SUMIFS(用能设备节能分配!Q:Q,用能设备节能分配!O:O,'Cogeneration&amp;Waste Heat Recover'!A21,用能设备节能分配!P:P,'Cogeneration&amp;Waste Heat Recover'!$A$1,用能设备节能分配!M:M,"2020")+SUMIFS(工业节能技术装备推荐目录!K:K,工业节能技术装备推荐目录!D:D,'Cogeneration&amp;Waste Heat Recover'!A21,工业节能技术装备推荐目录!F:F,'Cogeneration&amp;Waste Heat Recover'!$A$1,工业节能技术装备推荐目录!A:A,"2021")+SUMIFS(用能设备节能分配!Q:Q,用能设备节能分配!O:O,'Cogeneration&amp;Waste Heat Recover'!A21,用能设备节能分配!P:P,'Cogeneration&amp;Waste Heat Recover'!$A$1,用能设备节能分配!M:M,"2021")</f>
        <v>0</v>
      </c>
      <c r="E21" s="73">
        <f>SUMIFS(工业节能技术装备推荐目录!K:K,工业节能技术装备推荐目录!D:D,'Cogeneration&amp;Waste Heat Recover'!A21,工业节能技术装备推荐目录!F:F,'Cogeneration&amp;Waste Heat Recover'!$A$1,工业节能技术装备推荐目录!A:A,"2020")+SUMIFS(用能设备节能分配!Q:Q,用能设备节能分配!O:O,'Cogeneration&amp;Waste Heat Recover'!A21,用能设备节能分配!P:P,'Cogeneration&amp;Waste Heat Recover'!$A$1,用能设备节能分配!M:M,"2020")+SUMIFS(工业节能技术装备推荐目录!K:K,工业节能技术装备推荐目录!D:D,'Cogeneration&amp;Waste Heat Recover'!A21,工业节能技术装备推荐目录!F:F,'Cogeneration&amp;Waste Heat Recover'!$A$1,工业节能技术装备推荐目录!A:A,"2021")+SUMIFS(用能设备节能分配!Q:Q,用能设备节能分配!O:O,'Cogeneration&amp;Waste Heat Recover'!A21,用能设备节能分配!P:P,'Cogeneration&amp;Waste Heat Recover'!$A$1,用能设备节能分配!M:M,"2021")+SUMIFS(工业节能技术装备推荐目录!K:K,工业节能技术装备推荐目录!D:D,'Cogeneration&amp;Waste Heat Recover'!A21,工业节能技术装备推荐目录!F:F,'Cogeneration&amp;Waste Heat Recover'!$A$1,工业节能技术装备推荐目录!A:A,"2022")+SUMIFS(用能设备节能分配!Q:Q,用能设备节能分配!O:O,'Cogeneration&amp;Waste Heat Recover'!A21,用能设备节能分配!P:P,'Cogeneration&amp;Waste Heat Recover'!$A$1,用能设备节能分配!M:M,"2022")</f>
        <v>0</v>
      </c>
      <c r="F21" s="73">
        <f>SUMIFS(工业节能技术装备推荐目录!K:K,工业节能技术装备推荐目录!D:D,'Cogeneration&amp;Waste Heat Recover'!A21,工业节能技术装备推荐目录!F:F,'Cogeneration&amp;Waste Heat Recover'!$A$1,工业节能技术装备推荐目录!A:A,"2020")+SUMIFS(用能设备节能分配!Q:Q,用能设备节能分配!O:O,'Cogeneration&amp;Waste Heat Recover'!A21,用能设备节能分配!P:P,'Cogeneration&amp;Waste Heat Recover'!$A$1,用能设备节能分配!M:M,"2020")+SUMIFS(工业节能技术装备推荐目录!K:K,工业节能技术装备推荐目录!D:D,'Cogeneration&amp;Waste Heat Recover'!A21,工业节能技术装备推荐目录!F:F,'Cogeneration&amp;Waste Heat Recover'!$A$1,工业节能技术装备推荐目录!A:A,"2021")+SUMIFS(用能设备节能分配!Q:Q,用能设备节能分配!O:O,'Cogeneration&amp;Waste Heat Recover'!A21,用能设备节能分配!P:P,'Cogeneration&amp;Waste Heat Recover'!$A$1,用能设备节能分配!M:M,"2021")+SUMIFS(工业节能技术装备推荐目录!K:K,工业节能技术装备推荐目录!D:D,'Cogeneration&amp;Waste Heat Recover'!A21,工业节能技术装备推荐目录!F:F,'Cogeneration&amp;Waste Heat Recover'!$A$1,工业节能技术装备推荐目录!A:A,"2022")+SUMIFS(用能设备节能分配!Q:Q,用能设备节能分配!O:O,'Cogeneration&amp;Waste Heat Recover'!A21,用能设备节能分配!P:P,'Cogeneration&amp;Waste Heat Recover'!$A$1,用能设备节能分配!M:M,"2022")</f>
        <v>0</v>
      </c>
      <c r="G21" s="73">
        <f>SUMIFS(工业节能技术装备推荐目录!K:K,工业节能技术装备推荐目录!D:D,'Cogeneration&amp;Waste Heat Recover'!A21,工业节能技术装备推荐目录!F:F,'Cogeneration&amp;Waste Heat Recover'!$A$1,工业节能技术装备推荐目录!A:A,"2020")+SUMIFS(用能设备节能分配!Q:Q,用能设备节能分配!O:O,'Cogeneration&amp;Waste Heat Recover'!A21,用能设备节能分配!P:P,'Cogeneration&amp;Waste Heat Recover'!$A$1,用能设备节能分配!M:M,"2020")+SUMIFS(工业节能技术装备推荐目录!K:K,工业节能技术装备推荐目录!D:D,'Cogeneration&amp;Waste Heat Recover'!A21,工业节能技术装备推荐目录!F:F,'Cogeneration&amp;Waste Heat Recover'!$A$1,工业节能技术装备推荐目录!A:A,"2022")+SUMIFS(用能设备节能分配!Q:Q,用能设备节能分配!O:O,'Cogeneration&amp;Waste Heat Recover'!A21,用能设备节能分配!P:P,'Cogeneration&amp;Waste Heat Recover'!$A$1,用能设备节能分配!M:M,"2022")</f>
        <v>0</v>
      </c>
      <c r="H21" s="73">
        <f>SUMIFS(工业节能技术装备推荐目录!K:K,工业节能技术装备推荐目录!D:D,'Cogeneration&amp;Waste Heat Recover'!A21,工业节能技术装备推荐目录!F:F,'Cogeneration&amp;Waste Heat Recover'!$A$1,工业节能技术装备推荐目录!A:A,"2022")+SUMIFS(用能设备节能分配!Q:Q,用能设备节能分配!O:O,'Cogeneration&amp;Waste Heat Recover'!A21,用能设备节能分配!P:P,'Cogeneration&amp;Waste Heat Recover'!$A$1,用能设备节能分配!M:M,"2022")</f>
        <v>0</v>
      </c>
      <c r="I21" s="73">
        <f>SUMIFS(工业节能技术装备推荐目录!K:K,工业节能技术装备推荐目录!D:D,'Cogeneration&amp;Waste Heat Recover'!A21,工业节能技术装备推荐目录!F:F,'Cogeneration&amp;Waste Heat Recover'!$A$1,工业节能技术装备推荐目录!A:A,"2022")+SUMIFS(用能设备节能分配!Q:Q,用能设备节能分配!O:O,'Cogeneration&amp;Waste Heat Recover'!A21,用能设备节能分配!P:P,'Cogeneration&amp;Waste Heat Recover'!$A$1,用能设备节能分配!M:M,"2022")</f>
        <v>0</v>
      </c>
      <c r="K21" s="52"/>
      <c r="L21" s="26" t="s">
        <v>50</v>
      </c>
      <c r="M21" s="50">
        <f>SUMIFS(工业节能技术装备推荐目录!L:L,工业节能技术装备推荐目录!D:D,'Cogeneration&amp;Waste Heat Recover'!A21,工业节能技术装备推荐目录!F:F,'Cogeneration&amp;Waste Heat Recover'!$A$1)</f>
        <v>0</v>
      </c>
      <c r="N21" s="73">
        <f>SUMIFS(工业节能技术装备推荐目录!K:K,工业节能技术装备推荐目录!D:D,'Cogeneration&amp;Waste Heat Recover'!A21,工业节能技术装备推荐目录!F:F,'Cogeneration&amp;Waste Heat Recover'!$A$1,工业节能技术装备推荐目录!A:A,"2020")</f>
        <v>0</v>
      </c>
      <c r="O21" s="73">
        <f>SUMIFS(工业节能技术装备推荐目录!K:K,工业节能技术装备推荐目录!D:D,'Cogeneration&amp;Waste Heat Recover'!A21,工业节能技术装备推荐目录!F:F,'Cogeneration&amp;Waste Heat Recover'!$A$1,工业节能技术装备推荐目录!A:A,"2020")+SUMIFS(工业节能技术装备推荐目录!K:K,工业节能技术装备推荐目录!D:D,'Cogeneration&amp;Waste Heat Recover'!A21,工业节能技术装备推荐目录!F:F,'Cogeneration&amp;Waste Heat Recover'!$A$1,工业节能技术装备推荐目录!A:A,"2021")</f>
        <v>0</v>
      </c>
      <c r="P21" s="73">
        <f>SUMIFS(工业节能技术装备推荐目录!K:K,工业节能技术装备推荐目录!D:D,'Cogeneration&amp;Waste Heat Recover'!A21,工业节能技术装备推荐目录!F:F,'Cogeneration&amp;Waste Heat Recover'!$A$1,工业节能技术装备推荐目录!A:A,"2020")+SUMIFS(工业节能技术装备推荐目录!K:K,工业节能技术装备推荐目录!D:D,'Cogeneration&amp;Waste Heat Recover'!A21,工业节能技术装备推荐目录!F:F,'Cogeneration&amp;Waste Heat Recover'!$A$1,工业节能技术装备推荐目录!A:A,"2021")+SUMIFS(工业节能技术装备推荐目录!K:K,工业节能技术装备推荐目录!D:D,'Cogeneration&amp;Waste Heat Recover'!A21,工业节能技术装备推荐目录!F:F,'Cogeneration&amp;Waste Heat Recover'!$A$1,工业节能技术装备推荐目录!A:A,"2022")</f>
        <v>0</v>
      </c>
      <c r="Q21" s="73">
        <f>SUMIFS(工业节能技术装备推荐目录!K:K,工业节能技术装备推荐目录!D:D,'Cogeneration&amp;Waste Heat Recover'!A21,工业节能技术装备推荐目录!F:F,'Cogeneration&amp;Waste Heat Recover'!$A$1,工业节能技术装备推荐目录!A:A,"2020")+SUMIFS(工业节能技术装备推荐目录!K:K,工业节能技术装备推荐目录!D:D,'Cogeneration&amp;Waste Heat Recover'!A21,工业节能技术装备推荐目录!F:F,'Cogeneration&amp;Waste Heat Recover'!$A$1,工业节能技术装备推荐目录!A:A,"2021")+SUMIFS(工业节能技术装备推荐目录!K:K,工业节能技术装备推荐目录!D:D,'Cogeneration&amp;Waste Heat Recover'!A21,工业节能技术装备推荐目录!F:F,'Cogeneration&amp;Waste Heat Recover'!$A$1,工业节能技术装备推荐目录!A:A,"2022")</f>
        <v>0</v>
      </c>
      <c r="R21" s="73">
        <f>SUMIFS(工业节能技术装备推荐目录!K:K,工业节能技术装备推荐目录!D:D,'Cogeneration&amp;Waste Heat Recover'!A21,工业节能技术装备推荐目录!F:F,'Cogeneration&amp;Waste Heat Recover'!$A$1,工业节能技术装备推荐目录!A:A,"2020")+SUMIFS(工业节能技术装备推荐目录!K:K,工业节能技术装备推荐目录!D:D,'Cogeneration&amp;Waste Heat Recover'!A21,工业节能技术装备推荐目录!F:F,'Cogeneration&amp;Waste Heat Recover'!$A$1,工业节能技术装备推荐目录!A:A,"2022")</f>
        <v>0</v>
      </c>
      <c r="S21" s="73">
        <f>SUMIFS(工业节能技术装备推荐目录!K:K,工业节能技术装备推荐目录!D:D,'Cogeneration&amp;Waste Heat Recover'!A21,工业节能技术装备推荐目录!F:F,'Cogeneration&amp;Waste Heat Recover'!$A$1,工业节能技术装备推荐目录!A:A,"2022")</f>
        <v>0</v>
      </c>
      <c r="T21" s="73">
        <f>SUMIFS(工业节能技术装备推荐目录!K:K,工业节能技术装备推荐目录!D:D,'Cogeneration&amp;Waste Heat Recover'!A21,工业节能技术装备推荐目录!F:F,'Cogeneration&amp;Waste Heat Recover'!$A$1,工业节能技术装备推荐目录!A:A,"2022")</f>
        <v>0</v>
      </c>
    </row>
    <row r="22" spans="1:20" x14ac:dyDescent="0.15">
      <c r="A22" s="26" t="s">
        <v>81</v>
      </c>
      <c r="B22" s="50">
        <f>SUMIFS(工业节能技术装备推荐目录!L:L,工业节能技术装备推荐目录!D:D,'Cogeneration&amp;Waste Heat Recover'!A22,工业节能技术装备推荐目录!F:F,'Cogeneration&amp;Waste Heat Recover'!$A$1)+SUMIFS(用能设备节能分配!R:R,用能设备节能分配!O:O,'Cogeneration&amp;Waste Heat Recover'!A22,用能设备节能分配!P:P,'Cogeneration&amp;Waste Heat Recover'!$A$1)</f>
        <v>200</v>
      </c>
      <c r="C22" s="73">
        <f>SUMIFS(工业节能技术装备推荐目录!K:K,工业节能技术装备推荐目录!D:D,'Cogeneration&amp;Waste Heat Recover'!A22,工业节能技术装备推荐目录!F:F,'Cogeneration&amp;Waste Heat Recover'!$A$1,工业节能技术装备推荐目录!A:A,"2020")+SUMIFS(用能设备节能分配!Q:Q,用能设备节能分配!O:O,'Cogeneration&amp;Waste Heat Recover'!A22,用能设备节能分配!P:P,'Cogeneration&amp;Waste Heat Recover'!$A$1,用能设备节能分配!M:M,"2020")</f>
        <v>0</v>
      </c>
      <c r="D22" s="73">
        <f>SUMIFS(工业节能技术装备推荐目录!K:K,工业节能技术装备推荐目录!D:D,'Cogeneration&amp;Waste Heat Recover'!A22,工业节能技术装备推荐目录!F:F,'Cogeneration&amp;Waste Heat Recover'!$A$1,工业节能技术装备推荐目录!A:A,"2020")+SUMIFS(用能设备节能分配!Q:Q,用能设备节能分配!O:O,'Cogeneration&amp;Waste Heat Recover'!A22,用能设备节能分配!P:P,'Cogeneration&amp;Waste Heat Recover'!$A$1,用能设备节能分配!M:M,"2020")+SUMIFS(工业节能技术装备推荐目录!K:K,工业节能技术装备推荐目录!D:D,'Cogeneration&amp;Waste Heat Recover'!A22,工业节能技术装备推荐目录!F:F,'Cogeneration&amp;Waste Heat Recover'!$A$1,工业节能技术装备推荐目录!A:A,"2021")+SUMIFS(用能设备节能分配!Q:Q,用能设备节能分配!O:O,'Cogeneration&amp;Waste Heat Recover'!A22,用能设备节能分配!P:P,'Cogeneration&amp;Waste Heat Recover'!$A$1,用能设备节能分配!M:M,"2021")</f>
        <v>6</v>
      </c>
      <c r="E22" s="73">
        <f>SUMIFS(工业节能技术装备推荐目录!K:K,工业节能技术装备推荐目录!D:D,'Cogeneration&amp;Waste Heat Recover'!A22,工业节能技术装备推荐目录!F:F,'Cogeneration&amp;Waste Heat Recover'!$A$1,工业节能技术装备推荐目录!A:A,"2020")+SUMIFS(用能设备节能分配!Q:Q,用能设备节能分配!O:O,'Cogeneration&amp;Waste Heat Recover'!A22,用能设备节能分配!P:P,'Cogeneration&amp;Waste Heat Recover'!$A$1,用能设备节能分配!M:M,"2020")+SUMIFS(工业节能技术装备推荐目录!K:K,工业节能技术装备推荐目录!D:D,'Cogeneration&amp;Waste Heat Recover'!A22,工业节能技术装备推荐目录!F:F,'Cogeneration&amp;Waste Heat Recover'!$A$1,工业节能技术装备推荐目录!A:A,"2021")+SUMIFS(用能设备节能分配!Q:Q,用能设备节能分配!O:O,'Cogeneration&amp;Waste Heat Recover'!A22,用能设备节能分配!P:P,'Cogeneration&amp;Waste Heat Recover'!$A$1,用能设备节能分配!M:M,"2021")+SUMIFS(工业节能技术装备推荐目录!K:K,工业节能技术装备推荐目录!D:D,'Cogeneration&amp;Waste Heat Recover'!A22,工业节能技术装备推荐目录!F:F,'Cogeneration&amp;Waste Heat Recover'!$A$1,工业节能技术装备推荐目录!A:A,"2022")+SUMIFS(用能设备节能分配!Q:Q,用能设备节能分配!O:O,'Cogeneration&amp;Waste Heat Recover'!A22,用能设备节能分配!P:P,'Cogeneration&amp;Waste Heat Recover'!$A$1,用能设备节能分配!M:M,"2022")</f>
        <v>6</v>
      </c>
      <c r="F22" s="73">
        <f>SUMIFS(工业节能技术装备推荐目录!K:K,工业节能技术装备推荐目录!D:D,'Cogeneration&amp;Waste Heat Recover'!A22,工业节能技术装备推荐目录!F:F,'Cogeneration&amp;Waste Heat Recover'!$A$1,工业节能技术装备推荐目录!A:A,"2020")+SUMIFS(用能设备节能分配!Q:Q,用能设备节能分配!O:O,'Cogeneration&amp;Waste Heat Recover'!A22,用能设备节能分配!P:P,'Cogeneration&amp;Waste Heat Recover'!$A$1,用能设备节能分配!M:M,"2020")+SUMIFS(工业节能技术装备推荐目录!K:K,工业节能技术装备推荐目录!D:D,'Cogeneration&amp;Waste Heat Recover'!A22,工业节能技术装备推荐目录!F:F,'Cogeneration&amp;Waste Heat Recover'!$A$1,工业节能技术装备推荐目录!A:A,"2021")+SUMIFS(用能设备节能分配!Q:Q,用能设备节能分配!O:O,'Cogeneration&amp;Waste Heat Recover'!A22,用能设备节能分配!P:P,'Cogeneration&amp;Waste Heat Recover'!$A$1,用能设备节能分配!M:M,"2021")+SUMIFS(工业节能技术装备推荐目录!K:K,工业节能技术装备推荐目录!D:D,'Cogeneration&amp;Waste Heat Recover'!A22,工业节能技术装备推荐目录!F:F,'Cogeneration&amp;Waste Heat Recover'!$A$1,工业节能技术装备推荐目录!A:A,"2022")+SUMIFS(用能设备节能分配!Q:Q,用能设备节能分配!O:O,'Cogeneration&amp;Waste Heat Recover'!A22,用能设备节能分配!P:P,'Cogeneration&amp;Waste Heat Recover'!$A$1,用能设备节能分配!M:M,"2022")</f>
        <v>6</v>
      </c>
      <c r="G22" s="73">
        <f>SUMIFS(工业节能技术装备推荐目录!K:K,工业节能技术装备推荐目录!D:D,'Cogeneration&amp;Waste Heat Recover'!A22,工业节能技术装备推荐目录!F:F,'Cogeneration&amp;Waste Heat Recover'!$A$1,工业节能技术装备推荐目录!A:A,"2020")+SUMIFS(用能设备节能分配!Q:Q,用能设备节能分配!O:O,'Cogeneration&amp;Waste Heat Recover'!A22,用能设备节能分配!P:P,'Cogeneration&amp;Waste Heat Recover'!$A$1,用能设备节能分配!M:M,"2020")+SUMIFS(工业节能技术装备推荐目录!K:K,工业节能技术装备推荐目录!D:D,'Cogeneration&amp;Waste Heat Recover'!A22,工业节能技术装备推荐目录!F:F,'Cogeneration&amp;Waste Heat Recover'!$A$1,工业节能技术装备推荐目录!A:A,"2022")+SUMIFS(用能设备节能分配!Q:Q,用能设备节能分配!O:O,'Cogeneration&amp;Waste Heat Recover'!A22,用能设备节能分配!P:P,'Cogeneration&amp;Waste Heat Recover'!$A$1,用能设备节能分配!M:M,"2022")</f>
        <v>0</v>
      </c>
      <c r="H22" s="73">
        <f>SUMIFS(工业节能技术装备推荐目录!K:K,工业节能技术装备推荐目录!D:D,'Cogeneration&amp;Waste Heat Recover'!A22,工业节能技术装备推荐目录!F:F,'Cogeneration&amp;Waste Heat Recover'!$A$1,工业节能技术装备推荐目录!A:A,"2022")+SUMIFS(用能设备节能分配!Q:Q,用能设备节能分配!O:O,'Cogeneration&amp;Waste Heat Recover'!A22,用能设备节能分配!P:P,'Cogeneration&amp;Waste Heat Recover'!$A$1,用能设备节能分配!M:M,"2022")</f>
        <v>0</v>
      </c>
      <c r="I22" s="73">
        <f>SUMIFS(工业节能技术装备推荐目录!K:K,工业节能技术装备推荐目录!D:D,'Cogeneration&amp;Waste Heat Recover'!A22,工业节能技术装备推荐目录!F:F,'Cogeneration&amp;Waste Heat Recover'!$A$1,工业节能技术装备推荐目录!A:A,"2022")+SUMIFS(用能设备节能分配!Q:Q,用能设备节能分配!O:O,'Cogeneration&amp;Waste Heat Recover'!A22,用能设备节能分配!P:P,'Cogeneration&amp;Waste Heat Recover'!$A$1,用能设备节能分配!M:M,"2022")</f>
        <v>0</v>
      </c>
      <c r="K22" s="52"/>
      <c r="L22" s="26" t="s">
        <v>81</v>
      </c>
      <c r="M22" s="50">
        <f>SUMIFS(工业节能技术装备推荐目录!L:L,工业节能技术装备推荐目录!D:D,'Cogeneration&amp;Waste Heat Recover'!A22,工业节能技术装备推荐目录!F:F,'Cogeneration&amp;Waste Heat Recover'!$A$1)</f>
        <v>200</v>
      </c>
      <c r="N22" s="73">
        <f>SUMIFS(工业节能技术装备推荐目录!K:K,工业节能技术装备推荐目录!D:D,'Cogeneration&amp;Waste Heat Recover'!A22,工业节能技术装备推荐目录!F:F,'Cogeneration&amp;Waste Heat Recover'!$A$1,工业节能技术装备推荐目录!A:A,"2020")</f>
        <v>0</v>
      </c>
      <c r="O22" s="73">
        <f>SUMIFS(工业节能技术装备推荐目录!K:K,工业节能技术装备推荐目录!D:D,'Cogeneration&amp;Waste Heat Recover'!A22,工业节能技术装备推荐目录!F:F,'Cogeneration&amp;Waste Heat Recover'!$A$1,工业节能技术装备推荐目录!A:A,"2020")+SUMIFS(工业节能技术装备推荐目录!K:K,工业节能技术装备推荐目录!D:D,'Cogeneration&amp;Waste Heat Recover'!A22,工业节能技术装备推荐目录!F:F,'Cogeneration&amp;Waste Heat Recover'!$A$1,工业节能技术装备推荐目录!A:A,"2021")</f>
        <v>6</v>
      </c>
      <c r="P22" s="73">
        <f>SUMIFS(工业节能技术装备推荐目录!K:K,工业节能技术装备推荐目录!D:D,'Cogeneration&amp;Waste Heat Recover'!A22,工业节能技术装备推荐目录!F:F,'Cogeneration&amp;Waste Heat Recover'!$A$1,工业节能技术装备推荐目录!A:A,"2020")+SUMIFS(工业节能技术装备推荐目录!K:K,工业节能技术装备推荐目录!D:D,'Cogeneration&amp;Waste Heat Recover'!A22,工业节能技术装备推荐目录!F:F,'Cogeneration&amp;Waste Heat Recover'!$A$1,工业节能技术装备推荐目录!A:A,"2021")+SUMIFS(工业节能技术装备推荐目录!K:K,工业节能技术装备推荐目录!D:D,'Cogeneration&amp;Waste Heat Recover'!A22,工业节能技术装备推荐目录!F:F,'Cogeneration&amp;Waste Heat Recover'!$A$1,工业节能技术装备推荐目录!A:A,"2022")</f>
        <v>6</v>
      </c>
      <c r="Q22" s="73">
        <f>SUMIFS(工业节能技术装备推荐目录!K:K,工业节能技术装备推荐目录!D:D,'Cogeneration&amp;Waste Heat Recover'!A22,工业节能技术装备推荐目录!F:F,'Cogeneration&amp;Waste Heat Recover'!$A$1,工业节能技术装备推荐目录!A:A,"2020")+SUMIFS(工业节能技术装备推荐目录!K:K,工业节能技术装备推荐目录!D:D,'Cogeneration&amp;Waste Heat Recover'!A22,工业节能技术装备推荐目录!F:F,'Cogeneration&amp;Waste Heat Recover'!$A$1,工业节能技术装备推荐目录!A:A,"2021")+SUMIFS(工业节能技术装备推荐目录!K:K,工业节能技术装备推荐目录!D:D,'Cogeneration&amp;Waste Heat Recover'!A22,工业节能技术装备推荐目录!F:F,'Cogeneration&amp;Waste Heat Recover'!$A$1,工业节能技术装备推荐目录!A:A,"2022")</f>
        <v>6</v>
      </c>
      <c r="R22" s="73">
        <f>SUMIFS(工业节能技术装备推荐目录!K:K,工业节能技术装备推荐目录!D:D,'Cogeneration&amp;Waste Heat Recover'!A22,工业节能技术装备推荐目录!F:F,'Cogeneration&amp;Waste Heat Recover'!$A$1,工业节能技术装备推荐目录!A:A,"2020")+SUMIFS(工业节能技术装备推荐目录!K:K,工业节能技术装备推荐目录!D:D,'Cogeneration&amp;Waste Heat Recover'!A22,工业节能技术装备推荐目录!F:F,'Cogeneration&amp;Waste Heat Recover'!$A$1,工业节能技术装备推荐目录!A:A,"2022")</f>
        <v>0</v>
      </c>
      <c r="S22" s="73">
        <f>SUMIFS(工业节能技术装备推荐目录!K:K,工业节能技术装备推荐目录!D:D,'Cogeneration&amp;Waste Heat Recover'!A22,工业节能技术装备推荐目录!F:F,'Cogeneration&amp;Waste Heat Recover'!$A$1,工业节能技术装备推荐目录!A:A,"2022")</f>
        <v>0</v>
      </c>
      <c r="T22" s="73">
        <f>SUMIFS(工业节能技术装备推荐目录!K:K,工业节能技术装备推荐目录!D:D,'Cogeneration&amp;Waste Heat Recover'!A22,工业节能技术装备推荐目录!F:F,'Cogeneration&amp;Waste Heat Recover'!$A$1,工业节能技术装备推荐目录!A:A,"2022")</f>
        <v>0</v>
      </c>
    </row>
    <row r="23" spans="1:20" x14ac:dyDescent="0.15">
      <c r="A23" s="26" t="s">
        <v>71</v>
      </c>
      <c r="B23" s="50">
        <f>SUMIFS(工业节能技术装备推荐目录!L:L,工业节能技术装备推荐目录!D:D,'Cogeneration&amp;Waste Heat Recover'!A23,工业节能技术装备推荐目录!F:F,'Cogeneration&amp;Waste Heat Recover'!$A$1)+SUMIFS(用能设备节能分配!R:R,用能设备节能分配!O:O,'Cogeneration&amp;Waste Heat Recover'!A23,用能设备节能分配!P:P,'Cogeneration&amp;Waste Heat Recover'!$A$1)</f>
        <v>20.075048629721671</v>
      </c>
      <c r="C23" s="73">
        <f>SUMIFS(工业节能技术装备推荐目录!K:K,工业节能技术装备推荐目录!D:D,'Cogeneration&amp;Waste Heat Recover'!A23,工业节能技术装备推荐目录!F:F,'Cogeneration&amp;Waste Heat Recover'!$A$1,工业节能技术装备推荐目录!A:A,"2020")+SUMIFS(用能设备节能分配!Q:Q,用能设备节能分配!O:O,'Cogeneration&amp;Waste Heat Recover'!A23,用能设备节能分配!P:P,'Cogeneration&amp;Waste Heat Recover'!$A$1,用能设备节能分配!M:M,"2020")</f>
        <v>3.0112572944582503</v>
      </c>
      <c r="D23" s="73">
        <f>SUMIFS(工业节能技术装备推荐目录!K:K,工业节能技术装备推荐目录!D:D,'Cogeneration&amp;Waste Heat Recover'!A23,工业节能技术装备推荐目录!F:F,'Cogeneration&amp;Waste Heat Recover'!$A$1,工业节能技术装备推荐目录!A:A,"2020")+SUMIFS(用能设备节能分配!Q:Q,用能设备节能分配!O:O,'Cogeneration&amp;Waste Heat Recover'!A23,用能设备节能分配!P:P,'Cogeneration&amp;Waste Heat Recover'!$A$1,用能设备节能分配!M:M,"2020")+SUMIFS(工业节能技术装备推荐目录!K:K,工业节能技术装备推荐目录!D:D,'Cogeneration&amp;Waste Heat Recover'!A23,工业节能技术装备推荐目录!F:F,'Cogeneration&amp;Waste Heat Recover'!$A$1,工业节能技术装备推荐目录!A:A,"2021")+SUMIFS(用能设备节能分配!Q:Q,用能设备节能分配!O:O,'Cogeneration&amp;Waste Heat Recover'!A23,用能设备节能分配!P:P,'Cogeneration&amp;Waste Heat Recover'!$A$1,用能设备节能分配!M:M,"2021")</f>
        <v>3.0112572944582503</v>
      </c>
      <c r="E23" s="73">
        <f>SUMIFS(工业节能技术装备推荐目录!K:K,工业节能技术装备推荐目录!D:D,'Cogeneration&amp;Waste Heat Recover'!A23,工业节能技术装备推荐目录!F:F,'Cogeneration&amp;Waste Heat Recover'!$A$1,工业节能技术装备推荐目录!A:A,"2020")+SUMIFS(用能设备节能分配!Q:Q,用能设备节能分配!O:O,'Cogeneration&amp;Waste Heat Recover'!A23,用能设备节能分配!P:P,'Cogeneration&amp;Waste Heat Recover'!$A$1,用能设备节能分配!M:M,"2020")+SUMIFS(工业节能技术装备推荐目录!K:K,工业节能技术装备推荐目录!D:D,'Cogeneration&amp;Waste Heat Recover'!A23,工业节能技术装备推荐目录!F:F,'Cogeneration&amp;Waste Heat Recover'!$A$1,工业节能技术装备推荐目录!A:A,"2021")+SUMIFS(用能设备节能分配!Q:Q,用能设备节能分配!O:O,'Cogeneration&amp;Waste Heat Recover'!A23,用能设备节能分配!P:P,'Cogeneration&amp;Waste Heat Recover'!$A$1,用能设备节能分配!M:M,"2021")+SUMIFS(工业节能技术装备推荐目录!K:K,工业节能技术装备推荐目录!D:D,'Cogeneration&amp;Waste Heat Recover'!A23,工业节能技术装备推荐目录!F:F,'Cogeneration&amp;Waste Heat Recover'!$A$1,工业节能技术装备推荐目录!A:A,"2022")+SUMIFS(用能设备节能分配!Q:Q,用能设备节能分配!O:O,'Cogeneration&amp;Waste Heat Recover'!A23,用能设备节能分配!P:P,'Cogeneration&amp;Waste Heat Recover'!$A$1,用能设备节能分配!M:M,"2022")</f>
        <v>3.0112572944582503</v>
      </c>
      <c r="F23" s="73">
        <f>SUMIFS(工业节能技术装备推荐目录!K:K,工业节能技术装备推荐目录!D:D,'Cogeneration&amp;Waste Heat Recover'!A23,工业节能技术装备推荐目录!F:F,'Cogeneration&amp;Waste Heat Recover'!$A$1,工业节能技术装备推荐目录!A:A,"2020")+SUMIFS(用能设备节能分配!Q:Q,用能设备节能分配!O:O,'Cogeneration&amp;Waste Heat Recover'!A23,用能设备节能分配!P:P,'Cogeneration&amp;Waste Heat Recover'!$A$1,用能设备节能分配!M:M,"2020")+SUMIFS(工业节能技术装备推荐目录!K:K,工业节能技术装备推荐目录!D:D,'Cogeneration&amp;Waste Heat Recover'!A23,工业节能技术装备推荐目录!F:F,'Cogeneration&amp;Waste Heat Recover'!$A$1,工业节能技术装备推荐目录!A:A,"2021")+SUMIFS(用能设备节能分配!Q:Q,用能设备节能分配!O:O,'Cogeneration&amp;Waste Heat Recover'!A23,用能设备节能分配!P:P,'Cogeneration&amp;Waste Heat Recover'!$A$1,用能设备节能分配!M:M,"2021")+SUMIFS(工业节能技术装备推荐目录!K:K,工业节能技术装备推荐目录!D:D,'Cogeneration&amp;Waste Heat Recover'!A23,工业节能技术装备推荐目录!F:F,'Cogeneration&amp;Waste Heat Recover'!$A$1,工业节能技术装备推荐目录!A:A,"2022")+SUMIFS(用能设备节能分配!Q:Q,用能设备节能分配!O:O,'Cogeneration&amp;Waste Heat Recover'!A23,用能设备节能分配!P:P,'Cogeneration&amp;Waste Heat Recover'!$A$1,用能设备节能分配!M:M,"2022")</f>
        <v>3.0112572944582503</v>
      </c>
      <c r="G23" s="73">
        <f>SUMIFS(工业节能技术装备推荐目录!K:K,工业节能技术装备推荐目录!D:D,'Cogeneration&amp;Waste Heat Recover'!A23,工业节能技术装备推荐目录!F:F,'Cogeneration&amp;Waste Heat Recover'!$A$1,工业节能技术装备推荐目录!A:A,"2020")+SUMIFS(用能设备节能分配!Q:Q,用能设备节能分配!O:O,'Cogeneration&amp;Waste Heat Recover'!A23,用能设备节能分配!P:P,'Cogeneration&amp;Waste Heat Recover'!$A$1,用能设备节能分配!M:M,"2020")+SUMIFS(工业节能技术装备推荐目录!K:K,工业节能技术装备推荐目录!D:D,'Cogeneration&amp;Waste Heat Recover'!A23,工业节能技术装备推荐目录!F:F,'Cogeneration&amp;Waste Heat Recover'!$A$1,工业节能技术装备推荐目录!A:A,"2022")+SUMIFS(用能设备节能分配!Q:Q,用能设备节能分配!O:O,'Cogeneration&amp;Waste Heat Recover'!A23,用能设备节能分配!P:P,'Cogeneration&amp;Waste Heat Recover'!$A$1,用能设备节能分配!M:M,"2022")</f>
        <v>3.0112572944582503</v>
      </c>
      <c r="H23" s="73">
        <f>SUMIFS(工业节能技术装备推荐目录!K:K,工业节能技术装备推荐目录!D:D,'Cogeneration&amp;Waste Heat Recover'!A23,工业节能技术装备推荐目录!F:F,'Cogeneration&amp;Waste Heat Recover'!$A$1,工业节能技术装备推荐目录!A:A,"2022")+SUMIFS(用能设备节能分配!Q:Q,用能设备节能分配!O:O,'Cogeneration&amp;Waste Heat Recover'!A23,用能设备节能分配!P:P,'Cogeneration&amp;Waste Heat Recover'!$A$1,用能设备节能分配!M:M,"2022")</f>
        <v>0</v>
      </c>
      <c r="I23" s="73">
        <f>SUMIFS(工业节能技术装备推荐目录!K:K,工业节能技术装备推荐目录!D:D,'Cogeneration&amp;Waste Heat Recover'!A23,工业节能技术装备推荐目录!F:F,'Cogeneration&amp;Waste Heat Recover'!$A$1,工业节能技术装备推荐目录!A:A,"2022")+SUMIFS(用能设备节能分配!Q:Q,用能设备节能分配!O:O,'Cogeneration&amp;Waste Heat Recover'!A23,用能设备节能分配!P:P,'Cogeneration&amp;Waste Heat Recover'!$A$1,用能设备节能分配!M:M,"2022")</f>
        <v>0</v>
      </c>
      <c r="K23" s="52"/>
      <c r="L23" s="26" t="s">
        <v>71</v>
      </c>
      <c r="M23" s="50">
        <f>SUMIFS(工业节能技术装备推荐目录!L:L,工业节能技术装备推荐目录!D:D,'Cogeneration&amp;Waste Heat Recover'!A23,工业节能技术装备推荐目录!F:F,'Cogeneration&amp;Waste Heat Recover'!$A$1)</f>
        <v>0</v>
      </c>
      <c r="N23" s="73">
        <f>SUMIFS(工业节能技术装备推荐目录!K:K,工业节能技术装备推荐目录!D:D,'Cogeneration&amp;Waste Heat Recover'!A23,工业节能技术装备推荐目录!F:F,'Cogeneration&amp;Waste Heat Recover'!$A$1,工业节能技术装备推荐目录!A:A,"2020")</f>
        <v>0</v>
      </c>
      <c r="O23" s="73">
        <f>SUMIFS(工业节能技术装备推荐目录!K:K,工业节能技术装备推荐目录!D:D,'Cogeneration&amp;Waste Heat Recover'!A23,工业节能技术装备推荐目录!F:F,'Cogeneration&amp;Waste Heat Recover'!$A$1,工业节能技术装备推荐目录!A:A,"2020")+SUMIFS(工业节能技术装备推荐目录!K:K,工业节能技术装备推荐目录!D:D,'Cogeneration&amp;Waste Heat Recover'!A23,工业节能技术装备推荐目录!F:F,'Cogeneration&amp;Waste Heat Recover'!$A$1,工业节能技术装备推荐目录!A:A,"2021")</f>
        <v>0</v>
      </c>
      <c r="P23" s="73">
        <f>SUMIFS(工业节能技术装备推荐目录!K:K,工业节能技术装备推荐目录!D:D,'Cogeneration&amp;Waste Heat Recover'!A23,工业节能技术装备推荐目录!F:F,'Cogeneration&amp;Waste Heat Recover'!$A$1,工业节能技术装备推荐目录!A:A,"2020")+SUMIFS(工业节能技术装备推荐目录!K:K,工业节能技术装备推荐目录!D:D,'Cogeneration&amp;Waste Heat Recover'!A23,工业节能技术装备推荐目录!F:F,'Cogeneration&amp;Waste Heat Recover'!$A$1,工业节能技术装备推荐目录!A:A,"2021")+SUMIFS(工业节能技术装备推荐目录!K:K,工业节能技术装备推荐目录!D:D,'Cogeneration&amp;Waste Heat Recover'!A23,工业节能技术装备推荐目录!F:F,'Cogeneration&amp;Waste Heat Recover'!$A$1,工业节能技术装备推荐目录!A:A,"2022")</f>
        <v>0</v>
      </c>
      <c r="Q23" s="73">
        <f>SUMIFS(工业节能技术装备推荐目录!K:K,工业节能技术装备推荐目录!D:D,'Cogeneration&amp;Waste Heat Recover'!A23,工业节能技术装备推荐目录!F:F,'Cogeneration&amp;Waste Heat Recover'!$A$1,工业节能技术装备推荐目录!A:A,"2020")+SUMIFS(工业节能技术装备推荐目录!K:K,工业节能技术装备推荐目录!D:D,'Cogeneration&amp;Waste Heat Recover'!A23,工业节能技术装备推荐目录!F:F,'Cogeneration&amp;Waste Heat Recover'!$A$1,工业节能技术装备推荐目录!A:A,"2021")+SUMIFS(工业节能技术装备推荐目录!K:K,工业节能技术装备推荐目录!D:D,'Cogeneration&amp;Waste Heat Recover'!A23,工业节能技术装备推荐目录!F:F,'Cogeneration&amp;Waste Heat Recover'!$A$1,工业节能技术装备推荐目录!A:A,"2022")</f>
        <v>0</v>
      </c>
      <c r="R23" s="73">
        <f>SUMIFS(工业节能技术装备推荐目录!K:K,工业节能技术装备推荐目录!D:D,'Cogeneration&amp;Waste Heat Recover'!A23,工业节能技术装备推荐目录!F:F,'Cogeneration&amp;Waste Heat Recover'!$A$1,工业节能技术装备推荐目录!A:A,"2020")+SUMIFS(工业节能技术装备推荐目录!K:K,工业节能技术装备推荐目录!D:D,'Cogeneration&amp;Waste Heat Recover'!A23,工业节能技术装备推荐目录!F:F,'Cogeneration&amp;Waste Heat Recover'!$A$1,工业节能技术装备推荐目录!A:A,"2022")</f>
        <v>0</v>
      </c>
      <c r="S23" s="73">
        <f>SUMIFS(工业节能技术装备推荐目录!K:K,工业节能技术装备推荐目录!D:D,'Cogeneration&amp;Waste Heat Recover'!A23,工业节能技术装备推荐目录!F:F,'Cogeneration&amp;Waste Heat Recover'!$A$1,工业节能技术装备推荐目录!A:A,"2022")</f>
        <v>0</v>
      </c>
      <c r="T23" s="73">
        <f>SUMIFS(工业节能技术装备推荐目录!K:K,工业节能技术装备推荐目录!D:D,'Cogeneration&amp;Waste Heat Recover'!A23,工业节能技术装备推荐目录!F:F,'Cogeneration&amp;Waste Heat Recover'!$A$1,工业节能技术装备推荐目录!A:A,"2022")</f>
        <v>0</v>
      </c>
    </row>
    <row r="24" spans="1:20" x14ac:dyDescent="0.15">
      <c r="A24" s="26" t="s">
        <v>53</v>
      </c>
      <c r="B24" s="50">
        <f>SUMIFS(工业节能技术装备推荐目录!L:L,工业节能技术装备推荐目录!D:D,'Cogeneration&amp;Waste Heat Recover'!A24,工业节能技术装备推荐目录!F:F,'Cogeneration&amp;Waste Heat Recover'!$A$1)+SUMIFS(用能设备节能分配!R:R,用能设备节能分配!O:O,'Cogeneration&amp;Waste Heat Recover'!A24,用能设备节能分配!P:P,'Cogeneration&amp;Waste Heat Recover'!$A$1)</f>
        <v>0</v>
      </c>
      <c r="C24" s="73">
        <f>SUMIFS(工业节能技术装备推荐目录!K:K,工业节能技术装备推荐目录!D:D,'Cogeneration&amp;Waste Heat Recover'!A24,工业节能技术装备推荐目录!F:F,'Cogeneration&amp;Waste Heat Recover'!$A$1,工业节能技术装备推荐目录!A:A,"2020")+SUMIFS(用能设备节能分配!Q:Q,用能设备节能分配!O:O,'Cogeneration&amp;Waste Heat Recover'!A24,用能设备节能分配!P:P,'Cogeneration&amp;Waste Heat Recover'!$A$1,用能设备节能分配!M:M,"2020")</f>
        <v>0</v>
      </c>
      <c r="D24" s="73">
        <f>SUMIFS(工业节能技术装备推荐目录!K:K,工业节能技术装备推荐目录!D:D,'Cogeneration&amp;Waste Heat Recover'!A24,工业节能技术装备推荐目录!F:F,'Cogeneration&amp;Waste Heat Recover'!$A$1,工业节能技术装备推荐目录!A:A,"2020")+SUMIFS(用能设备节能分配!Q:Q,用能设备节能分配!O:O,'Cogeneration&amp;Waste Heat Recover'!A24,用能设备节能分配!P:P,'Cogeneration&amp;Waste Heat Recover'!$A$1,用能设备节能分配!M:M,"2020")+SUMIFS(工业节能技术装备推荐目录!K:K,工业节能技术装备推荐目录!D:D,'Cogeneration&amp;Waste Heat Recover'!A24,工业节能技术装备推荐目录!F:F,'Cogeneration&amp;Waste Heat Recover'!$A$1,工业节能技术装备推荐目录!A:A,"2021")+SUMIFS(用能设备节能分配!Q:Q,用能设备节能分配!O:O,'Cogeneration&amp;Waste Heat Recover'!A24,用能设备节能分配!P:P,'Cogeneration&amp;Waste Heat Recover'!$A$1,用能设备节能分配!M:M,"2021")</f>
        <v>0</v>
      </c>
      <c r="E24" s="73">
        <f>SUMIFS(工业节能技术装备推荐目录!K:K,工业节能技术装备推荐目录!D:D,'Cogeneration&amp;Waste Heat Recover'!A24,工业节能技术装备推荐目录!F:F,'Cogeneration&amp;Waste Heat Recover'!$A$1,工业节能技术装备推荐目录!A:A,"2020")+SUMIFS(用能设备节能分配!Q:Q,用能设备节能分配!O:O,'Cogeneration&amp;Waste Heat Recover'!A24,用能设备节能分配!P:P,'Cogeneration&amp;Waste Heat Recover'!$A$1,用能设备节能分配!M:M,"2020")+SUMIFS(工业节能技术装备推荐目录!K:K,工业节能技术装备推荐目录!D:D,'Cogeneration&amp;Waste Heat Recover'!A24,工业节能技术装备推荐目录!F:F,'Cogeneration&amp;Waste Heat Recover'!$A$1,工业节能技术装备推荐目录!A:A,"2021")+SUMIFS(用能设备节能分配!Q:Q,用能设备节能分配!O:O,'Cogeneration&amp;Waste Heat Recover'!A24,用能设备节能分配!P:P,'Cogeneration&amp;Waste Heat Recover'!$A$1,用能设备节能分配!M:M,"2021")+SUMIFS(工业节能技术装备推荐目录!K:K,工业节能技术装备推荐目录!D:D,'Cogeneration&amp;Waste Heat Recover'!A24,工业节能技术装备推荐目录!F:F,'Cogeneration&amp;Waste Heat Recover'!$A$1,工业节能技术装备推荐目录!A:A,"2022")+SUMIFS(用能设备节能分配!Q:Q,用能设备节能分配!O:O,'Cogeneration&amp;Waste Heat Recover'!A24,用能设备节能分配!P:P,'Cogeneration&amp;Waste Heat Recover'!$A$1,用能设备节能分配!M:M,"2022")</f>
        <v>0</v>
      </c>
      <c r="F24" s="73">
        <f>SUMIFS(工业节能技术装备推荐目录!K:K,工业节能技术装备推荐目录!D:D,'Cogeneration&amp;Waste Heat Recover'!A24,工业节能技术装备推荐目录!F:F,'Cogeneration&amp;Waste Heat Recover'!$A$1,工业节能技术装备推荐目录!A:A,"2020")+SUMIFS(用能设备节能分配!Q:Q,用能设备节能分配!O:O,'Cogeneration&amp;Waste Heat Recover'!A24,用能设备节能分配!P:P,'Cogeneration&amp;Waste Heat Recover'!$A$1,用能设备节能分配!M:M,"2020")+SUMIFS(工业节能技术装备推荐目录!K:K,工业节能技术装备推荐目录!D:D,'Cogeneration&amp;Waste Heat Recover'!A24,工业节能技术装备推荐目录!F:F,'Cogeneration&amp;Waste Heat Recover'!$A$1,工业节能技术装备推荐目录!A:A,"2021")+SUMIFS(用能设备节能分配!Q:Q,用能设备节能分配!O:O,'Cogeneration&amp;Waste Heat Recover'!A24,用能设备节能分配!P:P,'Cogeneration&amp;Waste Heat Recover'!$A$1,用能设备节能分配!M:M,"2021")+SUMIFS(工业节能技术装备推荐目录!K:K,工业节能技术装备推荐目录!D:D,'Cogeneration&amp;Waste Heat Recover'!A24,工业节能技术装备推荐目录!F:F,'Cogeneration&amp;Waste Heat Recover'!$A$1,工业节能技术装备推荐目录!A:A,"2022")+SUMIFS(用能设备节能分配!Q:Q,用能设备节能分配!O:O,'Cogeneration&amp;Waste Heat Recover'!A24,用能设备节能分配!P:P,'Cogeneration&amp;Waste Heat Recover'!$A$1,用能设备节能分配!M:M,"2022")</f>
        <v>0</v>
      </c>
      <c r="G24" s="73">
        <f>SUMIFS(工业节能技术装备推荐目录!K:K,工业节能技术装备推荐目录!D:D,'Cogeneration&amp;Waste Heat Recover'!A24,工业节能技术装备推荐目录!F:F,'Cogeneration&amp;Waste Heat Recover'!$A$1,工业节能技术装备推荐目录!A:A,"2020")+SUMIFS(用能设备节能分配!Q:Q,用能设备节能分配!O:O,'Cogeneration&amp;Waste Heat Recover'!A24,用能设备节能分配!P:P,'Cogeneration&amp;Waste Heat Recover'!$A$1,用能设备节能分配!M:M,"2020")+SUMIFS(工业节能技术装备推荐目录!K:K,工业节能技术装备推荐目录!D:D,'Cogeneration&amp;Waste Heat Recover'!A24,工业节能技术装备推荐目录!F:F,'Cogeneration&amp;Waste Heat Recover'!$A$1,工业节能技术装备推荐目录!A:A,"2022")+SUMIFS(用能设备节能分配!Q:Q,用能设备节能分配!O:O,'Cogeneration&amp;Waste Heat Recover'!A24,用能设备节能分配!P:P,'Cogeneration&amp;Waste Heat Recover'!$A$1,用能设备节能分配!M:M,"2022")</f>
        <v>0</v>
      </c>
      <c r="H24" s="73">
        <f>SUMIFS(工业节能技术装备推荐目录!K:K,工业节能技术装备推荐目录!D:D,'Cogeneration&amp;Waste Heat Recover'!A24,工业节能技术装备推荐目录!F:F,'Cogeneration&amp;Waste Heat Recover'!$A$1,工业节能技术装备推荐目录!A:A,"2022")+SUMIFS(用能设备节能分配!Q:Q,用能设备节能分配!O:O,'Cogeneration&amp;Waste Heat Recover'!A24,用能设备节能分配!P:P,'Cogeneration&amp;Waste Heat Recover'!$A$1,用能设备节能分配!M:M,"2022")</f>
        <v>0</v>
      </c>
      <c r="I24" s="73">
        <f>SUMIFS(工业节能技术装备推荐目录!K:K,工业节能技术装备推荐目录!D:D,'Cogeneration&amp;Waste Heat Recover'!A24,工业节能技术装备推荐目录!F:F,'Cogeneration&amp;Waste Heat Recover'!$A$1,工业节能技术装备推荐目录!A:A,"2022")+SUMIFS(用能设备节能分配!Q:Q,用能设备节能分配!O:O,'Cogeneration&amp;Waste Heat Recover'!A24,用能设备节能分配!P:P,'Cogeneration&amp;Waste Heat Recover'!$A$1,用能设备节能分配!M:M,"2022")</f>
        <v>0</v>
      </c>
      <c r="K24" s="52"/>
      <c r="L24" s="26" t="s">
        <v>53</v>
      </c>
      <c r="M24" s="50">
        <f>SUMIFS(工业节能技术装备推荐目录!L:L,工业节能技术装备推荐目录!D:D,'Cogeneration&amp;Waste Heat Recover'!A24,工业节能技术装备推荐目录!F:F,'Cogeneration&amp;Waste Heat Recover'!$A$1)</f>
        <v>0</v>
      </c>
      <c r="N24" s="73">
        <f>SUMIFS(工业节能技术装备推荐目录!K:K,工业节能技术装备推荐目录!D:D,'Cogeneration&amp;Waste Heat Recover'!A24,工业节能技术装备推荐目录!F:F,'Cogeneration&amp;Waste Heat Recover'!$A$1,工业节能技术装备推荐目录!A:A,"2020")</f>
        <v>0</v>
      </c>
      <c r="O24" s="73">
        <f>SUMIFS(工业节能技术装备推荐目录!K:K,工业节能技术装备推荐目录!D:D,'Cogeneration&amp;Waste Heat Recover'!A24,工业节能技术装备推荐目录!F:F,'Cogeneration&amp;Waste Heat Recover'!$A$1,工业节能技术装备推荐目录!A:A,"2020")+SUMIFS(工业节能技术装备推荐目录!K:K,工业节能技术装备推荐目录!D:D,'Cogeneration&amp;Waste Heat Recover'!A24,工业节能技术装备推荐目录!F:F,'Cogeneration&amp;Waste Heat Recover'!$A$1,工业节能技术装备推荐目录!A:A,"2021")</f>
        <v>0</v>
      </c>
      <c r="P24" s="73">
        <f>SUMIFS(工业节能技术装备推荐目录!K:K,工业节能技术装备推荐目录!D:D,'Cogeneration&amp;Waste Heat Recover'!A24,工业节能技术装备推荐目录!F:F,'Cogeneration&amp;Waste Heat Recover'!$A$1,工业节能技术装备推荐目录!A:A,"2020")+SUMIFS(工业节能技术装备推荐目录!K:K,工业节能技术装备推荐目录!D:D,'Cogeneration&amp;Waste Heat Recover'!A24,工业节能技术装备推荐目录!F:F,'Cogeneration&amp;Waste Heat Recover'!$A$1,工业节能技术装备推荐目录!A:A,"2021")+SUMIFS(工业节能技术装备推荐目录!K:K,工业节能技术装备推荐目录!D:D,'Cogeneration&amp;Waste Heat Recover'!A24,工业节能技术装备推荐目录!F:F,'Cogeneration&amp;Waste Heat Recover'!$A$1,工业节能技术装备推荐目录!A:A,"2022")</f>
        <v>0</v>
      </c>
      <c r="Q24" s="73">
        <f>SUMIFS(工业节能技术装备推荐目录!K:K,工业节能技术装备推荐目录!D:D,'Cogeneration&amp;Waste Heat Recover'!A24,工业节能技术装备推荐目录!F:F,'Cogeneration&amp;Waste Heat Recover'!$A$1,工业节能技术装备推荐目录!A:A,"2020")+SUMIFS(工业节能技术装备推荐目录!K:K,工业节能技术装备推荐目录!D:D,'Cogeneration&amp;Waste Heat Recover'!A24,工业节能技术装备推荐目录!F:F,'Cogeneration&amp;Waste Heat Recover'!$A$1,工业节能技术装备推荐目录!A:A,"2021")+SUMIFS(工业节能技术装备推荐目录!K:K,工业节能技术装备推荐目录!D:D,'Cogeneration&amp;Waste Heat Recover'!A24,工业节能技术装备推荐目录!F:F,'Cogeneration&amp;Waste Heat Recover'!$A$1,工业节能技术装备推荐目录!A:A,"2022")</f>
        <v>0</v>
      </c>
      <c r="R24" s="73">
        <f>SUMIFS(工业节能技术装备推荐目录!K:K,工业节能技术装备推荐目录!D:D,'Cogeneration&amp;Waste Heat Recover'!A24,工业节能技术装备推荐目录!F:F,'Cogeneration&amp;Waste Heat Recover'!$A$1,工业节能技术装备推荐目录!A:A,"2020")+SUMIFS(工业节能技术装备推荐目录!K:K,工业节能技术装备推荐目录!D:D,'Cogeneration&amp;Waste Heat Recover'!A24,工业节能技术装备推荐目录!F:F,'Cogeneration&amp;Waste Heat Recover'!$A$1,工业节能技术装备推荐目录!A:A,"2022")</f>
        <v>0</v>
      </c>
      <c r="S24" s="73">
        <f>SUMIFS(工业节能技术装备推荐目录!K:K,工业节能技术装备推荐目录!D:D,'Cogeneration&amp;Waste Heat Recover'!A24,工业节能技术装备推荐目录!F:F,'Cogeneration&amp;Waste Heat Recover'!$A$1,工业节能技术装备推荐目录!A:A,"2022")</f>
        <v>0</v>
      </c>
      <c r="T24" s="73">
        <f>SUMIFS(工业节能技术装备推荐目录!K:K,工业节能技术装备推荐目录!D:D,'Cogeneration&amp;Waste Heat Recover'!A24,工业节能技术装备推荐目录!F:F,'Cogeneration&amp;Waste Heat Recover'!$A$1,工业节能技术装备推荐目录!A:A,"2022")</f>
        <v>0</v>
      </c>
    </row>
    <row r="25" spans="1:20" x14ac:dyDescent="0.15">
      <c r="A25" s="26" t="s">
        <v>76</v>
      </c>
      <c r="B25" s="50">
        <f>SUMIFS(工业节能技术装备推荐目录!L:L,工业节能技术装备推荐目录!D:D,'Cogeneration&amp;Waste Heat Recover'!A25,工业节能技术装备推荐目录!F:F,'Cogeneration&amp;Waste Heat Recover'!$A$1)+SUMIFS(用能设备节能分配!R:R,用能设备节能分配!O:O,'Cogeneration&amp;Waste Heat Recover'!A25,用能设备节能分配!P:P,'Cogeneration&amp;Waste Heat Recover'!$A$1)</f>
        <v>0</v>
      </c>
      <c r="C25" s="73">
        <f>SUMIFS(工业节能技术装备推荐目录!K:K,工业节能技术装备推荐目录!D:D,'Cogeneration&amp;Waste Heat Recover'!A25,工业节能技术装备推荐目录!F:F,'Cogeneration&amp;Waste Heat Recover'!$A$1,工业节能技术装备推荐目录!A:A,"2020")+SUMIFS(用能设备节能分配!Q:Q,用能设备节能分配!O:O,'Cogeneration&amp;Waste Heat Recover'!A25,用能设备节能分配!P:P,'Cogeneration&amp;Waste Heat Recover'!$A$1,用能设备节能分配!M:M,"2020")</f>
        <v>0</v>
      </c>
      <c r="D25" s="73">
        <f>SUMIFS(工业节能技术装备推荐目录!K:K,工业节能技术装备推荐目录!D:D,'Cogeneration&amp;Waste Heat Recover'!A25,工业节能技术装备推荐目录!F:F,'Cogeneration&amp;Waste Heat Recover'!$A$1,工业节能技术装备推荐目录!A:A,"2020")+SUMIFS(用能设备节能分配!Q:Q,用能设备节能分配!O:O,'Cogeneration&amp;Waste Heat Recover'!A25,用能设备节能分配!P:P,'Cogeneration&amp;Waste Heat Recover'!$A$1,用能设备节能分配!M:M,"2020")+SUMIFS(工业节能技术装备推荐目录!K:K,工业节能技术装备推荐目录!D:D,'Cogeneration&amp;Waste Heat Recover'!A25,工业节能技术装备推荐目录!F:F,'Cogeneration&amp;Waste Heat Recover'!$A$1,工业节能技术装备推荐目录!A:A,"2021")+SUMIFS(用能设备节能分配!Q:Q,用能设备节能分配!O:O,'Cogeneration&amp;Waste Heat Recover'!A25,用能设备节能分配!P:P,'Cogeneration&amp;Waste Heat Recover'!$A$1,用能设备节能分配!M:M,"2021")</f>
        <v>0</v>
      </c>
      <c r="E25" s="73">
        <f>SUMIFS(工业节能技术装备推荐目录!K:K,工业节能技术装备推荐目录!D:D,'Cogeneration&amp;Waste Heat Recover'!A25,工业节能技术装备推荐目录!F:F,'Cogeneration&amp;Waste Heat Recover'!$A$1,工业节能技术装备推荐目录!A:A,"2020")+SUMIFS(用能设备节能分配!Q:Q,用能设备节能分配!O:O,'Cogeneration&amp;Waste Heat Recover'!A25,用能设备节能分配!P:P,'Cogeneration&amp;Waste Heat Recover'!$A$1,用能设备节能分配!M:M,"2020")+SUMIFS(工业节能技术装备推荐目录!K:K,工业节能技术装备推荐目录!D:D,'Cogeneration&amp;Waste Heat Recover'!A25,工业节能技术装备推荐目录!F:F,'Cogeneration&amp;Waste Heat Recover'!$A$1,工业节能技术装备推荐目录!A:A,"2021")+SUMIFS(用能设备节能分配!Q:Q,用能设备节能分配!O:O,'Cogeneration&amp;Waste Heat Recover'!A25,用能设备节能分配!P:P,'Cogeneration&amp;Waste Heat Recover'!$A$1,用能设备节能分配!M:M,"2021")+SUMIFS(工业节能技术装备推荐目录!K:K,工业节能技术装备推荐目录!D:D,'Cogeneration&amp;Waste Heat Recover'!A25,工业节能技术装备推荐目录!F:F,'Cogeneration&amp;Waste Heat Recover'!$A$1,工业节能技术装备推荐目录!A:A,"2022")+SUMIFS(用能设备节能分配!Q:Q,用能设备节能分配!O:O,'Cogeneration&amp;Waste Heat Recover'!A25,用能设备节能分配!P:P,'Cogeneration&amp;Waste Heat Recover'!$A$1,用能设备节能分配!M:M,"2022")</f>
        <v>0</v>
      </c>
      <c r="F25" s="73">
        <f>SUMIFS(工业节能技术装备推荐目录!K:K,工业节能技术装备推荐目录!D:D,'Cogeneration&amp;Waste Heat Recover'!A25,工业节能技术装备推荐目录!F:F,'Cogeneration&amp;Waste Heat Recover'!$A$1,工业节能技术装备推荐目录!A:A,"2020")+SUMIFS(用能设备节能分配!Q:Q,用能设备节能分配!O:O,'Cogeneration&amp;Waste Heat Recover'!A25,用能设备节能分配!P:P,'Cogeneration&amp;Waste Heat Recover'!$A$1,用能设备节能分配!M:M,"2020")+SUMIFS(工业节能技术装备推荐目录!K:K,工业节能技术装备推荐目录!D:D,'Cogeneration&amp;Waste Heat Recover'!A25,工业节能技术装备推荐目录!F:F,'Cogeneration&amp;Waste Heat Recover'!$A$1,工业节能技术装备推荐目录!A:A,"2021")+SUMIFS(用能设备节能分配!Q:Q,用能设备节能分配!O:O,'Cogeneration&amp;Waste Heat Recover'!A25,用能设备节能分配!P:P,'Cogeneration&amp;Waste Heat Recover'!$A$1,用能设备节能分配!M:M,"2021")+SUMIFS(工业节能技术装备推荐目录!K:K,工业节能技术装备推荐目录!D:D,'Cogeneration&amp;Waste Heat Recover'!A25,工业节能技术装备推荐目录!F:F,'Cogeneration&amp;Waste Heat Recover'!$A$1,工业节能技术装备推荐目录!A:A,"2022")+SUMIFS(用能设备节能分配!Q:Q,用能设备节能分配!O:O,'Cogeneration&amp;Waste Heat Recover'!A25,用能设备节能分配!P:P,'Cogeneration&amp;Waste Heat Recover'!$A$1,用能设备节能分配!M:M,"2022")</f>
        <v>0</v>
      </c>
      <c r="G25" s="73">
        <f>SUMIFS(工业节能技术装备推荐目录!K:K,工业节能技术装备推荐目录!D:D,'Cogeneration&amp;Waste Heat Recover'!A25,工业节能技术装备推荐目录!F:F,'Cogeneration&amp;Waste Heat Recover'!$A$1,工业节能技术装备推荐目录!A:A,"2020")+SUMIFS(用能设备节能分配!Q:Q,用能设备节能分配!O:O,'Cogeneration&amp;Waste Heat Recover'!A25,用能设备节能分配!P:P,'Cogeneration&amp;Waste Heat Recover'!$A$1,用能设备节能分配!M:M,"2020")+SUMIFS(工业节能技术装备推荐目录!K:K,工业节能技术装备推荐目录!D:D,'Cogeneration&amp;Waste Heat Recover'!A25,工业节能技术装备推荐目录!F:F,'Cogeneration&amp;Waste Heat Recover'!$A$1,工业节能技术装备推荐目录!A:A,"2022")+SUMIFS(用能设备节能分配!Q:Q,用能设备节能分配!O:O,'Cogeneration&amp;Waste Heat Recover'!A25,用能设备节能分配!P:P,'Cogeneration&amp;Waste Heat Recover'!$A$1,用能设备节能分配!M:M,"2022")</f>
        <v>0</v>
      </c>
      <c r="H25" s="73">
        <f>SUMIFS(工业节能技术装备推荐目录!K:K,工业节能技术装备推荐目录!D:D,'Cogeneration&amp;Waste Heat Recover'!A25,工业节能技术装备推荐目录!F:F,'Cogeneration&amp;Waste Heat Recover'!$A$1,工业节能技术装备推荐目录!A:A,"2022")+SUMIFS(用能设备节能分配!Q:Q,用能设备节能分配!O:O,'Cogeneration&amp;Waste Heat Recover'!A25,用能设备节能分配!P:P,'Cogeneration&amp;Waste Heat Recover'!$A$1,用能设备节能分配!M:M,"2022")</f>
        <v>0</v>
      </c>
      <c r="I25" s="73">
        <f>SUMIFS(工业节能技术装备推荐目录!K:K,工业节能技术装备推荐目录!D:D,'Cogeneration&amp;Waste Heat Recover'!A25,工业节能技术装备推荐目录!F:F,'Cogeneration&amp;Waste Heat Recover'!$A$1,工业节能技术装备推荐目录!A:A,"2022")+SUMIFS(用能设备节能分配!Q:Q,用能设备节能分配!O:O,'Cogeneration&amp;Waste Heat Recover'!A25,用能设备节能分配!P:P,'Cogeneration&amp;Waste Heat Recover'!$A$1,用能设备节能分配!M:M,"2022")</f>
        <v>0</v>
      </c>
      <c r="K25" s="52"/>
      <c r="L25" s="26" t="s">
        <v>76</v>
      </c>
      <c r="M25" s="50">
        <f>SUMIFS(工业节能技术装备推荐目录!L:L,工业节能技术装备推荐目录!D:D,'Cogeneration&amp;Waste Heat Recover'!A25,工业节能技术装备推荐目录!F:F,'Cogeneration&amp;Waste Heat Recover'!$A$1)</f>
        <v>0</v>
      </c>
      <c r="N25" s="73">
        <f>SUMIFS(工业节能技术装备推荐目录!K:K,工业节能技术装备推荐目录!D:D,'Cogeneration&amp;Waste Heat Recover'!A25,工业节能技术装备推荐目录!F:F,'Cogeneration&amp;Waste Heat Recover'!$A$1,工业节能技术装备推荐目录!A:A,"2020")</f>
        <v>0</v>
      </c>
      <c r="O25" s="73">
        <f>SUMIFS(工业节能技术装备推荐目录!K:K,工业节能技术装备推荐目录!D:D,'Cogeneration&amp;Waste Heat Recover'!A25,工业节能技术装备推荐目录!F:F,'Cogeneration&amp;Waste Heat Recover'!$A$1,工业节能技术装备推荐目录!A:A,"2020")+SUMIFS(工业节能技术装备推荐目录!K:K,工业节能技术装备推荐目录!D:D,'Cogeneration&amp;Waste Heat Recover'!A25,工业节能技术装备推荐目录!F:F,'Cogeneration&amp;Waste Heat Recover'!$A$1,工业节能技术装备推荐目录!A:A,"2021")</f>
        <v>0</v>
      </c>
      <c r="P25" s="73">
        <f>SUMIFS(工业节能技术装备推荐目录!K:K,工业节能技术装备推荐目录!D:D,'Cogeneration&amp;Waste Heat Recover'!A25,工业节能技术装备推荐目录!F:F,'Cogeneration&amp;Waste Heat Recover'!$A$1,工业节能技术装备推荐目录!A:A,"2020")+SUMIFS(工业节能技术装备推荐目录!K:K,工业节能技术装备推荐目录!D:D,'Cogeneration&amp;Waste Heat Recover'!A25,工业节能技术装备推荐目录!F:F,'Cogeneration&amp;Waste Heat Recover'!$A$1,工业节能技术装备推荐目录!A:A,"2021")+SUMIFS(工业节能技术装备推荐目录!K:K,工业节能技术装备推荐目录!D:D,'Cogeneration&amp;Waste Heat Recover'!A25,工业节能技术装备推荐目录!F:F,'Cogeneration&amp;Waste Heat Recover'!$A$1,工业节能技术装备推荐目录!A:A,"2022")</f>
        <v>0</v>
      </c>
      <c r="Q25" s="73">
        <f>SUMIFS(工业节能技术装备推荐目录!K:K,工业节能技术装备推荐目录!D:D,'Cogeneration&amp;Waste Heat Recover'!A25,工业节能技术装备推荐目录!F:F,'Cogeneration&amp;Waste Heat Recover'!$A$1,工业节能技术装备推荐目录!A:A,"2020")+SUMIFS(工业节能技术装备推荐目录!K:K,工业节能技术装备推荐目录!D:D,'Cogeneration&amp;Waste Heat Recover'!A25,工业节能技术装备推荐目录!F:F,'Cogeneration&amp;Waste Heat Recover'!$A$1,工业节能技术装备推荐目录!A:A,"2021")+SUMIFS(工业节能技术装备推荐目录!K:K,工业节能技术装备推荐目录!D:D,'Cogeneration&amp;Waste Heat Recover'!A25,工业节能技术装备推荐目录!F:F,'Cogeneration&amp;Waste Heat Recover'!$A$1,工业节能技术装备推荐目录!A:A,"2022")</f>
        <v>0</v>
      </c>
      <c r="R25" s="73">
        <f>SUMIFS(工业节能技术装备推荐目录!K:K,工业节能技术装备推荐目录!D:D,'Cogeneration&amp;Waste Heat Recover'!A25,工业节能技术装备推荐目录!F:F,'Cogeneration&amp;Waste Heat Recover'!$A$1,工业节能技术装备推荐目录!A:A,"2020")+SUMIFS(工业节能技术装备推荐目录!K:K,工业节能技术装备推荐目录!D:D,'Cogeneration&amp;Waste Heat Recover'!A25,工业节能技术装备推荐目录!F:F,'Cogeneration&amp;Waste Heat Recover'!$A$1,工业节能技术装备推荐目录!A:A,"2022")</f>
        <v>0</v>
      </c>
      <c r="S25" s="73">
        <f>SUMIFS(工业节能技术装备推荐目录!K:K,工业节能技术装备推荐目录!D:D,'Cogeneration&amp;Waste Heat Recover'!A25,工业节能技术装备推荐目录!F:F,'Cogeneration&amp;Waste Heat Recover'!$A$1,工业节能技术装备推荐目录!A:A,"2022")</f>
        <v>0</v>
      </c>
      <c r="T25" s="73">
        <f>SUMIFS(工业节能技术装备推荐目录!K:K,工业节能技术装备推荐目录!D:D,'Cogeneration&amp;Waste Heat Recover'!A25,工业节能技术装备推荐目录!F:F,'Cogeneration&amp;Waste Heat Recover'!$A$1,工业节能技术装备推荐目录!A:A,"2022")</f>
        <v>0</v>
      </c>
    </row>
    <row r="26" spans="1:20" x14ac:dyDescent="0.15">
      <c r="A26" s="26" t="s">
        <v>83</v>
      </c>
      <c r="B26" s="50">
        <f>SUMIFS(工业节能技术装备推荐目录!L:L,工业节能技术装备推荐目录!D:D,'Cogeneration&amp;Waste Heat Recover'!A26,工业节能技术装备推荐目录!F:F,'Cogeneration&amp;Waste Heat Recover'!$A$1)+SUMIFS(用能设备节能分配!R:R,用能设备节能分配!O:O,'Cogeneration&amp;Waste Heat Recover'!A26,用能设备节能分配!P:P,'Cogeneration&amp;Waste Heat Recover'!$A$1)</f>
        <v>33.333333333333329</v>
      </c>
      <c r="C26" s="73">
        <f>SUMIFS(工业节能技术装备推荐目录!K:K,工业节能技术装备推荐目录!D:D,'Cogeneration&amp;Waste Heat Recover'!A26,工业节能技术装备推荐目录!F:F,'Cogeneration&amp;Waste Heat Recover'!$A$1,工业节能技术装备推荐目录!A:A,"2020")+SUMIFS(用能设备节能分配!Q:Q,用能设备节能分配!O:O,'Cogeneration&amp;Waste Heat Recover'!A26,用能设备节能分配!P:P,'Cogeneration&amp;Waste Heat Recover'!$A$1,用能设备节能分配!M:M,"2020")</f>
        <v>0</v>
      </c>
      <c r="D26" s="73">
        <f>SUMIFS(工业节能技术装备推荐目录!K:K,工业节能技术装备推荐目录!D:D,'Cogeneration&amp;Waste Heat Recover'!A26,工业节能技术装备推荐目录!F:F,'Cogeneration&amp;Waste Heat Recover'!$A$1,工业节能技术装备推荐目录!A:A,"2020")+SUMIFS(用能设备节能分配!Q:Q,用能设备节能分配!O:O,'Cogeneration&amp;Waste Heat Recover'!A26,用能设备节能分配!P:P,'Cogeneration&amp;Waste Heat Recover'!$A$1,用能设备节能分配!M:M,"2020")+SUMIFS(工业节能技术装备推荐目录!K:K,工业节能技术装备推荐目录!D:D,'Cogeneration&amp;Waste Heat Recover'!A26,工业节能技术装备推荐目录!F:F,'Cogeneration&amp;Waste Heat Recover'!$A$1,工业节能技术装备推荐目录!A:A,"2021")+SUMIFS(用能设备节能分配!Q:Q,用能设备节能分配!O:O,'Cogeneration&amp;Waste Heat Recover'!A26,用能设备节能分配!P:P,'Cogeneration&amp;Waste Heat Recover'!$A$1,用能设备节能分配!M:M,"2021")</f>
        <v>10</v>
      </c>
      <c r="E26" s="73">
        <f>SUMIFS(工业节能技术装备推荐目录!K:K,工业节能技术装备推荐目录!D:D,'Cogeneration&amp;Waste Heat Recover'!A26,工业节能技术装备推荐目录!F:F,'Cogeneration&amp;Waste Heat Recover'!$A$1,工业节能技术装备推荐目录!A:A,"2020")+SUMIFS(用能设备节能分配!Q:Q,用能设备节能分配!O:O,'Cogeneration&amp;Waste Heat Recover'!A26,用能设备节能分配!P:P,'Cogeneration&amp;Waste Heat Recover'!$A$1,用能设备节能分配!M:M,"2020")+SUMIFS(工业节能技术装备推荐目录!K:K,工业节能技术装备推荐目录!D:D,'Cogeneration&amp;Waste Heat Recover'!A26,工业节能技术装备推荐目录!F:F,'Cogeneration&amp;Waste Heat Recover'!$A$1,工业节能技术装备推荐目录!A:A,"2021")+SUMIFS(用能设备节能分配!Q:Q,用能设备节能分配!O:O,'Cogeneration&amp;Waste Heat Recover'!A26,用能设备节能分配!P:P,'Cogeneration&amp;Waste Heat Recover'!$A$1,用能设备节能分配!M:M,"2021")+SUMIFS(工业节能技术装备推荐目录!K:K,工业节能技术装备推荐目录!D:D,'Cogeneration&amp;Waste Heat Recover'!A26,工业节能技术装备推荐目录!F:F,'Cogeneration&amp;Waste Heat Recover'!$A$1,工业节能技术装备推荐目录!A:A,"2022")+SUMIFS(用能设备节能分配!Q:Q,用能设备节能分配!O:O,'Cogeneration&amp;Waste Heat Recover'!A26,用能设备节能分配!P:P,'Cogeneration&amp;Waste Heat Recover'!$A$1,用能设备节能分配!M:M,"2022")</f>
        <v>10</v>
      </c>
      <c r="F26" s="73">
        <f>SUMIFS(工业节能技术装备推荐目录!K:K,工业节能技术装备推荐目录!D:D,'Cogeneration&amp;Waste Heat Recover'!A26,工业节能技术装备推荐目录!F:F,'Cogeneration&amp;Waste Heat Recover'!$A$1,工业节能技术装备推荐目录!A:A,"2020")+SUMIFS(用能设备节能分配!Q:Q,用能设备节能分配!O:O,'Cogeneration&amp;Waste Heat Recover'!A26,用能设备节能分配!P:P,'Cogeneration&amp;Waste Heat Recover'!$A$1,用能设备节能分配!M:M,"2020")+SUMIFS(工业节能技术装备推荐目录!K:K,工业节能技术装备推荐目录!D:D,'Cogeneration&amp;Waste Heat Recover'!A26,工业节能技术装备推荐目录!F:F,'Cogeneration&amp;Waste Heat Recover'!$A$1,工业节能技术装备推荐目录!A:A,"2021")+SUMIFS(用能设备节能分配!Q:Q,用能设备节能分配!O:O,'Cogeneration&amp;Waste Heat Recover'!A26,用能设备节能分配!P:P,'Cogeneration&amp;Waste Heat Recover'!$A$1,用能设备节能分配!M:M,"2021")+SUMIFS(工业节能技术装备推荐目录!K:K,工业节能技术装备推荐目录!D:D,'Cogeneration&amp;Waste Heat Recover'!A26,工业节能技术装备推荐目录!F:F,'Cogeneration&amp;Waste Heat Recover'!$A$1,工业节能技术装备推荐目录!A:A,"2022")+SUMIFS(用能设备节能分配!Q:Q,用能设备节能分配!O:O,'Cogeneration&amp;Waste Heat Recover'!A26,用能设备节能分配!P:P,'Cogeneration&amp;Waste Heat Recover'!$A$1,用能设备节能分配!M:M,"2022")</f>
        <v>10</v>
      </c>
      <c r="G26" s="73">
        <f>SUMIFS(工业节能技术装备推荐目录!K:K,工业节能技术装备推荐目录!D:D,'Cogeneration&amp;Waste Heat Recover'!A26,工业节能技术装备推荐目录!F:F,'Cogeneration&amp;Waste Heat Recover'!$A$1,工业节能技术装备推荐目录!A:A,"2020")+SUMIFS(用能设备节能分配!Q:Q,用能设备节能分配!O:O,'Cogeneration&amp;Waste Heat Recover'!A26,用能设备节能分配!P:P,'Cogeneration&amp;Waste Heat Recover'!$A$1,用能设备节能分配!M:M,"2020")+SUMIFS(工业节能技术装备推荐目录!K:K,工业节能技术装备推荐目录!D:D,'Cogeneration&amp;Waste Heat Recover'!A26,工业节能技术装备推荐目录!F:F,'Cogeneration&amp;Waste Heat Recover'!$A$1,工业节能技术装备推荐目录!A:A,"2022")+SUMIFS(用能设备节能分配!Q:Q,用能设备节能分配!O:O,'Cogeneration&amp;Waste Heat Recover'!A26,用能设备节能分配!P:P,'Cogeneration&amp;Waste Heat Recover'!$A$1,用能设备节能分配!M:M,"2022")</f>
        <v>0</v>
      </c>
      <c r="H26" s="73">
        <f>SUMIFS(工业节能技术装备推荐目录!K:K,工业节能技术装备推荐目录!D:D,'Cogeneration&amp;Waste Heat Recover'!A26,工业节能技术装备推荐目录!F:F,'Cogeneration&amp;Waste Heat Recover'!$A$1,工业节能技术装备推荐目录!A:A,"2022")+SUMIFS(用能设备节能分配!Q:Q,用能设备节能分配!O:O,'Cogeneration&amp;Waste Heat Recover'!A26,用能设备节能分配!P:P,'Cogeneration&amp;Waste Heat Recover'!$A$1,用能设备节能分配!M:M,"2022")</f>
        <v>0</v>
      </c>
      <c r="I26" s="73">
        <f>SUMIFS(工业节能技术装备推荐目录!K:K,工业节能技术装备推荐目录!D:D,'Cogeneration&amp;Waste Heat Recover'!A26,工业节能技术装备推荐目录!F:F,'Cogeneration&amp;Waste Heat Recover'!$A$1,工业节能技术装备推荐目录!A:A,"2022")+SUMIFS(用能设备节能分配!Q:Q,用能设备节能分配!O:O,'Cogeneration&amp;Waste Heat Recover'!A26,用能设备节能分配!P:P,'Cogeneration&amp;Waste Heat Recover'!$A$1,用能设备节能分配!M:M,"2022")</f>
        <v>0</v>
      </c>
      <c r="K26" s="52"/>
      <c r="L26" s="26" t="s">
        <v>83</v>
      </c>
      <c r="M26" s="50">
        <f>SUMIFS(工业节能技术装备推荐目录!L:L,工业节能技术装备推荐目录!D:D,'Cogeneration&amp;Waste Heat Recover'!A26,工业节能技术装备推荐目录!F:F,'Cogeneration&amp;Waste Heat Recover'!$A$1)</f>
        <v>33.333333333333329</v>
      </c>
      <c r="N26" s="73">
        <f>SUMIFS(工业节能技术装备推荐目录!K:K,工业节能技术装备推荐目录!D:D,'Cogeneration&amp;Waste Heat Recover'!A26,工业节能技术装备推荐目录!F:F,'Cogeneration&amp;Waste Heat Recover'!$A$1,工业节能技术装备推荐目录!A:A,"2020")</f>
        <v>0</v>
      </c>
      <c r="O26" s="73">
        <f>SUMIFS(工业节能技术装备推荐目录!K:K,工业节能技术装备推荐目录!D:D,'Cogeneration&amp;Waste Heat Recover'!A26,工业节能技术装备推荐目录!F:F,'Cogeneration&amp;Waste Heat Recover'!$A$1,工业节能技术装备推荐目录!A:A,"2020")+SUMIFS(工业节能技术装备推荐目录!K:K,工业节能技术装备推荐目录!D:D,'Cogeneration&amp;Waste Heat Recover'!A26,工业节能技术装备推荐目录!F:F,'Cogeneration&amp;Waste Heat Recover'!$A$1,工业节能技术装备推荐目录!A:A,"2021")</f>
        <v>10</v>
      </c>
      <c r="P26" s="73">
        <f>SUMIFS(工业节能技术装备推荐目录!K:K,工业节能技术装备推荐目录!D:D,'Cogeneration&amp;Waste Heat Recover'!A26,工业节能技术装备推荐目录!F:F,'Cogeneration&amp;Waste Heat Recover'!$A$1,工业节能技术装备推荐目录!A:A,"2020")+SUMIFS(工业节能技术装备推荐目录!K:K,工业节能技术装备推荐目录!D:D,'Cogeneration&amp;Waste Heat Recover'!A26,工业节能技术装备推荐目录!F:F,'Cogeneration&amp;Waste Heat Recover'!$A$1,工业节能技术装备推荐目录!A:A,"2021")+SUMIFS(工业节能技术装备推荐目录!K:K,工业节能技术装备推荐目录!D:D,'Cogeneration&amp;Waste Heat Recover'!A26,工业节能技术装备推荐目录!F:F,'Cogeneration&amp;Waste Heat Recover'!$A$1,工业节能技术装备推荐目录!A:A,"2022")</f>
        <v>10</v>
      </c>
      <c r="Q26" s="73">
        <f>SUMIFS(工业节能技术装备推荐目录!K:K,工业节能技术装备推荐目录!D:D,'Cogeneration&amp;Waste Heat Recover'!A26,工业节能技术装备推荐目录!F:F,'Cogeneration&amp;Waste Heat Recover'!$A$1,工业节能技术装备推荐目录!A:A,"2020")+SUMIFS(工业节能技术装备推荐目录!K:K,工业节能技术装备推荐目录!D:D,'Cogeneration&amp;Waste Heat Recover'!A26,工业节能技术装备推荐目录!F:F,'Cogeneration&amp;Waste Heat Recover'!$A$1,工业节能技术装备推荐目录!A:A,"2021")+SUMIFS(工业节能技术装备推荐目录!K:K,工业节能技术装备推荐目录!D:D,'Cogeneration&amp;Waste Heat Recover'!A26,工业节能技术装备推荐目录!F:F,'Cogeneration&amp;Waste Heat Recover'!$A$1,工业节能技术装备推荐目录!A:A,"2022")</f>
        <v>10</v>
      </c>
      <c r="R26" s="73">
        <f>SUMIFS(工业节能技术装备推荐目录!K:K,工业节能技术装备推荐目录!D:D,'Cogeneration&amp;Waste Heat Recover'!A26,工业节能技术装备推荐目录!F:F,'Cogeneration&amp;Waste Heat Recover'!$A$1,工业节能技术装备推荐目录!A:A,"2020")+SUMIFS(工业节能技术装备推荐目录!K:K,工业节能技术装备推荐目录!D:D,'Cogeneration&amp;Waste Heat Recover'!A26,工业节能技术装备推荐目录!F:F,'Cogeneration&amp;Waste Heat Recover'!$A$1,工业节能技术装备推荐目录!A:A,"2022")</f>
        <v>0</v>
      </c>
      <c r="S26" s="73">
        <f>SUMIFS(工业节能技术装备推荐目录!K:K,工业节能技术装备推荐目录!D:D,'Cogeneration&amp;Waste Heat Recover'!A26,工业节能技术装备推荐目录!F:F,'Cogeneration&amp;Waste Heat Recover'!$A$1,工业节能技术装备推荐目录!A:A,"2022")</f>
        <v>0</v>
      </c>
      <c r="T26" s="73">
        <f>SUMIFS(工业节能技术装备推荐目录!K:K,工业节能技术装备推荐目录!D:D,'Cogeneration&amp;Waste Heat Recover'!A26,工业节能技术装备推荐目录!F:F,'Cogeneration&amp;Waste Heat Recover'!$A$1,工业节能技术装备推荐目录!A:A,"2022")</f>
        <v>0</v>
      </c>
    </row>
    <row r="27" spans="1:20" x14ac:dyDescent="0.15">
      <c r="A27" s="26" t="s">
        <v>55</v>
      </c>
      <c r="B27" s="50">
        <f>SUMIFS(工业节能技术装备推荐目录!L:L,工业节能技术装备推荐目录!D:D,'Cogeneration&amp;Waste Heat Recover'!A27,工业节能技术装备推荐目录!F:F,'Cogeneration&amp;Waste Heat Recover'!$A$1)+SUMIFS(用能设备节能分配!R:R,用能设备节能分配!O:O,'Cogeneration&amp;Waste Heat Recover'!A27,用能设备节能分配!P:P,'Cogeneration&amp;Waste Heat Recover'!$A$1)</f>
        <v>0</v>
      </c>
      <c r="C27" s="73">
        <f>SUMIFS(工业节能技术装备推荐目录!K:K,工业节能技术装备推荐目录!D:D,'Cogeneration&amp;Waste Heat Recover'!A27,工业节能技术装备推荐目录!F:F,'Cogeneration&amp;Waste Heat Recover'!$A$1,工业节能技术装备推荐目录!A:A,"2020")+SUMIFS(用能设备节能分配!Q:Q,用能设备节能分配!O:O,'Cogeneration&amp;Waste Heat Recover'!A27,用能设备节能分配!P:P,'Cogeneration&amp;Waste Heat Recover'!$A$1,用能设备节能分配!M:M,"2020")</f>
        <v>0</v>
      </c>
      <c r="D27" s="73">
        <f>SUMIFS(工业节能技术装备推荐目录!K:K,工业节能技术装备推荐目录!D:D,'Cogeneration&amp;Waste Heat Recover'!A27,工业节能技术装备推荐目录!F:F,'Cogeneration&amp;Waste Heat Recover'!$A$1,工业节能技术装备推荐目录!A:A,"2020")+SUMIFS(用能设备节能分配!Q:Q,用能设备节能分配!O:O,'Cogeneration&amp;Waste Heat Recover'!A27,用能设备节能分配!P:P,'Cogeneration&amp;Waste Heat Recover'!$A$1,用能设备节能分配!M:M,"2020")+SUMIFS(工业节能技术装备推荐目录!K:K,工业节能技术装备推荐目录!D:D,'Cogeneration&amp;Waste Heat Recover'!A27,工业节能技术装备推荐目录!F:F,'Cogeneration&amp;Waste Heat Recover'!$A$1,工业节能技术装备推荐目录!A:A,"2021")+SUMIFS(用能设备节能分配!Q:Q,用能设备节能分配!O:O,'Cogeneration&amp;Waste Heat Recover'!A27,用能设备节能分配!P:P,'Cogeneration&amp;Waste Heat Recover'!$A$1,用能设备节能分配!M:M,"2021")</f>
        <v>0</v>
      </c>
      <c r="E27" s="73">
        <f>SUMIFS(工业节能技术装备推荐目录!K:K,工业节能技术装备推荐目录!D:D,'Cogeneration&amp;Waste Heat Recover'!A27,工业节能技术装备推荐目录!F:F,'Cogeneration&amp;Waste Heat Recover'!$A$1,工业节能技术装备推荐目录!A:A,"2020")+SUMIFS(用能设备节能分配!Q:Q,用能设备节能分配!O:O,'Cogeneration&amp;Waste Heat Recover'!A27,用能设备节能分配!P:P,'Cogeneration&amp;Waste Heat Recover'!$A$1,用能设备节能分配!M:M,"2020")+SUMIFS(工业节能技术装备推荐目录!K:K,工业节能技术装备推荐目录!D:D,'Cogeneration&amp;Waste Heat Recover'!A27,工业节能技术装备推荐目录!F:F,'Cogeneration&amp;Waste Heat Recover'!$A$1,工业节能技术装备推荐目录!A:A,"2021")+SUMIFS(用能设备节能分配!Q:Q,用能设备节能分配!O:O,'Cogeneration&amp;Waste Heat Recover'!A27,用能设备节能分配!P:P,'Cogeneration&amp;Waste Heat Recover'!$A$1,用能设备节能分配!M:M,"2021")+SUMIFS(工业节能技术装备推荐目录!K:K,工业节能技术装备推荐目录!D:D,'Cogeneration&amp;Waste Heat Recover'!A27,工业节能技术装备推荐目录!F:F,'Cogeneration&amp;Waste Heat Recover'!$A$1,工业节能技术装备推荐目录!A:A,"2022")+SUMIFS(用能设备节能分配!Q:Q,用能设备节能分配!O:O,'Cogeneration&amp;Waste Heat Recover'!A27,用能设备节能分配!P:P,'Cogeneration&amp;Waste Heat Recover'!$A$1,用能设备节能分配!M:M,"2022")</f>
        <v>0</v>
      </c>
      <c r="F27" s="73">
        <f>SUMIFS(工业节能技术装备推荐目录!K:K,工业节能技术装备推荐目录!D:D,'Cogeneration&amp;Waste Heat Recover'!A27,工业节能技术装备推荐目录!F:F,'Cogeneration&amp;Waste Heat Recover'!$A$1,工业节能技术装备推荐目录!A:A,"2020")+SUMIFS(用能设备节能分配!Q:Q,用能设备节能分配!O:O,'Cogeneration&amp;Waste Heat Recover'!A27,用能设备节能分配!P:P,'Cogeneration&amp;Waste Heat Recover'!$A$1,用能设备节能分配!M:M,"2020")+SUMIFS(工业节能技术装备推荐目录!K:K,工业节能技术装备推荐目录!D:D,'Cogeneration&amp;Waste Heat Recover'!A27,工业节能技术装备推荐目录!F:F,'Cogeneration&amp;Waste Heat Recover'!$A$1,工业节能技术装备推荐目录!A:A,"2021")+SUMIFS(用能设备节能分配!Q:Q,用能设备节能分配!O:O,'Cogeneration&amp;Waste Heat Recover'!A27,用能设备节能分配!P:P,'Cogeneration&amp;Waste Heat Recover'!$A$1,用能设备节能分配!M:M,"2021")+SUMIFS(工业节能技术装备推荐目录!K:K,工业节能技术装备推荐目录!D:D,'Cogeneration&amp;Waste Heat Recover'!A27,工业节能技术装备推荐目录!F:F,'Cogeneration&amp;Waste Heat Recover'!$A$1,工业节能技术装备推荐目录!A:A,"2022")+SUMIFS(用能设备节能分配!Q:Q,用能设备节能分配!O:O,'Cogeneration&amp;Waste Heat Recover'!A27,用能设备节能分配!P:P,'Cogeneration&amp;Waste Heat Recover'!$A$1,用能设备节能分配!M:M,"2022")</f>
        <v>0</v>
      </c>
      <c r="G27" s="73">
        <f>SUMIFS(工业节能技术装备推荐目录!K:K,工业节能技术装备推荐目录!D:D,'Cogeneration&amp;Waste Heat Recover'!A27,工业节能技术装备推荐目录!F:F,'Cogeneration&amp;Waste Heat Recover'!$A$1,工业节能技术装备推荐目录!A:A,"2020")+SUMIFS(用能设备节能分配!Q:Q,用能设备节能分配!O:O,'Cogeneration&amp;Waste Heat Recover'!A27,用能设备节能分配!P:P,'Cogeneration&amp;Waste Heat Recover'!$A$1,用能设备节能分配!M:M,"2020")+SUMIFS(工业节能技术装备推荐目录!K:K,工业节能技术装备推荐目录!D:D,'Cogeneration&amp;Waste Heat Recover'!A27,工业节能技术装备推荐目录!F:F,'Cogeneration&amp;Waste Heat Recover'!$A$1,工业节能技术装备推荐目录!A:A,"2022")+SUMIFS(用能设备节能分配!Q:Q,用能设备节能分配!O:O,'Cogeneration&amp;Waste Heat Recover'!A27,用能设备节能分配!P:P,'Cogeneration&amp;Waste Heat Recover'!$A$1,用能设备节能分配!M:M,"2022")</f>
        <v>0</v>
      </c>
      <c r="H27" s="73">
        <f>SUMIFS(工业节能技术装备推荐目录!K:K,工业节能技术装备推荐目录!D:D,'Cogeneration&amp;Waste Heat Recover'!A27,工业节能技术装备推荐目录!F:F,'Cogeneration&amp;Waste Heat Recover'!$A$1,工业节能技术装备推荐目录!A:A,"2022")+SUMIFS(用能设备节能分配!Q:Q,用能设备节能分配!O:O,'Cogeneration&amp;Waste Heat Recover'!A27,用能设备节能分配!P:P,'Cogeneration&amp;Waste Heat Recover'!$A$1,用能设备节能分配!M:M,"2022")</f>
        <v>0</v>
      </c>
      <c r="I27" s="73">
        <f>SUMIFS(工业节能技术装备推荐目录!K:K,工业节能技术装备推荐目录!D:D,'Cogeneration&amp;Waste Heat Recover'!A27,工业节能技术装备推荐目录!F:F,'Cogeneration&amp;Waste Heat Recover'!$A$1,工业节能技术装备推荐目录!A:A,"2022")+SUMIFS(用能设备节能分配!Q:Q,用能设备节能分配!O:O,'Cogeneration&amp;Waste Heat Recover'!A27,用能设备节能分配!P:P,'Cogeneration&amp;Waste Heat Recover'!$A$1,用能设备节能分配!M:M,"2022")</f>
        <v>0</v>
      </c>
      <c r="K27" s="52"/>
      <c r="L27" s="26" t="s">
        <v>55</v>
      </c>
      <c r="M27" s="50">
        <f>SUMIFS(工业节能技术装备推荐目录!L:L,工业节能技术装备推荐目录!D:D,'Cogeneration&amp;Waste Heat Recover'!A27,工业节能技术装备推荐目录!F:F,'Cogeneration&amp;Waste Heat Recover'!$A$1)</f>
        <v>0</v>
      </c>
      <c r="N27" s="73">
        <f>SUMIFS(工业节能技术装备推荐目录!K:K,工业节能技术装备推荐目录!D:D,'Cogeneration&amp;Waste Heat Recover'!A27,工业节能技术装备推荐目录!F:F,'Cogeneration&amp;Waste Heat Recover'!$A$1,工业节能技术装备推荐目录!A:A,"2020")</f>
        <v>0</v>
      </c>
      <c r="O27" s="73">
        <f>SUMIFS(工业节能技术装备推荐目录!K:K,工业节能技术装备推荐目录!D:D,'Cogeneration&amp;Waste Heat Recover'!A27,工业节能技术装备推荐目录!F:F,'Cogeneration&amp;Waste Heat Recover'!$A$1,工业节能技术装备推荐目录!A:A,"2020")+SUMIFS(工业节能技术装备推荐目录!K:K,工业节能技术装备推荐目录!D:D,'Cogeneration&amp;Waste Heat Recover'!A27,工业节能技术装备推荐目录!F:F,'Cogeneration&amp;Waste Heat Recover'!$A$1,工业节能技术装备推荐目录!A:A,"2021")</f>
        <v>0</v>
      </c>
      <c r="P27" s="73">
        <f>SUMIFS(工业节能技术装备推荐目录!K:K,工业节能技术装备推荐目录!D:D,'Cogeneration&amp;Waste Heat Recover'!A27,工业节能技术装备推荐目录!F:F,'Cogeneration&amp;Waste Heat Recover'!$A$1,工业节能技术装备推荐目录!A:A,"2020")+SUMIFS(工业节能技术装备推荐目录!K:K,工业节能技术装备推荐目录!D:D,'Cogeneration&amp;Waste Heat Recover'!A27,工业节能技术装备推荐目录!F:F,'Cogeneration&amp;Waste Heat Recover'!$A$1,工业节能技术装备推荐目录!A:A,"2021")+SUMIFS(工业节能技术装备推荐目录!K:K,工业节能技术装备推荐目录!D:D,'Cogeneration&amp;Waste Heat Recover'!A27,工业节能技术装备推荐目录!F:F,'Cogeneration&amp;Waste Heat Recover'!$A$1,工业节能技术装备推荐目录!A:A,"2022")</f>
        <v>0</v>
      </c>
      <c r="Q27" s="73">
        <f>SUMIFS(工业节能技术装备推荐目录!K:K,工业节能技术装备推荐目录!D:D,'Cogeneration&amp;Waste Heat Recover'!A27,工业节能技术装备推荐目录!F:F,'Cogeneration&amp;Waste Heat Recover'!$A$1,工业节能技术装备推荐目录!A:A,"2020")+SUMIFS(工业节能技术装备推荐目录!K:K,工业节能技术装备推荐目录!D:D,'Cogeneration&amp;Waste Heat Recover'!A27,工业节能技术装备推荐目录!F:F,'Cogeneration&amp;Waste Heat Recover'!$A$1,工业节能技术装备推荐目录!A:A,"2021")+SUMIFS(工业节能技术装备推荐目录!K:K,工业节能技术装备推荐目录!D:D,'Cogeneration&amp;Waste Heat Recover'!A27,工业节能技术装备推荐目录!F:F,'Cogeneration&amp;Waste Heat Recover'!$A$1,工业节能技术装备推荐目录!A:A,"2022")</f>
        <v>0</v>
      </c>
      <c r="R27" s="73">
        <f>SUMIFS(工业节能技术装备推荐目录!K:K,工业节能技术装备推荐目录!D:D,'Cogeneration&amp;Waste Heat Recover'!A27,工业节能技术装备推荐目录!F:F,'Cogeneration&amp;Waste Heat Recover'!$A$1,工业节能技术装备推荐目录!A:A,"2020")+SUMIFS(工业节能技术装备推荐目录!K:K,工业节能技术装备推荐目录!D:D,'Cogeneration&amp;Waste Heat Recover'!A27,工业节能技术装备推荐目录!F:F,'Cogeneration&amp;Waste Heat Recover'!$A$1,工业节能技术装备推荐目录!A:A,"2022")</f>
        <v>0</v>
      </c>
      <c r="S27" s="73">
        <f>SUMIFS(工业节能技术装备推荐目录!K:K,工业节能技术装备推荐目录!D:D,'Cogeneration&amp;Waste Heat Recover'!A27,工业节能技术装备推荐目录!F:F,'Cogeneration&amp;Waste Heat Recover'!$A$1,工业节能技术装备推荐目录!A:A,"2022")</f>
        <v>0</v>
      </c>
      <c r="T27" s="73">
        <f>SUMIFS(工业节能技术装备推荐目录!K:K,工业节能技术装备推荐目录!D:D,'Cogeneration&amp;Waste Heat Recover'!A27,工业节能技术装备推荐目录!F:F,'Cogeneration&amp;Waste Heat Recover'!$A$1,工业节能技术装备推荐目录!A:A,"2022")</f>
        <v>0</v>
      </c>
    </row>
    <row r="28" spans="1:20" x14ac:dyDescent="0.15">
      <c r="A28" s="62" t="s">
        <v>444</v>
      </c>
      <c r="B28" s="63">
        <f>SUM(B3:B27)</f>
        <v>12856.181907302715</v>
      </c>
      <c r="C28" s="74">
        <f>SUM(C3:C27)</f>
        <v>105.19439268467453</v>
      </c>
      <c r="D28" s="74">
        <f t="shared" ref="D28:I28" si="0">SUM(D3:D27)</f>
        <v>263.67339268467458</v>
      </c>
      <c r="E28" s="74">
        <f t="shared" si="0"/>
        <v>690.76496037978256</v>
      </c>
      <c r="F28" s="74">
        <f t="shared" si="0"/>
        <v>690.76496037978256</v>
      </c>
      <c r="G28" s="74">
        <f t="shared" si="0"/>
        <v>532.28596037978264</v>
      </c>
      <c r="H28" s="74">
        <f t="shared" si="0"/>
        <v>427.0915676951081</v>
      </c>
      <c r="I28" s="74">
        <f t="shared" si="0"/>
        <v>427.0915676951081</v>
      </c>
      <c r="L28" s="62" t="s">
        <v>444</v>
      </c>
      <c r="M28" s="63">
        <f>SUM(M3:M27)</f>
        <v>11799.775981073191</v>
      </c>
      <c r="N28" s="74">
        <f>SUM(N3:N27)</f>
        <v>0</v>
      </c>
      <c r="O28" s="74">
        <f t="shared" ref="O28:T28" si="1">SUM(O3:O27)</f>
        <v>153.38</v>
      </c>
      <c r="P28" s="74">
        <f t="shared" si="1"/>
        <v>548.38</v>
      </c>
      <c r="Q28" s="74">
        <f t="shared" si="1"/>
        <v>548.38</v>
      </c>
      <c r="R28" s="74">
        <f t="shared" si="1"/>
        <v>395</v>
      </c>
      <c r="S28" s="74">
        <f t="shared" si="1"/>
        <v>395</v>
      </c>
      <c r="T28" s="74">
        <f t="shared" si="1"/>
        <v>395</v>
      </c>
    </row>
    <row r="31" spans="1:20" x14ac:dyDescent="0.15">
      <c r="A31" s="51" t="s">
        <v>103</v>
      </c>
      <c r="B31" s="51"/>
      <c r="C31" s="51"/>
      <c r="D31" s="51"/>
      <c r="E31" s="51"/>
      <c r="F31" s="51"/>
      <c r="G31" s="51"/>
      <c r="H31" s="51"/>
      <c r="I31" s="51"/>
    </row>
    <row r="32" spans="1:20" x14ac:dyDescent="0.15">
      <c r="A32" s="26" t="s">
        <v>384</v>
      </c>
      <c r="B32" s="46">
        <v>2060</v>
      </c>
      <c r="C32" s="20">
        <v>2021</v>
      </c>
      <c r="D32" s="20">
        <v>2022</v>
      </c>
      <c r="E32" s="20">
        <v>2023</v>
      </c>
      <c r="F32" s="20">
        <v>2024</v>
      </c>
      <c r="G32" s="20">
        <v>2025</v>
      </c>
      <c r="H32" s="20">
        <v>2026</v>
      </c>
      <c r="I32" s="20">
        <v>2027</v>
      </c>
    </row>
    <row r="33" spans="1:9" x14ac:dyDescent="0.15">
      <c r="A33" s="26" t="s">
        <v>99</v>
      </c>
      <c r="B33" s="59">
        <f>B3*$K$2/BIFUbC!AQ2</f>
        <v>0</v>
      </c>
      <c r="C33" s="59">
        <f>C3*$K$2/BIFUbC!D2</f>
        <v>0</v>
      </c>
      <c r="D33" s="59">
        <f>D3*$K$2/BIFUbC!E2</f>
        <v>0</v>
      </c>
      <c r="E33" s="59">
        <f>E3*$K$2/BIFUbC!F2</f>
        <v>0</v>
      </c>
      <c r="F33" s="59">
        <f>F3*$K$2/BIFUbC!G2</f>
        <v>0</v>
      </c>
      <c r="G33" s="59">
        <f>G3*$K$2/BIFUbC!H2</f>
        <v>0</v>
      </c>
      <c r="H33" s="59">
        <f>H3*$K$2/BIFUbC!I2</f>
        <v>0</v>
      </c>
      <c r="I33" s="59">
        <f>I3*$K$2/BIFUbC!J2</f>
        <v>0</v>
      </c>
    </row>
    <row r="34" spans="1:9" x14ac:dyDescent="0.15">
      <c r="A34" s="26" t="s">
        <v>35</v>
      </c>
      <c r="B34" s="59">
        <f>B4*$K$2/BIFUbC!AQ3</f>
        <v>0</v>
      </c>
      <c r="C34" s="75">
        <f>C4*$K$2/BIFUbC!D3</f>
        <v>0</v>
      </c>
      <c r="D34" s="75">
        <f>D4*$K$2/BIFUbC!E3</f>
        <v>0</v>
      </c>
      <c r="E34" s="75">
        <f>E4*$K$2/BIFUbC!F3</f>
        <v>0</v>
      </c>
      <c r="F34" s="75">
        <f>F4*$K$2/BIFUbC!G3</f>
        <v>0</v>
      </c>
      <c r="G34" s="75">
        <f>G4*$K$2/BIFUbC!H3</f>
        <v>0</v>
      </c>
      <c r="H34" s="75">
        <f>H4*$K$2/BIFUbC!I3</f>
        <v>0</v>
      </c>
      <c r="I34" s="75">
        <f>I4*$K$2/BIFUbC!J3</f>
        <v>0</v>
      </c>
    </row>
    <row r="35" spans="1:9" x14ac:dyDescent="0.15">
      <c r="A35" s="26" t="s">
        <v>67</v>
      </c>
      <c r="B35" s="59">
        <f>B5*$K$2/BIFUbC!AQ4</f>
        <v>0</v>
      </c>
      <c r="C35" s="75">
        <f>C5*$K$2/BIFUbC!D4</f>
        <v>0</v>
      </c>
      <c r="D35" s="75">
        <f>D5*$K$2/BIFUbC!E4</f>
        <v>0</v>
      </c>
      <c r="E35" s="75">
        <f>E5*$K$2/BIFUbC!F4</f>
        <v>0</v>
      </c>
      <c r="F35" s="75">
        <f>F5*$K$2/BIFUbC!G4</f>
        <v>0</v>
      </c>
      <c r="G35" s="75">
        <f>G5*$K$2/BIFUbC!H4</f>
        <v>0</v>
      </c>
      <c r="H35" s="75">
        <f>H5*$K$2/BIFUbC!I4</f>
        <v>0</v>
      </c>
      <c r="I35" s="75">
        <f>I5*$K$2/BIFUbC!J4</f>
        <v>0</v>
      </c>
    </row>
    <row r="36" spans="1:9" x14ac:dyDescent="0.15">
      <c r="A36" s="26" t="s">
        <v>100</v>
      </c>
      <c r="B36" s="59">
        <f>B6*$K$2/BIFUbC!AQ5</f>
        <v>0</v>
      </c>
      <c r="C36" s="75">
        <f>C6*$K$2/BIFUbC!D5</f>
        <v>0</v>
      </c>
      <c r="D36" s="75">
        <f>D6*$K$2/BIFUbC!E5</f>
        <v>0</v>
      </c>
      <c r="E36" s="75">
        <f>E6*$K$2/BIFUbC!F5</f>
        <v>0</v>
      </c>
      <c r="F36" s="75">
        <f>F6*$K$2/BIFUbC!G5</f>
        <v>0</v>
      </c>
      <c r="G36" s="75">
        <f>G6*$K$2/BIFUbC!H5</f>
        <v>0</v>
      </c>
      <c r="H36" s="75">
        <f>H6*$K$2/BIFUbC!I5</f>
        <v>0</v>
      </c>
      <c r="I36" s="75">
        <f>I6*$K$2/BIFUbC!J5</f>
        <v>0</v>
      </c>
    </row>
    <row r="37" spans="1:9" x14ac:dyDescent="0.15">
      <c r="A37" s="26" t="s">
        <v>101</v>
      </c>
      <c r="B37" s="59">
        <f>B7*$K$2/BIFUbC!AQ6</f>
        <v>2.1872281597333058E-3</v>
      </c>
      <c r="C37" s="75">
        <f>C7*$K$2/BIFUbC!D6</f>
        <v>3.0913852467377972E-4</v>
      </c>
      <c r="D37" s="75">
        <f>D7*$K$2/BIFUbC!E6</f>
        <v>2.9885405028861727E-4</v>
      </c>
      <c r="E37" s="75">
        <f>E7*$K$2/BIFUbC!F6</f>
        <v>3.8007909867322288E-4</v>
      </c>
      <c r="F37" s="75">
        <f>F7*$K$2/BIFUbC!G6</f>
        <v>3.7078769956523384E-4</v>
      </c>
      <c r="G37" s="75">
        <f>G7*$K$2/BIFUbC!H6</f>
        <v>3.5759258444664039E-4</v>
      </c>
      <c r="H37" s="75">
        <f>H7*$K$2/BIFUbC!I6</f>
        <v>8.3471847739615445E-5</v>
      </c>
      <c r="I37" s="75">
        <f>I7*$K$2/BIFUbC!J6</f>
        <v>8.0671062961201655E-5</v>
      </c>
    </row>
    <row r="38" spans="1:9" x14ac:dyDescent="0.15">
      <c r="A38" s="26" t="s">
        <v>72</v>
      </c>
      <c r="B38" s="59">
        <f>B8*$K$2/BIFUbC!AQ7</f>
        <v>3.7983259333391542E-2</v>
      </c>
      <c r="C38" s="75">
        <f>C8*$K$2/BIFUbC!D7</f>
        <v>3.25714374986989E-4</v>
      </c>
      <c r="D38" s="75">
        <f>D8*$K$2/BIFUbC!E7</f>
        <v>1.2397519607356346E-3</v>
      </c>
      <c r="E38" s="75">
        <f>E8*$K$2/BIFUbC!F7</f>
        <v>1.3064103344418111E-3</v>
      </c>
      <c r="F38" s="75">
        <f>F8*$K$2/BIFUbC!G7</f>
        <v>1.2955077865272591E-3</v>
      </c>
      <c r="G38" s="75">
        <f>G8*$K$2/BIFUbC!H7</f>
        <v>4.1284489581860749E-4</v>
      </c>
      <c r="H38" s="75">
        <f>H8*$K$2/BIFUbC!I7</f>
        <v>9.8419435938578145E-5</v>
      </c>
      <c r="I38" s="75">
        <f>I8*$K$2/BIFUbC!J7</f>
        <v>9.7119870258647524E-5</v>
      </c>
    </row>
    <row r="39" spans="1:9" x14ac:dyDescent="0.15">
      <c r="A39" s="26" t="s">
        <v>38</v>
      </c>
      <c r="B39" s="59">
        <f>B9*$K$2/BIFUbC!AQ8</f>
        <v>0</v>
      </c>
      <c r="C39" s="75">
        <f>C9*$K$2/BIFUbC!D8</f>
        <v>0</v>
      </c>
      <c r="D39" s="75">
        <f>D9*$K$2/BIFUbC!E8</f>
        <v>0</v>
      </c>
      <c r="E39" s="75">
        <f>E9*$K$2/BIFUbC!F8</f>
        <v>0</v>
      </c>
      <c r="F39" s="75">
        <f>F9*$K$2/BIFUbC!G8</f>
        <v>0</v>
      </c>
      <c r="G39" s="75">
        <f>G9*$K$2/BIFUbC!H8</f>
        <v>0</v>
      </c>
      <c r="H39" s="75">
        <f>H9*$K$2/BIFUbC!I8</f>
        <v>0</v>
      </c>
      <c r="I39" s="75">
        <f>I9*$K$2/BIFUbC!J8</f>
        <v>0</v>
      </c>
    </row>
    <row r="40" spans="1:9" x14ac:dyDescent="0.15">
      <c r="A40" s="26" t="s">
        <v>68</v>
      </c>
      <c r="B40" s="59">
        <f>B10*$K$2/BIFUbC!AQ9</f>
        <v>2.6158437742138324E-3</v>
      </c>
      <c r="C40" s="75">
        <f>C10*$K$2/BIFUbC!D9</f>
        <v>3.2286794029823154E-4</v>
      </c>
      <c r="D40" s="75">
        <f>D10*$K$2/BIFUbC!E9</f>
        <v>3.0586464183685226E-4</v>
      </c>
      <c r="E40" s="75">
        <f>E10*$K$2/BIFUbC!F9</f>
        <v>3.7351605477510649E-4</v>
      </c>
      <c r="F40" s="75">
        <f>F10*$K$2/BIFUbC!G9</f>
        <v>3.5762381574584278E-4</v>
      </c>
      <c r="G40" s="75">
        <f>G10*$K$2/BIFUbC!H9</f>
        <v>3.4129264074101703E-4</v>
      </c>
      <c r="H40" s="75">
        <f>H10*$K$2/BIFUbC!I9</f>
        <v>8.0402068294025946E-5</v>
      </c>
      <c r="I40" s="75">
        <f>I10*$K$2/BIFUbC!J9</f>
        <v>7.8381858341180637E-5</v>
      </c>
    </row>
    <row r="41" spans="1:9" x14ac:dyDescent="0.15">
      <c r="A41" s="26" t="s">
        <v>40</v>
      </c>
      <c r="B41" s="59">
        <f>B11*$K$2/BIFUbC!AQ10</f>
        <v>3.2096940856944131E-2</v>
      </c>
      <c r="C41" s="75">
        <f>C11*$K$2/BIFUbC!D10</f>
        <v>3.3244708856918745E-4</v>
      </c>
      <c r="D41" s="75">
        <f>D11*$K$2/BIFUbC!E10</f>
        <v>9.1468348819625069E-4</v>
      </c>
      <c r="E41" s="75">
        <f>E11*$K$2/BIFUbC!F10</f>
        <v>1.1429212833407223E-3</v>
      </c>
      <c r="F41" s="75">
        <f>F11*$K$2/BIFUbC!G10</f>
        <v>1.0837974002450288E-3</v>
      </c>
      <c r="G41" s="75">
        <f>G11*$K$2/BIFUbC!H10</f>
        <v>5.2006325454929123E-4</v>
      </c>
      <c r="H41" s="75">
        <f>H11*$K$2/BIFUbC!I10</f>
        <v>2.5064511080887263E-4</v>
      </c>
      <c r="I41" s="75">
        <f>I11*$K$2/BIFUbC!J10</f>
        <v>2.4531979751282881E-4</v>
      </c>
    </row>
    <row r="42" spans="1:9" x14ac:dyDescent="0.15">
      <c r="A42" s="26" t="s">
        <v>41</v>
      </c>
      <c r="B42" s="59">
        <f>B12*$K$2/BIFUbC!AQ11</f>
        <v>1.4522623183509515E-2</v>
      </c>
      <c r="C42" s="75">
        <f>C12*$K$2/BIFUbC!D11</f>
        <v>3.2664952010193101E-4</v>
      </c>
      <c r="D42" s="75">
        <f>D12*$K$2/BIFUbC!E11</f>
        <v>8.3978015460382197E-4</v>
      </c>
      <c r="E42" s="75">
        <f>E12*$K$2/BIFUbC!F11</f>
        <v>1.7655855212404053E-3</v>
      </c>
      <c r="F42" s="75">
        <f>F12*$K$2/BIFUbC!G11</f>
        <v>1.6607446659702187E-3</v>
      </c>
      <c r="G42" s="75">
        <f>G12*$K$2/BIFUbC!H11</f>
        <v>1.1280824758709788E-3</v>
      </c>
      <c r="H42" s="75">
        <f>H12*$K$2/BIFUbC!I11</f>
        <v>8.5572906419550303E-4</v>
      </c>
      <c r="I42" s="75">
        <f>I12*$K$2/BIFUbC!J11</f>
        <v>8.2648900144257438E-4</v>
      </c>
    </row>
    <row r="43" spans="1:9" x14ac:dyDescent="0.15">
      <c r="A43" s="26" t="s">
        <v>42</v>
      </c>
      <c r="B43" s="59">
        <f>B13*$K$2/BIFUbC!AQ12</f>
        <v>0</v>
      </c>
      <c r="C43" s="75">
        <f>C13*$K$2/BIFUbC!D12</f>
        <v>0</v>
      </c>
      <c r="D43" s="75">
        <f>D13*$K$2/BIFUbC!E12</f>
        <v>0</v>
      </c>
      <c r="E43" s="75">
        <f>E13*$K$2/BIFUbC!F12</f>
        <v>0</v>
      </c>
      <c r="F43" s="75">
        <f>F13*$K$2/BIFUbC!G12</f>
        <v>0</v>
      </c>
      <c r="G43" s="75">
        <f>G13*$K$2/BIFUbC!H12</f>
        <v>0</v>
      </c>
      <c r="H43" s="75">
        <f>H13*$K$2/BIFUbC!I12</f>
        <v>0</v>
      </c>
      <c r="I43" s="75">
        <f>I13*$K$2/BIFUbC!J12</f>
        <v>0</v>
      </c>
    </row>
    <row r="44" spans="1:9" x14ac:dyDescent="0.15">
      <c r="A44" s="26" t="s">
        <v>43</v>
      </c>
      <c r="B44" s="59">
        <f>B14*$K$2/BIFUbC!AQ13</f>
        <v>0</v>
      </c>
      <c r="C44" s="75">
        <f>C14*$K$2/BIFUbC!D13</f>
        <v>0</v>
      </c>
      <c r="D44" s="75">
        <f>D14*$K$2/BIFUbC!E13</f>
        <v>0</v>
      </c>
      <c r="E44" s="75">
        <f>E14*$K$2/BIFUbC!F13</f>
        <v>0</v>
      </c>
      <c r="F44" s="75">
        <f>F14*$K$2/BIFUbC!G13</f>
        <v>0</v>
      </c>
      <c r="G44" s="75">
        <f>G14*$K$2/BIFUbC!H13</f>
        <v>0</v>
      </c>
      <c r="H44" s="75">
        <f>H14*$K$2/BIFUbC!I13</f>
        <v>0</v>
      </c>
      <c r="I44" s="75">
        <f>I14*$K$2/BIFUbC!J13</f>
        <v>0</v>
      </c>
    </row>
    <row r="45" spans="1:9" x14ac:dyDescent="0.15">
      <c r="A45" s="26" t="s">
        <v>56</v>
      </c>
      <c r="B45" s="59">
        <f>B15*$K$2/BIFUbC!AQ14</f>
        <v>1.2984840607544476E-3</v>
      </c>
      <c r="C45" s="75">
        <f>C15*$K$2/BIFUbC!D14</f>
        <v>0</v>
      </c>
      <c r="D45" s="75">
        <f>D15*$K$2/BIFUbC!E14</f>
        <v>2.4044571920443921E-5</v>
      </c>
      <c r="E45" s="75">
        <f>E15*$K$2/BIFUbC!F14</f>
        <v>2.3176359198216818E-5</v>
      </c>
      <c r="F45" s="75">
        <f>F15*$K$2/BIFUbC!G14</f>
        <v>2.289371349311176E-5</v>
      </c>
      <c r="G45" s="75">
        <f>G15*$K$2/BIFUbC!H14</f>
        <v>0</v>
      </c>
      <c r="H45" s="75">
        <f>H15*$K$2/BIFUbC!I14</f>
        <v>0</v>
      </c>
      <c r="I45" s="75">
        <f>I15*$K$2/BIFUbC!J14</f>
        <v>0</v>
      </c>
    </row>
    <row r="46" spans="1:9" x14ac:dyDescent="0.15">
      <c r="A46" s="26" t="s">
        <v>45</v>
      </c>
      <c r="B46" s="59">
        <f>B16*$K$2/BIFUbC!AQ15</f>
        <v>0.12644384631021499</v>
      </c>
      <c r="C46" s="75">
        <f>C16*$K$2/BIFUbC!D15</f>
        <v>3.3560097130918231E-4</v>
      </c>
      <c r="D46" s="75">
        <f>D16*$K$2/BIFUbC!E15</f>
        <v>3.354353109368477E-4</v>
      </c>
      <c r="E46" s="75">
        <f>E16*$K$2/BIFUbC!F15</f>
        <v>3.9994785998121269E-3</v>
      </c>
      <c r="F46" s="75">
        <f>F16*$K$2/BIFUbC!G15</f>
        <v>3.8330664206945131E-3</v>
      </c>
      <c r="G46" s="75">
        <f>G16*$K$2/BIFUbC!H15</f>
        <v>3.6660033852254949E-3</v>
      </c>
      <c r="H46" s="75">
        <f>H16*$K$2/BIFUbC!I15</f>
        <v>3.32057781609093E-3</v>
      </c>
      <c r="I46" s="75">
        <f>I16*$K$2/BIFUbC!J15</f>
        <v>3.2508249414596466E-3</v>
      </c>
    </row>
    <row r="47" spans="1:9" x14ac:dyDescent="0.15">
      <c r="A47" s="26" t="s">
        <v>46</v>
      </c>
      <c r="B47" s="59">
        <f>B17*$K$2/BIFUbC!AQ16</f>
        <v>6.4873080692078825E-4</v>
      </c>
      <c r="C47" s="75">
        <f>C17*$K$2/BIFUbC!D16</f>
        <v>1.18444794080256E-4</v>
      </c>
      <c r="D47" s="75">
        <f>D17*$K$2/BIFUbC!E16</f>
        <v>1.2463502912498842E-4</v>
      </c>
      <c r="E47" s="75">
        <f>E17*$K$2/BIFUbC!F16</f>
        <v>1.1236403504775751E-4</v>
      </c>
      <c r="F47" s="75">
        <f>F17*$K$2/BIFUbC!G16</f>
        <v>1.0510782284709703E-4</v>
      </c>
      <c r="G47" s="75">
        <f>G17*$K$2/BIFUbC!H16</f>
        <v>8.6110643934456525E-5</v>
      </c>
      <c r="H47" s="75">
        <f>H17*$K$2/BIFUbC!I16</f>
        <v>0</v>
      </c>
      <c r="I47" s="75">
        <f>I17*$K$2/BIFUbC!J16</f>
        <v>0</v>
      </c>
    </row>
    <row r="48" spans="1:9" x14ac:dyDescent="0.15">
      <c r="A48" s="26" t="s">
        <v>47</v>
      </c>
      <c r="B48" s="59">
        <f>B18*$K$2/BIFUbC!AQ17</f>
        <v>0</v>
      </c>
      <c r="C48" s="75">
        <f>C18*$K$2/BIFUbC!D17</f>
        <v>0</v>
      </c>
      <c r="D48" s="75">
        <f>D18*$K$2/BIFUbC!E17</f>
        <v>0</v>
      </c>
      <c r="E48" s="75">
        <f>E18*$K$2/BIFUbC!F17</f>
        <v>0</v>
      </c>
      <c r="F48" s="75">
        <f>F18*$K$2/BIFUbC!G17</f>
        <v>0</v>
      </c>
      <c r="G48" s="75">
        <f>G18*$K$2/BIFUbC!H17</f>
        <v>0</v>
      </c>
      <c r="H48" s="75">
        <f>H18*$K$2/BIFUbC!I17</f>
        <v>0</v>
      </c>
      <c r="I48" s="75">
        <f>I18*$K$2/BIFUbC!J17</f>
        <v>0</v>
      </c>
    </row>
    <row r="49" spans="1:9" x14ac:dyDescent="0.15">
      <c r="A49" s="26" t="s">
        <v>48</v>
      </c>
      <c r="B49" s="59">
        <f>B19*$K$2/BIFUbC!AQ18</f>
        <v>0</v>
      </c>
      <c r="C49" s="75">
        <f>C19*$K$2/BIFUbC!D18</f>
        <v>0</v>
      </c>
      <c r="D49" s="75">
        <f>D19*$K$2/BIFUbC!E18</f>
        <v>0</v>
      </c>
      <c r="E49" s="75">
        <f>E19*$K$2/BIFUbC!F18</f>
        <v>0</v>
      </c>
      <c r="F49" s="75">
        <f>F19*$K$2/BIFUbC!G18</f>
        <v>0</v>
      </c>
      <c r="G49" s="75">
        <f>G19*$K$2/BIFUbC!H18</f>
        <v>0</v>
      </c>
      <c r="H49" s="75">
        <f>H19*$K$2/BIFUbC!I18</f>
        <v>0</v>
      </c>
      <c r="I49" s="75">
        <f>I19*$K$2/BIFUbC!J18</f>
        <v>0</v>
      </c>
    </row>
    <row r="50" spans="1:9" x14ac:dyDescent="0.15">
      <c r="A50" s="26" t="s">
        <v>49</v>
      </c>
      <c r="B50" s="59">
        <f>B20*$K$2/BIFUbC!AQ19</f>
        <v>0</v>
      </c>
      <c r="C50" s="75">
        <f>C20*$K$2/BIFUbC!D19</f>
        <v>0</v>
      </c>
      <c r="D50" s="75">
        <f>D20*$K$2/BIFUbC!E19</f>
        <v>0</v>
      </c>
      <c r="E50" s="75">
        <f>E20*$K$2/BIFUbC!F19</f>
        <v>0</v>
      </c>
      <c r="F50" s="75">
        <f>F20*$K$2/BIFUbC!G19</f>
        <v>0</v>
      </c>
      <c r="G50" s="75">
        <f>G20*$K$2/BIFUbC!H19</f>
        <v>0</v>
      </c>
      <c r="H50" s="75">
        <f>H20*$K$2/BIFUbC!I19</f>
        <v>0</v>
      </c>
      <c r="I50" s="75">
        <f>I20*$K$2/BIFUbC!J19</f>
        <v>0</v>
      </c>
    </row>
    <row r="51" spans="1:9" x14ac:dyDescent="0.15">
      <c r="A51" s="26" t="s">
        <v>50</v>
      </c>
      <c r="B51" s="59">
        <f>B21*$K$2/BIFUbC!AQ20</f>
        <v>0</v>
      </c>
      <c r="C51" s="75">
        <f>C21*$K$2/BIFUbC!D20</f>
        <v>0</v>
      </c>
      <c r="D51" s="75">
        <f>D21*$K$2/BIFUbC!E20</f>
        <v>0</v>
      </c>
      <c r="E51" s="75">
        <f>E21*$K$2/BIFUbC!F20</f>
        <v>0</v>
      </c>
      <c r="F51" s="75">
        <f>F21*$K$2/BIFUbC!G20</f>
        <v>0</v>
      </c>
      <c r="G51" s="75">
        <f>G21*$K$2/BIFUbC!H20</f>
        <v>0</v>
      </c>
      <c r="H51" s="75">
        <f>H21*$K$2/BIFUbC!I20</f>
        <v>0</v>
      </c>
      <c r="I51" s="75">
        <f>I21*$K$2/BIFUbC!J20</f>
        <v>0</v>
      </c>
    </row>
    <row r="52" spans="1:9" x14ac:dyDescent="0.15">
      <c r="A52" s="26" t="s">
        <v>81</v>
      </c>
      <c r="B52" s="59">
        <f>B22*$K$2/BIFUbC!AQ21</f>
        <v>9.80301077147651E-2</v>
      </c>
      <c r="C52" s="75">
        <f>C22*$K$2/BIFUbC!D21</f>
        <v>0</v>
      </c>
      <c r="D52" s="75">
        <f>D22*$K$2/BIFUbC!E21</f>
        <v>4.1880024275817215E-3</v>
      </c>
      <c r="E52" s="75">
        <f>E22*$K$2/BIFUbC!F21</f>
        <v>3.7809854823859803E-3</v>
      </c>
      <c r="F52" s="75">
        <f>F22*$K$2/BIFUbC!G21</f>
        <v>3.55853512064529E-3</v>
      </c>
      <c r="G52" s="75">
        <f>G22*$K$2/BIFUbC!H21</f>
        <v>0</v>
      </c>
      <c r="H52" s="75">
        <f>H22*$K$2/BIFUbC!I21</f>
        <v>0</v>
      </c>
      <c r="I52" s="75">
        <f>I22*$K$2/BIFUbC!J21</f>
        <v>0</v>
      </c>
    </row>
    <row r="53" spans="1:9" x14ac:dyDescent="0.15">
      <c r="A53" s="26" t="s">
        <v>71</v>
      </c>
      <c r="B53" s="59">
        <f>B23*$K$2/BIFUbC!AQ22</f>
        <v>2.0513877627629858E-2</v>
      </c>
      <c r="C53" s="75">
        <f>C23*$K$2/BIFUbC!D22</f>
        <v>3.5749431924904308E-3</v>
      </c>
      <c r="D53" s="75">
        <f>D23*$K$2/BIFUbC!E22</f>
        <v>3.4374320484500598E-3</v>
      </c>
      <c r="E53" s="75">
        <f>E23*$K$2/BIFUbC!F22</f>
        <v>3.3240034767088814E-3</v>
      </c>
      <c r="F53" s="75">
        <f>F23*$K$2/BIFUbC!G22</f>
        <v>3.2602155244189162E-3</v>
      </c>
      <c r="G53" s="75">
        <f>G23*$K$2/BIFUbC!H22</f>
        <v>3.1829155472844683E-3</v>
      </c>
      <c r="H53" s="75">
        <f>H23*$K$2/BIFUbC!I22</f>
        <v>0</v>
      </c>
      <c r="I53" s="75">
        <f>I23*$K$2/BIFUbC!J22</f>
        <v>0</v>
      </c>
    </row>
    <row r="54" spans="1:9" x14ac:dyDescent="0.15">
      <c r="A54" s="26" t="s">
        <v>53</v>
      </c>
      <c r="B54" s="59">
        <f>B24*$K$2/BIFUbC!AQ23</f>
        <v>0</v>
      </c>
      <c r="C54" s="75">
        <f>C24*$K$2/BIFUbC!D23</f>
        <v>0</v>
      </c>
      <c r="D54" s="75">
        <f>D24*$K$2/BIFUbC!E23</f>
        <v>0</v>
      </c>
      <c r="E54" s="75">
        <f>E24*$K$2/BIFUbC!F23</f>
        <v>0</v>
      </c>
      <c r="F54" s="75">
        <f>F24*$K$2/BIFUbC!G23</f>
        <v>0</v>
      </c>
      <c r="G54" s="75">
        <f>G24*$K$2/BIFUbC!H23</f>
        <v>0</v>
      </c>
      <c r="H54" s="75">
        <f>H24*$K$2/BIFUbC!I23</f>
        <v>0</v>
      </c>
      <c r="I54" s="75">
        <f>I24*$K$2/BIFUbC!J23</f>
        <v>0</v>
      </c>
    </row>
    <row r="55" spans="1:9" x14ac:dyDescent="0.15">
      <c r="A55" s="26" t="s">
        <v>76</v>
      </c>
      <c r="B55" s="59">
        <f>B25*$K$2/BIFUbC!AQ24</f>
        <v>0</v>
      </c>
      <c r="C55" s="75">
        <f>C25*$K$2/BIFUbC!D24</f>
        <v>0</v>
      </c>
      <c r="D55" s="75">
        <f>D25*$K$2/BIFUbC!E24</f>
        <v>0</v>
      </c>
      <c r="E55" s="75">
        <f>E25*$K$2/BIFUbC!F24</f>
        <v>0</v>
      </c>
      <c r="F55" s="75">
        <f>F25*$K$2/BIFUbC!G24</f>
        <v>0</v>
      </c>
      <c r="G55" s="75">
        <f>G25*$K$2/BIFUbC!H24</f>
        <v>0</v>
      </c>
      <c r="H55" s="75">
        <f>H25*$K$2/BIFUbC!I24</f>
        <v>0</v>
      </c>
      <c r="I55" s="75">
        <f>I25*$K$2/BIFUbC!J24</f>
        <v>0</v>
      </c>
    </row>
    <row r="56" spans="1:9" x14ac:dyDescent="0.15">
      <c r="A56" s="26" t="s">
        <v>83</v>
      </c>
      <c r="B56" s="59">
        <f>B26*$K$2/BIFUbC!AQ25</f>
        <v>3.3807519916099755E-3</v>
      </c>
      <c r="C56" s="75">
        <f>C26*$K$2/BIFUbC!D25</f>
        <v>0</v>
      </c>
      <c r="D56" s="75">
        <f>D26*$K$2/BIFUbC!E25</f>
        <v>4.8269232036851741E-3</v>
      </c>
      <c r="E56" s="75">
        <f>E26*$K$2/BIFUbC!F25</f>
        <v>4.5514659858676837E-3</v>
      </c>
      <c r="F56" s="75">
        <f>F26*$K$2/BIFUbC!G25</f>
        <v>4.2030578490602453E-3</v>
      </c>
      <c r="G56" s="75">
        <f>G26*$K$2/BIFUbC!H25</f>
        <v>0</v>
      </c>
      <c r="H56" s="75">
        <f>H26*$K$2/BIFUbC!I25</f>
        <v>0</v>
      </c>
      <c r="I56" s="75">
        <f>I26*$K$2/BIFUbC!J25</f>
        <v>0</v>
      </c>
    </row>
    <row r="57" spans="1:9" x14ac:dyDescent="0.15">
      <c r="A57" s="26" t="s">
        <v>55</v>
      </c>
      <c r="B57" s="59">
        <f>B27*$K$2/BIFUbC!AQ26</f>
        <v>0</v>
      </c>
      <c r="C57" s="75">
        <f>C27*$K$2/BIFUbC!D26</f>
        <v>0</v>
      </c>
      <c r="D57" s="75">
        <f>D27*$K$2/BIFUbC!E26</f>
        <v>0</v>
      </c>
      <c r="E57" s="75">
        <f>E27*$K$2/BIFUbC!F26</f>
        <v>0</v>
      </c>
      <c r="F57" s="75">
        <f>F27*$K$2/BIFUbC!G26</f>
        <v>0</v>
      </c>
      <c r="G57" s="75">
        <f>G27*$K$2/BIFUbC!H26</f>
        <v>0</v>
      </c>
      <c r="H57" s="75">
        <f>H27*$K$2/BIFUbC!I26</f>
        <v>0</v>
      </c>
      <c r="I57" s="75">
        <f>I27*$K$2/BIFUbC!J26</f>
        <v>0</v>
      </c>
    </row>
    <row r="58" spans="1:9" x14ac:dyDescent="0.15">
      <c r="A58" s="62" t="s">
        <v>445</v>
      </c>
      <c r="B58" s="65">
        <f>B28*$K$2/SUM(BIFUbC!AQ2:AQ26)</f>
        <v>2.8951746984583623E-2</v>
      </c>
      <c r="C58" s="65">
        <f>C28*$K$2/SUM(BIFUbC!D2:D26)</f>
        <v>2.6260295208687247E-4</v>
      </c>
      <c r="D58" s="65">
        <f>D28*$K$2/SUM(BIFUbC!E2:E26)</f>
        <v>6.1979333796010781E-4</v>
      </c>
      <c r="E58" s="65">
        <f>E28*$K$2/SUM(BIFUbC!F2:F26)</f>
        <v>1.5185271688459363E-3</v>
      </c>
      <c r="F58" s="65">
        <f>F28*$K$2/SUM(BIFUbC!G2:G26)</f>
        <v>1.4461251386241379E-3</v>
      </c>
      <c r="G58" s="65">
        <f>G28*$K$2/SUM(BIFUbC!H2:H26)</f>
        <v>1.0629535719614616E-3</v>
      </c>
      <c r="H58" s="65">
        <f>H28*$K$2/SUM(BIFUbC!I2:I26)</f>
        <v>8.2927815691573249E-4</v>
      </c>
      <c r="I58" s="65">
        <f>I28*$K$2/SUM(BIFUbC!J2:J26)</f>
        <v>8.0762804967993542E-4</v>
      </c>
    </row>
    <row r="61" spans="1:9" x14ac:dyDescent="0.15">
      <c r="A61" s="51" t="s">
        <v>103</v>
      </c>
      <c r="B61" s="51"/>
      <c r="C61" s="51"/>
      <c r="D61" s="51"/>
      <c r="E61" s="51"/>
      <c r="F61" s="51"/>
      <c r="G61" s="51"/>
      <c r="H61" s="51"/>
      <c r="I61" s="51"/>
    </row>
    <row r="62" spans="1:9" x14ac:dyDescent="0.15">
      <c r="A62" s="26" t="s">
        <v>384</v>
      </c>
      <c r="B62" s="46">
        <v>2060</v>
      </c>
      <c r="C62" s="20">
        <v>2021</v>
      </c>
      <c r="D62" s="20">
        <v>2022</v>
      </c>
      <c r="E62" s="20">
        <v>2023</v>
      </c>
      <c r="F62" s="20">
        <v>2024</v>
      </c>
      <c r="G62" s="20">
        <v>2025</v>
      </c>
      <c r="H62" s="20">
        <v>2026</v>
      </c>
      <c r="I62" s="20">
        <v>2027</v>
      </c>
    </row>
    <row r="63" spans="1:9" x14ac:dyDescent="0.15">
      <c r="A63" s="26" t="s">
        <v>99</v>
      </c>
      <c r="B63" s="58">
        <v>1</v>
      </c>
      <c r="C63" s="76">
        <f>IFERROR(C33/$B33,1)</f>
        <v>1</v>
      </c>
      <c r="D63" s="76">
        <f t="shared" ref="D63:I63" si="2">IFERROR(D33/$B33,1)</f>
        <v>1</v>
      </c>
      <c r="E63" s="76">
        <f t="shared" si="2"/>
        <v>1</v>
      </c>
      <c r="F63" s="76">
        <f t="shared" si="2"/>
        <v>1</v>
      </c>
      <c r="G63" s="76">
        <f t="shared" si="2"/>
        <v>1</v>
      </c>
      <c r="H63" s="76">
        <f t="shared" si="2"/>
        <v>1</v>
      </c>
      <c r="I63" s="76">
        <f t="shared" si="2"/>
        <v>1</v>
      </c>
    </row>
    <row r="64" spans="1:9" x14ac:dyDescent="0.15">
      <c r="A64" s="26" t="s">
        <v>35</v>
      </c>
      <c r="B64" s="58">
        <v>1</v>
      </c>
      <c r="C64" s="76">
        <f t="shared" ref="C64:I87" si="3">IFERROR(C34/$B34,1)</f>
        <v>1</v>
      </c>
      <c r="D64" s="76">
        <f t="shared" si="3"/>
        <v>1</v>
      </c>
      <c r="E64" s="76">
        <f t="shared" si="3"/>
        <v>1</v>
      </c>
      <c r="F64" s="76">
        <f t="shared" si="3"/>
        <v>1</v>
      </c>
      <c r="G64" s="76">
        <f t="shared" si="3"/>
        <v>1</v>
      </c>
      <c r="H64" s="76">
        <f t="shared" si="3"/>
        <v>1</v>
      </c>
      <c r="I64" s="76">
        <f t="shared" si="3"/>
        <v>1</v>
      </c>
    </row>
    <row r="65" spans="1:9" x14ac:dyDescent="0.15">
      <c r="A65" s="26" t="s">
        <v>67</v>
      </c>
      <c r="B65" s="58">
        <v>1</v>
      </c>
      <c r="C65" s="76">
        <f t="shared" si="3"/>
        <v>1</v>
      </c>
      <c r="D65" s="76">
        <f t="shared" si="3"/>
        <v>1</v>
      </c>
      <c r="E65" s="76">
        <f t="shared" si="3"/>
        <v>1</v>
      </c>
      <c r="F65" s="76">
        <f t="shared" si="3"/>
        <v>1</v>
      </c>
      <c r="G65" s="76">
        <f t="shared" si="3"/>
        <v>1</v>
      </c>
      <c r="H65" s="76">
        <f t="shared" si="3"/>
        <v>1</v>
      </c>
      <c r="I65" s="76">
        <f t="shared" si="3"/>
        <v>1</v>
      </c>
    </row>
    <row r="66" spans="1:9" x14ac:dyDescent="0.15">
      <c r="A66" s="26" t="s">
        <v>100</v>
      </c>
      <c r="B66" s="58">
        <v>1</v>
      </c>
      <c r="C66" s="76">
        <f t="shared" si="3"/>
        <v>1</v>
      </c>
      <c r="D66" s="76">
        <f t="shared" si="3"/>
        <v>1</v>
      </c>
      <c r="E66" s="76">
        <f t="shared" si="3"/>
        <v>1</v>
      </c>
      <c r="F66" s="76">
        <f t="shared" si="3"/>
        <v>1</v>
      </c>
      <c r="G66" s="76">
        <f t="shared" si="3"/>
        <v>1</v>
      </c>
      <c r="H66" s="76">
        <f t="shared" si="3"/>
        <v>1</v>
      </c>
      <c r="I66" s="76">
        <f t="shared" si="3"/>
        <v>1</v>
      </c>
    </row>
    <row r="67" spans="1:9" x14ac:dyDescent="0.15">
      <c r="A67" s="26" t="s">
        <v>101</v>
      </c>
      <c r="B67" s="58">
        <v>1</v>
      </c>
      <c r="C67" s="76">
        <f t="shared" si="3"/>
        <v>0.14133803247644441</v>
      </c>
      <c r="D67" s="76">
        <f t="shared" si="3"/>
        <v>0.13663597414778039</v>
      </c>
      <c r="E67" s="76">
        <f t="shared" si="3"/>
        <v>0.17377203973067304</v>
      </c>
      <c r="F67" s="76">
        <f t="shared" si="3"/>
        <v>0.16952401509426657</v>
      </c>
      <c r="G67" s="76">
        <f t="shared" si="3"/>
        <v>0.16349121277326759</v>
      </c>
      <c r="H67" s="76">
        <f t="shared" si="3"/>
        <v>3.8163301513909446E-2</v>
      </c>
      <c r="I67" s="76">
        <f t="shared" si="3"/>
        <v>3.6882783628315242E-2</v>
      </c>
    </row>
    <row r="68" spans="1:9" x14ac:dyDescent="0.15">
      <c r="A68" s="26" t="s">
        <v>72</v>
      </c>
      <c r="B68" s="58">
        <v>1</v>
      </c>
      <c r="C68" s="76">
        <f t="shared" si="3"/>
        <v>8.5752086762246223E-3</v>
      </c>
      <c r="D68" s="76">
        <f t="shared" si="3"/>
        <v>3.2639430699033078E-2</v>
      </c>
      <c r="E68" s="76">
        <f t="shared" si="3"/>
        <v>3.4394371556559125E-2</v>
      </c>
      <c r="F68" s="76">
        <f t="shared" si="3"/>
        <v>3.4107335949139117E-2</v>
      </c>
      <c r="G68" s="76">
        <f t="shared" si="3"/>
        <v>1.086912769109497E-2</v>
      </c>
      <c r="H68" s="76">
        <f t="shared" si="3"/>
        <v>2.5911266612145744E-3</v>
      </c>
      <c r="I68" s="76">
        <f t="shared" si="3"/>
        <v>2.5569124915319806E-3</v>
      </c>
    </row>
    <row r="69" spans="1:9" x14ac:dyDescent="0.15">
      <c r="A69" s="26" t="s">
        <v>38</v>
      </c>
      <c r="B69" s="58">
        <v>1</v>
      </c>
      <c r="C69" s="76">
        <f t="shared" si="3"/>
        <v>1</v>
      </c>
      <c r="D69" s="76">
        <f t="shared" si="3"/>
        <v>1</v>
      </c>
      <c r="E69" s="76">
        <f t="shared" si="3"/>
        <v>1</v>
      </c>
      <c r="F69" s="76">
        <f t="shared" si="3"/>
        <v>1</v>
      </c>
      <c r="G69" s="76">
        <f t="shared" si="3"/>
        <v>1</v>
      </c>
      <c r="H69" s="76">
        <f t="shared" si="3"/>
        <v>1</v>
      </c>
      <c r="I69" s="76">
        <f t="shared" si="3"/>
        <v>1</v>
      </c>
    </row>
    <row r="70" spans="1:9" x14ac:dyDescent="0.15">
      <c r="A70" s="26" t="s">
        <v>68</v>
      </c>
      <c r="B70" s="58">
        <v>1</v>
      </c>
      <c r="C70" s="76">
        <f t="shared" si="3"/>
        <v>0.12342783750350936</v>
      </c>
      <c r="D70" s="76">
        <f t="shared" si="3"/>
        <v>0.11692771749290611</v>
      </c>
      <c r="E70" s="76">
        <f t="shared" si="3"/>
        <v>0.14278989382206636</v>
      </c>
      <c r="F70" s="76">
        <f t="shared" si="3"/>
        <v>0.13671451608509125</v>
      </c>
      <c r="G70" s="76">
        <f t="shared" si="3"/>
        <v>0.13047133934578695</v>
      </c>
      <c r="H70" s="76">
        <f t="shared" si="3"/>
        <v>3.0736571154059093E-2</v>
      </c>
      <c r="I70" s="76">
        <f t="shared" si="3"/>
        <v>2.996427352192987E-2</v>
      </c>
    </row>
    <row r="71" spans="1:9" x14ac:dyDescent="0.15">
      <c r="A71" s="26" t="s">
        <v>40</v>
      </c>
      <c r="B71" s="58">
        <v>1</v>
      </c>
      <c r="C71" s="76">
        <f t="shared" si="3"/>
        <v>1.0357594203475717E-2</v>
      </c>
      <c r="D71" s="76">
        <f t="shared" si="3"/>
        <v>2.8497528542454853E-2</v>
      </c>
      <c r="E71" s="76">
        <f t="shared" si="3"/>
        <v>3.5608417899846451E-2</v>
      </c>
      <c r="F71" s="76">
        <f t="shared" si="3"/>
        <v>3.3766376835584026E-2</v>
      </c>
      <c r="G71" s="76">
        <f t="shared" si="3"/>
        <v>1.6202891635910412E-2</v>
      </c>
      <c r="H71" s="76">
        <f t="shared" si="3"/>
        <v>7.8090031048752076E-3</v>
      </c>
      <c r="I71" s="76">
        <f t="shared" si="3"/>
        <v>7.6430896827899466E-3</v>
      </c>
    </row>
    <row r="72" spans="1:9" x14ac:dyDescent="0.15">
      <c r="A72" s="26" t="s">
        <v>41</v>
      </c>
      <c r="B72" s="58">
        <v>1</v>
      </c>
      <c r="C72" s="76">
        <f t="shared" si="3"/>
        <v>2.2492459934706738E-2</v>
      </c>
      <c r="D72" s="76">
        <f t="shared" si="3"/>
        <v>5.7825652018389836E-2</v>
      </c>
      <c r="E72" s="76">
        <f t="shared" si="3"/>
        <v>0.12157483527116736</v>
      </c>
      <c r="F72" s="76">
        <f t="shared" si="3"/>
        <v>0.11435569490338354</v>
      </c>
      <c r="G72" s="76">
        <f t="shared" si="3"/>
        <v>7.7677597333236606E-2</v>
      </c>
      <c r="H72" s="76">
        <f t="shared" si="3"/>
        <v>5.892386336699737E-2</v>
      </c>
      <c r="I72" s="76">
        <f t="shared" si="3"/>
        <v>5.6910448684026678E-2</v>
      </c>
    </row>
    <row r="73" spans="1:9" x14ac:dyDescent="0.15">
      <c r="A73" s="26" t="s">
        <v>42</v>
      </c>
      <c r="B73" s="58">
        <v>1</v>
      </c>
      <c r="C73" s="76">
        <f t="shared" si="3"/>
        <v>1</v>
      </c>
      <c r="D73" s="76">
        <f t="shared" si="3"/>
        <v>1</v>
      </c>
      <c r="E73" s="76">
        <f t="shared" si="3"/>
        <v>1</v>
      </c>
      <c r="F73" s="76">
        <f t="shared" si="3"/>
        <v>1</v>
      </c>
      <c r="G73" s="76">
        <f t="shared" si="3"/>
        <v>1</v>
      </c>
      <c r="H73" s="76">
        <f t="shared" si="3"/>
        <v>1</v>
      </c>
      <c r="I73" s="76">
        <f t="shared" si="3"/>
        <v>1</v>
      </c>
    </row>
    <row r="74" spans="1:9" x14ac:dyDescent="0.15">
      <c r="A74" s="26" t="s">
        <v>43</v>
      </c>
      <c r="B74" s="58">
        <v>1</v>
      </c>
      <c r="C74" s="76">
        <f t="shared" si="3"/>
        <v>1</v>
      </c>
      <c r="D74" s="76">
        <f t="shared" si="3"/>
        <v>1</v>
      </c>
      <c r="E74" s="76">
        <f t="shared" si="3"/>
        <v>1</v>
      </c>
      <c r="F74" s="76">
        <f t="shared" si="3"/>
        <v>1</v>
      </c>
      <c r="G74" s="76">
        <f t="shared" si="3"/>
        <v>1</v>
      </c>
      <c r="H74" s="76">
        <f t="shared" si="3"/>
        <v>1</v>
      </c>
      <c r="I74" s="76">
        <f t="shared" si="3"/>
        <v>1</v>
      </c>
    </row>
    <row r="75" spans="1:9" x14ac:dyDescent="0.15">
      <c r="A75" s="26" t="s">
        <v>56</v>
      </c>
      <c r="B75" s="58">
        <v>1</v>
      </c>
      <c r="C75" s="76">
        <f t="shared" si="3"/>
        <v>0</v>
      </c>
      <c r="D75" s="76">
        <f t="shared" si="3"/>
        <v>1.8517417846834021E-2</v>
      </c>
      <c r="E75" s="76">
        <f t="shared" si="3"/>
        <v>1.7848782205883103E-2</v>
      </c>
      <c r="F75" s="76">
        <f t="shared" si="3"/>
        <v>1.7631108601987775E-2</v>
      </c>
      <c r="G75" s="76">
        <f t="shared" si="3"/>
        <v>0</v>
      </c>
      <c r="H75" s="76">
        <f t="shared" si="3"/>
        <v>0</v>
      </c>
      <c r="I75" s="76">
        <f t="shared" si="3"/>
        <v>0</v>
      </c>
    </row>
    <row r="76" spans="1:9" x14ac:dyDescent="0.15">
      <c r="A76" s="26" t="s">
        <v>45</v>
      </c>
      <c r="B76" s="58">
        <v>1</v>
      </c>
      <c r="C76" s="76">
        <f t="shared" si="3"/>
        <v>2.6541502896536783E-3</v>
      </c>
      <c r="D76" s="76">
        <f t="shared" si="3"/>
        <v>2.652840139913942E-3</v>
      </c>
      <c r="E76" s="76">
        <f t="shared" si="3"/>
        <v>3.1630472470758918E-2</v>
      </c>
      <c r="F76" s="76">
        <f t="shared" si="3"/>
        <v>3.0314376955051958E-2</v>
      </c>
      <c r="G76" s="76">
        <f t="shared" si="3"/>
        <v>2.8993134044905514E-2</v>
      </c>
      <c r="H76" s="76">
        <f t="shared" si="3"/>
        <v>2.6261284459381959E-2</v>
      </c>
      <c r="I76" s="76">
        <f t="shared" si="3"/>
        <v>2.5709633456452542E-2</v>
      </c>
    </row>
    <row r="77" spans="1:9" x14ac:dyDescent="0.15">
      <c r="A77" s="26" t="s">
        <v>46</v>
      </c>
      <c r="B77" s="58">
        <v>1</v>
      </c>
      <c r="C77" s="76">
        <f t="shared" si="3"/>
        <v>0.18257926526174426</v>
      </c>
      <c r="D77" s="76">
        <f t="shared" si="3"/>
        <v>0.19212133568401152</v>
      </c>
      <c r="E77" s="76">
        <f t="shared" si="3"/>
        <v>0.17320594898382474</v>
      </c>
      <c r="F77" s="76">
        <f t="shared" si="3"/>
        <v>0.16202070523826836</v>
      </c>
      <c r="G77" s="76">
        <f t="shared" si="3"/>
        <v>0.13273709682939547</v>
      </c>
      <c r="H77" s="76">
        <f t="shared" si="3"/>
        <v>0</v>
      </c>
      <c r="I77" s="76">
        <f t="shared" si="3"/>
        <v>0</v>
      </c>
    </row>
    <row r="78" spans="1:9" x14ac:dyDescent="0.15">
      <c r="A78" s="26" t="s">
        <v>47</v>
      </c>
      <c r="B78" s="58">
        <v>1</v>
      </c>
      <c r="C78" s="76">
        <f t="shared" si="3"/>
        <v>1</v>
      </c>
      <c r="D78" s="76">
        <f t="shared" si="3"/>
        <v>1</v>
      </c>
      <c r="E78" s="76">
        <f t="shared" si="3"/>
        <v>1</v>
      </c>
      <c r="F78" s="76">
        <f t="shared" si="3"/>
        <v>1</v>
      </c>
      <c r="G78" s="76">
        <f t="shared" si="3"/>
        <v>1</v>
      </c>
      <c r="H78" s="76">
        <f t="shared" si="3"/>
        <v>1</v>
      </c>
      <c r="I78" s="76">
        <f t="shared" si="3"/>
        <v>1</v>
      </c>
    </row>
    <row r="79" spans="1:9" x14ac:dyDescent="0.15">
      <c r="A79" s="26" t="s">
        <v>48</v>
      </c>
      <c r="B79" s="58">
        <v>1</v>
      </c>
      <c r="C79" s="76">
        <f t="shared" si="3"/>
        <v>1</v>
      </c>
      <c r="D79" s="76">
        <f t="shared" si="3"/>
        <v>1</v>
      </c>
      <c r="E79" s="76">
        <f t="shared" si="3"/>
        <v>1</v>
      </c>
      <c r="F79" s="76">
        <f t="shared" si="3"/>
        <v>1</v>
      </c>
      <c r="G79" s="76">
        <f t="shared" si="3"/>
        <v>1</v>
      </c>
      <c r="H79" s="76">
        <f t="shared" si="3"/>
        <v>1</v>
      </c>
      <c r="I79" s="76">
        <f t="shared" si="3"/>
        <v>1</v>
      </c>
    </row>
    <row r="80" spans="1:9" x14ac:dyDescent="0.15">
      <c r="A80" s="26" t="s">
        <v>49</v>
      </c>
      <c r="B80" s="58">
        <v>1</v>
      </c>
      <c r="C80" s="76">
        <f t="shared" si="3"/>
        <v>1</v>
      </c>
      <c r="D80" s="76">
        <f t="shared" si="3"/>
        <v>1</v>
      </c>
      <c r="E80" s="76">
        <f t="shared" si="3"/>
        <v>1</v>
      </c>
      <c r="F80" s="76">
        <f t="shared" si="3"/>
        <v>1</v>
      </c>
      <c r="G80" s="76">
        <f t="shared" si="3"/>
        <v>1</v>
      </c>
      <c r="H80" s="76">
        <f t="shared" si="3"/>
        <v>1</v>
      </c>
      <c r="I80" s="76">
        <f t="shared" si="3"/>
        <v>1</v>
      </c>
    </row>
    <row r="81" spans="1:9" x14ac:dyDescent="0.15">
      <c r="A81" s="26" t="s">
        <v>50</v>
      </c>
      <c r="B81" s="58">
        <v>1</v>
      </c>
      <c r="C81" s="76">
        <f t="shared" si="3"/>
        <v>1</v>
      </c>
      <c r="D81" s="76">
        <f t="shared" si="3"/>
        <v>1</v>
      </c>
      <c r="E81" s="76">
        <f t="shared" si="3"/>
        <v>1</v>
      </c>
      <c r="F81" s="76">
        <f t="shared" si="3"/>
        <v>1</v>
      </c>
      <c r="G81" s="76">
        <f t="shared" si="3"/>
        <v>1</v>
      </c>
      <c r="H81" s="76">
        <f t="shared" si="3"/>
        <v>1</v>
      </c>
      <c r="I81" s="76">
        <f t="shared" si="3"/>
        <v>1</v>
      </c>
    </row>
    <row r="82" spans="1:9" x14ac:dyDescent="0.15">
      <c r="A82" s="26" t="s">
        <v>81</v>
      </c>
      <c r="B82" s="58">
        <v>1</v>
      </c>
      <c r="C82" s="76">
        <f t="shared" si="3"/>
        <v>0</v>
      </c>
      <c r="D82" s="76">
        <f t="shared" si="3"/>
        <v>4.2721593653323439E-2</v>
      </c>
      <c r="E82" s="76">
        <f t="shared" si="3"/>
        <v>3.8569635089939783E-2</v>
      </c>
      <c r="F82" s="76">
        <f t="shared" si="3"/>
        <v>3.6300430588115232E-2</v>
      </c>
      <c r="G82" s="76">
        <f t="shared" si="3"/>
        <v>0</v>
      </c>
      <c r="H82" s="76">
        <f t="shared" si="3"/>
        <v>0</v>
      </c>
      <c r="I82" s="76">
        <f t="shared" si="3"/>
        <v>0</v>
      </c>
    </row>
    <row r="83" spans="1:9" x14ac:dyDescent="0.15">
      <c r="A83" s="26" t="s">
        <v>71</v>
      </c>
      <c r="B83" s="58">
        <v>1</v>
      </c>
      <c r="C83" s="76">
        <f t="shared" si="3"/>
        <v>0.17426949976904363</v>
      </c>
      <c r="D83" s="76">
        <f t="shared" si="3"/>
        <v>0.16756617694843953</v>
      </c>
      <c r="E83" s="76">
        <f t="shared" si="3"/>
        <v>0.16203681902790662</v>
      </c>
      <c r="F83" s="76">
        <f t="shared" si="3"/>
        <v>0.1589273165999478</v>
      </c>
      <c r="G83" s="76">
        <f t="shared" si="3"/>
        <v>0.15515913690532324</v>
      </c>
      <c r="H83" s="76">
        <f t="shared" si="3"/>
        <v>0</v>
      </c>
      <c r="I83" s="76">
        <f t="shared" si="3"/>
        <v>0</v>
      </c>
    </row>
    <row r="84" spans="1:9" x14ac:dyDescent="0.15">
      <c r="A84" s="26" t="s">
        <v>53</v>
      </c>
      <c r="B84" s="58">
        <v>1</v>
      </c>
      <c r="C84" s="76">
        <f t="shared" si="3"/>
        <v>1</v>
      </c>
      <c r="D84" s="76">
        <f t="shared" si="3"/>
        <v>1</v>
      </c>
      <c r="E84" s="76">
        <f t="shared" si="3"/>
        <v>1</v>
      </c>
      <c r="F84" s="76">
        <f t="shared" si="3"/>
        <v>1</v>
      </c>
      <c r="G84" s="76">
        <f t="shared" si="3"/>
        <v>1</v>
      </c>
      <c r="H84" s="76">
        <f t="shared" si="3"/>
        <v>1</v>
      </c>
      <c r="I84" s="76">
        <f t="shared" si="3"/>
        <v>1</v>
      </c>
    </row>
    <row r="85" spans="1:9" x14ac:dyDescent="0.15">
      <c r="A85" s="26" t="s">
        <v>76</v>
      </c>
      <c r="B85" s="58">
        <v>1</v>
      </c>
      <c r="C85" s="76">
        <f t="shared" si="3"/>
        <v>1</v>
      </c>
      <c r="D85" s="76">
        <f t="shared" si="3"/>
        <v>1</v>
      </c>
      <c r="E85" s="76">
        <f t="shared" si="3"/>
        <v>1</v>
      </c>
      <c r="F85" s="76">
        <f t="shared" si="3"/>
        <v>1</v>
      </c>
      <c r="G85" s="76">
        <f t="shared" si="3"/>
        <v>1</v>
      </c>
      <c r="H85" s="76">
        <f t="shared" si="3"/>
        <v>1</v>
      </c>
      <c r="I85" s="76">
        <f t="shared" si="3"/>
        <v>1</v>
      </c>
    </row>
    <row r="86" spans="1:9" x14ac:dyDescent="0.15">
      <c r="A86" s="26" t="s">
        <v>83</v>
      </c>
      <c r="B86" s="58">
        <v>1</v>
      </c>
      <c r="C86" s="76">
        <f t="shared" si="3"/>
        <v>0</v>
      </c>
      <c r="D86" s="76">
        <f t="shared" si="3"/>
        <v>1.4277661347724313</v>
      </c>
      <c r="E86" s="76">
        <f t="shared" si="3"/>
        <v>1.3462880439508942</v>
      </c>
      <c r="F86" s="76">
        <f t="shared" si="3"/>
        <v>1.2432316418036546</v>
      </c>
      <c r="G86" s="76">
        <f t="shared" si="3"/>
        <v>0</v>
      </c>
      <c r="H86" s="76">
        <f t="shared" si="3"/>
        <v>0</v>
      </c>
      <c r="I86" s="76">
        <f t="shared" si="3"/>
        <v>0</v>
      </c>
    </row>
    <row r="87" spans="1:9" x14ac:dyDescent="0.15">
      <c r="A87" s="26" t="s">
        <v>55</v>
      </c>
      <c r="B87" s="58">
        <v>1</v>
      </c>
      <c r="C87" s="76">
        <f t="shared" si="3"/>
        <v>1</v>
      </c>
      <c r="D87" s="76">
        <f t="shared" si="3"/>
        <v>1</v>
      </c>
      <c r="E87" s="76">
        <f t="shared" si="3"/>
        <v>1</v>
      </c>
      <c r="F87" s="76">
        <f t="shared" si="3"/>
        <v>1</v>
      </c>
      <c r="G87" s="76">
        <f t="shared" si="3"/>
        <v>1</v>
      </c>
      <c r="H87" s="76">
        <f t="shared" si="3"/>
        <v>1</v>
      </c>
      <c r="I87" s="76">
        <f t="shared" si="3"/>
        <v>1</v>
      </c>
    </row>
    <row r="88" spans="1:9" x14ac:dyDescent="0.15">
      <c r="A88" s="62" t="s">
        <v>445</v>
      </c>
      <c r="B88" s="62">
        <v>1</v>
      </c>
      <c r="C88" s="85">
        <f>C58/$B58</f>
        <v>9.0703663660332712E-3</v>
      </c>
      <c r="D88" s="85">
        <f t="shared" ref="D88:I88" si="4">D58/$B58</f>
        <v>2.1407804450976259E-2</v>
      </c>
      <c r="E88" s="85">
        <f t="shared" si="4"/>
        <v>5.2450277686335457E-2</v>
      </c>
      <c r="F88" s="85">
        <f t="shared" si="4"/>
        <v>4.9949494909380707E-2</v>
      </c>
      <c r="G88" s="85">
        <f t="shared" si="4"/>
        <v>3.6714660864073892E-2</v>
      </c>
      <c r="H88" s="85">
        <f t="shared" si="4"/>
        <v>2.8643458281025696E-2</v>
      </c>
      <c r="I88" s="85">
        <f t="shared" si="4"/>
        <v>2.7895658597389145E-2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63389-C2C6-4C3E-B406-5BBC71EF244D}">
  <dimension ref="A1:T87"/>
  <sheetViews>
    <sheetView zoomScaleNormal="100" workbookViewId="0">
      <selection activeCell="T3" sqref="T3:T27"/>
    </sheetView>
  </sheetViews>
  <sheetFormatPr defaultColWidth="9" defaultRowHeight="12" x14ac:dyDescent="0.15"/>
  <cols>
    <col min="1" max="1" width="27" style="21" customWidth="1"/>
    <col min="2" max="2" width="11" style="21" customWidth="1"/>
    <col min="3" max="10" width="10" style="21" customWidth="1"/>
    <col min="11" max="11" width="9" style="21" customWidth="1"/>
    <col min="12" max="12" width="22.625" style="21" customWidth="1"/>
    <col min="13" max="16384" width="9" style="21"/>
  </cols>
  <sheetData>
    <row r="1" spans="1:20" x14ac:dyDescent="0.15">
      <c r="A1" s="51" t="s">
        <v>105</v>
      </c>
      <c r="B1" s="51"/>
      <c r="C1" s="51"/>
      <c r="D1" s="51"/>
      <c r="E1" s="51"/>
      <c r="F1" s="51"/>
      <c r="G1" s="51"/>
      <c r="H1" s="51"/>
      <c r="I1" s="51"/>
      <c r="K1" s="21" t="s">
        <v>440</v>
      </c>
      <c r="L1" s="51" t="s">
        <v>105</v>
      </c>
      <c r="M1" s="51"/>
      <c r="N1" s="51"/>
      <c r="O1" s="51"/>
      <c r="P1" s="51"/>
      <c r="Q1" s="51"/>
      <c r="R1" s="51"/>
      <c r="S1" s="51"/>
      <c r="T1" s="51"/>
    </row>
    <row r="2" spans="1:20" x14ac:dyDescent="0.15">
      <c r="A2" s="26" t="s">
        <v>384</v>
      </c>
      <c r="B2" s="46" t="s">
        <v>437</v>
      </c>
      <c r="C2" s="20">
        <v>2021</v>
      </c>
      <c r="D2" s="20">
        <v>2022</v>
      </c>
      <c r="E2" s="20">
        <v>2023</v>
      </c>
      <c r="F2" s="20">
        <v>2024</v>
      </c>
      <c r="G2" s="20">
        <v>2025</v>
      </c>
      <c r="H2" s="20">
        <v>2026</v>
      </c>
      <c r="I2" s="20">
        <v>2027</v>
      </c>
      <c r="K2" s="21">
        <v>277435549975.86145</v>
      </c>
      <c r="L2" s="26" t="s">
        <v>384</v>
      </c>
      <c r="M2" s="46" t="s">
        <v>437</v>
      </c>
      <c r="N2" s="20">
        <v>2021</v>
      </c>
      <c r="O2" s="20">
        <v>2022</v>
      </c>
      <c r="P2" s="20">
        <v>2023</v>
      </c>
      <c r="Q2" s="20">
        <v>2024</v>
      </c>
      <c r="R2" s="20">
        <v>2025</v>
      </c>
      <c r="S2" s="20">
        <v>2026</v>
      </c>
      <c r="T2" s="20">
        <v>2027</v>
      </c>
    </row>
    <row r="3" spans="1:20" x14ac:dyDescent="0.15">
      <c r="A3" s="26" t="s">
        <v>99</v>
      </c>
      <c r="B3" s="50">
        <f>SUMIFS(工业节能技术装备推荐目录!L:L,工业节能技术装备推荐目录!D:D,'Improvement in Eqpt Efficiency'!A3,工业节能技术装备推荐目录!F:F,'Improvement in Eqpt Efficiency'!$A$1)+SUMIFS(用能设备节能分配!R:R,用能设备节能分配!O:O,'Improvement in Eqpt Efficiency'!A3,用能设备节能分配!P:P,'Improvement in Eqpt Efficiency'!$A$1)</f>
        <v>62.945161620051195</v>
      </c>
      <c r="C3" s="73">
        <f>SUMIFS(工业节能技术装备推荐目录!K:K,工业节能技术装备推荐目录!D:D,'Improvement in Eqpt Efficiency'!A3,工业节能技术装备推荐目录!F:F,'Improvement in Eqpt Efficiency'!$A$1,工业节能技术装备推荐目录!A:A,"2020")+SUMIFS(用能设备节能分配!Q:Q,用能设备节能分配!O:O,'Improvement in Eqpt Efficiency'!A3,用能设备节能分配!P:P,'Improvement in Eqpt Efficiency'!$A$1,用能设备节能分配!M:M,"2020")</f>
        <v>0.71213902365908632</v>
      </c>
      <c r="D3" s="73">
        <f>SUMIFS(工业节能技术装备推荐目录!K:K,工业节能技术装备推荐目录!D:D,'Improvement in Eqpt Efficiency'!A3,工业节能技术装备推荐目录!F:F,'Improvement in Eqpt Efficiency'!$A$1,工业节能技术装备推荐目录!A:A,"2020")+SUMIFS(用能设备节能分配!Q:Q,用能设备节能分配!O:O,'Improvement in Eqpt Efficiency'!A3,用能设备节能分配!P:P,'Improvement in Eqpt Efficiency'!$A$1,用能设备节能分配!M:M,"2020")+SUMIFS(工业节能技术装备推荐目录!K:K,工业节能技术装备推荐目录!D:D,'Improvement in Eqpt Efficiency'!A3,工业节能技术装备推荐目录!F:F,'Improvement in Eqpt Efficiency'!$A$1,工业节能技术装备推荐目录!A:A,"2021")+SUMIFS(用能设备节能分配!Q:Q,用能设备节能分配!O:O,'Improvement in Eqpt Efficiency'!A3,用能设备节能分配!P:P,'Improvement in Eqpt Efficiency'!$A$1,用能设备节能分配!M:M,"2021")</f>
        <v>5.3720339127320145</v>
      </c>
      <c r="E3" s="73">
        <f>SUMIFS(工业节能技术装备推荐目录!K:K,工业节能技术装备推荐目录!D:D,'Improvement in Eqpt Efficiency'!A3,工业节能技术装备推荐目录!F:F,'Improvement in Eqpt Efficiency'!$A$1,工业节能技术装备推荐目录!A:A,"2020")+SUMIFS(用能设备节能分配!Q:Q,用能设备节能分配!O:O,'Improvement in Eqpt Efficiency'!A3,用能设备节能分配!P:P,'Improvement in Eqpt Efficiency'!$A$1,用能设备节能分配!M:M,"2020")+SUMIFS(工业节能技术装备推荐目录!K:K,工业节能技术装备推荐目录!D:D,'Improvement in Eqpt Efficiency'!A3,工业节能技术装备推荐目录!F:F,'Improvement in Eqpt Efficiency'!$A$1,工业节能技术装备推荐目录!A:A,"2021")+SUMIFS(用能设备节能分配!Q:Q,用能设备节能分配!O:O,'Improvement in Eqpt Efficiency'!A3,用能设备节能分配!P:P,'Improvement in Eqpt Efficiency'!$A$1,用能设备节能分配!M:M,"2021")+SUMIFS(工业节能技术装备推荐目录!K:K,工业节能技术装备推荐目录!D:D,'Improvement in Eqpt Efficiency'!A3,工业节能技术装备推荐目录!F:F,'Improvement in Eqpt Efficiency'!$A$1,工业节能技术装备推荐目录!A:A,"2022")+SUMIFS(用能设备节能分配!Q:Q,用能设备节能分配!O:O,'Improvement in Eqpt Efficiency'!A3,用能设备节能分配!P:P,'Improvement in Eqpt Efficiency'!$A$1,用能设备节能分配!M:M,"2022")</f>
        <v>8.2844137045147512</v>
      </c>
      <c r="F3" s="73">
        <f>SUMIFS(工业节能技术装备推荐目录!K:K,工业节能技术装备推荐目录!D:D,'Improvement in Eqpt Efficiency'!A3,工业节能技术装备推荐目录!F:F,'Improvement in Eqpt Efficiency'!$A$1,工业节能技术装备推荐目录!A:A,"2020")+SUMIFS(用能设备节能分配!Q:Q,用能设备节能分配!O:O,'Improvement in Eqpt Efficiency'!A3,用能设备节能分配!P:P,'Improvement in Eqpt Efficiency'!$A$1,用能设备节能分配!M:M,"2020")+SUMIFS(工业节能技术装备推荐目录!K:K,工业节能技术装备推荐目录!D:D,'Improvement in Eqpt Efficiency'!A3,工业节能技术装备推荐目录!F:F,'Improvement in Eqpt Efficiency'!$A$1,工业节能技术装备推荐目录!A:A,"2021")+SUMIFS(用能设备节能分配!Q:Q,用能设备节能分配!O:O,'Improvement in Eqpt Efficiency'!A3,用能设备节能分配!P:P,'Improvement in Eqpt Efficiency'!$A$1,用能设备节能分配!M:M,"2021")+SUMIFS(工业节能技术装备推荐目录!K:K,工业节能技术装备推荐目录!D:D,'Improvement in Eqpt Efficiency'!A3,工业节能技术装备推荐目录!F:F,'Improvement in Eqpt Efficiency'!$A$1,工业节能技术装备推荐目录!A:A,"2022")+SUMIFS(用能设备节能分配!Q:Q,用能设备节能分配!O:O,'Improvement in Eqpt Efficiency'!A3,用能设备节能分配!P:P,'Improvement in Eqpt Efficiency'!$A$1,用能设备节能分配!M:M,"2022")</f>
        <v>8.2844137045147512</v>
      </c>
      <c r="G3" s="73">
        <f>SUMIFS(工业节能技术装备推荐目录!K:K,工业节能技术装备推荐目录!D:D,'Improvement in Eqpt Efficiency'!A3,工业节能技术装备推荐目录!F:F,'Improvement in Eqpt Efficiency'!$A$1,工业节能技术装备推荐目录!A:A,"2020")+SUMIFS(用能设备节能分配!Q:Q,用能设备节能分配!O:O,'Improvement in Eqpt Efficiency'!A3,用能设备节能分配!P:P,'Improvement in Eqpt Efficiency'!$A$1,用能设备节能分配!M:M,"2020")+SUMIFS(工业节能技术装备推荐目录!K:K,工业节能技术装备推荐目录!D:D,'Improvement in Eqpt Efficiency'!A3,工业节能技术装备推荐目录!F:F,'Improvement in Eqpt Efficiency'!$A$1,工业节能技术装备推荐目录!A:A,"2022")+SUMIFS(用能设备节能分配!Q:Q,用能设备节能分配!O:O,'Improvement in Eqpt Efficiency'!A3,用能设备节能分配!P:P,'Improvement in Eqpt Efficiency'!$A$1,用能设备节能分配!M:M,"2022")</f>
        <v>3.6245188154418222</v>
      </c>
      <c r="H3" s="73">
        <f>SUMIFS(工业节能技术装备推荐目录!K:K,工业节能技术装备推荐目录!D:D,'Improvement in Eqpt Efficiency'!A3,工业节能技术装备推荐目录!F:F,'Improvement in Eqpt Efficiency'!$A$1,工业节能技术装备推荐目录!A:A,"2022")+SUMIFS(用能设备节能分配!Q:Q,用能设备节能分配!O:O,'Improvement in Eqpt Efficiency'!A3,用能设备节能分配!P:P,'Improvement in Eqpt Efficiency'!$A$1,用能设备节能分配!M:M,"2022")</f>
        <v>2.9123797917827359</v>
      </c>
      <c r="I3" s="73">
        <f>SUMIFS(工业节能技术装备推荐目录!K:K,工业节能技术装备推荐目录!D:D,'Improvement in Eqpt Efficiency'!A3,工业节能技术装备推荐目录!F:F,'Improvement in Eqpt Efficiency'!$A$1,工业节能技术装备推荐目录!A:A,"2022")+SUMIFS(用能设备节能分配!Q:Q,用能设备节能分配!O:O,'Improvement in Eqpt Efficiency'!A3,用能设备节能分配!P:P,'Improvement in Eqpt Efficiency'!$A$1,用能设备节能分配!M:M,"2022")</f>
        <v>2.9123797917827359</v>
      </c>
      <c r="K3" s="52"/>
      <c r="L3" s="26" t="s">
        <v>99</v>
      </c>
      <c r="M3" s="50">
        <f>SUMIFS(工业节能技术装备推荐目录!L:L,工业节能技术装备推荐目录!D:D,'Improvement in Eqpt Efficiency'!A3,工业节能技术装备推荐目录!F:F,'Improvement in Eqpt Efficiency'!$A$1)</f>
        <v>0</v>
      </c>
      <c r="N3" s="73">
        <f>SUMIFS(工业节能技术装备推荐目录!K:K,工业节能技术装备推荐目录!D:D,'Improvement in Eqpt Efficiency'!A3,工业节能技术装备推荐目录!F:F,'Improvement in Eqpt Efficiency'!$A$1,工业节能技术装备推荐目录!A:A,"2020")</f>
        <v>0</v>
      </c>
      <c r="O3" s="73">
        <f>SUMIFS(工业节能技术装备推荐目录!K:K,工业节能技术装备推荐目录!D:D,'Improvement in Eqpt Efficiency'!A3,工业节能技术装备推荐目录!F:F,'Improvement in Eqpt Efficiency'!$A$1,工业节能技术装备推荐目录!A:A,"2020")+SUMIFS(工业节能技术装备推荐目录!K:K,工业节能技术装备推荐目录!D:D,'Improvement in Eqpt Efficiency'!A3,工业节能技术装备推荐目录!F:F,'Improvement in Eqpt Efficiency'!$A$1,工业节能技术装备推荐目录!A:A,"2021")</f>
        <v>0</v>
      </c>
      <c r="P3" s="73">
        <f>SUMIFS(工业节能技术装备推荐目录!K:K,工业节能技术装备推荐目录!D:D,'Improvement in Eqpt Efficiency'!A3,工业节能技术装备推荐目录!F:F,'Improvement in Eqpt Efficiency'!$A$1,工业节能技术装备推荐目录!A:A,"2020")+SUMIFS(工业节能技术装备推荐目录!K:K,工业节能技术装备推荐目录!D:D,'Improvement in Eqpt Efficiency'!A3,工业节能技术装备推荐目录!F:F,'Improvement in Eqpt Efficiency'!$A$1,工业节能技术装备推荐目录!A:A,"2021")+SUMIFS(工业节能技术装备推荐目录!K:K,工业节能技术装备推荐目录!D:D,'Improvement in Eqpt Efficiency'!A3,工业节能技术装备推荐目录!F:F,'Improvement in Eqpt Efficiency'!$A$1,工业节能技术装备推荐目录!A:A,"2022")</f>
        <v>0</v>
      </c>
      <c r="Q3" s="73">
        <f>SUMIFS(工业节能技术装备推荐目录!K:K,工业节能技术装备推荐目录!D:D,'Improvement in Eqpt Efficiency'!A3,工业节能技术装备推荐目录!F:F,'Improvement in Eqpt Efficiency'!$A$1,工业节能技术装备推荐目录!A:A,"2020")+SUMIFS(工业节能技术装备推荐目录!K:K,工业节能技术装备推荐目录!D:D,'Improvement in Eqpt Efficiency'!A3,工业节能技术装备推荐目录!F:F,'Improvement in Eqpt Efficiency'!$A$1,工业节能技术装备推荐目录!A:A,"2021")+SUMIFS(工业节能技术装备推荐目录!K:K,工业节能技术装备推荐目录!D:D,'Improvement in Eqpt Efficiency'!A3,工业节能技术装备推荐目录!F:F,'Improvement in Eqpt Efficiency'!$A$1,工业节能技术装备推荐目录!A:A,"2022")</f>
        <v>0</v>
      </c>
      <c r="R3" s="73">
        <f>SUMIFS(工业节能技术装备推荐目录!K:K,工业节能技术装备推荐目录!D:D,'Improvement in Eqpt Efficiency'!A3,工业节能技术装备推荐目录!F:F,'Improvement in Eqpt Efficiency'!$A$1,工业节能技术装备推荐目录!A:A,"2020")+SUMIFS(工业节能技术装备推荐目录!K:K,工业节能技术装备推荐目录!D:D,'Improvement in Eqpt Efficiency'!A3,工业节能技术装备推荐目录!F:F,'Improvement in Eqpt Efficiency'!$A$1,工业节能技术装备推荐目录!A:A,"2022")</f>
        <v>0</v>
      </c>
      <c r="S3" s="73">
        <f>SUMIFS(工业节能技术装备推荐目录!K:K,工业节能技术装备推荐目录!D:D,'Improvement in Eqpt Efficiency'!A3,工业节能技术装备推荐目录!F:F,'Improvement in Eqpt Efficiency'!$A$1,工业节能技术装备推荐目录!A:A,"2022")</f>
        <v>0</v>
      </c>
      <c r="T3" s="73">
        <f>SUMIFS(工业节能技术装备推荐目录!K:K,工业节能技术装备推荐目录!D:D,'Improvement in Eqpt Efficiency'!A3,工业节能技术装备推荐目录!F:F,'Improvement in Eqpt Efficiency'!$A$1,工业节能技术装备推荐目录!A:A,"2022")</f>
        <v>0</v>
      </c>
    </row>
    <row r="4" spans="1:20" x14ac:dyDescent="0.15">
      <c r="A4" s="26" t="s">
        <v>35</v>
      </c>
      <c r="B4" s="50">
        <f>SUMIFS(工业节能技术装备推荐目录!L:L,工业节能技术装备推荐目录!D:D,'Improvement in Eqpt Efficiency'!A4,工业节能技术装备推荐目录!F:F,'Improvement in Eqpt Efficiency'!$A$1)+SUMIFS(用能设备节能分配!R:R,用能设备节能分配!O:O,'Improvement in Eqpt Efficiency'!A4,用能设备节能分配!P:P,'Improvement in Eqpt Efficiency'!$A$1)</f>
        <v>242.3533201570518</v>
      </c>
      <c r="C4" s="73">
        <f>SUMIFS(工业节能技术装备推荐目录!K:K,工业节能技术装备推荐目录!D:D,'Improvement in Eqpt Efficiency'!A4,工业节能技术装备推荐目录!F:F,'Improvement in Eqpt Efficiency'!$A$1,工业节能技术装备推荐目录!A:A,"2020")+SUMIFS(用能设备节能分配!Q:Q,用能设备节能分配!O:O,'Improvement in Eqpt Efficiency'!A4,用能设备节能分配!P:P,'Improvement in Eqpt Efficiency'!$A$1,用能设备节能分配!M:M,"2020")</f>
        <v>0.85640427171224398</v>
      </c>
      <c r="D4" s="73">
        <f>SUMIFS(工业节能技术装备推荐目录!K:K,工业节能技术装备推荐目录!D:D,'Improvement in Eqpt Efficiency'!A4,工业节能技术装备推荐目录!F:F,'Improvement in Eqpt Efficiency'!$A$1,工业节能技术装备推荐目录!A:A,"2020")+SUMIFS(用能设备节能分配!Q:Q,用能设备节能分配!O:O,'Improvement in Eqpt Efficiency'!A4,用能设备节能分配!P:P,'Improvement in Eqpt Efficiency'!$A$1,用能设备节能分配!M:M,"2020")+SUMIFS(工业节能技术装备推荐目录!K:K,工业节能技术装备推荐目录!D:D,'Improvement in Eqpt Efficiency'!A4,工业节能技术装备推荐目录!F:F,'Improvement in Eqpt Efficiency'!$A$1,工业节能技术装备推荐目录!A:A,"2021")+SUMIFS(用能设备节能分配!Q:Q,用能设备节能分配!O:O,'Improvement in Eqpt Efficiency'!A4,用能设备节能分配!P:P,'Improvement in Eqpt Efficiency'!$A$1,用能设备节能分配!M:M,"2021")</f>
        <v>14.107839313183465</v>
      </c>
      <c r="E4" s="73">
        <f>SUMIFS(工业节能技术装备推荐目录!K:K,工业节能技术装备推荐目录!D:D,'Improvement in Eqpt Efficiency'!A4,工业节能技术装备推荐目录!F:F,'Improvement in Eqpt Efficiency'!$A$1,工业节能技术装备推荐目录!A:A,"2020")+SUMIFS(用能设备节能分配!Q:Q,用能设备节能分配!O:O,'Improvement in Eqpt Efficiency'!A4,用能设备节能分配!P:P,'Improvement in Eqpt Efficiency'!$A$1,用能设备节能分配!M:M,"2020")+SUMIFS(工业节能技术装备推荐目录!K:K,工业节能技术装备推荐目录!D:D,'Improvement in Eqpt Efficiency'!A4,工业节能技术装备推荐目录!F:F,'Improvement in Eqpt Efficiency'!$A$1,工业节能技术装备推荐目录!A:A,"2021")+SUMIFS(用能设备节能分配!Q:Q,用能设备节能分配!O:O,'Improvement in Eqpt Efficiency'!A4,用能设备节能分配!P:P,'Improvement in Eqpt Efficiency'!$A$1,用能设备节能分配!M:M,"2021")+SUMIFS(工业节能技术装备推荐目录!K:K,工业节能技术装备推荐目录!D:D,'Improvement in Eqpt Efficiency'!A4,工业节能技术装备推荐目录!F:F,'Improvement in Eqpt Efficiency'!$A$1,工业节能技术装备推荐目录!A:A,"2022")+SUMIFS(用能设备节能分配!Q:Q,用能设备节能分配!O:O,'Improvement in Eqpt Efficiency'!A4,用能设备节能分配!P:P,'Improvement in Eqpt Efficiency'!$A$1,用能设备节能分配!M:M,"2022")</f>
        <v>19.59621639498652</v>
      </c>
      <c r="F4" s="73">
        <f>SUMIFS(工业节能技术装备推荐目录!K:K,工业节能技术装备推荐目录!D:D,'Improvement in Eqpt Efficiency'!A4,工业节能技术装备推荐目录!F:F,'Improvement in Eqpt Efficiency'!$A$1,工业节能技术装备推荐目录!A:A,"2020")+SUMIFS(用能设备节能分配!Q:Q,用能设备节能分配!O:O,'Improvement in Eqpt Efficiency'!A4,用能设备节能分配!P:P,'Improvement in Eqpt Efficiency'!$A$1,用能设备节能分配!M:M,"2020")+SUMIFS(工业节能技术装备推荐目录!K:K,工业节能技术装备推荐目录!D:D,'Improvement in Eqpt Efficiency'!A4,工业节能技术装备推荐目录!F:F,'Improvement in Eqpt Efficiency'!$A$1,工业节能技术装备推荐目录!A:A,"2021")+SUMIFS(用能设备节能分配!Q:Q,用能设备节能分配!O:O,'Improvement in Eqpt Efficiency'!A4,用能设备节能分配!P:P,'Improvement in Eqpt Efficiency'!$A$1,用能设备节能分配!M:M,"2021")+SUMIFS(工业节能技术装备推荐目录!K:K,工业节能技术装备推荐目录!D:D,'Improvement in Eqpt Efficiency'!A4,工业节能技术装备推荐目录!F:F,'Improvement in Eqpt Efficiency'!$A$1,工业节能技术装备推荐目录!A:A,"2022")+SUMIFS(用能设备节能分配!Q:Q,用能设备节能分配!O:O,'Improvement in Eqpt Efficiency'!A4,用能设备节能分配!P:P,'Improvement in Eqpt Efficiency'!$A$1,用能设备节能分配!M:M,"2022")</f>
        <v>19.59621639498652</v>
      </c>
      <c r="G4" s="73">
        <f>SUMIFS(工业节能技术装备推荐目录!K:K,工业节能技术装备推荐目录!D:D,'Improvement in Eqpt Efficiency'!A4,工业节能技术装备推荐目录!F:F,'Improvement in Eqpt Efficiency'!$A$1,工业节能技术装备推荐目录!A:A,"2020")+SUMIFS(用能设备节能分配!Q:Q,用能设备节能分配!O:O,'Improvement in Eqpt Efficiency'!A4,用能设备节能分配!P:P,'Improvement in Eqpt Efficiency'!$A$1,用能设备节能分配!M:M,"2020")+SUMIFS(工业节能技术装备推荐目录!K:K,工业节能技术装备推荐目录!D:D,'Improvement in Eqpt Efficiency'!A4,工业节能技术装备推荐目录!F:F,'Improvement in Eqpt Efficiency'!$A$1,工业节能技术装备推荐目录!A:A,"2022")+SUMIFS(用能设备节能分配!Q:Q,用能设备节能分配!O:O,'Improvement in Eqpt Efficiency'!A4,用能设备节能分配!P:P,'Improvement in Eqpt Efficiency'!$A$1,用能设备节能分配!M:M,"2022")</f>
        <v>6.344781353515299</v>
      </c>
      <c r="H4" s="73">
        <f>SUMIFS(工业节能技术装备推荐目录!K:K,工业节能技术装备推荐目录!D:D,'Improvement in Eqpt Efficiency'!A4,工业节能技术装备推荐目录!F:F,'Improvement in Eqpt Efficiency'!$A$1,工业节能技术装备推荐目录!A:A,"2022")+SUMIFS(用能设备节能分配!Q:Q,用能设备节能分配!O:O,'Improvement in Eqpt Efficiency'!A4,用能设备节能分配!P:P,'Improvement in Eqpt Efficiency'!$A$1,用能设备节能分配!M:M,"2022")</f>
        <v>5.4883770818030548</v>
      </c>
      <c r="I4" s="73">
        <f>SUMIFS(工业节能技术装备推荐目录!K:K,工业节能技术装备推荐目录!D:D,'Improvement in Eqpt Efficiency'!A4,工业节能技术装备推荐目录!F:F,'Improvement in Eqpt Efficiency'!$A$1,工业节能技术装备推荐目录!A:A,"2022")+SUMIFS(用能设备节能分配!Q:Q,用能设备节能分配!O:O,'Improvement in Eqpt Efficiency'!A4,用能设备节能分配!P:P,'Improvement in Eqpt Efficiency'!$A$1,用能设备节能分配!M:M,"2022")</f>
        <v>5.4883770818030548</v>
      </c>
      <c r="K4" s="52"/>
      <c r="L4" s="26" t="s">
        <v>35</v>
      </c>
      <c r="M4" s="50">
        <f>SUMIFS(工业节能技术装备推荐目录!L:L,工业节能技术装备推荐目录!D:D,'Improvement in Eqpt Efficiency'!A4,工业节能技术装备推荐目录!F:F,'Improvement in Eqpt Efficiency'!$A$1)</f>
        <v>150.97499999999999</v>
      </c>
      <c r="N4" s="73">
        <f>SUMIFS(工业节能技术装备推荐目录!K:K,工业节能技术装备推荐目录!D:D,'Improvement in Eqpt Efficiency'!A4,工业节能技术装备推荐目录!F:F,'Improvement in Eqpt Efficiency'!$A$1,工业节能技术装备推荐目录!A:A,"2020")</f>
        <v>0</v>
      </c>
      <c r="O4" s="73">
        <f>SUMIFS(工业节能技术装备推荐目录!K:K,工业节能技术装备推荐目录!D:D,'Improvement in Eqpt Efficiency'!A4,工业节能技术装备推荐目录!F:F,'Improvement in Eqpt Efficiency'!$A$1,工业节能技术装备推荐目录!A:A,"2020")+SUMIFS(工业节能技术装备推荐目录!K:K,工业节能技术装备推荐目录!D:D,'Improvement in Eqpt Efficiency'!A4,工业节能技术装备推荐目录!F:F,'Improvement in Eqpt Efficiency'!$A$1,工业节能技术装备推荐目录!A:A,"2021")</f>
        <v>6.1</v>
      </c>
      <c r="P4" s="73">
        <f>SUMIFS(工业节能技术装备推荐目录!K:K,工业节能技术装备推荐目录!D:D,'Improvement in Eqpt Efficiency'!A4,工业节能技术装备推荐目录!F:F,'Improvement in Eqpt Efficiency'!$A$1,工业节能技术装备推荐目录!A:A,"2020")+SUMIFS(工业节能技术装备推荐目录!K:K,工业节能技术装备推荐目录!D:D,'Improvement in Eqpt Efficiency'!A4,工业节能技术装备推荐目录!F:F,'Improvement in Eqpt Efficiency'!$A$1,工业节能技术装备推荐目录!A:A,"2021")+SUMIFS(工业节能技术装备推荐目录!K:K,工业节能技术装备推荐目录!D:D,'Improvement in Eqpt Efficiency'!A4,工业节能技术装备推荐目录!F:F,'Improvement in Eqpt Efficiency'!$A$1,工业节能技术装备推荐目录!A:A,"2022")</f>
        <v>6.1</v>
      </c>
      <c r="Q4" s="73">
        <f>SUMIFS(工业节能技术装备推荐目录!K:K,工业节能技术装备推荐目录!D:D,'Improvement in Eqpt Efficiency'!A4,工业节能技术装备推荐目录!F:F,'Improvement in Eqpt Efficiency'!$A$1,工业节能技术装备推荐目录!A:A,"2020")+SUMIFS(工业节能技术装备推荐目录!K:K,工业节能技术装备推荐目录!D:D,'Improvement in Eqpt Efficiency'!A4,工业节能技术装备推荐目录!F:F,'Improvement in Eqpt Efficiency'!$A$1,工业节能技术装备推荐目录!A:A,"2021")+SUMIFS(工业节能技术装备推荐目录!K:K,工业节能技术装备推荐目录!D:D,'Improvement in Eqpt Efficiency'!A4,工业节能技术装备推荐目录!F:F,'Improvement in Eqpt Efficiency'!$A$1,工业节能技术装备推荐目录!A:A,"2022")</f>
        <v>6.1</v>
      </c>
      <c r="R4" s="73">
        <f>SUMIFS(工业节能技术装备推荐目录!K:K,工业节能技术装备推荐目录!D:D,'Improvement in Eqpt Efficiency'!A4,工业节能技术装备推荐目录!F:F,'Improvement in Eqpt Efficiency'!$A$1,工业节能技术装备推荐目录!A:A,"2020")+SUMIFS(工业节能技术装备推荐目录!K:K,工业节能技术装备推荐目录!D:D,'Improvement in Eqpt Efficiency'!A4,工业节能技术装备推荐目录!F:F,'Improvement in Eqpt Efficiency'!$A$1,工业节能技术装备推荐目录!A:A,"2022")</f>
        <v>0</v>
      </c>
      <c r="S4" s="73">
        <f>SUMIFS(工业节能技术装备推荐目录!K:K,工业节能技术装备推荐目录!D:D,'Improvement in Eqpt Efficiency'!A4,工业节能技术装备推荐目录!F:F,'Improvement in Eqpt Efficiency'!$A$1,工业节能技术装备推荐目录!A:A,"2022")</f>
        <v>0</v>
      </c>
      <c r="T4" s="73">
        <f>SUMIFS(工业节能技术装备推荐目录!K:K,工业节能技术装备推荐目录!D:D,'Improvement in Eqpt Efficiency'!A4,工业节能技术装备推荐目录!F:F,'Improvement in Eqpt Efficiency'!$A$1,工业节能技术装备推荐目录!A:A,"2022")</f>
        <v>0</v>
      </c>
    </row>
    <row r="5" spans="1:20" x14ac:dyDescent="0.15">
      <c r="A5" s="26" t="s">
        <v>67</v>
      </c>
      <c r="B5" s="50">
        <f>SUMIFS(工业节能技术装备推荐目录!L:L,工业节能技术装备推荐目录!D:D,'Improvement in Eqpt Efficiency'!A5,工业节能技术装备推荐目录!F:F,'Improvement in Eqpt Efficiency'!$A$1)+SUMIFS(用能设备节能分配!R:R,用能设备节能分配!O:O,'Improvement in Eqpt Efficiency'!A5,用能设备节能分配!P:P,'Improvement in Eqpt Efficiency'!$A$1)</f>
        <v>827.84707240490695</v>
      </c>
      <c r="C5" s="73">
        <f>SUMIFS(工业节能技术装备推荐目录!K:K,工业节能技术装备推荐目录!D:D,'Improvement in Eqpt Efficiency'!A5,工业节能技术装备推荐目录!F:F,'Improvement in Eqpt Efficiency'!$A$1,工业节能技术装备推荐目录!A:A,"2020")+SUMIFS(用能设备节能分配!Q:Q,用能设备节能分配!O:O,'Improvement in Eqpt Efficiency'!A5,用能设备节能分配!P:P,'Improvement in Eqpt Efficiency'!$A$1,用能设备节能分配!M:M,"2020")</f>
        <v>108.31505180769727</v>
      </c>
      <c r="D5" s="73">
        <f>SUMIFS(工业节能技术装备推荐目录!K:K,工业节能技术装备推荐目录!D:D,'Improvement in Eqpt Efficiency'!A5,工业节能技术装备推荐目录!F:F,'Improvement in Eqpt Efficiency'!$A$1,工业节能技术装备推荐目录!A:A,"2020")+SUMIFS(用能设备节能分配!Q:Q,用能设备节能分配!O:O,'Improvement in Eqpt Efficiency'!A5,用能设备节能分配!P:P,'Improvement in Eqpt Efficiency'!$A$1,用能设备节能分配!M:M,"2020")+SUMIFS(工业节能技术装备推荐目录!K:K,工业节能技术装备推荐目录!D:D,'Improvement in Eqpt Efficiency'!A5,工业节能技术装备推荐目录!F:F,'Improvement in Eqpt Efficiency'!$A$1,工业节能技术装备推荐目录!A:A,"2021")+SUMIFS(用能设备节能分配!Q:Q,用能设备节能分配!O:O,'Improvement in Eqpt Efficiency'!A5,用能设备节能分配!P:P,'Improvement in Eqpt Efficiency'!$A$1,用能设备节能分配!M:M,"2021")</f>
        <v>110.37659914565712</v>
      </c>
      <c r="E5" s="73">
        <f>SUMIFS(工业节能技术装备推荐目录!K:K,工业节能技术装备推荐目录!D:D,'Improvement in Eqpt Efficiency'!A5,工业节能技术装备推荐目录!F:F,'Improvement in Eqpt Efficiency'!$A$1,工业节能技术装备推荐目录!A:A,"2020")+SUMIFS(用能设备节能分配!Q:Q,用能设备节能分配!O:O,'Improvement in Eqpt Efficiency'!A5,用能设备节能分配!P:P,'Improvement in Eqpt Efficiency'!$A$1,用能设备节能分配!M:M,"2020")+SUMIFS(工业节能技术装备推荐目录!K:K,工业节能技术装备推荐目录!D:D,'Improvement in Eqpt Efficiency'!A5,工业节能技术装备推荐目录!F:F,'Improvement in Eqpt Efficiency'!$A$1,工业节能技术装备推荐目录!A:A,"2021")+SUMIFS(用能设备节能分配!Q:Q,用能设备节能分配!O:O,'Improvement in Eqpt Efficiency'!A5,用能设备节能分配!P:P,'Improvement in Eqpt Efficiency'!$A$1,用能设备节能分配!M:M,"2021")+SUMIFS(工业节能技术装备推荐目录!K:K,工业节能技术装备推荐目录!D:D,'Improvement in Eqpt Efficiency'!A5,工业节能技术装备推荐目录!F:F,'Improvement in Eqpt Efficiency'!$A$1,工业节能技术装备推荐目录!A:A,"2022")+SUMIFS(用能设备节能分配!Q:Q,用能设备节能分配!O:O,'Improvement in Eqpt Efficiency'!A5,用能设备节能分配!P:P,'Improvement in Eqpt Efficiency'!$A$1,用能设备节能分配!M:M,"2022")</f>
        <v>111.66504211482295</v>
      </c>
      <c r="F5" s="73">
        <f>SUMIFS(工业节能技术装备推荐目录!K:K,工业节能技术装备推荐目录!D:D,'Improvement in Eqpt Efficiency'!A5,工业节能技术装备推荐目录!F:F,'Improvement in Eqpt Efficiency'!$A$1,工业节能技术装备推荐目录!A:A,"2020")+SUMIFS(用能设备节能分配!Q:Q,用能设备节能分配!O:O,'Improvement in Eqpt Efficiency'!A5,用能设备节能分配!P:P,'Improvement in Eqpt Efficiency'!$A$1,用能设备节能分配!M:M,"2020")+SUMIFS(工业节能技术装备推荐目录!K:K,工业节能技术装备推荐目录!D:D,'Improvement in Eqpt Efficiency'!A5,工业节能技术装备推荐目录!F:F,'Improvement in Eqpt Efficiency'!$A$1,工业节能技术装备推荐目录!A:A,"2021")+SUMIFS(用能设备节能分配!Q:Q,用能设备节能分配!O:O,'Improvement in Eqpt Efficiency'!A5,用能设备节能分配!P:P,'Improvement in Eqpt Efficiency'!$A$1,用能设备节能分配!M:M,"2021")+SUMIFS(工业节能技术装备推荐目录!K:K,工业节能技术装备推荐目录!D:D,'Improvement in Eqpt Efficiency'!A5,工业节能技术装备推荐目录!F:F,'Improvement in Eqpt Efficiency'!$A$1,工业节能技术装备推荐目录!A:A,"2022")+SUMIFS(用能设备节能分配!Q:Q,用能设备节能分配!O:O,'Improvement in Eqpt Efficiency'!A5,用能设备节能分配!P:P,'Improvement in Eqpt Efficiency'!$A$1,用能设备节能分配!M:M,"2022")</f>
        <v>111.66504211482295</v>
      </c>
      <c r="G5" s="73">
        <f>SUMIFS(工业节能技术装备推荐目录!K:K,工业节能技术装备推荐目录!D:D,'Improvement in Eqpt Efficiency'!A5,工业节能技术装备推荐目录!F:F,'Improvement in Eqpt Efficiency'!$A$1,工业节能技术装备推荐目录!A:A,"2020")+SUMIFS(用能设备节能分配!Q:Q,用能设备节能分配!O:O,'Improvement in Eqpt Efficiency'!A5,用能设备节能分配!P:P,'Improvement in Eqpt Efficiency'!$A$1,用能设备节能分配!M:M,"2020")+SUMIFS(工业节能技术装备推荐目录!K:K,工业节能技术装备推荐目录!D:D,'Improvement in Eqpt Efficiency'!A5,工业节能技术装备推荐目录!F:F,'Improvement in Eqpt Efficiency'!$A$1,工业节能技术装备推荐目录!A:A,"2022")+SUMIFS(用能设备节能分配!Q:Q,用能设备节能分配!O:O,'Improvement in Eqpt Efficiency'!A5,用能设备节能分配!P:P,'Improvement in Eqpt Efficiency'!$A$1,用能设备节能分配!M:M,"2022")</f>
        <v>109.6034947768631</v>
      </c>
      <c r="H5" s="73">
        <f>SUMIFS(工业节能技术装备推荐目录!K:K,工业节能技术装备推荐目录!D:D,'Improvement in Eqpt Efficiency'!A5,工业节能技术装备推荐目录!F:F,'Improvement in Eqpt Efficiency'!$A$1,工业节能技术装备推荐目录!A:A,"2022")+SUMIFS(用能设备节能分配!Q:Q,用能设备节能分配!O:O,'Improvement in Eqpt Efficiency'!A5,用能设备节能分配!P:P,'Improvement in Eqpt Efficiency'!$A$1,用能设备节能分配!M:M,"2022")</f>
        <v>1.2884429691658261</v>
      </c>
      <c r="I5" s="73">
        <f>SUMIFS(工业节能技术装备推荐目录!K:K,工业节能技术装备推荐目录!D:D,'Improvement in Eqpt Efficiency'!A5,工业节能技术装备推荐目录!F:F,'Improvement in Eqpt Efficiency'!$A$1,工业节能技术装备推荐目录!A:A,"2022")+SUMIFS(用能设备节能分配!Q:Q,用能设备节能分配!O:O,'Improvement in Eqpt Efficiency'!A5,用能设备节能分配!P:P,'Improvement in Eqpt Efficiency'!$A$1,用能设备节能分配!M:M,"2022")</f>
        <v>1.2884429691658261</v>
      </c>
      <c r="K5" s="52"/>
      <c r="L5" s="26" t="s">
        <v>67</v>
      </c>
      <c r="M5" s="50">
        <f>SUMIFS(工业节能技术装备推荐目录!L:L,工业节能技术装备推荐目录!D:D,'Improvement in Eqpt Efficiency'!A5,工业节能技术装备推荐目录!F:F,'Improvement in Eqpt Efficiency'!$A$1)</f>
        <v>800</v>
      </c>
      <c r="N5" s="73">
        <f>SUMIFS(工业节能技术装备推荐目录!K:K,工业节能技术装备推荐目录!D:D,'Improvement in Eqpt Efficiency'!A5,工业节能技术装备推荐目录!F:F,'Improvement in Eqpt Efficiency'!$A$1,工业节能技术装备推荐目录!A:A,"2020")</f>
        <v>108</v>
      </c>
      <c r="O5" s="73">
        <f>SUMIFS(工业节能技术装备推荐目录!K:K,工业节能技术装备推荐目录!D:D,'Improvement in Eqpt Efficiency'!A5,工业节能技术装备推荐目录!F:F,'Improvement in Eqpt Efficiency'!$A$1,工业节能技术装备推荐目录!A:A,"2020")+SUMIFS(工业节能技术装备推荐目录!K:K,工业节能技术装备推荐目录!D:D,'Improvement in Eqpt Efficiency'!A5,工业节能技术装备推荐目录!F:F,'Improvement in Eqpt Efficiency'!$A$1,工业节能技术装备推荐目录!A:A,"2021")</f>
        <v>108</v>
      </c>
      <c r="P5" s="73">
        <f>SUMIFS(工业节能技术装备推荐目录!K:K,工业节能技术装备推荐目录!D:D,'Improvement in Eqpt Efficiency'!A5,工业节能技术装备推荐目录!F:F,'Improvement in Eqpt Efficiency'!$A$1,工业节能技术装备推荐目录!A:A,"2020")+SUMIFS(工业节能技术装备推荐目录!K:K,工业节能技术装备推荐目录!D:D,'Improvement in Eqpt Efficiency'!A5,工业节能技术装备推荐目录!F:F,'Improvement in Eqpt Efficiency'!$A$1,工业节能技术装备推荐目录!A:A,"2021")+SUMIFS(工业节能技术装备推荐目录!K:K,工业节能技术装备推荐目录!D:D,'Improvement in Eqpt Efficiency'!A5,工业节能技术装备推荐目录!F:F,'Improvement in Eqpt Efficiency'!$A$1,工业节能技术装备推荐目录!A:A,"2022")</f>
        <v>108</v>
      </c>
      <c r="Q5" s="73">
        <f>SUMIFS(工业节能技术装备推荐目录!K:K,工业节能技术装备推荐目录!D:D,'Improvement in Eqpt Efficiency'!A5,工业节能技术装备推荐目录!F:F,'Improvement in Eqpt Efficiency'!$A$1,工业节能技术装备推荐目录!A:A,"2020")+SUMIFS(工业节能技术装备推荐目录!K:K,工业节能技术装备推荐目录!D:D,'Improvement in Eqpt Efficiency'!A5,工业节能技术装备推荐目录!F:F,'Improvement in Eqpt Efficiency'!$A$1,工业节能技术装备推荐目录!A:A,"2021")+SUMIFS(工业节能技术装备推荐目录!K:K,工业节能技术装备推荐目录!D:D,'Improvement in Eqpt Efficiency'!A5,工业节能技术装备推荐目录!F:F,'Improvement in Eqpt Efficiency'!$A$1,工业节能技术装备推荐目录!A:A,"2022")</f>
        <v>108</v>
      </c>
      <c r="R5" s="73">
        <f>SUMIFS(工业节能技术装备推荐目录!K:K,工业节能技术装备推荐目录!D:D,'Improvement in Eqpt Efficiency'!A5,工业节能技术装备推荐目录!F:F,'Improvement in Eqpt Efficiency'!$A$1,工业节能技术装备推荐目录!A:A,"2020")+SUMIFS(工业节能技术装备推荐目录!K:K,工业节能技术装备推荐目录!D:D,'Improvement in Eqpt Efficiency'!A5,工业节能技术装备推荐目录!F:F,'Improvement in Eqpt Efficiency'!$A$1,工业节能技术装备推荐目录!A:A,"2022")</f>
        <v>108</v>
      </c>
      <c r="S5" s="73">
        <f>SUMIFS(工业节能技术装备推荐目录!K:K,工业节能技术装备推荐目录!D:D,'Improvement in Eqpt Efficiency'!A5,工业节能技术装备推荐目录!F:F,'Improvement in Eqpt Efficiency'!$A$1,工业节能技术装备推荐目录!A:A,"2022")</f>
        <v>0</v>
      </c>
      <c r="T5" s="73">
        <f>SUMIFS(工业节能技术装备推荐目录!K:K,工业节能技术装备推荐目录!D:D,'Improvement in Eqpt Efficiency'!A5,工业节能技术装备推荐目录!F:F,'Improvement in Eqpt Efficiency'!$A$1,工业节能技术装备推荐目录!A:A,"2022")</f>
        <v>0</v>
      </c>
    </row>
    <row r="6" spans="1:20" x14ac:dyDescent="0.15">
      <c r="A6" s="26" t="s">
        <v>100</v>
      </c>
      <c r="B6" s="50">
        <f>SUMIFS(工业节能技术装备推荐目录!L:L,工业节能技术装备推荐目录!D:D,'Improvement in Eqpt Efficiency'!A6,工业节能技术装备推荐目录!F:F,'Improvement in Eqpt Efficiency'!$A$1)+SUMIFS(用能设备节能分配!R:R,用能设备节能分配!O:O,'Improvement in Eqpt Efficiency'!A6,用能设备节能分配!P:P,'Improvement in Eqpt Efficiency'!$A$1)</f>
        <v>21.39737245202793</v>
      </c>
      <c r="C6" s="73">
        <f>SUMIFS(工业节能技术装备推荐目录!K:K,工业节能技术装备推荐目录!D:D,'Improvement in Eqpt Efficiency'!A6,工业节能技术装备推荐目录!F:F,'Improvement in Eqpt Efficiency'!$A$1,工业节能技术装备推荐目录!A:A,"2020")+SUMIFS(用能设备节能分配!Q:Q,用能设备节能分配!O:O,'Improvement in Eqpt Efficiency'!A6,用能设备节能分配!P:P,'Improvement in Eqpt Efficiency'!$A$1,用能设备节能分配!M:M,"2020")</f>
        <v>0.2420822114785541</v>
      </c>
      <c r="D6" s="73">
        <f>SUMIFS(工业节能技术装备推荐目录!K:K,工业节能技术装备推荐目录!D:D,'Improvement in Eqpt Efficiency'!A6,工业节能技术装备推荐目录!F:F,'Improvement in Eqpt Efficiency'!$A$1,工业节能技术装备推荐目录!A:A,"2020")+SUMIFS(用能设备节能分配!Q:Q,用能设备节能分配!O:O,'Improvement in Eqpt Efficiency'!A6,用能设备节能分配!P:P,'Improvement in Eqpt Efficiency'!$A$1,用能设备节能分配!M:M,"2020")+SUMIFS(工业节能技术装备推荐目录!K:K,工业节能技术装备推荐目录!D:D,'Improvement in Eqpt Efficiency'!A6,工业节能技术装备推荐目录!F:F,'Improvement in Eqpt Efficiency'!$A$1,工业节能技术装备推荐目录!A:A,"2021")+SUMIFS(用能设备节能分配!Q:Q,用能设备节能分配!O:O,'Improvement in Eqpt Efficiency'!A6,用能设备节能分配!P:P,'Improvement in Eqpt Efficiency'!$A$1,用能设备节能分配!M:M,"2021")</f>
        <v>1.8261516452923892</v>
      </c>
      <c r="E6" s="73">
        <f>SUMIFS(工业节能技术装备推荐目录!K:K,工业节能技术装备推荐目录!D:D,'Improvement in Eqpt Efficiency'!A6,工业节能技术装备推荐目录!F:F,'Improvement in Eqpt Efficiency'!$A$1,工业节能技术装备推荐目录!A:A,"2020")+SUMIFS(用能设备节能分配!Q:Q,用能设备节能分配!O:O,'Improvement in Eqpt Efficiency'!A6,用能设备节能分配!P:P,'Improvement in Eqpt Efficiency'!$A$1,用能设备节能分配!M:M,"2020")+SUMIFS(工业节能技术装备推荐目录!K:K,工业节能技术装备推荐目录!D:D,'Improvement in Eqpt Efficiency'!A6,工业节能技术装备推荐目录!F:F,'Improvement in Eqpt Efficiency'!$A$1,工业节能技术装备推荐目录!A:A,"2021")+SUMIFS(用能设备节能分配!Q:Q,用能设备节能分配!O:O,'Improvement in Eqpt Efficiency'!A6,用能设备节能分配!P:P,'Improvement in Eqpt Efficiency'!$A$1,用能设备节能分配!M:M,"2021")+SUMIFS(工业节能技术装备推荐目录!K:K,工业节能技术装备推荐目录!D:D,'Improvement in Eqpt Efficiency'!A6,工业节能技术装备推荐目录!F:F,'Improvement in Eqpt Efficiency'!$A$1,工业节能技术装备推荐目录!A:A,"2022")+SUMIFS(用能设备节能分配!Q:Q,用能设备节能分配!O:O,'Improvement in Eqpt Efficiency'!A6,用能设备节能分配!P:P,'Improvement in Eqpt Efficiency'!$A$1,用能设备节能分配!M:M,"2022")</f>
        <v>2.8161765101532268</v>
      </c>
      <c r="F6" s="73">
        <f>SUMIFS(工业节能技术装备推荐目录!K:K,工业节能技术装备推荐目录!D:D,'Improvement in Eqpt Efficiency'!A6,工业节能技术装备推荐目录!F:F,'Improvement in Eqpt Efficiency'!$A$1,工业节能技术装备推荐目录!A:A,"2020")+SUMIFS(用能设备节能分配!Q:Q,用能设备节能分配!O:O,'Improvement in Eqpt Efficiency'!A6,用能设备节能分配!P:P,'Improvement in Eqpt Efficiency'!$A$1,用能设备节能分配!M:M,"2020")+SUMIFS(工业节能技术装备推荐目录!K:K,工业节能技术装备推荐目录!D:D,'Improvement in Eqpt Efficiency'!A6,工业节能技术装备推荐目录!F:F,'Improvement in Eqpt Efficiency'!$A$1,工业节能技术装备推荐目录!A:A,"2021")+SUMIFS(用能设备节能分配!Q:Q,用能设备节能分配!O:O,'Improvement in Eqpt Efficiency'!A6,用能设备节能分配!P:P,'Improvement in Eqpt Efficiency'!$A$1,用能设备节能分配!M:M,"2021")+SUMIFS(工业节能技术装备推荐目录!K:K,工业节能技术装备推荐目录!D:D,'Improvement in Eqpt Efficiency'!A6,工业节能技术装备推荐目录!F:F,'Improvement in Eqpt Efficiency'!$A$1,工业节能技术装备推荐目录!A:A,"2022")+SUMIFS(用能设备节能分配!Q:Q,用能设备节能分配!O:O,'Improvement in Eqpt Efficiency'!A6,用能设备节能分配!P:P,'Improvement in Eqpt Efficiency'!$A$1,用能设备节能分配!M:M,"2022")</f>
        <v>2.8161765101532268</v>
      </c>
      <c r="G6" s="73">
        <f>SUMIFS(工业节能技术装备推荐目录!K:K,工业节能技术装备推荐目录!D:D,'Improvement in Eqpt Efficiency'!A6,工业节能技术装备推荐目录!F:F,'Improvement in Eqpt Efficiency'!$A$1,工业节能技术装备推荐目录!A:A,"2020")+SUMIFS(用能设备节能分配!Q:Q,用能设备节能分配!O:O,'Improvement in Eqpt Efficiency'!A6,用能设备节能分配!P:P,'Improvement in Eqpt Efficiency'!$A$1,用能设备节能分配!M:M,"2020")+SUMIFS(工业节能技术装备推荐目录!K:K,工业节能技术装备推荐目录!D:D,'Improvement in Eqpt Efficiency'!A6,工业节能技术装备推荐目录!F:F,'Improvement in Eqpt Efficiency'!$A$1,工业节能技术装备推荐目录!A:A,"2022")+SUMIFS(用能设备节能分配!Q:Q,用能设备节能分配!O:O,'Improvement in Eqpt Efficiency'!A6,用能设备节能分配!P:P,'Improvement in Eqpt Efficiency'!$A$1,用能设备节能分配!M:M,"2022")</f>
        <v>1.2321070763393915</v>
      </c>
      <c r="H6" s="73">
        <f>SUMIFS(工业节能技术装备推荐目录!K:K,工业节能技术装备推荐目录!D:D,'Improvement in Eqpt Efficiency'!A6,工业节能技术装备推荐目录!F:F,'Improvement in Eqpt Efficiency'!$A$1,工业节能技术装备推荐目录!A:A,"2022")+SUMIFS(用能设备节能分配!Q:Q,用能设备节能分配!O:O,'Improvement in Eqpt Efficiency'!A6,用能设备节能分配!P:P,'Improvement in Eqpt Efficiency'!$A$1,用能设备节能分配!M:M,"2022")</f>
        <v>0.99002486486083741</v>
      </c>
      <c r="I6" s="73">
        <f>SUMIFS(工业节能技术装备推荐目录!K:K,工业节能技术装备推荐目录!D:D,'Improvement in Eqpt Efficiency'!A6,工业节能技术装备推荐目录!F:F,'Improvement in Eqpt Efficiency'!$A$1,工业节能技术装备推荐目录!A:A,"2022")+SUMIFS(用能设备节能分配!Q:Q,用能设备节能分配!O:O,'Improvement in Eqpt Efficiency'!A6,用能设备节能分配!P:P,'Improvement in Eqpt Efficiency'!$A$1,用能设备节能分配!M:M,"2022")</f>
        <v>0.99002486486083741</v>
      </c>
      <c r="K6" s="52"/>
      <c r="L6" s="26" t="s">
        <v>100</v>
      </c>
      <c r="M6" s="50">
        <f>SUMIFS(工业节能技术装备推荐目录!L:L,工业节能技术装备推荐目录!D:D,'Improvement in Eqpt Efficiency'!A6,工业节能技术装备推荐目录!F:F,'Improvement in Eqpt Efficiency'!$A$1)</f>
        <v>0</v>
      </c>
      <c r="N6" s="73">
        <f>SUMIFS(工业节能技术装备推荐目录!K:K,工业节能技术装备推荐目录!D:D,'Improvement in Eqpt Efficiency'!A6,工业节能技术装备推荐目录!F:F,'Improvement in Eqpt Efficiency'!$A$1,工业节能技术装备推荐目录!A:A,"2020")</f>
        <v>0</v>
      </c>
      <c r="O6" s="73">
        <f>SUMIFS(工业节能技术装备推荐目录!K:K,工业节能技术装备推荐目录!D:D,'Improvement in Eqpt Efficiency'!A6,工业节能技术装备推荐目录!F:F,'Improvement in Eqpt Efficiency'!$A$1,工业节能技术装备推荐目录!A:A,"2020")+SUMIFS(工业节能技术装备推荐目录!K:K,工业节能技术装备推荐目录!D:D,'Improvement in Eqpt Efficiency'!A6,工业节能技术装备推荐目录!F:F,'Improvement in Eqpt Efficiency'!$A$1,工业节能技术装备推荐目录!A:A,"2021")</f>
        <v>0</v>
      </c>
      <c r="P6" s="73">
        <f>SUMIFS(工业节能技术装备推荐目录!K:K,工业节能技术装备推荐目录!D:D,'Improvement in Eqpt Efficiency'!A6,工业节能技术装备推荐目录!F:F,'Improvement in Eqpt Efficiency'!$A$1,工业节能技术装备推荐目录!A:A,"2020")+SUMIFS(工业节能技术装备推荐目录!K:K,工业节能技术装备推荐目录!D:D,'Improvement in Eqpt Efficiency'!A6,工业节能技术装备推荐目录!F:F,'Improvement in Eqpt Efficiency'!$A$1,工业节能技术装备推荐目录!A:A,"2021")+SUMIFS(工业节能技术装备推荐目录!K:K,工业节能技术装备推荐目录!D:D,'Improvement in Eqpt Efficiency'!A6,工业节能技术装备推荐目录!F:F,'Improvement in Eqpt Efficiency'!$A$1,工业节能技术装备推荐目录!A:A,"2022")</f>
        <v>0</v>
      </c>
      <c r="Q6" s="73">
        <f>SUMIFS(工业节能技术装备推荐目录!K:K,工业节能技术装备推荐目录!D:D,'Improvement in Eqpt Efficiency'!A6,工业节能技术装备推荐目录!F:F,'Improvement in Eqpt Efficiency'!$A$1,工业节能技术装备推荐目录!A:A,"2020")+SUMIFS(工业节能技术装备推荐目录!K:K,工业节能技术装备推荐目录!D:D,'Improvement in Eqpt Efficiency'!A6,工业节能技术装备推荐目录!F:F,'Improvement in Eqpt Efficiency'!$A$1,工业节能技术装备推荐目录!A:A,"2021")+SUMIFS(工业节能技术装备推荐目录!K:K,工业节能技术装备推荐目录!D:D,'Improvement in Eqpt Efficiency'!A6,工业节能技术装备推荐目录!F:F,'Improvement in Eqpt Efficiency'!$A$1,工业节能技术装备推荐目录!A:A,"2022")</f>
        <v>0</v>
      </c>
      <c r="R6" s="73">
        <f>SUMIFS(工业节能技术装备推荐目录!K:K,工业节能技术装备推荐目录!D:D,'Improvement in Eqpt Efficiency'!A6,工业节能技术装备推荐目录!F:F,'Improvement in Eqpt Efficiency'!$A$1,工业节能技术装备推荐目录!A:A,"2020")+SUMIFS(工业节能技术装备推荐目录!K:K,工业节能技术装备推荐目录!D:D,'Improvement in Eqpt Efficiency'!A6,工业节能技术装备推荐目录!F:F,'Improvement in Eqpt Efficiency'!$A$1,工业节能技术装备推荐目录!A:A,"2022")</f>
        <v>0</v>
      </c>
      <c r="S6" s="73">
        <f>SUMIFS(工业节能技术装备推荐目录!K:K,工业节能技术装备推荐目录!D:D,'Improvement in Eqpt Efficiency'!A6,工业节能技术装备推荐目录!F:F,'Improvement in Eqpt Efficiency'!$A$1,工业节能技术装备推荐目录!A:A,"2022")</f>
        <v>0</v>
      </c>
      <c r="T6" s="73">
        <f>SUMIFS(工业节能技术装备推荐目录!K:K,工业节能技术装备推荐目录!D:D,'Improvement in Eqpt Efficiency'!A6,工业节能技术装备推荐目录!F:F,'Improvement in Eqpt Efficiency'!$A$1,工业节能技术装备推荐目录!A:A,"2022")</f>
        <v>0</v>
      </c>
    </row>
    <row r="7" spans="1:20" x14ac:dyDescent="0.15">
      <c r="A7" s="26" t="s">
        <v>101</v>
      </c>
      <c r="B7" s="50">
        <f>SUMIFS(工业节能技术装备推荐目录!L:L,工业节能技术装备推荐目录!D:D,'Improvement in Eqpt Efficiency'!A7,工业节能技术装备推荐目录!F:F,'Improvement in Eqpt Efficiency'!$A$1)+SUMIFS(用能设备节能分配!R:R,用能设备节能分配!O:O,'Improvement in Eqpt Efficiency'!A7,用能设备节能分配!P:P,'Improvement in Eqpt Efficiency'!$A$1)</f>
        <v>59.377082984906103</v>
      </c>
      <c r="C7" s="73">
        <f>SUMIFS(工业节能技术装备推荐目录!K:K,工业节能技术装备推荐目录!D:D,'Improvement in Eqpt Efficiency'!A7,工业节能技术装备推荐目录!F:F,'Improvement in Eqpt Efficiency'!$A$1,工业节能技术装备推荐目录!A:A,"2020")+SUMIFS(用能设备节能分配!Q:Q,用能设备节能分配!O:O,'Improvement in Eqpt Efficiency'!A7,用能设备节能分配!P:P,'Improvement in Eqpt Efficiency'!$A$1,用能设备节能分配!M:M,"2020")</f>
        <v>3.2583044293729944</v>
      </c>
      <c r="D7" s="73">
        <f>SUMIFS(工业节能技术装备推荐目录!K:K,工业节能技术装备推荐目录!D:D,'Improvement in Eqpt Efficiency'!A7,工业节能技术装备推荐目录!F:F,'Improvement in Eqpt Efficiency'!$A$1,工业节能技术装备推荐目录!A:A,"2020")+SUMIFS(用能设备节能分配!Q:Q,用能设备节能分配!O:O,'Improvement in Eqpt Efficiency'!A7,用能设备节能分配!P:P,'Improvement in Eqpt Efficiency'!$A$1,用能设备节能分配!M:M,"2020")+SUMIFS(工业节能技术装备推荐目录!K:K,工业节能技术装备推荐目录!D:D,'Improvement in Eqpt Efficiency'!A7,工业节能技术装备推荐目录!F:F,'Improvement in Eqpt Efficiency'!$A$1,工业节能技术装备推荐目录!A:A,"2021")+SUMIFS(用能设备节能分配!Q:Q,用能设备节能分配!O:O,'Improvement in Eqpt Efficiency'!A7,用能设备节能分配!P:P,'Improvement in Eqpt Efficiency'!$A$1,用能设备节能分配!M:M,"2021")</f>
        <v>7.042659633250846</v>
      </c>
      <c r="E7" s="73">
        <f>SUMIFS(工业节能技术装备推荐目录!K:K,工业节能技术装备推荐目录!D:D,'Improvement in Eqpt Efficiency'!A7,工业节能技术装备推荐目录!F:F,'Improvement in Eqpt Efficiency'!$A$1,工业节能技术装备推荐目录!A:A,"2020")+SUMIFS(用能设备节能分配!Q:Q,用能设备节能分配!O:O,'Improvement in Eqpt Efficiency'!A7,用能设备节能分配!P:P,'Improvement in Eqpt Efficiency'!$A$1,用能设备节能分配!M:M,"2020")+SUMIFS(工业节能技术装备推荐目录!K:K,工业节能技术装备推荐目录!D:D,'Improvement in Eqpt Efficiency'!A7,工业节能技术装备推荐目录!F:F,'Improvement in Eqpt Efficiency'!$A$1,工业节能技术装备推荐目录!A:A,"2021")+SUMIFS(用能设备节能分配!Q:Q,用能设备节能分配!O:O,'Improvement in Eqpt Efficiency'!A7,用能设备节能分配!P:P,'Improvement in Eqpt Efficiency'!$A$1,用能设备节能分配!M:M,"2021")+SUMIFS(工业节能技术装备推荐目录!K:K,工业节能技术装备推荐目录!D:D,'Improvement in Eqpt Efficiency'!A7,工业节能技术装备推荐目录!F:F,'Improvement in Eqpt Efficiency'!$A$1,工业节能技术装备推荐目录!A:A,"2022")+SUMIFS(用能设备节能分配!Q:Q,用能设备节能分配!O:O,'Improvement in Eqpt Efficiency'!A7,用能设备节能分配!P:P,'Improvement in Eqpt Efficiency'!$A$1,用能设备节能分配!M:M,"2022")</f>
        <v>8.6510661556959345</v>
      </c>
      <c r="F7" s="73">
        <f>SUMIFS(工业节能技术装备推荐目录!K:K,工业节能技术装备推荐目录!D:D,'Improvement in Eqpt Efficiency'!A7,工业节能技术装备推荐目录!F:F,'Improvement in Eqpt Efficiency'!$A$1,工业节能技术装备推荐目录!A:A,"2020")+SUMIFS(用能设备节能分配!Q:Q,用能设备节能分配!O:O,'Improvement in Eqpt Efficiency'!A7,用能设备节能分配!P:P,'Improvement in Eqpt Efficiency'!$A$1,用能设备节能分配!M:M,"2020")+SUMIFS(工业节能技术装备推荐目录!K:K,工业节能技术装备推荐目录!D:D,'Improvement in Eqpt Efficiency'!A7,工业节能技术装备推荐目录!F:F,'Improvement in Eqpt Efficiency'!$A$1,工业节能技术装备推荐目录!A:A,"2021")+SUMIFS(用能设备节能分配!Q:Q,用能设备节能分配!O:O,'Improvement in Eqpt Efficiency'!A7,用能设备节能分配!P:P,'Improvement in Eqpt Efficiency'!$A$1,用能设备节能分配!M:M,"2021")+SUMIFS(工业节能技术装备推荐目录!K:K,工业节能技术装备推荐目录!D:D,'Improvement in Eqpt Efficiency'!A7,工业节能技术装备推荐目录!F:F,'Improvement in Eqpt Efficiency'!$A$1,工业节能技术装备推荐目录!A:A,"2022")+SUMIFS(用能设备节能分配!Q:Q,用能设备节能分配!O:O,'Improvement in Eqpt Efficiency'!A7,用能设备节能分配!P:P,'Improvement in Eqpt Efficiency'!$A$1,用能设备节能分配!M:M,"2022")</f>
        <v>8.6510661556959345</v>
      </c>
      <c r="G7" s="73">
        <f>SUMIFS(工业节能技术装备推荐目录!K:K,工业节能技术装备推荐目录!D:D,'Improvement in Eqpt Efficiency'!A7,工业节能技术装备推荐目录!F:F,'Improvement in Eqpt Efficiency'!$A$1,工业节能技术装备推荐目录!A:A,"2020")+SUMIFS(用能设备节能分配!Q:Q,用能设备节能分配!O:O,'Improvement in Eqpt Efficiency'!A7,用能设备节能分配!P:P,'Improvement in Eqpt Efficiency'!$A$1,用能设备节能分配!M:M,"2020")+SUMIFS(工业节能技术装备推荐目录!K:K,工业节能技术装备推荐目录!D:D,'Improvement in Eqpt Efficiency'!A7,工业节能技术装备推荐目录!F:F,'Improvement in Eqpt Efficiency'!$A$1,工业节能技术装备推荐目录!A:A,"2022")+SUMIFS(用能设备节能分配!Q:Q,用能设备节能分配!O:O,'Improvement in Eqpt Efficiency'!A7,用能设备节能分配!P:P,'Improvement in Eqpt Efficiency'!$A$1,用能设备节能分配!M:M,"2022")</f>
        <v>4.8667109518180833</v>
      </c>
      <c r="H7" s="73">
        <f>SUMIFS(工业节能技术装备推荐目录!K:K,工业节能技术装备推荐目录!D:D,'Improvement in Eqpt Efficiency'!A7,工业节能技术装备推荐目录!F:F,'Improvement in Eqpt Efficiency'!$A$1,工业节能技术装备推荐目录!A:A,"2022")+SUMIFS(用能设备节能分配!Q:Q,用能设备节能分配!O:O,'Improvement in Eqpt Efficiency'!A7,用能设备节能分配!P:P,'Improvement in Eqpt Efficiency'!$A$1,用能设备节能分配!M:M,"2022")</f>
        <v>1.6084065224450885</v>
      </c>
      <c r="I7" s="73">
        <f>SUMIFS(工业节能技术装备推荐目录!K:K,工业节能技术装备推荐目录!D:D,'Improvement in Eqpt Efficiency'!A7,工业节能技术装备推荐目录!F:F,'Improvement in Eqpt Efficiency'!$A$1,工业节能技术装备推荐目录!A:A,"2022")+SUMIFS(用能设备节能分配!Q:Q,用能设备节能分配!O:O,'Improvement in Eqpt Efficiency'!A7,用能设备节能分配!P:P,'Improvement in Eqpt Efficiency'!$A$1,用能设备节能分配!M:M,"2022")</f>
        <v>1.6084065224450885</v>
      </c>
      <c r="K7" s="52"/>
      <c r="L7" s="26" t="s">
        <v>101</v>
      </c>
      <c r="M7" s="50">
        <f>SUMIFS(工业节能技术装备推荐目录!L:L,工业节能技术装备推荐目录!D:D,'Improvement in Eqpt Efficiency'!A7,工业节能技术装备推荐目录!F:F,'Improvement in Eqpt Efficiency'!$A$1)</f>
        <v>0</v>
      </c>
      <c r="N7" s="73">
        <f>SUMIFS(工业节能技术装备推荐目录!K:K,工业节能技术装备推荐目录!D:D,'Improvement in Eqpt Efficiency'!A7,工业节能技术装备推荐目录!F:F,'Improvement in Eqpt Efficiency'!$A$1,工业节能技术装备推荐目录!A:A,"2020")</f>
        <v>0</v>
      </c>
      <c r="O7" s="73">
        <f>SUMIFS(工业节能技术装备推荐目录!K:K,工业节能技术装备推荐目录!D:D,'Improvement in Eqpt Efficiency'!A7,工业节能技术装备推荐目录!F:F,'Improvement in Eqpt Efficiency'!$A$1,工业节能技术装备推荐目录!A:A,"2020")+SUMIFS(工业节能技术装备推荐目录!K:K,工业节能技术装备推荐目录!D:D,'Improvement in Eqpt Efficiency'!A7,工业节能技术装备推荐目录!F:F,'Improvement in Eqpt Efficiency'!$A$1,工业节能技术装备推荐目录!A:A,"2021")</f>
        <v>0</v>
      </c>
      <c r="P7" s="73">
        <f>SUMIFS(工业节能技术装备推荐目录!K:K,工业节能技术装备推荐目录!D:D,'Improvement in Eqpt Efficiency'!A7,工业节能技术装备推荐目录!F:F,'Improvement in Eqpt Efficiency'!$A$1,工业节能技术装备推荐目录!A:A,"2020")+SUMIFS(工业节能技术装备推荐目录!K:K,工业节能技术装备推荐目录!D:D,'Improvement in Eqpt Efficiency'!A7,工业节能技术装备推荐目录!F:F,'Improvement in Eqpt Efficiency'!$A$1,工业节能技术装备推荐目录!A:A,"2021")+SUMIFS(工业节能技术装备推荐目录!K:K,工业节能技术装备推荐目录!D:D,'Improvement in Eqpt Efficiency'!A7,工业节能技术装备推荐目录!F:F,'Improvement in Eqpt Efficiency'!$A$1,工业节能技术装备推荐目录!A:A,"2022")</f>
        <v>0</v>
      </c>
      <c r="Q7" s="73">
        <f>SUMIFS(工业节能技术装备推荐目录!K:K,工业节能技术装备推荐目录!D:D,'Improvement in Eqpt Efficiency'!A7,工业节能技术装备推荐目录!F:F,'Improvement in Eqpt Efficiency'!$A$1,工业节能技术装备推荐目录!A:A,"2020")+SUMIFS(工业节能技术装备推荐目录!K:K,工业节能技术装备推荐目录!D:D,'Improvement in Eqpt Efficiency'!A7,工业节能技术装备推荐目录!F:F,'Improvement in Eqpt Efficiency'!$A$1,工业节能技术装备推荐目录!A:A,"2021")+SUMIFS(工业节能技术装备推荐目录!K:K,工业节能技术装备推荐目录!D:D,'Improvement in Eqpt Efficiency'!A7,工业节能技术装备推荐目录!F:F,'Improvement in Eqpt Efficiency'!$A$1,工业节能技术装备推荐目录!A:A,"2022")</f>
        <v>0</v>
      </c>
      <c r="R7" s="73">
        <f>SUMIFS(工业节能技术装备推荐目录!K:K,工业节能技术装备推荐目录!D:D,'Improvement in Eqpt Efficiency'!A7,工业节能技术装备推荐目录!F:F,'Improvement in Eqpt Efficiency'!$A$1,工业节能技术装备推荐目录!A:A,"2020")+SUMIFS(工业节能技术装备推荐目录!K:K,工业节能技术装备推荐目录!D:D,'Improvement in Eqpt Efficiency'!A7,工业节能技术装备推荐目录!F:F,'Improvement in Eqpt Efficiency'!$A$1,工业节能技术装备推荐目录!A:A,"2022")</f>
        <v>0</v>
      </c>
      <c r="S7" s="73">
        <f>SUMIFS(工业节能技术装备推荐目录!K:K,工业节能技术装备推荐目录!D:D,'Improvement in Eqpt Efficiency'!A7,工业节能技术装备推荐目录!F:F,'Improvement in Eqpt Efficiency'!$A$1,工业节能技术装备推荐目录!A:A,"2022")</f>
        <v>0</v>
      </c>
      <c r="T7" s="73">
        <f>SUMIFS(工业节能技术装备推荐目录!K:K,工业节能技术装备推荐目录!D:D,'Improvement in Eqpt Efficiency'!A7,工业节能技术装备推荐目录!F:F,'Improvement in Eqpt Efficiency'!$A$1,工业节能技术装备推荐目录!A:A,"2022")</f>
        <v>0</v>
      </c>
    </row>
    <row r="8" spans="1:20" x14ac:dyDescent="0.15">
      <c r="A8" s="26" t="s">
        <v>72</v>
      </c>
      <c r="B8" s="50">
        <f>SUMIFS(工业节能技术装备推荐目录!L:L,工业节能技术装备推荐目录!D:D,'Improvement in Eqpt Efficiency'!A8,工业节能技术装备推荐目录!F:F,'Improvement in Eqpt Efficiency'!$A$1)+SUMIFS(用能设备节能分配!R:R,用能设备节能分配!O:O,'Improvement in Eqpt Efficiency'!A8,用能设备节能分配!P:P,'Improvement in Eqpt Efficiency'!$A$1)</f>
        <v>59.633104471016104</v>
      </c>
      <c r="C8" s="73">
        <f>SUMIFS(工业节能技术装备推荐目录!K:K,工业节能技术装备推荐目录!D:D,'Improvement in Eqpt Efficiency'!A8,工业节能技术装备推荐目录!F:F,'Improvement in Eqpt Efficiency'!$A$1,工业节能技术装备推荐目录!A:A,"2020")+SUMIFS(用能设备节能分配!Q:Q,用能设备节能分配!O:O,'Improvement in Eqpt Efficiency'!A8,用能设备节能分配!P:P,'Improvement in Eqpt Efficiency'!$A$1,用能设备节能分配!M:M,"2020")</f>
        <v>3.2723535523725014</v>
      </c>
      <c r="D8" s="73">
        <f>SUMIFS(工业节能技术装备推荐目录!K:K,工业节能技术装备推荐目录!D:D,'Improvement in Eqpt Efficiency'!A8,工业节能技术装备推荐目录!F:F,'Improvement in Eqpt Efficiency'!$A$1,工业节能技术装备推荐目录!A:A,"2020")+SUMIFS(用能设备节能分配!Q:Q,用能设备节能分配!O:O,'Improvement in Eqpt Efficiency'!A8,用能设备节能分配!P:P,'Improvement in Eqpt Efficiency'!$A$1,用能设备节能分配!M:M,"2020")+SUMIFS(工业节能技术装备推荐目录!K:K,工业节能技术装备推荐目录!D:D,'Improvement in Eqpt Efficiency'!A8,工业节能技术装备推荐目录!F:F,'Improvement in Eqpt Efficiency'!$A$1,工业节能技术装备推荐目录!A:A,"2021")+SUMIFS(用能设备节能分配!Q:Q,用能设备节能分配!O:O,'Improvement in Eqpt Efficiency'!A8,用能设备节能分配!P:P,'Improvement in Eqpt Efficiency'!$A$1,用能设备节能分配!M:M,"2021")</f>
        <v>7.0730260994837888</v>
      </c>
      <c r="E8" s="73">
        <f>SUMIFS(工业节能技术装备推荐目录!K:K,工业节能技术装备推荐目录!D:D,'Improvement in Eqpt Efficiency'!A8,工业节能技术装备推荐目录!F:F,'Improvement in Eqpt Efficiency'!$A$1,工业节能技术装备推荐目录!A:A,"2020")+SUMIFS(用能设备节能分配!Q:Q,用能设备节能分配!O:O,'Improvement in Eqpt Efficiency'!A8,用能设备节能分配!P:P,'Improvement in Eqpt Efficiency'!$A$1,用能设备节能分配!M:M,"2020")+SUMIFS(工业节能技术装备推荐目录!K:K,工业节能技术装备推荐目录!D:D,'Improvement in Eqpt Efficiency'!A8,工业节能技术装备推荐目录!F:F,'Improvement in Eqpt Efficiency'!$A$1,工业节能技术装备推荐目录!A:A,"2021")+SUMIFS(用能设备节能分配!Q:Q,用能设备节能分配!O:O,'Improvement in Eqpt Efficiency'!A8,用能设备节能分配!P:P,'Improvement in Eqpt Efficiency'!$A$1,用能设备节能分配!M:M,"2021")+SUMIFS(工业节能技术装备推荐目录!K:K,工业节能技术装备推荐目录!D:D,'Improvement in Eqpt Efficiency'!A8,工业节能技术装备推荐目录!F:F,'Improvement in Eqpt Efficiency'!$A$1,工业节能技术装备推荐目录!A:A,"2022")+SUMIFS(用能设备节能分配!Q:Q,用能设备节能分配!O:O,'Improvement in Eqpt Efficiency'!A8,用能设备节能分配!P:P,'Improvement in Eqpt Efficiency'!$A$1,用能设备节能分配!M:M,"2022")</f>
        <v>8.6883677323695512</v>
      </c>
      <c r="F8" s="73">
        <f>SUMIFS(工业节能技术装备推荐目录!K:K,工业节能技术装备推荐目录!D:D,'Improvement in Eqpt Efficiency'!A8,工业节能技术装备推荐目录!F:F,'Improvement in Eqpt Efficiency'!$A$1,工业节能技术装备推荐目录!A:A,"2020")+SUMIFS(用能设备节能分配!Q:Q,用能设备节能分配!O:O,'Improvement in Eqpt Efficiency'!A8,用能设备节能分配!P:P,'Improvement in Eqpt Efficiency'!$A$1,用能设备节能分配!M:M,"2020")+SUMIFS(工业节能技术装备推荐目录!K:K,工业节能技术装备推荐目录!D:D,'Improvement in Eqpt Efficiency'!A8,工业节能技术装备推荐目录!F:F,'Improvement in Eqpt Efficiency'!$A$1,工业节能技术装备推荐目录!A:A,"2021")+SUMIFS(用能设备节能分配!Q:Q,用能设备节能分配!O:O,'Improvement in Eqpt Efficiency'!A8,用能设备节能分配!P:P,'Improvement in Eqpt Efficiency'!$A$1,用能设备节能分配!M:M,"2021")+SUMIFS(工业节能技术装备推荐目录!K:K,工业节能技术装备推荐目录!D:D,'Improvement in Eqpt Efficiency'!A8,工业节能技术装备推荐目录!F:F,'Improvement in Eqpt Efficiency'!$A$1,工业节能技术装备推荐目录!A:A,"2022")+SUMIFS(用能设备节能分配!Q:Q,用能设备节能分配!O:O,'Improvement in Eqpt Efficiency'!A8,用能设备节能分配!P:P,'Improvement in Eqpt Efficiency'!$A$1,用能设备节能分配!M:M,"2022")</f>
        <v>8.6883677323695512</v>
      </c>
      <c r="G8" s="73">
        <f>SUMIFS(工业节能技术装备推荐目录!K:K,工业节能技术装备推荐目录!D:D,'Improvement in Eqpt Efficiency'!A8,工业节能技术装备推荐目录!F:F,'Improvement in Eqpt Efficiency'!$A$1,工业节能技术装备推荐目录!A:A,"2020")+SUMIFS(用能设备节能分配!Q:Q,用能设备节能分配!O:O,'Improvement in Eqpt Efficiency'!A8,用能设备节能分配!P:P,'Improvement in Eqpt Efficiency'!$A$1,用能设备节能分配!M:M,"2020")+SUMIFS(工业节能技术装备推荐目录!K:K,工业节能技术装备推荐目录!D:D,'Improvement in Eqpt Efficiency'!A8,工业节能技术装备推荐目录!F:F,'Improvement in Eqpt Efficiency'!$A$1,工业节能技术装备推荐目录!A:A,"2022")+SUMIFS(用能设备节能分配!Q:Q,用能设备节能分配!O:O,'Improvement in Eqpt Efficiency'!A8,用能设备节能分配!P:P,'Improvement in Eqpt Efficiency'!$A$1,用能设备节能分配!M:M,"2022")</f>
        <v>4.8876951852582646</v>
      </c>
      <c r="H8" s="73">
        <f>SUMIFS(工业节能技术装备推荐目录!K:K,工业节能技术装备推荐目录!D:D,'Improvement in Eqpt Efficiency'!A8,工业节能技术装备推荐目录!F:F,'Improvement in Eqpt Efficiency'!$A$1,工业节能技术装备推荐目录!A:A,"2022")+SUMIFS(用能设备节能分配!Q:Q,用能设备节能分配!O:O,'Improvement in Eqpt Efficiency'!A8,用能设备节能分配!P:P,'Improvement in Eqpt Efficiency'!$A$1,用能设备节能分配!M:M,"2022")</f>
        <v>1.6153416328857628</v>
      </c>
      <c r="I8" s="73">
        <f>SUMIFS(工业节能技术装备推荐目录!K:K,工业节能技术装备推荐目录!D:D,'Improvement in Eqpt Efficiency'!A8,工业节能技术装备推荐目录!F:F,'Improvement in Eqpt Efficiency'!$A$1,工业节能技术装备推荐目录!A:A,"2022")+SUMIFS(用能设备节能分配!Q:Q,用能设备节能分配!O:O,'Improvement in Eqpt Efficiency'!A8,用能设备节能分配!P:P,'Improvement in Eqpt Efficiency'!$A$1,用能设备节能分配!M:M,"2022")</f>
        <v>1.6153416328857628</v>
      </c>
      <c r="K8" s="52"/>
      <c r="L8" s="26" t="s">
        <v>72</v>
      </c>
      <c r="M8" s="50">
        <f>SUMIFS(工业节能技术装备推荐目录!L:L,工业节能技术装备推荐目录!D:D,'Improvement in Eqpt Efficiency'!A8,工业节能技术装备推荐目录!F:F,'Improvement in Eqpt Efficiency'!$A$1)</f>
        <v>0</v>
      </c>
      <c r="N8" s="73">
        <f>SUMIFS(工业节能技术装备推荐目录!K:K,工业节能技术装备推荐目录!D:D,'Improvement in Eqpt Efficiency'!A8,工业节能技术装备推荐目录!F:F,'Improvement in Eqpt Efficiency'!$A$1,工业节能技术装备推荐目录!A:A,"2020")</f>
        <v>0</v>
      </c>
      <c r="O8" s="73">
        <f>SUMIFS(工业节能技术装备推荐目录!K:K,工业节能技术装备推荐目录!D:D,'Improvement in Eqpt Efficiency'!A8,工业节能技术装备推荐目录!F:F,'Improvement in Eqpt Efficiency'!$A$1,工业节能技术装备推荐目录!A:A,"2020")+SUMIFS(工业节能技术装备推荐目录!K:K,工业节能技术装备推荐目录!D:D,'Improvement in Eqpt Efficiency'!A8,工业节能技术装备推荐目录!F:F,'Improvement in Eqpt Efficiency'!$A$1,工业节能技术装备推荐目录!A:A,"2021")</f>
        <v>0</v>
      </c>
      <c r="P8" s="73">
        <f>SUMIFS(工业节能技术装备推荐目录!K:K,工业节能技术装备推荐目录!D:D,'Improvement in Eqpt Efficiency'!A8,工业节能技术装备推荐目录!F:F,'Improvement in Eqpt Efficiency'!$A$1,工业节能技术装备推荐目录!A:A,"2020")+SUMIFS(工业节能技术装备推荐目录!K:K,工业节能技术装备推荐目录!D:D,'Improvement in Eqpt Efficiency'!A8,工业节能技术装备推荐目录!F:F,'Improvement in Eqpt Efficiency'!$A$1,工业节能技术装备推荐目录!A:A,"2021")+SUMIFS(工业节能技术装备推荐目录!K:K,工业节能技术装备推荐目录!D:D,'Improvement in Eqpt Efficiency'!A8,工业节能技术装备推荐目录!F:F,'Improvement in Eqpt Efficiency'!$A$1,工业节能技术装备推荐目录!A:A,"2022")</f>
        <v>0</v>
      </c>
      <c r="Q8" s="73">
        <f>SUMIFS(工业节能技术装备推荐目录!K:K,工业节能技术装备推荐目录!D:D,'Improvement in Eqpt Efficiency'!A8,工业节能技术装备推荐目录!F:F,'Improvement in Eqpt Efficiency'!$A$1,工业节能技术装备推荐目录!A:A,"2020")+SUMIFS(工业节能技术装备推荐目录!K:K,工业节能技术装备推荐目录!D:D,'Improvement in Eqpt Efficiency'!A8,工业节能技术装备推荐目录!F:F,'Improvement in Eqpt Efficiency'!$A$1,工业节能技术装备推荐目录!A:A,"2021")+SUMIFS(工业节能技术装备推荐目录!K:K,工业节能技术装备推荐目录!D:D,'Improvement in Eqpt Efficiency'!A8,工业节能技术装备推荐目录!F:F,'Improvement in Eqpt Efficiency'!$A$1,工业节能技术装备推荐目录!A:A,"2022")</f>
        <v>0</v>
      </c>
      <c r="R8" s="73">
        <f>SUMIFS(工业节能技术装备推荐目录!K:K,工业节能技术装备推荐目录!D:D,'Improvement in Eqpt Efficiency'!A8,工业节能技术装备推荐目录!F:F,'Improvement in Eqpt Efficiency'!$A$1,工业节能技术装备推荐目录!A:A,"2020")+SUMIFS(工业节能技术装备推荐目录!K:K,工业节能技术装备推荐目录!D:D,'Improvement in Eqpt Efficiency'!A8,工业节能技术装备推荐目录!F:F,'Improvement in Eqpt Efficiency'!$A$1,工业节能技术装备推荐目录!A:A,"2022")</f>
        <v>0</v>
      </c>
      <c r="S8" s="73">
        <f>SUMIFS(工业节能技术装备推荐目录!K:K,工业节能技术装备推荐目录!D:D,'Improvement in Eqpt Efficiency'!A8,工业节能技术装备推荐目录!F:F,'Improvement in Eqpt Efficiency'!$A$1,工业节能技术装备推荐目录!A:A,"2022")</f>
        <v>0</v>
      </c>
      <c r="T8" s="73">
        <f>SUMIFS(工业节能技术装备推荐目录!K:K,工业节能技术装备推荐目录!D:D,'Improvement in Eqpt Efficiency'!A8,工业节能技术装备推荐目录!F:F,'Improvement in Eqpt Efficiency'!$A$1,工业节能技术装备推荐目录!A:A,"2022")</f>
        <v>0</v>
      </c>
    </row>
    <row r="9" spans="1:20" x14ac:dyDescent="0.15">
      <c r="A9" s="26" t="s">
        <v>38</v>
      </c>
      <c r="B9" s="50">
        <f>SUMIFS(工业节能技术装备推荐目录!L:L,工业节能技术装备推荐目录!D:D,'Improvement in Eqpt Efficiency'!A9,工业节能技术装备推荐目录!F:F,'Improvement in Eqpt Efficiency'!$A$1)+SUMIFS(用能设备节能分配!R:R,用能设备节能分配!O:O,'Improvement in Eqpt Efficiency'!A9,用能设备节能分配!P:P,'Improvement in Eqpt Efficiency'!$A$1)</f>
        <v>6.8138288061604948</v>
      </c>
      <c r="C9" s="73">
        <f>SUMIFS(工业节能技术装备推荐目录!K:K,工业节能技术装备推荐目录!D:D,'Improvement in Eqpt Efficiency'!A9,工业节能技术装备推荐目录!F:F,'Improvement in Eqpt Efficiency'!$A$1,工业节能技术装备推荐目录!A:A,"2020")+SUMIFS(用能设备节能分配!Q:Q,用能设备节能分配!O:O,'Improvement in Eqpt Efficiency'!A9,用能设备节能分配!P:P,'Improvement in Eqpt Efficiency'!$A$1,用能设备节能分配!M:M,"2020")</f>
        <v>9.74503726035367E-2</v>
      </c>
      <c r="D9" s="73">
        <f>SUMIFS(工业节能技术装备推荐目录!K:K,工业节能技术装备推荐目录!D:D,'Improvement in Eqpt Efficiency'!A9,工业节能技术装备推荐目录!F:F,'Improvement in Eqpt Efficiency'!$A$1,工业节能技术装备推荐目录!A:A,"2020")+SUMIFS(用能设备节能分配!Q:Q,用能设备节能分配!O:O,'Improvement in Eqpt Efficiency'!A9,用能设备节能分配!P:P,'Improvement in Eqpt Efficiency'!$A$1,用能设备节能分配!M:M,"2020")+SUMIFS(工业节能技术装备推荐目录!K:K,工业节能技术装备推荐目录!D:D,'Improvement in Eqpt Efficiency'!A9,工业节能技术装备推荐目录!F:F,'Improvement in Eqpt Efficiency'!$A$1,工业节能技术装备推荐目录!A:A,"2021")+SUMIFS(用能设备节能分配!Q:Q,用能设备节能分配!O:O,'Improvement in Eqpt Efficiency'!A9,用能设备节能分配!P:P,'Improvement in Eqpt Efficiency'!$A$1,用能设备节能分配!M:M,"2021")</f>
        <v>0.73511869037130884</v>
      </c>
      <c r="E9" s="73">
        <f>SUMIFS(工业节能技术装备推荐目录!K:K,工业节能技术装备推荐目录!D:D,'Improvement in Eqpt Efficiency'!A9,工业节能技术装备推荐目录!F:F,'Improvement in Eqpt Efficiency'!$A$1,工业节能技术装备推荐目录!A:A,"2020")+SUMIFS(用能设备节能分配!Q:Q,用能设备节能分配!O:O,'Improvement in Eqpt Efficiency'!A9,用能设备节能分配!P:P,'Improvement in Eqpt Efficiency'!$A$1,用能设备节能分配!M:M,"2020")+SUMIFS(工业节能技术装备推荐目录!K:K,工业节能技术装备推荐目录!D:D,'Improvement in Eqpt Efficiency'!A9,工业节能技术装备推荐目录!F:F,'Improvement in Eqpt Efficiency'!$A$1,工业节能技术装备推荐目录!A:A,"2021")+SUMIFS(用能设备节能分配!Q:Q,用能设备节能分配!O:O,'Improvement in Eqpt Efficiency'!A9,用能设备节能分配!P:P,'Improvement in Eqpt Efficiency'!$A$1,用能设备节能分配!M:M,"2021")+SUMIFS(工业节能技术装备推荐目录!K:K,工业节能技术装备推荐目录!D:D,'Improvement in Eqpt Efficiency'!A9,工业节能技术装备推荐目录!F:F,'Improvement in Eqpt Efficiency'!$A$1,工业节能技术装备推荐目录!A:A,"2022")+SUMIFS(用能设备节能分配!Q:Q,用能设备节能分配!O:O,'Improvement in Eqpt Efficiency'!A9,用能设备节能分配!P:P,'Improvement in Eqpt Efficiency'!$A$1,用能设备节能分配!M:M,"2022")</f>
        <v>0.86369904311208645</v>
      </c>
      <c r="F9" s="73">
        <f>SUMIFS(工业节能技术装备推荐目录!K:K,工业节能技术装备推荐目录!D:D,'Improvement in Eqpt Efficiency'!A9,工业节能技术装备推荐目录!F:F,'Improvement in Eqpt Efficiency'!$A$1,工业节能技术装备推荐目录!A:A,"2020")+SUMIFS(用能设备节能分配!Q:Q,用能设备节能分配!O:O,'Improvement in Eqpt Efficiency'!A9,用能设备节能分配!P:P,'Improvement in Eqpt Efficiency'!$A$1,用能设备节能分配!M:M,"2020")+SUMIFS(工业节能技术装备推荐目录!K:K,工业节能技术装备推荐目录!D:D,'Improvement in Eqpt Efficiency'!A9,工业节能技术装备推荐目录!F:F,'Improvement in Eqpt Efficiency'!$A$1,工业节能技术装备推荐目录!A:A,"2021")+SUMIFS(用能设备节能分配!Q:Q,用能设备节能分配!O:O,'Improvement in Eqpt Efficiency'!A9,用能设备节能分配!P:P,'Improvement in Eqpt Efficiency'!$A$1,用能设备节能分配!M:M,"2021")+SUMIFS(工业节能技术装备推荐目录!K:K,工业节能技术装备推荐目录!D:D,'Improvement in Eqpt Efficiency'!A9,工业节能技术装备推荐目录!F:F,'Improvement in Eqpt Efficiency'!$A$1,工业节能技术装备推荐目录!A:A,"2022")+SUMIFS(用能设备节能分配!Q:Q,用能设备节能分配!O:O,'Improvement in Eqpt Efficiency'!A9,用能设备节能分配!P:P,'Improvement in Eqpt Efficiency'!$A$1,用能设备节能分配!M:M,"2022")</f>
        <v>0.86369904311208645</v>
      </c>
      <c r="G9" s="73">
        <f>SUMIFS(工业节能技术装备推荐目录!K:K,工业节能技术装备推荐目录!D:D,'Improvement in Eqpt Efficiency'!A9,工业节能技术装备推荐目录!F:F,'Improvement in Eqpt Efficiency'!$A$1,工业节能技术装备推荐目录!A:A,"2020")+SUMIFS(用能设备节能分配!Q:Q,用能设备节能分配!O:O,'Improvement in Eqpt Efficiency'!A9,用能设备节能分配!P:P,'Improvement in Eqpt Efficiency'!$A$1,用能设备节能分配!M:M,"2020")+SUMIFS(工业节能技术装备推荐目录!K:K,工业节能技术装备推荐目录!D:D,'Improvement in Eqpt Efficiency'!A9,工业节能技术装备推荐目录!F:F,'Improvement in Eqpt Efficiency'!$A$1,工业节能技术装备推荐目录!A:A,"2022")+SUMIFS(用能设备节能分配!Q:Q,用能设备节能分配!O:O,'Improvement in Eqpt Efficiency'!A9,用能设备节能分配!P:P,'Improvement in Eqpt Efficiency'!$A$1,用能设备节能分配!M:M,"2022")</f>
        <v>0.22603072534431429</v>
      </c>
      <c r="H9" s="73">
        <f>SUMIFS(工业节能技术装备推荐目录!K:K,工业节能技术装备推荐目录!D:D,'Improvement in Eqpt Efficiency'!A9,工业节能技术装备推荐目录!F:F,'Improvement in Eqpt Efficiency'!$A$1,工业节能技术装备推荐目录!A:A,"2022")+SUMIFS(用能设备节能分配!Q:Q,用能设备节能分配!O:O,'Improvement in Eqpt Efficiency'!A9,用能设备节能分配!P:P,'Improvement in Eqpt Efficiency'!$A$1,用能设备节能分配!M:M,"2022")</f>
        <v>0.12858035274077759</v>
      </c>
      <c r="I9" s="73">
        <f>SUMIFS(工业节能技术装备推荐目录!K:K,工业节能技术装备推荐目录!D:D,'Improvement in Eqpt Efficiency'!A9,工业节能技术装备推荐目录!F:F,'Improvement in Eqpt Efficiency'!$A$1,工业节能技术装备推荐目录!A:A,"2022")+SUMIFS(用能设备节能分配!Q:Q,用能设备节能分配!O:O,'Improvement in Eqpt Efficiency'!A9,用能设备节能分配!P:P,'Improvement in Eqpt Efficiency'!$A$1,用能设备节能分配!M:M,"2022")</f>
        <v>0.12858035274077759</v>
      </c>
      <c r="K9" s="52"/>
      <c r="L9" s="26" t="s">
        <v>38</v>
      </c>
      <c r="M9" s="50">
        <f>SUMIFS(工业节能技术装备推荐目录!L:L,工业节能技术装备推荐目录!D:D,'Improvement in Eqpt Efficiency'!A9,工业节能技术装备推荐目录!F:F,'Improvement in Eqpt Efficiency'!$A$1)</f>
        <v>0</v>
      </c>
      <c r="N9" s="73">
        <f>SUMIFS(工业节能技术装备推荐目录!K:K,工业节能技术装备推荐目录!D:D,'Improvement in Eqpt Efficiency'!A9,工业节能技术装备推荐目录!F:F,'Improvement in Eqpt Efficiency'!$A$1,工业节能技术装备推荐目录!A:A,"2020")</f>
        <v>0</v>
      </c>
      <c r="O9" s="73">
        <f>SUMIFS(工业节能技术装备推荐目录!K:K,工业节能技术装备推荐目录!D:D,'Improvement in Eqpt Efficiency'!A9,工业节能技术装备推荐目录!F:F,'Improvement in Eqpt Efficiency'!$A$1,工业节能技术装备推荐目录!A:A,"2020")+SUMIFS(工业节能技术装备推荐目录!K:K,工业节能技术装备推荐目录!D:D,'Improvement in Eqpt Efficiency'!A9,工业节能技术装备推荐目录!F:F,'Improvement in Eqpt Efficiency'!$A$1,工业节能技术装备推荐目录!A:A,"2021")</f>
        <v>0</v>
      </c>
      <c r="P9" s="73">
        <f>SUMIFS(工业节能技术装备推荐目录!K:K,工业节能技术装备推荐目录!D:D,'Improvement in Eqpt Efficiency'!A9,工业节能技术装备推荐目录!F:F,'Improvement in Eqpt Efficiency'!$A$1,工业节能技术装备推荐目录!A:A,"2020")+SUMIFS(工业节能技术装备推荐目录!K:K,工业节能技术装备推荐目录!D:D,'Improvement in Eqpt Efficiency'!A9,工业节能技术装备推荐目录!F:F,'Improvement in Eqpt Efficiency'!$A$1,工业节能技术装备推荐目录!A:A,"2021")+SUMIFS(工业节能技术装备推荐目录!K:K,工业节能技术装备推荐目录!D:D,'Improvement in Eqpt Efficiency'!A9,工业节能技术装备推荐目录!F:F,'Improvement in Eqpt Efficiency'!$A$1,工业节能技术装备推荐目录!A:A,"2022")</f>
        <v>0</v>
      </c>
      <c r="Q9" s="73">
        <f>SUMIFS(工业节能技术装备推荐目录!K:K,工业节能技术装备推荐目录!D:D,'Improvement in Eqpt Efficiency'!A9,工业节能技术装备推荐目录!F:F,'Improvement in Eqpt Efficiency'!$A$1,工业节能技术装备推荐目录!A:A,"2020")+SUMIFS(工业节能技术装备推荐目录!K:K,工业节能技术装备推荐目录!D:D,'Improvement in Eqpt Efficiency'!A9,工业节能技术装备推荐目录!F:F,'Improvement in Eqpt Efficiency'!$A$1,工业节能技术装备推荐目录!A:A,"2021")+SUMIFS(工业节能技术装备推荐目录!K:K,工业节能技术装备推荐目录!D:D,'Improvement in Eqpt Efficiency'!A9,工业节能技术装备推荐目录!F:F,'Improvement in Eqpt Efficiency'!$A$1,工业节能技术装备推荐目录!A:A,"2022")</f>
        <v>0</v>
      </c>
      <c r="R9" s="73">
        <f>SUMIFS(工业节能技术装备推荐目录!K:K,工业节能技术装备推荐目录!D:D,'Improvement in Eqpt Efficiency'!A9,工业节能技术装备推荐目录!F:F,'Improvement in Eqpt Efficiency'!$A$1,工业节能技术装备推荐目录!A:A,"2020")+SUMIFS(工业节能技术装备推荐目录!K:K,工业节能技术装备推荐目录!D:D,'Improvement in Eqpt Efficiency'!A9,工业节能技术装备推荐目录!F:F,'Improvement in Eqpt Efficiency'!$A$1,工业节能技术装备推荐目录!A:A,"2022")</f>
        <v>0</v>
      </c>
      <c r="S9" s="73">
        <f>SUMIFS(工业节能技术装备推荐目录!K:K,工业节能技术装备推荐目录!D:D,'Improvement in Eqpt Efficiency'!A9,工业节能技术装备推荐目录!F:F,'Improvement in Eqpt Efficiency'!$A$1,工业节能技术装备推荐目录!A:A,"2022")</f>
        <v>0</v>
      </c>
      <c r="T9" s="73">
        <f>SUMIFS(工业节能技术装备推荐目录!K:K,工业节能技术装备推荐目录!D:D,'Improvement in Eqpt Efficiency'!A9,工业节能技术装备推荐目录!F:F,'Improvement in Eqpt Efficiency'!$A$1,工业节能技术装备推荐目录!A:A,"2022")</f>
        <v>0</v>
      </c>
    </row>
    <row r="10" spans="1:20" x14ac:dyDescent="0.15">
      <c r="A10" s="26" t="s">
        <v>68</v>
      </c>
      <c r="B10" s="50">
        <f>SUMIFS(工业节能技术装备推荐目录!L:L,工业节能技术装备推荐目录!D:D,'Improvement in Eqpt Efficiency'!A10,工业节能技术装备推荐目录!F:F,'Improvement in Eqpt Efficiency'!$A$1)+SUMIFS(用能设备节能分配!R:R,用能设备节能分配!O:O,'Improvement in Eqpt Efficiency'!A10,用能设备节能分配!P:P,'Improvement in Eqpt Efficiency'!$A$1)</f>
        <v>564.38985137513805</v>
      </c>
      <c r="C10" s="73">
        <f>SUMIFS(工业节能技术装备推荐目录!K:K,工业节能技术装备推荐目录!D:D,'Improvement in Eqpt Efficiency'!A10,工业节能技术装备推荐目录!F:F,'Improvement in Eqpt Efficiency'!$A$1,工业节能技术装备推荐目录!A:A,"2020")+SUMIFS(用能设备节能分配!Q:Q,用能设备节能分配!O:O,'Improvement in Eqpt Efficiency'!A10,用能设备节能分配!P:P,'Improvement in Eqpt Efficiency'!$A$1,用能设备节能分配!M:M,"2020")</f>
        <v>55.018089322091114</v>
      </c>
      <c r="D10" s="73">
        <f>SUMIFS(工业节能技术装备推荐目录!K:K,工业节能技术装备推荐目录!D:D,'Improvement in Eqpt Efficiency'!A10,工业节能技术装备推荐目录!F:F,'Improvement in Eqpt Efficiency'!$A$1,工业节能技术装备推荐目录!A:A,"2020")+SUMIFS(用能设备节能分配!Q:Q,用能设备节能分配!O:O,'Improvement in Eqpt Efficiency'!A10,用能设备节能分配!P:P,'Improvement in Eqpt Efficiency'!$A$1,用能设备节能分配!M:M,"2020")+SUMIFS(工业节能技术装备推荐目录!K:K,工业节能技术装备推荐目录!D:D,'Improvement in Eqpt Efficiency'!A10,工业节能技术装备推荐目录!F:F,'Improvement in Eqpt Efficiency'!$A$1,工业节能技术装备推荐目录!A:A,"2021")+SUMIFS(用能设备节能分配!Q:Q,用能设备节能分配!O:O,'Improvement in Eqpt Efficiency'!A10,用能设备节能分配!P:P,'Improvement in Eqpt Efficiency'!$A$1,用能设备节能分配!M:M,"2021")</f>
        <v>57.464238020588176</v>
      </c>
      <c r="E10" s="73">
        <f>SUMIFS(工业节能技术装备推荐目录!K:K,工业节能技术装备推荐目录!D:D,'Improvement in Eqpt Efficiency'!A10,工业节能技术装备推荐目录!F:F,'Improvement in Eqpt Efficiency'!$A$1,工业节能技术装备推荐目录!A:A,"2020")+SUMIFS(用能设备节能分配!Q:Q,用能设备节能分配!O:O,'Improvement in Eqpt Efficiency'!A10,用能设备节能分配!P:P,'Improvement in Eqpt Efficiency'!$A$1,用能设备节能分配!M:M,"2020")+SUMIFS(工业节能技术装备推荐目录!K:K,工业节能技术装备推荐目录!D:D,'Improvement in Eqpt Efficiency'!A10,工业节能技术装备推荐目录!F:F,'Improvement in Eqpt Efficiency'!$A$1,工业节能技术装备推荐目录!A:A,"2021")+SUMIFS(用能设备节能分配!Q:Q,用能设备节能分配!O:O,'Improvement in Eqpt Efficiency'!A10,用能设备节能分配!P:P,'Improvement in Eqpt Efficiency'!$A$1,用能设备节能分配!M:M,"2021")+SUMIFS(工业节能技术装备推荐目录!K:K,工业节能技术装备推荐目录!D:D,'Improvement in Eqpt Efficiency'!A10,工业节能技术装备推荐目录!F:F,'Improvement in Eqpt Efficiency'!$A$1,工业节能技术装备推荐目录!A:A,"2022")+SUMIFS(用能设备节能分配!Q:Q,用能设备节能分配!O:O,'Improvement in Eqpt Efficiency'!A10,用能设备节能分配!P:P,'Improvement in Eqpt Efficiency'!$A$1,用能设备节能分配!M:M,"2022")</f>
        <v>58.221317713252489</v>
      </c>
      <c r="F10" s="73">
        <f>SUMIFS(工业节能技术装备推荐目录!K:K,工业节能技术装备推荐目录!D:D,'Improvement in Eqpt Efficiency'!A10,工业节能技术装备推荐目录!F:F,'Improvement in Eqpt Efficiency'!$A$1,工业节能技术装备推荐目录!A:A,"2020")+SUMIFS(用能设备节能分配!Q:Q,用能设备节能分配!O:O,'Improvement in Eqpt Efficiency'!A10,用能设备节能分配!P:P,'Improvement in Eqpt Efficiency'!$A$1,用能设备节能分配!M:M,"2020")+SUMIFS(工业节能技术装备推荐目录!K:K,工业节能技术装备推荐目录!D:D,'Improvement in Eqpt Efficiency'!A10,工业节能技术装备推荐目录!F:F,'Improvement in Eqpt Efficiency'!$A$1,工业节能技术装备推荐目录!A:A,"2021")+SUMIFS(用能设备节能分配!Q:Q,用能设备节能分配!O:O,'Improvement in Eqpt Efficiency'!A10,用能设备节能分配!P:P,'Improvement in Eqpt Efficiency'!$A$1,用能设备节能分配!M:M,"2021")+SUMIFS(工业节能技术装备推荐目录!K:K,工业节能技术装备推荐目录!D:D,'Improvement in Eqpt Efficiency'!A10,工业节能技术装备推荐目录!F:F,'Improvement in Eqpt Efficiency'!$A$1,工业节能技术装备推荐目录!A:A,"2022")+SUMIFS(用能设备节能分配!Q:Q,用能设备节能分配!O:O,'Improvement in Eqpt Efficiency'!A10,用能设备节能分配!P:P,'Improvement in Eqpt Efficiency'!$A$1,用能设备节能分配!M:M,"2022")</f>
        <v>58.221317713252489</v>
      </c>
      <c r="G10" s="73">
        <f>SUMIFS(工业节能技术装备推荐目录!K:K,工业节能技术装备推荐目录!D:D,'Improvement in Eqpt Efficiency'!A10,工业节能技术装备推荐目录!F:F,'Improvement in Eqpt Efficiency'!$A$1,工业节能技术装备推荐目录!A:A,"2020")+SUMIFS(用能设备节能分配!Q:Q,用能设备节能分配!O:O,'Improvement in Eqpt Efficiency'!A10,用能设备节能分配!P:P,'Improvement in Eqpt Efficiency'!$A$1,用能设备节能分配!M:M,"2020")+SUMIFS(工业节能技术装备推荐目录!K:K,工业节能技术装备推荐目录!D:D,'Improvement in Eqpt Efficiency'!A10,工业节能技术装备推荐目录!F:F,'Improvement in Eqpt Efficiency'!$A$1,工业节能技术装备推荐目录!A:A,"2022")+SUMIFS(用能设备节能分配!Q:Q,用能设备节能分配!O:O,'Improvement in Eqpt Efficiency'!A10,用能设备节能分配!P:P,'Improvement in Eqpt Efficiency'!$A$1,用能设备节能分配!M:M,"2022")</f>
        <v>55.775169014755427</v>
      </c>
      <c r="H10" s="73">
        <f>SUMIFS(工业节能技术装备推荐目录!K:K,工业节能技术装备推荐目录!D:D,'Improvement in Eqpt Efficiency'!A10,工业节能技术装备推荐目录!F:F,'Improvement in Eqpt Efficiency'!$A$1,工业节能技术装备推荐目录!A:A,"2022")+SUMIFS(用能设备节能分配!Q:Q,用能设备节能分配!O:O,'Improvement in Eqpt Efficiency'!A10,用能设备节能分配!P:P,'Improvement in Eqpt Efficiency'!$A$1,用能设备节能分配!M:M,"2022")</f>
        <v>0.7570796926643153</v>
      </c>
      <c r="I10" s="73">
        <f>SUMIFS(工业节能技术装备推荐目录!K:K,工业节能技术装备推荐目录!D:D,'Improvement in Eqpt Efficiency'!A10,工业节能技术装备推荐目录!F:F,'Improvement in Eqpt Efficiency'!$A$1,工业节能技术装备推荐目录!A:A,"2022")+SUMIFS(用能设备节能分配!Q:Q,用能设备节能分配!O:O,'Improvement in Eqpt Efficiency'!A10,用能设备节能分配!P:P,'Improvement in Eqpt Efficiency'!$A$1,用能设备节能分配!M:M,"2022")</f>
        <v>0.7570796926643153</v>
      </c>
      <c r="K10" s="52"/>
      <c r="L10" s="26" t="s">
        <v>68</v>
      </c>
      <c r="M10" s="50">
        <f>SUMIFS(工业节能技术装备推荐目录!L:L,工业节能技术装备推荐目录!D:D,'Improvement in Eqpt Efficiency'!A10,工业节能技术装备推荐目录!F:F,'Improvement in Eqpt Efficiency'!$A$1)</f>
        <v>530</v>
      </c>
      <c r="N10" s="73">
        <f>SUMIFS(工业节能技术装备推荐目录!K:K,工业节能技术装备推荐目录!D:D,'Improvement in Eqpt Efficiency'!A10,工业节能技术装备推荐目录!F:F,'Improvement in Eqpt Efficiency'!$A$1,工业节能技术装备推荐目录!A:A,"2020")</f>
        <v>53</v>
      </c>
      <c r="O10" s="73">
        <f>SUMIFS(工业节能技术装备推荐目录!K:K,工业节能技术装备推荐目录!D:D,'Improvement in Eqpt Efficiency'!A10,工业节能技术装备推荐目录!F:F,'Improvement in Eqpt Efficiency'!$A$1,工业节能技术装备推荐目录!A:A,"2020")+SUMIFS(工业节能技术装备推荐目录!K:K,工业节能技术装备推荐目录!D:D,'Improvement in Eqpt Efficiency'!A10,工业节能技术装备推荐目录!F:F,'Improvement in Eqpt Efficiency'!$A$1,工业节能技术装备推荐目录!A:A,"2021")</f>
        <v>53</v>
      </c>
      <c r="P10" s="73">
        <f>SUMIFS(工业节能技术装备推荐目录!K:K,工业节能技术装备推荐目录!D:D,'Improvement in Eqpt Efficiency'!A10,工业节能技术装备推荐目录!F:F,'Improvement in Eqpt Efficiency'!$A$1,工业节能技术装备推荐目录!A:A,"2020")+SUMIFS(工业节能技术装备推荐目录!K:K,工业节能技术装备推荐目录!D:D,'Improvement in Eqpt Efficiency'!A10,工业节能技术装备推荐目录!F:F,'Improvement in Eqpt Efficiency'!$A$1,工业节能技术装备推荐目录!A:A,"2021")+SUMIFS(工业节能技术装备推荐目录!K:K,工业节能技术装备推荐目录!D:D,'Improvement in Eqpt Efficiency'!A10,工业节能技术装备推荐目录!F:F,'Improvement in Eqpt Efficiency'!$A$1,工业节能技术装备推荐目录!A:A,"2022")</f>
        <v>53</v>
      </c>
      <c r="Q10" s="73">
        <f>SUMIFS(工业节能技术装备推荐目录!K:K,工业节能技术装备推荐目录!D:D,'Improvement in Eqpt Efficiency'!A10,工业节能技术装备推荐目录!F:F,'Improvement in Eqpt Efficiency'!$A$1,工业节能技术装备推荐目录!A:A,"2020")+SUMIFS(工业节能技术装备推荐目录!K:K,工业节能技术装备推荐目录!D:D,'Improvement in Eqpt Efficiency'!A10,工业节能技术装备推荐目录!F:F,'Improvement in Eqpt Efficiency'!$A$1,工业节能技术装备推荐目录!A:A,"2021")+SUMIFS(工业节能技术装备推荐目录!K:K,工业节能技术装备推荐目录!D:D,'Improvement in Eqpt Efficiency'!A10,工业节能技术装备推荐目录!F:F,'Improvement in Eqpt Efficiency'!$A$1,工业节能技术装备推荐目录!A:A,"2022")</f>
        <v>53</v>
      </c>
      <c r="R10" s="73">
        <f>SUMIFS(工业节能技术装备推荐目录!K:K,工业节能技术装备推荐目录!D:D,'Improvement in Eqpt Efficiency'!A10,工业节能技术装备推荐目录!F:F,'Improvement in Eqpt Efficiency'!$A$1,工业节能技术装备推荐目录!A:A,"2020")+SUMIFS(工业节能技术装备推荐目录!K:K,工业节能技术装备推荐目录!D:D,'Improvement in Eqpt Efficiency'!A10,工业节能技术装备推荐目录!F:F,'Improvement in Eqpt Efficiency'!$A$1,工业节能技术装备推荐目录!A:A,"2022")</f>
        <v>53</v>
      </c>
      <c r="S10" s="73">
        <f>SUMIFS(工业节能技术装备推荐目录!K:K,工业节能技术装备推荐目录!D:D,'Improvement in Eqpt Efficiency'!A10,工业节能技术装备推荐目录!F:F,'Improvement in Eqpt Efficiency'!$A$1,工业节能技术装备推荐目录!A:A,"2022")</f>
        <v>0</v>
      </c>
      <c r="T10" s="73">
        <f>SUMIFS(工业节能技术装备推荐目录!K:K,工业节能技术装备推荐目录!D:D,'Improvement in Eqpt Efficiency'!A10,工业节能技术装备推荐目录!F:F,'Improvement in Eqpt Efficiency'!$A$1,工业节能技术装备推荐目录!A:A,"2022")</f>
        <v>0</v>
      </c>
    </row>
    <row r="11" spans="1:20" x14ac:dyDescent="0.15">
      <c r="A11" s="26" t="s">
        <v>40</v>
      </c>
      <c r="B11" s="50">
        <f>SUMIFS(工业节能技术装备推荐目录!L:L,工业节能技术装备推荐目录!D:D,'Improvement in Eqpt Efficiency'!A11,工业节能技术装备推荐目录!F:F,'Improvement in Eqpt Efficiency'!$A$1)+SUMIFS(用能设备节能分配!R:R,用能设备节能分配!O:O,'Improvement in Eqpt Efficiency'!A11,用能设备节能分配!P:P,'Improvement in Eqpt Efficiency'!$A$1)</f>
        <v>2511.5664208435296</v>
      </c>
      <c r="C11" s="73">
        <f>SUMIFS(工业节能技术装备推荐目录!K:K,工业节能技术装备推荐目录!D:D,'Improvement in Eqpt Efficiency'!A11,工业节能技术装备推荐目录!F:F,'Improvement in Eqpt Efficiency'!$A$1,工业节能技术装备推荐目录!A:A,"2020")+SUMIFS(用能设备节能分配!Q:Q,用能设备节能分配!O:O,'Improvement in Eqpt Efficiency'!A11,用能设备节能分配!P:P,'Improvement in Eqpt Efficiency'!$A$1,用能设备节能分配!M:M,"2020")</f>
        <v>100.40414424664081</v>
      </c>
      <c r="D11" s="73">
        <f>SUMIFS(工业节能技术装备推荐目录!K:K,工业节能技术装备推荐目录!D:D,'Improvement in Eqpt Efficiency'!A11,工业节能技术装备推荐目录!F:F,'Improvement in Eqpt Efficiency'!$A$1,工业节能技术装备推荐目录!A:A,"2020")+SUMIFS(用能设备节能分配!Q:Q,用能设备节能分配!O:O,'Improvement in Eqpt Efficiency'!A11,用能设备节能分配!P:P,'Improvement in Eqpt Efficiency'!$A$1,用能设备节能分配!M:M,"2020")+SUMIFS(工业节能技术装备推荐目录!K:K,工业节能技术装备推荐目录!D:D,'Improvement in Eqpt Efficiency'!A11,工业节能技术装备推荐目录!F:F,'Improvement in Eqpt Efficiency'!$A$1,工业节能技术装备推荐目录!A:A,"2021")+SUMIFS(用能设备节能分配!Q:Q,用能设备节能分配!O:O,'Improvement in Eqpt Efficiency'!A11,用能设备节能分配!P:P,'Improvement in Eqpt Efficiency'!$A$1,用能设备节能分配!M:M,"2021")</f>
        <v>261.95970582598324</v>
      </c>
      <c r="E11" s="73">
        <f>SUMIFS(工业节能技术装备推荐目录!K:K,工业节能技术装备推荐目录!D:D,'Improvement in Eqpt Efficiency'!A11,工业节能技术装备推荐目录!F:F,'Improvement in Eqpt Efficiency'!$A$1,工业节能技术装备推荐目录!A:A,"2020")+SUMIFS(用能设备节能分配!Q:Q,用能设备节能分配!O:O,'Improvement in Eqpt Efficiency'!A11,用能设备节能分配!P:P,'Improvement in Eqpt Efficiency'!$A$1,用能设备节能分配!M:M,"2020")+SUMIFS(工业节能技术装备推荐目录!K:K,工业节能技术装备推荐目录!D:D,'Improvement in Eqpt Efficiency'!A11,工业节能技术装备推荐目录!F:F,'Improvement in Eqpt Efficiency'!$A$1,工业节能技术装备推荐目录!A:A,"2021")+SUMIFS(用能设备节能分配!Q:Q,用能设备节能分配!O:O,'Improvement in Eqpt Efficiency'!A11,用能设备节能分配!P:P,'Improvement in Eqpt Efficiency'!$A$1,用能设备节能分配!M:M,"2021")+SUMIFS(工业节能技术装备推荐目录!K:K,工业节能技术装备推荐目录!D:D,'Improvement in Eqpt Efficiency'!A11,工业节能技术装备推荐目录!F:F,'Improvement in Eqpt Efficiency'!$A$1,工业节能技术装备推荐目录!A:A,"2022")+SUMIFS(用能设备节能分配!Q:Q,用能设备节能分配!O:O,'Improvement in Eqpt Efficiency'!A11,用能设备节能分配!P:P,'Improvement in Eqpt Efficiency'!$A$1,用能设备节能分配!M:M,"2022")</f>
        <v>384.76325061608691</v>
      </c>
      <c r="F11" s="73">
        <f>SUMIFS(工业节能技术装备推荐目录!K:K,工业节能技术装备推荐目录!D:D,'Improvement in Eqpt Efficiency'!A11,工业节能技术装备推荐目录!F:F,'Improvement in Eqpt Efficiency'!$A$1,工业节能技术装备推荐目录!A:A,"2020")+SUMIFS(用能设备节能分配!Q:Q,用能设备节能分配!O:O,'Improvement in Eqpt Efficiency'!A11,用能设备节能分配!P:P,'Improvement in Eqpt Efficiency'!$A$1,用能设备节能分配!M:M,"2020")+SUMIFS(工业节能技术装备推荐目录!K:K,工业节能技术装备推荐目录!D:D,'Improvement in Eqpt Efficiency'!A11,工业节能技术装备推荐目录!F:F,'Improvement in Eqpt Efficiency'!$A$1,工业节能技术装备推荐目录!A:A,"2021")+SUMIFS(用能设备节能分配!Q:Q,用能设备节能分配!O:O,'Improvement in Eqpt Efficiency'!A11,用能设备节能分配!P:P,'Improvement in Eqpt Efficiency'!$A$1,用能设备节能分配!M:M,"2021")+SUMIFS(工业节能技术装备推荐目录!K:K,工业节能技术装备推荐目录!D:D,'Improvement in Eqpt Efficiency'!A11,工业节能技术装备推荐目录!F:F,'Improvement in Eqpt Efficiency'!$A$1,工业节能技术装备推荐目录!A:A,"2022")+SUMIFS(用能设备节能分配!Q:Q,用能设备节能分配!O:O,'Improvement in Eqpt Efficiency'!A11,用能设备节能分配!P:P,'Improvement in Eqpt Efficiency'!$A$1,用能设备节能分配!M:M,"2022")</f>
        <v>384.76325061608691</v>
      </c>
      <c r="G11" s="73">
        <f>SUMIFS(工业节能技术装备推荐目录!K:K,工业节能技术装备推荐目录!D:D,'Improvement in Eqpt Efficiency'!A11,工业节能技术装备推荐目录!F:F,'Improvement in Eqpt Efficiency'!$A$1,工业节能技术装备推荐目录!A:A,"2020")+SUMIFS(用能设备节能分配!Q:Q,用能设备节能分配!O:O,'Improvement in Eqpt Efficiency'!A11,用能设备节能分配!P:P,'Improvement in Eqpt Efficiency'!$A$1,用能设备节能分配!M:M,"2020")+SUMIFS(工业节能技术装备推荐目录!K:K,工业节能技术装备推荐目录!D:D,'Improvement in Eqpt Efficiency'!A11,工业节能技术装备推荐目录!F:F,'Improvement in Eqpt Efficiency'!$A$1,工业节能技术装备推荐目录!A:A,"2022")+SUMIFS(用能设备节能分配!Q:Q,用能设备节能分配!O:O,'Improvement in Eqpt Efficiency'!A11,用能设备节能分配!P:P,'Improvement in Eqpt Efficiency'!$A$1,用能设备节能分配!M:M,"2022")</f>
        <v>223.20768903674443</v>
      </c>
      <c r="H11" s="73">
        <f>SUMIFS(工业节能技术装备推荐目录!K:K,工业节能技术装备推荐目录!D:D,'Improvement in Eqpt Efficiency'!A11,工业节能技术装备推荐目录!F:F,'Improvement in Eqpt Efficiency'!$A$1,工业节能技术装备推荐目录!A:A,"2022")+SUMIFS(用能设备节能分配!Q:Q,用能设备节能分配!O:O,'Improvement in Eqpt Efficiency'!A11,用能设备节能分配!P:P,'Improvement in Eqpt Efficiency'!$A$1,用能设备节能分配!M:M,"2022")</f>
        <v>122.80354479010362</v>
      </c>
      <c r="I11" s="73">
        <f>SUMIFS(工业节能技术装备推荐目录!K:K,工业节能技术装备推荐目录!D:D,'Improvement in Eqpt Efficiency'!A11,工业节能技术装备推荐目录!F:F,'Improvement in Eqpt Efficiency'!$A$1,工业节能技术装备推荐目录!A:A,"2022")+SUMIFS(用能设备节能分配!Q:Q,用能设备节能分配!O:O,'Improvement in Eqpt Efficiency'!A11,用能设备节能分配!P:P,'Improvement in Eqpt Efficiency'!$A$1,用能设备节能分配!M:M,"2022")</f>
        <v>122.80354479010362</v>
      </c>
      <c r="K11" s="52"/>
      <c r="L11" s="26" t="s">
        <v>40</v>
      </c>
      <c r="M11" s="50">
        <f>SUMIFS(工业节能技术装备推荐目录!L:L,工业节能技术装备推荐目录!D:D,'Improvement in Eqpt Efficiency'!A11,工业节能技术装备推荐目录!F:F,'Improvement in Eqpt Efficiency'!$A$1)</f>
        <v>48.39098947389072</v>
      </c>
      <c r="N11" s="73">
        <f>SUMIFS(工业节能技术装备推荐目录!K:K,工业节能技术装备推荐目录!D:D,'Improvement in Eqpt Efficiency'!A11,工业节能技术装备推荐目录!F:F,'Improvement in Eqpt Efficiency'!$A$1,工业节能技术装备推荐目录!A:A,"2020")</f>
        <v>0</v>
      </c>
      <c r="O11" s="73">
        <f>SUMIFS(工业节能技术装备推荐目录!K:K,工业节能技术装备推荐目录!D:D,'Improvement in Eqpt Efficiency'!A11,工业节能技术装备推荐目录!F:F,'Improvement in Eqpt Efficiency'!$A$1,工业节能技术装备推荐目录!A:A,"2020")+SUMIFS(工业节能技术装备推荐目录!K:K,工业节能技术装备推荐目录!D:D,'Improvement in Eqpt Efficiency'!A11,工业节能技术装备推荐目录!F:F,'Improvement in Eqpt Efficiency'!$A$1,工业节能技术装备推荐目录!A:A,"2021")</f>
        <v>0</v>
      </c>
      <c r="P11" s="73">
        <f>SUMIFS(工业节能技术装备推荐目录!K:K,工业节能技术装备推荐目录!D:D,'Improvement in Eqpt Efficiency'!A11,工业节能技术装备推荐目录!F:F,'Improvement in Eqpt Efficiency'!$A$1,工业节能技术装备推荐目录!A:A,"2020")+SUMIFS(工业节能技术装备推荐目录!K:K,工业节能技术装备推荐目录!D:D,'Improvement in Eqpt Efficiency'!A11,工业节能技术装备推荐目录!F:F,'Improvement in Eqpt Efficiency'!$A$1,工业节能技术装备推荐目录!A:A,"2021")+SUMIFS(工业节能技术装备推荐目录!K:K,工业节能技术装备推荐目录!D:D,'Improvement in Eqpt Efficiency'!A11,工业节能技术装备推荐目录!F:F,'Improvement in Eqpt Efficiency'!$A$1,工业节能技术装备推荐目录!A:A,"2022")</f>
        <v>20.142296842167216</v>
      </c>
      <c r="Q11" s="73">
        <f>SUMIFS(工业节能技术装备推荐目录!K:K,工业节能技术装备推荐目录!D:D,'Improvement in Eqpt Efficiency'!A11,工业节能技术装备推荐目录!F:F,'Improvement in Eqpt Efficiency'!$A$1,工业节能技术装备推荐目录!A:A,"2020")+SUMIFS(工业节能技术装备推荐目录!K:K,工业节能技术装备推荐目录!D:D,'Improvement in Eqpt Efficiency'!A11,工业节能技术装备推荐目录!F:F,'Improvement in Eqpt Efficiency'!$A$1,工业节能技术装备推荐目录!A:A,"2021")+SUMIFS(工业节能技术装备推荐目录!K:K,工业节能技术装备推荐目录!D:D,'Improvement in Eqpt Efficiency'!A11,工业节能技术装备推荐目录!F:F,'Improvement in Eqpt Efficiency'!$A$1,工业节能技术装备推荐目录!A:A,"2022")</f>
        <v>20.142296842167216</v>
      </c>
      <c r="R11" s="73">
        <f>SUMIFS(工业节能技术装备推荐目录!K:K,工业节能技术装备推荐目录!D:D,'Improvement in Eqpt Efficiency'!A11,工业节能技术装备推荐目录!F:F,'Improvement in Eqpt Efficiency'!$A$1,工业节能技术装备推荐目录!A:A,"2020")+SUMIFS(工业节能技术装备推荐目录!K:K,工业节能技术装备推荐目录!D:D,'Improvement in Eqpt Efficiency'!A11,工业节能技术装备推荐目录!F:F,'Improvement in Eqpt Efficiency'!$A$1,工业节能技术装备推荐目录!A:A,"2022")</f>
        <v>20.142296842167216</v>
      </c>
      <c r="S11" s="73">
        <f>SUMIFS(工业节能技术装备推荐目录!K:K,工业节能技术装备推荐目录!D:D,'Improvement in Eqpt Efficiency'!A11,工业节能技术装备推荐目录!F:F,'Improvement in Eqpt Efficiency'!$A$1,工业节能技术装备推荐目录!A:A,"2022")</f>
        <v>20.142296842167216</v>
      </c>
      <c r="T11" s="73">
        <f>SUMIFS(工业节能技术装备推荐目录!K:K,工业节能技术装备推荐目录!D:D,'Improvement in Eqpt Efficiency'!A11,工业节能技术装备推荐目录!F:F,'Improvement in Eqpt Efficiency'!$A$1,工业节能技术装备推荐目录!A:A,"2022")</f>
        <v>20.142296842167216</v>
      </c>
    </row>
    <row r="12" spans="1:20" x14ac:dyDescent="0.15">
      <c r="A12" s="26" t="s">
        <v>41</v>
      </c>
      <c r="B12" s="50">
        <f>SUMIFS(工业节能技术装备推荐目录!L:L,工业节能技术装备推荐目录!D:D,'Improvement in Eqpt Efficiency'!A12,工业节能技术装备推荐目录!F:F,'Improvement in Eqpt Efficiency'!$A$1)+SUMIFS(用能设备节能分配!R:R,用能设备节能分配!O:O,'Improvement in Eqpt Efficiency'!A12,用能设备节能分配!P:P,'Improvement in Eqpt Efficiency'!$A$1)</f>
        <v>796.61202151949772</v>
      </c>
      <c r="C12" s="73">
        <f>SUMIFS(工业节能技术装备推荐目录!K:K,工业节能技术装备推荐目录!D:D,'Improvement in Eqpt Efficiency'!A12,工业节能技术装备推荐目录!F:F,'Improvement in Eqpt Efficiency'!$A$1,工业节能技术装备推荐目录!A:A,"2020")+SUMIFS(用能设备节能分配!Q:Q,用能设备节能分配!O:O,'Improvement in Eqpt Efficiency'!A12,用能设备节能分配!P:P,'Improvement in Eqpt Efficiency'!$A$1,用能设备节能分配!M:M,"2020")</f>
        <v>35.923175872317039</v>
      </c>
      <c r="D12" s="73">
        <f>SUMIFS(工业节能技术装备推荐目录!K:K,工业节能技术装备推荐目录!D:D,'Improvement in Eqpt Efficiency'!A12,工业节能技术装备推荐目录!F:F,'Improvement in Eqpt Efficiency'!$A$1,工业节能技术装备推荐目录!A:A,"2020")+SUMIFS(用能设备节能分配!Q:Q,用能设备节能分配!O:O,'Improvement in Eqpt Efficiency'!A12,用能设备节能分配!P:P,'Improvement in Eqpt Efficiency'!$A$1,用能设备节能分配!M:M,"2020")+SUMIFS(工业节能技术装备推荐目录!K:K,工业节能技术装备推荐目录!D:D,'Improvement in Eqpt Efficiency'!A12,工业节能技术装备推荐目录!F:F,'Improvement in Eqpt Efficiency'!$A$1,工业节能技术装备推荐目录!A:A,"2021")+SUMIFS(用能设备节能分配!Q:Q,用能设备节能分配!O:O,'Improvement in Eqpt Efficiency'!A12,用能设备节能分配!P:P,'Improvement in Eqpt Efficiency'!$A$1,用能设备节能分配!M:M,"2021")</f>
        <v>80.8044537837429</v>
      </c>
      <c r="E12" s="73">
        <f>SUMIFS(工业节能技术装备推荐目录!K:K,工业节能技术装备推荐目录!D:D,'Improvement in Eqpt Efficiency'!A12,工业节能技术装备推荐目录!F:F,'Improvement in Eqpt Efficiency'!$A$1,工业节能技术装备推荐目录!A:A,"2020")+SUMIFS(用能设备节能分配!Q:Q,用能设备节能分配!O:O,'Improvement in Eqpt Efficiency'!A12,用能设备节能分配!P:P,'Improvement in Eqpt Efficiency'!$A$1,用能设备节能分配!M:M,"2020")+SUMIFS(工业节能技术装备推荐目录!K:K,工业节能技术装备推荐目录!D:D,'Improvement in Eqpt Efficiency'!A12,工业节能技术装备推荐目录!F:F,'Improvement in Eqpt Efficiency'!$A$1,工业节能技术装备推荐目录!A:A,"2021")+SUMIFS(用能设备节能分配!Q:Q,用能设备节能分配!O:O,'Improvement in Eqpt Efficiency'!A12,用能设备节能分配!P:P,'Improvement in Eqpt Efficiency'!$A$1,用能设备节能分配!M:M,"2021")+SUMIFS(工业节能技术装备推荐目录!K:K,工业节能技术装备推荐目录!D:D,'Improvement in Eqpt Efficiency'!A12,工业节能技术装备推荐目录!F:F,'Improvement in Eqpt Efficiency'!$A$1,工业节能技术装备推荐目录!A:A,"2022")+SUMIFS(用能设备节能分配!Q:Q,用能设备节能分配!O:O,'Improvement in Eqpt Efficiency'!A12,用能设备节能分配!P:P,'Improvement in Eqpt Efficiency'!$A$1,用能设备节能分配!M:M,"2022")</f>
        <v>121.9148508642748</v>
      </c>
      <c r="F12" s="73">
        <f>SUMIFS(工业节能技术装备推荐目录!K:K,工业节能技术装备推荐目录!D:D,'Improvement in Eqpt Efficiency'!A12,工业节能技术装备推荐目录!F:F,'Improvement in Eqpt Efficiency'!$A$1,工业节能技术装备推荐目录!A:A,"2020")+SUMIFS(用能设备节能分配!Q:Q,用能设备节能分配!O:O,'Improvement in Eqpt Efficiency'!A12,用能设备节能分配!P:P,'Improvement in Eqpt Efficiency'!$A$1,用能设备节能分配!M:M,"2020")+SUMIFS(工业节能技术装备推荐目录!K:K,工业节能技术装备推荐目录!D:D,'Improvement in Eqpt Efficiency'!A12,工业节能技术装备推荐目录!F:F,'Improvement in Eqpt Efficiency'!$A$1,工业节能技术装备推荐目录!A:A,"2021")+SUMIFS(用能设备节能分配!Q:Q,用能设备节能分配!O:O,'Improvement in Eqpt Efficiency'!A12,用能设备节能分配!P:P,'Improvement in Eqpt Efficiency'!$A$1,用能设备节能分配!M:M,"2021")+SUMIFS(工业节能技术装备推荐目录!K:K,工业节能技术装备推荐目录!D:D,'Improvement in Eqpt Efficiency'!A12,工业节能技术装备推荐目录!F:F,'Improvement in Eqpt Efficiency'!$A$1,工业节能技术装备推荐目录!A:A,"2022")+SUMIFS(用能设备节能分配!Q:Q,用能设备节能分配!O:O,'Improvement in Eqpt Efficiency'!A12,用能设备节能分配!P:P,'Improvement in Eqpt Efficiency'!$A$1,用能设备节能分配!M:M,"2022")</f>
        <v>121.9148508642748</v>
      </c>
      <c r="G12" s="73">
        <f>SUMIFS(工业节能技术装备推荐目录!K:K,工业节能技术装备推荐目录!D:D,'Improvement in Eqpt Efficiency'!A12,工业节能技术装备推荐目录!F:F,'Improvement in Eqpt Efficiency'!$A$1,工业节能技术装备推荐目录!A:A,"2020")+SUMIFS(用能设备节能分配!Q:Q,用能设备节能分配!O:O,'Improvement in Eqpt Efficiency'!A12,用能设备节能分配!P:P,'Improvement in Eqpt Efficiency'!$A$1,用能设备节能分配!M:M,"2020")+SUMIFS(工业节能技术装备推荐目录!K:K,工业节能技术装备推荐目录!D:D,'Improvement in Eqpt Efficiency'!A12,工业节能技术装备推荐目录!F:F,'Improvement in Eqpt Efficiency'!$A$1,工业节能技术装备推荐目录!A:A,"2022")+SUMIFS(用能设备节能分配!Q:Q,用能设备节能分配!O:O,'Improvement in Eqpt Efficiency'!A12,用能设备节能分配!P:P,'Improvement in Eqpt Efficiency'!$A$1,用能设备节能分配!M:M,"2022")</f>
        <v>77.033572952848942</v>
      </c>
      <c r="H12" s="73">
        <f>SUMIFS(工业节能技术装备推荐目录!K:K,工业节能技术装备推荐目录!D:D,'Improvement in Eqpt Efficiency'!A12,工业节能技术装备推荐目录!F:F,'Improvement in Eqpt Efficiency'!$A$1,工业节能技术装备推荐目录!A:A,"2022")+SUMIFS(用能设备节能分配!Q:Q,用能设备节能分配!O:O,'Improvement in Eqpt Efficiency'!A12,用能设备节能分配!P:P,'Improvement in Eqpt Efficiency'!$A$1,用能设备节能分配!M:M,"2022")</f>
        <v>41.110397080531897</v>
      </c>
      <c r="I12" s="73">
        <f>SUMIFS(工业节能技术装备推荐目录!K:K,工业节能技术装备推荐目录!D:D,'Improvement in Eqpt Efficiency'!A12,工业节能技术装备推荐目录!F:F,'Improvement in Eqpt Efficiency'!$A$1,工业节能技术装备推荐目录!A:A,"2022")+SUMIFS(用能设备节能分配!Q:Q,用能设备节能分配!O:O,'Improvement in Eqpt Efficiency'!A12,用能设备节能分配!P:P,'Improvement in Eqpt Efficiency'!$A$1,用能设备节能分配!M:M,"2022")</f>
        <v>41.110397080531897</v>
      </c>
      <c r="K12" s="52"/>
      <c r="L12" s="26" t="s">
        <v>41</v>
      </c>
      <c r="M12" s="50">
        <f>SUMIFS(工业节能技术装备推荐目录!L:L,工业节能技术装备推荐目录!D:D,'Improvement in Eqpt Efficiency'!A12,工业节能技术装备推荐目录!F:F,'Improvement in Eqpt Efficiency'!$A$1)</f>
        <v>52.362913702032444</v>
      </c>
      <c r="N12" s="73">
        <f>SUMIFS(工业节能技术装备推荐目录!K:K,工业节能技术装备推荐目录!D:D,'Improvement in Eqpt Efficiency'!A12,工业节能技术装备推荐目录!F:F,'Improvement in Eqpt Efficiency'!$A$1,工业节能技术装备推荐目录!A:A,"2020")</f>
        <v>5.28</v>
      </c>
      <c r="O12" s="73">
        <f>SUMIFS(工业节能技术装备推荐目录!K:K,工业节能技术装备推荐目录!D:D,'Improvement in Eqpt Efficiency'!A12,工业节能技术装备推荐目录!F:F,'Improvement in Eqpt Efficiency'!$A$1,工业节能技术装备推荐目录!A:A,"2020")+SUMIFS(工业节能技术装备推荐目录!K:K,工业节能技术装备推荐目录!D:D,'Improvement in Eqpt Efficiency'!A12,工业节能技术装备推荐目录!F:F,'Improvement in Eqpt Efficiency'!$A$1,工业节能技术装备推荐目录!A:A,"2021")</f>
        <v>5.28</v>
      </c>
      <c r="P12" s="73">
        <f>SUMIFS(工业节能技术装备推荐目录!K:K,工业节能技术装备推荐目录!D:D,'Improvement in Eqpt Efficiency'!A12,工业节能技术装备推荐目录!F:F,'Improvement in Eqpt Efficiency'!$A$1,工业节能技术装备推荐目录!A:A,"2020")+SUMIFS(工业节能技术装备推荐目录!K:K,工业节能技术装备推荐目录!D:D,'Improvement in Eqpt Efficiency'!A12,工业节能技术装备推荐目录!F:F,'Improvement in Eqpt Efficiency'!$A$1,工业节能技术装备推荐目录!A:A,"2021")+SUMIFS(工业节能技术装备推荐目录!K:K,工业节能技术装备推荐目录!D:D,'Improvement in Eqpt Efficiency'!A12,工业节能技术装备推荐目录!F:F,'Improvement in Eqpt Efficiency'!$A$1,工业节能技术装备推荐目录!A:A,"2022")</f>
        <v>6.7328741106097327</v>
      </c>
      <c r="Q12" s="73">
        <f>SUMIFS(工业节能技术装备推荐目录!K:K,工业节能技术装备推荐目录!D:D,'Improvement in Eqpt Efficiency'!A12,工业节能技术装备推荐目录!F:F,'Improvement in Eqpt Efficiency'!$A$1,工业节能技术装备推荐目录!A:A,"2020")+SUMIFS(工业节能技术装备推荐目录!K:K,工业节能技术装备推荐目录!D:D,'Improvement in Eqpt Efficiency'!A12,工业节能技术装备推荐目录!F:F,'Improvement in Eqpt Efficiency'!$A$1,工业节能技术装备推荐目录!A:A,"2021")+SUMIFS(工业节能技术装备推荐目录!K:K,工业节能技术装备推荐目录!D:D,'Improvement in Eqpt Efficiency'!A12,工业节能技术装备推荐目录!F:F,'Improvement in Eqpt Efficiency'!$A$1,工业节能技术装备推荐目录!A:A,"2022")</f>
        <v>6.7328741106097327</v>
      </c>
      <c r="R12" s="73">
        <f>SUMIFS(工业节能技术装备推荐目录!K:K,工业节能技术装备推荐目录!D:D,'Improvement in Eqpt Efficiency'!A12,工业节能技术装备推荐目录!F:F,'Improvement in Eqpt Efficiency'!$A$1,工业节能技术装备推荐目录!A:A,"2020")+SUMIFS(工业节能技术装备推荐目录!K:K,工业节能技术装备推荐目录!D:D,'Improvement in Eqpt Efficiency'!A12,工业节能技术装备推荐目录!F:F,'Improvement in Eqpt Efficiency'!$A$1,工业节能技术装备推荐目录!A:A,"2022")</f>
        <v>6.7328741106097327</v>
      </c>
      <c r="S12" s="73">
        <f>SUMIFS(工业节能技术装备推荐目录!K:K,工业节能技术装备推荐目录!D:D,'Improvement in Eqpt Efficiency'!A12,工业节能技术装备推荐目录!F:F,'Improvement in Eqpt Efficiency'!$A$1,工业节能技术装备推荐目录!A:A,"2022")</f>
        <v>1.4528741106097323</v>
      </c>
      <c r="T12" s="73">
        <f>SUMIFS(工业节能技术装备推荐目录!K:K,工业节能技术装备推荐目录!D:D,'Improvement in Eqpt Efficiency'!A12,工业节能技术装备推荐目录!F:F,'Improvement in Eqpt Efficiency'!$A$1,工业节能技术装备推荐目录!A:A,"2022")</f>
        <v>1.4528741106097323</v>
      </c>
    </row>
    <row r="13" spans="1:20" x14ac:dyDescent="0.15">
      <c r="A13" s="26" t="s">
        <v>42</v>
      </c>
      <c r="B13" s="50">
        <f>SUMIFS(工业节能技术装备推荐目录!L:L,工业节能技术装备推荐目录!D:D,'Improvement in Eqpt Efficiency'!A13,工业节能技术装备推荐目录!F:F,'Improvement in Eqpt Efficiency'!$A$1)+SUMIFS(用能设备节能分配!R:R,用能设备节能分配!O:O,'Improvement in Eqpt Efficiency'!A13,用能设备节能分配!P:P,'Improvement in Eqpt Efficiency'!$A$1)</f>
        <v>18.917740574325684</v>
      </c>
      <c r="C13" s="73">
        <f>SUMIFS(工业节能技术装备推荐目录!K:K,工业节能技术装备推荐目录!D:D,'Improvement in Eqpt Efficiency'!A13,工业节能技术装备推荐目录!F:F,'Improvement in Eqpt Efficiency'!$A$1,工业节能技术装备推荐目录!A:A,"2020")+SUMIFS(用能设备节能分配!Q:Q,用能设备节能分配!O:O,'Improvement in Eqpt Efficiency'!A13,用能设备节能分配!P:P,'Improvement in Eqpt Efficiency'!$A$1,用能设备节能分配!M:M,"2020")</f>
        <v>0.27055872993438085</v>
      </c>
      <c r="D13" s="73">
        <f>SUMIFS(工业节能技术装备推荐目录!K:K,工业节能技术装备推荐目录!D:D,'Improvement in Eqpt Efficiency'!A13,工业节能技术装备推荐目录!F:F,'Improvement in Eqpt Efficiency'!$A$1,工业节能技术装备推荐目录!A:A,"2020")+SUMIFS(用能设备节能分配!Q:Q,用能设备节能分配!O:O,'Improvement in Eqpt Efficiency'!A13,用能设备节能分配!P:P,'Improvement in Eqpt Efficiency'!$A$1,用能设备节能分配!M:M,"2020")+SUMIFS(工业节能技术装备推荐目录!K:K,工业节能技术装备推荐目录!D:D,'Improvement in Eqpt Efficiency'!A13,工业节能技术装备推荐目录!F:F,'Improvement in Eqpt Efficiency'!$A$1,工业节能技术装备推荐目录!A:A,"2021")+SUMIFS(用能设备节能分配!Q:Q,用能设备节能分配!O:O,'Improvement in Eqpt Efficiency'!A13,用能设备节能分配!P:P,'Improvement in Eqpt Efficiency'!$A$1,用能设备节能分配!M:M,"2021")</f>
        <v>2.0409647896068526</v>
      </c>
      <c r="E13" s="73">
        <f>SUMIFS(工业节能技术装备推荐目录!K:K,工业节能技术装备推荐目录!D:D,'Improvement in Eqpt Efficiency'!A13,工业节能技术装备推荐目录!F:F,'Improvement in Eqpt Efficiency'!$A$1,工业节能技术装备推荐目录!A:A,"2020")+SUMIFS(用能设备节能分配!Q:Q,用能设备节能分配!O:O,'Improvement in Eqpt Efficiency'!A13,用能设备节能分配!P:P,'Improvement in Eqpt Efficiency'!$A$1,用能设备节能分配!M:M,"2020")+SUMIFS(工业节能技术装备推荐目录!K:K,工业节能技术装备推荐目录!D:D,'Improvement in Eqpt Efficiency'!A13,工业节能技术装备推荐目录!F:F,'Improvement in Eqpt Efficiency'!$A$1,工业节能技术装备推荐目录!A:A,"2021")+SUMIFS(用能设备节能分配!Q:Q,用能设备节能分配!O:O,'Improvement in Eqpt Efficiency'!A13,用能设备节能分配!P:P,'Improvement in Eqpt Efficiency'!$A$1,用能设备节能分配!M:M,"2021")+SUMIFS(工业节能技术装备推荐目录!K:K,工业节能技术装备推荐目录!D:D,'Improvement in Eqpt Efficiency'!A13,工业节能技术装备推荐目录!F:F,'Improvement in Eqpt Efficiency'!$A$1,工业节能技术装备推荐目录!A:A,"2022")+SUMIFS(用能设备节能分配!Q:Q,用能设备节能分配!O:O,'Improvement in Eqpt Efficiency'!A13,用能设备节能分配!P:P,'Improvement in Eqpt Efficiency'!$A$1,用能设备节能分配!M:M,"2022")</f>
        <v>2.3979520027147161</v>
      </c>
      <c r="F13" s="73">
        <f>SUMIFS(工业节能技术装备推荐目录!K:K,工业节能技术装备推荐目录!D:D,'Improvement in Eqpt Efficiency'!A13,工业节能技术装备推荐目录!F:F,'Improvement in Eqpt Efficiency'!$A$1,工业节能技术装备推荐目录!A:A,"2020")+SUMIFS(用能设备节能分配!Q:Q,用能设备节能分配!O:O,'Improvement in Eqpt Efficiency'!A13,用能设备节能分配!P:P,'Improvement in Eqpt Efficiency'!$A$1,用能设备节能分配!M:M,"2020")+SUMIFS(工业节能技术装备推荐目录!K:K,工业节能技术装备推荐目录!D:D,'Improvement in Eqpt Efficiency'!A13,工业节能技术装备推荐目录!F:F,'Improvement in Eqpt Efficiency'!$A$1,工业节能技术装备推荐目录!A:A,"2021")+SUMIFS(用能设备节能分配!Q:Q,用能设备节能分配!O:O,'Improvement in Eqpt Efficiency'!A13,用能设备节能分配!P:P,'Improvement in Eqpt Efficiency'!$A$1,用能设备节能分配!M:M,"2021")+SUMIFS(工业节能技术装备推荐目录!K:K,工业节能技术装备推荐目录!D:D,'Improvement in Eqpt Efficiency'!A13,工业节能技术装备推荐目录!F:F,'Improvement in Eqpt Efficiency'!$A$1,工业节能技术装备推荐目录!A:A,"2022")+SUMIFS(用能设备节能分配!Q:Q,用能设备节能分配!O:O,'Improvement in Eqpt Efficiency'!A13,用能设备节能分配!P:P,'Improvement in Eqpt Efficiency'!$A$1,用能设备节能分配!M:M,"2022")</f>
        <v>2.3979520027147161</v>
      </c>
      <c r="G13" s="73">
        <f>SUMIFS(工业节能技术装备推荐目录!K:K,工业节能技术装备推荐目录!D:D,'Improvement in Eqpt Efficiency'!A13,工业节能技术装备推荐目录!F:F,'Improvement in Eqpt Efficiency'!$A$1,工业节能技术装备推荐目录!A:A,"2020")+SUMIFS(用能设备节能分配!Q:Q,用能设备节能分配!O:O,'Improvement in Eqpt Efficiency'!A13,用能设备节能分配!P:P,'Improvement in Eqpt Efficiency'!$A$1,用能设备节能分配!M:M,"2020")+SUMIFS(工业节能技术装备推荐目录!K:K,工业节能技术装备推荐目录!D:D,'Improvement in Eqpt Efficiency'!A13,工业节能技术装备推荐目录!F:F,'Improvement in Eqpt Efficiency'!$A$1,工业节能技术装备推荐目录!A:A,"2022")+SUMIFS(用能设备节能分配!Q:Q,用能设备节能分配!O:O,'Improvement in Eqpt Efficiency'!A13,用能设备节能分配!P:P,'Improvement in Eqpt Efficiency'!$A$1,用能设备节能分配!M:M,"2022")</f>
        <v>0.62754594304224454</v>
      </c>
      <c r="H13" s="73">
        <f>SUMIFS(工业节能技术装备推荐目录!K:K,工业节能技术装备推荐目录!D:D,'Improvement in Eqpt Efficiency'!A13,工业节能技术装备推荐目录!F:F,'Improvement in Eqpt Efficiency'!$A$1,工业节能技术装备推荐目录!A:A,"2022")+SUMIFS(用能设备节能分配!Q:Q,用能设备节能分配!O:O,'Improvement in Eqpt Efficiency'!A13,用能设备节能分配!P:P,'Improvement in Eqpt Efficiency'!$A$1,用能设备节能分配!M:M,"2022")</f>
        <v>0.35698721310786363</v>
      </c>
      <c r="I13" s="73">
        <f>SUMIFS(工业节能技术装备推荐目录!K:K,工业节能技术装备推荐目录!D:D,'Improvement in Eqpt Efficiency'!A13,工业节能技术装备推荐目录!F:F,'Improvement in Eqpt Efficiency'!$A$1,工业节能技术装备推荐目录!A:A,"2022")+SUMIFS(用能设备节能分配!Q:Q,用能设备节能分配!O:O,'Improvement in Eqpt Efficiency'!A13,用能设备节能分配!P:P,'Improvement in Eqpt Efficiency'!$A$1,用能设备节能分配!M:M,"2022")</f>
        <v>0.35698721310786363</v>
      </c>
      <c r="K13" s="52"/>
      <c r="L13" s="26" t="s">
        <v>42</v>
      </c>
      <c r="M13" s="50">
        <f>SUMIFS(工业节能技术装备推荐目录!L:L,工业节能技术装备推荐目录!D:D,'Improvement in Eqpt Efficiency'!A13,工业节能技术装备推荐目录!F:F,'Improvement in Eqpt Efficiency'!$A$1)</f>
        <v>0</v>
      </c>
      <c r="N13" s="73">
        <f>SUMIFS(工业节能技术装备推荐目录!K:K,工业节能技术装备推荐目录!D:D,'Improvement in Eqpt Efficiency'!A13,工业节能技术装备推荐目录!F:F,'Improvement in Eqpt Efficiency'!$A$1,工业节能技术装备推荐目录!A:A,"2020")</f>
        <v>0</v>
      </c>
      <c r="O13" s="73">
        <f>SUMIFS(工业节能技术装备推荐目录!K:K,工业节能技术装备推荐目录!D:D,'Improvement in Eqpt Efficiency'!A13,工业节能技术装备推荐目录!F:F,'Improvement in Eqpt Efficiency'!$A$1,工业节能技术装备推荐目录!A:A,"2020")+SUMIFS(工业节能技术装备推荐目录!K:K,工业节能技术装备推荐目录!D:D,'Improvement in Eqpt Efficiency'!A13,工业节能技术装备推荐目录!F:F,'Improvement in Eqpt Efficiency'!$A$1,工业节能技术装备推荐目录!A:A,"2021")</f>
        <v>0</v>
      </c>
      <c r="P13" s="73">
        <f>SUMIFS(工业节能技术装备推荐目录!K:K,工业节能技术装备推荐目录!D:D,'Improvement in Eqpt Efficiency'!A13,工业节能技术装备推荐目录!F:F,'Improvement in Eqpt Efficiency'!$A$1,工业节能技术装备推荐目录!A:A,"2020")+SUMIFS(工业节能技术装备推荐目录!K:K,工业节能技术装备推荐目录!D:D,'Improvement in Eqpt Efficiency'!A13,工业节能技术装备推荐目录!F:F,'Improvement in Eqpt Efficiency'!$A$1,工业节能技术装备推荐目录!A:A,"2021")+SUMIFS(工业节能技术装备推荐目录!K:K,工业节能技术装备推荐目录!D:D,'Improvement in Eqpt Efficiency'!A13,工业节能技术装备推荐目录!F:F,'Improvement in Eqpt Efficiency'!$A$1,工业节能技术装备推荐目录!A:A,"2022")</f>
        <v>0</v>
      </c>
      <c r="Q13" s="73">
        <f>SUMIFS(工业节能技术装备推荐目录!K:K,工业节能技术装备推荐目录!D:D,'Improvement in Eqpt Efficiency'!A13,工业节能技术装备推荐目录!F:F,'Improvement in Eqpt Efficiency'!$A$1,工业节能技术装备推荐目录!A:A,"2020")+SUMIFS(工业节能技术装备推荐目录!K:K,工业节能技术装备推荐目录!D:D,'Improvement in Eqpt Efficiency'!A13,工业节能技术装备推荐目录!F:F,'Improvement in Eqpt Efficiency'!$A$1,工业节能技术装备推荐目录!A:A,"2021")+SUMIFS(工业节能技术装备推荐目录!K:K,工业节能技术装备推荐目录!D:D,'Improvement in Eqpt Efficiency'!A13,工业节能技术装备推荐目录!F:F,'Improvement in Eqpt Efficiency'!$A$1,工业节能技术装备推荐目录!A:A,"2022")</f>
        <v>0</v>
      </c>
      <c r="R13" s="73">
        <f>SUMIFS(工业节能技术装备推荐目录!K:K,工业节能技术装备推荐目录!D:D,'Improvement in Eqpt Efficiency'!A13,工业节能技术装备推荐目录!F:F,'Improvement in Eqpt Efficiency'!$A$1,工业节能技术装备推荐目录!A:A,"2020")+SUMIFS(工业节能技术装备推荐目录!K:K,工业节能技术装备推荐目录!D:D,'Improvement in Eqpt Efficiency'!A13,工业节能技术装备推荐目录!F:F,'Improvement in Eqpt Efficiency'!$A$1,工业节能技术装备推荐目录!A:A,"2022")</f>
        <v>0</v>
      </c>
      <c r="S13" s="73">
        <f>SUMIFS(工业节能技术装备推荐目录!K:K,工业节能技术装备推荐目录!D:D,'Improvement in Eqpt Efficiency'!A13,工业节能技术装备推荐目录!F:F,'Improvement in Eqpt Efficiency'!$A$1,工业节能技术装备推荐目录!A:A,"2022")</f>
        <v>0</v>
      </c>
      <c r="T13" s="73">
        <f>SUMIFS(工业节能技术装备推荐目录!K:K,工业节能技术装备推荐目录!D:D,'Improvement in Eqpt Efficiency'!A13,工业节能技术装备推荐目录!F:F,'Improvement in Eqpt Efficiency'!$A$1,工业节能技术装备推荐目录!A:A,"2022")</f>
        <v>0</v>
      </c>
    </row>
    <row r="14" spans="1:20" x14ac:dyDescent="0.15">
      <c r="A14" s="26" t="s">
        <v>43</v>
      </c>
      <c r="B14" s="50">
        <f>SUMIFS(工业节能技术装备推荐目录!L:L,工业节能技术装备推荐目录!D:D,'Improvement in Eqpt Efficiency'!A14,工业节能技术装备推荐目录!F:F,'Improvement in Eqpt Efficiency'!$A$1)+SUMIFS(用能设备节能分配!R:R,用能设备节能分配!O:O,'Improvement in Eqpt Efficiency'!A14,用能设备节能分配!P:P,'Improvement in Eqpt Efficiency'!$A$1)</f>
        <v>6.3396001310728316</v>
      </c>
      <c r="C14" s="73">
        <f>SUMIFS(工业节能技术装备推荐目录!K:K,工业节能技术装备推荐目录!D:D,'Improvement in Eqpt Efficiency'!A14,工业节能技术装备推荐目录!F:F,'Improvement in Eqpt Efficiency'!$A$1,工业节能技术装备推荐目录!A:A,"2020")+SUMIFS(用能设备节能分配!Q:Q,用能设备节能分配!O:O,'Improvement in Eqpt Efficiency'!A14,用能设备节能分配!P:P,'Improvement in Eqpt Efficiency'!$A$1,用能设备节能分配!M:M,"2020")</f>
        <v>9.0668024176351128E-2</v>
      </c>
      <c r="D14" s="73">
        <f>SUMIFS(工业节能技术装备推荐目录!K:K,工业节能技术装备推荐目录!D:D,'Improvement in Eqpt Efficiency'!A14,工业节能技术装备推荐目录!F:F,'Improvement in Eqpt Efficiency'!$A$1,工业节能技术装备推荐目录!A:A,"2020")+SUMIFS(用能设备节能分配!Q:Q,用能设备节能分配!O:O,'Improvement in Eqpt Efficiency'!A14,用能设备节能分配!P:P,'Improvement in Eqpt Efficiency'!$A$1,用能设备节能分配!M:M,"2020")+SUMIFS(工业节能技术装备推荐目录!K:K,工业节能技术装备推荐目录!D:D,'Improvement in Eqpt Efficiency'!A14,工业节能技术装备推荐目录!F:F,'Improvement in Eqpt Efficiency'!$A$1,工业节能技术装备推荐目录!A:A,"2021")+SUMIFS(用能设备节能分配!Q:Q,用能设备节能分配!O:O,'Improvement in Eqpt Efficiency'!A14,用能设备节能分配!P:P,'Improvement in Eqpt Efficiency'!$A$1,用能设备节能分配!M:M,"2021")</f>
        <v>0.68395591941178946</v>
      </c>
      <c r="E14" s="73">
        <f>SUMIFS(工业节能技术装备推荐目录!K:K,工业节能技术装备推荐目录!D:D,'Improvement in Eqpt Efficiency'!A14,工业节能技术装备推荐目录!F:F,'Improvement in Eqpt Efficiency'!$A$1,工业节能技术装备推荐目录!A:A,"2020")+SUMIFS(用能设备节能分配!Q:Q,用能设备节能分配!O:O,'Improvement in Eqpt Efficiency'!A14,用能设备节能分配!P:P,'Improvement in Eqpt Efficiency'!$A$1,用能设备节能分配!M:M,"2020")+SUMIFS(工业节能技术装备推荐目录!K:K,工业节能技术装备推荐目录!D:D,'Improvement in Eqpt Efficiency'!A14,工业节能技术装备推荐目录!F:F,'Improvement in Eqpt Efficiency'!$A$1,工业节能技术装备推荐目录!A:A,"2021")+SUMIFS(用能设备节能分配!Q:Q,用能设备节能分配!O:O,'Improvement in Eqpt Efficiency'!A14,用能设备节能分配!P:P,'Improvement in Eqpt Efficiency'!$A$1,用能设备节能分配!M:M,"2021")+SUMIFS(工业节能技术装备推荐目录!K:K,工业节能技术装备推荐目录!D:D,'Improvement in Eqpt Efficiency'!A14,工业节能技术装备推荐目录!F:F,'Improvement in Eqpt Efficiency'!$A$1,工业节能技术装备推荐目录!A:A,"2022")+SUMIFS(用能设备节能分配!Q:Q,用能设备节能分配!O:O,'Improvement in Eqpt Efficiency'!A14,用能设备节能分配!P:P,'Improvement in Eqpt Efficiency'!$A$1,用能设备节能分配!M:M,"2022")</f>
        <v>0.80358734020003053</v>
      </c>
      <c r="F14" s="73">
        <f>SUMIFS(工业节能技术装备推荐目录!K:K,工业节能技术装备推荐目录!D:D,'Improvement in Eqpt Efficiency'!A14,工业节能技术装备推荐目录!F:F,'Improvement in Eqpt Efficiency'!$A$1,工业节能技术装备推荐目录!A:A,"2020")+SUMIFS(用能设备节能分配!Q:Q,用能设备节能分配!O:O,'Improvement in Eqpt Efficiency'!A14,用能设备节能分配!P:P,'Improvement in Eqpt Efficiency'!$A$1,用能设备节能分配!M:M,"2020")+SUMIFS(工业节能技术装备推荐目录!K:K,工业节能技术装备推荐目录!D:D,'Improvement in Eqpt Efficiency'!A14,工业节能技术装备推荐目录!F:F,'Improvement in Eqpt Efficiency'!$A$1,工业节能技术装备推荐目录!A:A,"2021")+SUMIFS(用能设备节能分配!Q:Q,用能设备节能分配!O:O,'Improvement in Eqpt Efficiency'!A14,用能设备节能分配!P:P,'Improvement in Eqpt Efficiency'!$A$1,用能设备节能分配!M:M,"2021")+SUMIFS(工业节能技术装备推荐目录!K:K,工业节能技术装备推荐目录!D:D,'Improvement in Eqpt Efficiency'!A14,工业节能技术装备推荐目录!F:F,'Improvement in Eqpt Efficiency'!$A$1,工业节能技术装备推荐目录!A:A,"2022")+SUMIFS(用能设备节能分配!Q:Q,用能设备节能分配!O:O,'Improvement in Eqpt Efficiency'!A14,用能设备节能分配!P:P,'Improvement in Eqpt Efficiency'!$A$1,用能设备节能分配!M:M,"2022")</f>
        <v>0.80358734020003053</v>
      </c>
      <c r="G14" s="73">
        <f>SUMIFS(工业节能技术装备推荐目录!K:K,工业节能技术装备推荐目录!D:D,'Improvement in Eqpt Efficiency'!A14,工业节能技术装备推荐目录!F:F,'Improvement in Eqpt Efficiency'!$A$1,工业节能技术装备推荐目录!A:A,"2020")+SUMIFS(用能设备节能分配!Q:Q,用能设备节能分配!O:O,'Improvement in Eqpt Efficiency'!A14,用能设备节能分配!P:P,'Improvement in Eqpt Efficiency'!$A$1,用能设备节能分配!M:M,"2020")+SUMIFS(工业节能技术装备推荐目录!K:K,工业节能技术装备推荐目录!D:D,'Improvement in Eqpt Efficiency'!A14,工业节能技术装备推荐目录!F:F,'Improvement in Eqpt Efficiency'!$A$1,工业节能技术装备推荐目录!A:A,"2022")+SUMIFS(用能设备节能分配!Q:Q,用能设备节能分配!O:O,'Improvement in Eqpt Efficiency'!A14,用能设备节能分配!P:P,'Improvement in Eqpt Efficiency'!$A$1,用能设备节能分配!M:M,"2022")</f>
        <v>0.21029944496459219</v>
      </c>
      <c r="H14" s="73">
        <f>SUMIFS(工业节能技术装备推荐目录!K:K,工业节能技术装备推荐目录!D:D,'Improvement in Eqpt Efficiency'!A14,工业节能技术装备推荐目录!F:F,'Improvement in Eqpt Efficiency'!$A$1,工业节能技术装备推荐目录!A:A,"2022")+SUMIFS(用能设备节能分配!Q:Q,用能设备节能分配!O:O,'Improvement in Eqpt Efficiency'!A14,用能设备节能分配!P:P,'Improvement in Eqpt Efficiency'!$A$1,用能设备节能分配!M:M,"2022")</f>
        <v>0.11963142078824106</v>
      </c>
      <c r="I14" s="73">
        <f>SUMIFS(工业节能技术装备推荐目录!K:K,工业节能技术装备推荐目录!D:D,'Improvement in Eqpt Efficiency'!A14,工业节能技术装备推荐目录!F:F,'Improvement in Eqpt Efficiency'!$A$1,工业节能技术装备推荐目录!A:A,"2022")+SUMIFS(用能设备节能分配!Q:Q,用能设备节能分配!O:O,'Improvement in Eqpt Efficiency'!A14,用能设备节能分配!P:P,'Improvement in Eqpt Efficiency'!$A$1,用能设备节能分配!M:M,"2022")</f>
        <v>0.11963142078824106</v>
      </c>
      <c r="K14" s="52"/>
      <c r="L14" s="26" t="s">
        <v>43</v>
      </c>
      <c r="M14" s="50">
        <f>SUMIFS(工业节能技术装备推荐目录!L:L,工业节能技术装备推荐目录!D:D,'Improvement in Eqpt Efficiency'!A14,工业节能技术装备推荐目录!F:F,'Improvement in Eqpt Efficiency'!$A$1)</f>
        <v>0</v>
      </c>
      <c r="N14" s="73">
        <f>SUMIFS(工业节能技术装备推荐目录!K:K,工业节能技术装备推荐目录!D:D,'Improvement in Eqpt Efficiency'!A14,工业节能技术装备推荐目录!F:F,'Improvement in Eqpt Efficiency'!$A$1,工业节能技术装备推荐目录!A:A,"2020")</f>
        <v>0</v>
      </c>
      <c r="O14" s="73">
        <f>SUMIFS(工业节能技术装备推荐目录!K:K,工业节能技术装备推荐目录!D:D,'Improvement in Eqpt Efficiency'!A14,工业节能技术装备推荐目录!F:F,'Improvement in Eqpt Efficiency'!$A$1,工业节能技术装备推荐目录!A:A,"2020")+SUMIFS(工业节能技术装备推荐目录!K:K,工业节能技术装备推荐目录!D:D,'Improvement in Eqpt Efficiency'!A14,工业节能技术装备推荐目录!F:F,'Improvement in Eqpt Efficiency'!$A$1,工业节能技术装备推荐目录!A:A,"2021")</f>
        <v>0</v>
      </c>
      <c r="P14" s="73">
        <f>SUMIFS(工业节能技术装备推荐目录!K:K,工业节能技术装备推荐目录!D:D,'Improvement in Eqpt Efficiency'!A14,工业节能技术装备推荐目录!F:F,'Improvement in Eqpt Efficiency'!$A$1,工业节能技术装备推荐目录!A:A,"2020")+SUMIFS(工业节能技术装备推荐目录!K:K,工业节能技术装备推荐目录!D:D,'Improvement in Eqpt Efficiency'!A14,工业节能技术装备推荐目录!F:F,'Improvement in Eqpt Efficiency'!$A$1,工业节能技术装备推荐目录!A:A,"2021")+SUMIFS(工业节能技术装备推荐目录!K:K,工业节能技术装备推荐目录!D:D,'Improvement in Eqpt Efficiency'!A14,工业节能技术装备推荐目录!F:F,'Improvement in Eqpt Efficiency'!$A$1,工业节能技术装备推荐目录!A:A,"2022")</f>
        <v>0</v>
      </c>
      <c r="Q14" s="73">
        <f>SUMIFS(工业节能技术装备推荐目录!K:K,工业节能技术装备推荐目录!D:D,'Improvement in Eqpt Efficiency'!A14,工业节能技术装备推荐目录!F:F,'Improvement in Eqpt Efficiency'!$A$1,工业节能技术装备推荐目录!A:A,"2020")+SUMIFS(工业节能技术装备推荐目录!K:K,工业节能技术装备推荐目录!D:D,'Improvement in Eqpt Efficiency'!A14,工业节能技术装备推荐目录!F:F,'Improvement in Eqpt Efficiency'!$A$1,工业节能技术装备推荐目录!A:A,"2021")+SUMIFS(工业节能技术装备推荐目录!K:K,工业节能技术装备推荐目录!D:D,'Improvement in Eqpt Efficiency'!A14,工业节能技术装备推荐目录!F:F,'Improvement in Eqpt Efficiency'!$A$1,工业节能技术装备推荐目录!A:A,"2022")</f>
        <v>0</v>
      </c>
      <c r="R14" s="73">
        <f>SUMIFS(工业节能技术装备推荐目录!K:K,工业节能技术装备推荐目录!D:D,'Improvement in Eqpt Efficiency'!A14,工业节能技术装备推荐目录!F:F,'Improvement in Eqpt Efficiency'!$A$1,工业节能技术装备推荐目录!A:A,"2020")+SUMIFS(工业节能技术装备推荐目录!K:K,工业节能技术装备推荐目录!D:D,'Improvement in Eqpt Efficiency'!A14,工业节能技术装备推荐目录!F:F,'Improvement in Eqpt Efficiency'!$A$1,工业节能技术装备推荐目录!A:A,"2022")</f>
        <v>0</v>
      </c>
      <c r="S14" s="73">
        <f>SUMIFS(工业节能技术装备推荐目录!K:K,工业节能技术装备推荐目录!D:D,'Improvement in Eqpt Efficiency'!A14,工业节能技术装备推荐目录!F:F,'Improvement in Eqpt Efficiency'!$A$1,工业节能技术装备推荐目录!A:A,"2022")</f>
        <v>0</v>
      </c>
      <c r="T14" s="73">
        <f>SUMIFS(工业节能技术装备推荐目录!K:K,工业节能技术装备推荐目录!D:D,'Improvement in Eqpt Efficiency'!A14,工业节能技术装备推荐目录!F:F,'Improvement in Eqpt Efficiency'!$A$1,工业节能技术装备推荐目录!A:A,"2022")</f>
        <v>0</v>
      </c>
    </row>
    <row r="15" spans="1:20" x14ac:dyDescent="0.15">
      <c r="A15" s="26" t="s">
        <v>56</v>
      </c>
      <c r="B15" s="50">
        <f>SUMIFS(工业节能技术装备推荐目录!L:L,工业节能技术装备推荐目录!D:D,'Improvement in Eqpt Efficiency'!A15,工业节能技术装备推荐目录!F:F,'Improvement in Eqpt Efficiency'!$A$1)+SUMIFS(用能设备节能分配!R:R,用能设备节能分配!O:O,'Improvement in Eqpt Efficiency'!A15,用能设备节能分配!P:P,'Improvement in Eqpt Efficiency'!$A$1)</f>
        <v>310.84959433733093</v>
      </c>
      <c r="C15" s="73">
        <f>SUMIFS(工业节能技术装备推荐目录!K:K,工业节能技术装备推荐目录!D:D,'Improvement in Eqpt Efficiency'!A15,工业节能技术装备推荐目录!F:F,'Improvement in Eqpt Efficiency'!$A$1,工业节能技术装备推荐目录!A:A,"2020")+SUMIFS(用能设备节能分配!Q:Q,用能设备节能分配!O:O,'Improvement in Eqpt Efficiency'!A15,用能设备节能分配!P:P,'Improvement in Eqpt Efficiency'!$A$1,用能设备节能分配!M:M,"2020")</f>
        <v>3.3539060317456051</v>
      </c>
      <c r="D15" s="73">
        <f>SUMIFS(工业节能技术装备推荐目录!K:K,工业节能技术装备推荐目录!D:D,'Improvement in Eqpt Efficiency'!A15,工业节能技术装备推荐目录!F:F,'Improvement in Eqpt Efficiency'!$A$1,工业节能技术装备推荐目录!A:A,"2020")+SUMIFS(用能设备节能分配!Q:Q,用能设备节能分配!O:O,'Improvement in Eqpt Efficiency'!A15,用能设备节能分配!P:P,'Improvement in Eqpt Efficiency'!$A$1,用能设备节能分配!M:M,"2020")+SUMIFS(工业节能技术装备推荐目录!K:K,工业节能技术装备推荐目录!D:D,'Improvement in Eqpt Efficiency'!A15,工业节能技术装备推荐目录!F:F,'Improvement in Eqpt Efficiency'!$A$1,工业节能技术装备推荐目录!A:A,"2021")+SUMIFS(用能设备节能分配!Q:Q,用能设备节能分配!O:O,'Improvement in Eqpt Efficiency'!A15,用能设备节能分配!P:P,'Improvement in Eqpt Efficiency'!$A$1,用能设备节能分配!M:M,"2021")</f>
        <v>26.651421920638242</v>
      </c>
      <c r="E15" s="73">
        <f>SUMIFS(工业节能技术装备推荐目录!K:K,工业节能技术装备推荐目录!D:D,'Improvement in Eqpt Efficiency'!A15,工业节能技术装备推荐目录!F:F,'Improvement in Eqpt Efficiency'!$A$1,工业节能技术装备推荐目录!A:A,"2020")+SUMIFS(用能设备节能分配!Q:Q,用能设备节能分配!O:O,'Improvement in Eqpt Efficiency'!A15,用能设备节能分配!P:P,'Improvement in Eqpt Efficiency'!$A$1,用能设备节能分配!M:M,"2020")+SUMIFS(工业节能技术装备推荐目录!K:K,工业节能技术装备推荐目录!D:D,'Improvement in Eqpt Efficiency'!A15,工业节能技术装备推荐目录!F:F,'Improvement in Eqpt Efficiency'!$A$1,工业节能技术装备推荐目录!A:A,"2021")+SUMIFS(用能设备节能分配!Q:Q,用能设备节能分配!O:O,'Improvement in Eqpt Efficiency'!A15,用能设备节能分配!P:P,'Improvement in Eqpt Efficiency'!$A$1,用能设备节能分配!M:M,"2021")+SUMIFS(工业节能技术装备推荐目录!K:K,工业节能技术装备推荐目录!D:D,'Improvement in Eqpt Efficiency'!A15,工业节能技术装备推荐目录!F:F,'Improvement in Eqpt Efficiency'!$A$1,工业节能技术装备推荐目录!A:A,"2022")+SUMIFS(用能设备节能分配!Q:Q,用能设备节能分配!O:O,'Improvement in Eqpt Efficiency'!A15,用能设备节能分配!P:P,'Improvement in Eqpt Efficiency'!$A$1,用能设备节能分配!M:M,"2022")</f>
        <v>34.319521787320042</v>
      </c>
      <c r="F15" s="73">
        <f>SUMIFS(工业节能技术装备推荐目录!K:K,工业节能技术装备推荐目录!D:D,'Improvement in Eqpt Efficiency'!A15,工业节能技术装备推荐目录!F:F,'Improvement in Eqpt Efficiency'!$A$1,工业节能技术装备推荐目录!A:A,"2020")+SUMIFS(用能设备节能分配!Q:Q,用能设备节能分配!O:O,'Improvement in Eqpt Efficiency'!A15,用能设备节能分配!P:P,'Improvement in Eqpt Efficiency'!$A$1,用能设备节能分配!M:M,"2020")+SUMIFS(工业节能技术装备推荐目录!K:K,工业节能技术装备推荐目录!D:D,'Improvement in Eqpt Efficiency'!A15,工业节能技术装备推荐目录!F:F,'Improvement in Eqpt Efficiency'!$A$1,工业节能技术装备推荐目录!A:A,"2021")+SUMIFS(用能设备节能分配!Q:Q,用能设备节能分配!O:O,'Improvement in Eqpt Efficiency'!A15,用能设备节能分配!P:P,'Improvement in Eqpt Efficiency'!$A$1,用能设备节能分配!M:M,"2021")+SUMIFS(工业节能技术装备推荐目录!K:K,工业节能技术装备推荐目录!D:D,'Improvement in Eqpt Efficiency'!A15,工业节能技术装备推荐目录!F:F,'Improvement in Eqpt Efficiency'!$A$1,工业节能技术装备推荐目录!A:A,"2022")+SUMIFS(用能设备节能分配!Q:Q,用能设备节能分配!O:O,'Improvement in Eqpt Efficiency'!A15,用能设备节能分配!P:P,'Improvement in Eqpt Efficiency'!$A$1,用能设备节能分配!M:M,"2022")</f>
        <v>34.319521787320042</v>
      </c>
      <c r="G15" s="73">
        <f>SUMIFS(工业节能技术装备推荐目录!K:K,工业节能技术装备推荐目录!D:D,'Improvement in Eqpt Efficiency'!A15,工业节能技术装备推荐目录!F:F,'Improvement in Eqpt Efficiency'!$A$1,工业节能技术装备推荐目录!A:A,"2020")+SUMIFS(用能设备节能分配!Q:Q,用能设备节能分配!O:O,'Improvement in Eqpt Efficiency'!A15,用能设备节能分配!P:P,'Improvement in Eqpt Efficiency'!$A$1,用能设备节能分配!M:M,"2020")+SUMIFS(工业节能技术装备推荐目录!K:K,工业节能技术装备推荐目录!D:D,'Improvement in Eqpt Efficiency'!A15,工业节能技术装备推荐目录!F:F,'Improvement in Eqpt Efficiency'!$A$1,工业节能技术装备推荐目录!A:A,"2022")+SUMIFS(用能设备节能分配!Q:Q,用能设备节能分配!O:O,'Improvement in Eqpt Efficiency'!A15,用能设备节能分配!P:P,'Improvement in Eqpt Efficiency'!$A$1,用能设备节能分配!M:M,"2022")</f>
        <v>11.022005898427402</v>
      </c>
      <c r="H15" s="73">
        <f>SUMIFS(工业节能技术装备推荐目录!K:K,工业节能技术装备推荐目录!D:D,'Improvement in Eqpt Efficiency'!A15,工业节能技术装备推荐目录!F:F,'Improvement in Eqpt Efficiency'!$A$1,工业节能技术装备推荐目录!A:A,"2022")+SUMIFS(用能设备节能分配!Q:Q,用能设备节能分配!O:O,'Improvement in Eqpt Efficiency'!A15,用能设备节能分配!P:P,'Improvement in Eqpt Efficiency'!$A$1,用能设备节能分配!M:M,"2022")</f>
        <v>7.6680998666817963</v>
      </c>
      <c r="I15" s="73">
        <f>SUMIFS(工业节能技术装备推荐目录!K:K,工业节能技术装备推荐目录!D:D,'Improvement in Eqpt Efficiency'!A15,工业节能技术装备推荐目录!F:F,'Improvement in Eqpt Efficiency'!$A$1,工业节能技术装备推荐目录!A:A,"2022")+SUMIFS(用能设备节能分配!Q:Q,用能设备节能分配!O:O,'Improvement in Eqpt Efficiency'!A15,用能设备节能分配!P:P,'Improvement in Eqpt Efficiency'!$A$1,用能设备节能分配!M:M,"2022")</f>
        <v>7.6680998666817963</v>
      </c>
      <c r="K15" s="52"/>
      <c r="L15" s="26" t="s">
        <v>56</v>
      </c>
      <c r="M15" s="50">
        <f>SUMIFS(工业节能技术装备推荐目录!L:L,工业节能技术装备推荐目录!D:D,'Improvement in Eqpt Efficiency'!A15,工业节能技术装备推荐目录!F:F,'Improvement in Eqpt Efficiency'!$A$1)</f>
        <v>0</v>
      </c>
      <c r="N15" s="73">
        <f>SUMIFS(工业节能技术装备推荐目录!K:K,工业节能技术装备推荐目录!D:D,'Improvement in Eqpt Efficiency'!A15,工业节能技术装备推荐目录!F:F,'Improvement in Eqpt Efficiency'!$A$1,工业节能技术装备推荐目录!A:A,"2020")</f>
        <v>0</v>
      </c>
      <c r="O15" s="73">
        <f>SUMIFS(工业节能技术装备推荐目录!K:K,工业节能技术装备推荐目录!D:D,'Improvement in Eqpt Efficiency'!A15,工业节能技术装备推荐目录!F:F,'Improvement in Eqpt Efficiency'!$A$1,工业节能技术装备推荐目录!A:A,"2020")+SUMIFS(工业节能技术装备推荐目录!K:K,工业节能技术装备推荐目录!D:D,'Improvement in Eqpt Efficiency'!A15,工业节能技术装备推荐目录!F:F,'Improvement in Eqpt Efficiency'!$A$1,工业节能技术装备推荐目录!A:A,"2021")</f>
        <v>0</v>
      </c>
      <c r="P15" s="73">
        <f>SUMIFS(工业节能技术装备推荐目录!K:K,工业节能技术装备推荐目录!D:D,'Improvement in Eqpt Efficiency'!A15,工业节能技术装备推荐目录!F:F,'Improvement in Eqpt Efficiency'!$A$1,工业节能技术装备推荐目录!A:A,"2020")+SUMIFS(工业节能技术装备推荐目录!K:K,工业节能技术装备推荐目录!D:D,'Improvement in Eqpt Efficiency'!A15,工业节能技术装备推荐目录!F:F,'Improvement in Eqpt Efficiency'!$A$1,工业节能技术装备推荐目录!A:A,"2021")+SUMIFS(工业节能技术装备推荐目录!K:K,工业节能技术装备推荐目录!D:D,'Improvement in Eqpt Efficiency'!A15,工业节能技术装备推荐目录!F:F,'Improvement in Eqpt Efficiency'!$A$1,工业节能技术装备推荐目录!A:A,"2022")</f>
        <v>0</v>
      </c>
      <c r="Q15" s="73">
        <f>SUMIFS(工业节能技术装备推荐目录!K:K,工业节能技术装备推荐目录!D:D,'Improvement in Eqpt Efficiency'!A15,工业节能技术装备推荐目录!F:F,'Improvement in Eqpt Efficiency'!$A$1,工业节能技术装备推荐目录!A:A,"2020")+SUMIFS(工业节能技术装备推荐目录!K:K,工业节能技术装备推荐目录!D:D,'Improvement in Eqpt Efficiency'!A15,工业节能技术装备推荐目录!F:F,'Improvement in Eqpt Efficiency'!$A$1,工业节能技术装备推荐目录!A:A,"2021")+SUMIFS(工业节能技术装备推荐目录!K:K,工业节能技术装备推荐目录!D:D,'Improvement in Eqpt Efficiency'!A15,工业节能技术装备推荐目录!F:F,'Improvement in Eqpt Efficiency'!$A$1,工业节能技术装备推荐目录!A:A,"2022")</f>
        <v>0</v>
      </c>
      <c r="R15" s="73">
        <f>SUMIFS(工业节能技术装备推荐目录!K:K,工业节能技术装备推荐目录!D:D,'Improvement in Eqpt Efficiency'!A15,工业节能技术装备推荐目录!F:F,'Improvement in Eqpt Efficiency'!$A$1,工业节能技术装备推荐目录!A:A,"2020")+SUMIFS(工业节能技术装备推荐目录!K:K,工业节能技术装备推荐目录!D:D,'Improvement in Eqpt Efficiency'!A15,工业节能技术装备推荐目录!F:F,'Improvement in Eqpt Efficiency'!$A$1,工业节能技术装备推荐目录!A:A,"2022")</f>
        <v>0</v>
      </c>
      <c r="S15" s="73">
        <f>SUMIFS(工业节能技术装备推荐目录!K:K,工业节能技术装备推荐目录!D:D,'Improvement in Eqpt Efficiency'!A15,工业节能技术装备推荐目录!F:F,'Improvement in Eqpt Efficiency'!$A$1,工业节能技术装备推荐目录!A:A,"2022")</f>
        <v>0</v>
      </c>
      <c r="T15" s="73">
        <f>SUMIFS(工业节能技术装备推荐目录!K:K,工业节能技术装备推荐目录!D:D,'Improvement in Eqpt Efficiency'!A15,工业节能技术装备推荐目录!F:F,'Improvement in Eqpt Efficiency'!$A$1,工业节能技术装备推荐目录!A:A,"2022")</f>
        <v>0</v>
      </c>
    </row>
    <row r="16" spans="1:20" x14ac:dyDescent="0.15">
      <c r="A16" s="26" t="s">
        <v>45</v>
      </c>
      <c r="B16" s="50">
        <f>SUMIFS(工业节能技术装备推荐目录!L:L,工业节能技术装备推荐目录!D:D,'Improvement in Eqpt Efficiency'!A16,工业节能技术装备推荐目录!F:F,'Improvement in Eqpt Efficiency'!$A$1)+SUMIFS(用能设备节能分配!R:R,用能设备节能分配!O:O,'Improvement in Eqpt Efficiency'!A16,用能设备节能分配!P:P,'Improvement in Eqpt Efficiency'!$A$1)</f>
        <v>2107.522031841786</v>
      </c>
      <c r="C16" s="73">
        <f>SUMIFS(工业节能技术装备推荐目录!K:K,工业节能技术装备推荐目录!D:D,'Improvement in Eqpt Efficiency'!A16,工业节能技术装备推荐目录!F:F,'Improvement in Eqpt Efficiency'!$A$1,工业节能技术装备推荐目录!A:A,"2020")+SUMIFS(用能设备节能分配!Q:Q,用能设备节能分配!O:O,'Improvement in Eqpt Efficiency'!A16,用能设备节能分配!P:P,'Improvement in Eqpt Efficiency'!$A$1,用能设备节能分配!M:M,"2020")</f>
        <v>49.114038301460454</v>
      </c>
      <c r="D16" s="73">
        <f>SUMIFS(工业节能技术装备推荐目录!K:K,工业节能技术装备推荐目录!D:D,'Improvement in Eqpt Efficiency'!A16,工业节能技术装备推荐目录!F:F,'Improvement in Eqpt Efficiency'!$A$1,工业节能技术装备推荐目录!A:A,"2020")+SUMIFS(用能设备节能分配!Q:Q,用能设备节能分配!O:O,'Improvement in Eqpt Efficiency'!A16,用能设备节能分配!P:P,'Improvement in Eqpt Efficiency'!$A$1,用能设备节能分配!M:M,"2020")+SUMIFS(工业节能技术装备推荐目录!K:K,工业节能技术装备推荐目录!D:D,'Improvement in Eqpt Efficiency'!A16,工业节能技术装备推荐目录!F:F,'Improvement in Eqpt Efficiency'!$A$1,工业节能技术装备推荐目录!A:A,"2021")+SUMIFS(用能设备节能分配!Q:Q,用能设备节能分配!O:O,'Improvement in Eqpt Efficiency'!A16,用能设备节能分配!P:P,'Improvement in Eqpt Efficiency'!$A$1,用能设备节能分配!M:M,"2021")</f>
        <v>175.18182491006499</v>
      </c>
      <c r="E16" s="73">
        <f>SUMIFS(工业节能技术装备推荐目录!K:K,工业节能技术装备推荐目录!D:D,'Improvement in Eqpt Efficiency'!A16,工业节能技术装备推荐目录!F:F,'Improvement in Eqpt Efficiency'!$A$1,工业节能技术装备推荐目录!A:A,"2020")+SUMIFS(用能设备节能分配!Q:Q,用能设备节能分配!O:O,'Improvement in Eqpt Efficiency'!A16,用能设备节能分配!P:P,'Improvement in Eqpt Efficiency'!$A$1,用能设备节能分配!M:M,"2020")+SUMIFS(工业节能技术装备推荐目录!K:K,工业节能技术装备推荐目录!D:D,'Improvement in Eqpt Efficiency'!A16,工业节能技术装备推荐目录!F:F,'Improvement in Eqpt Efficiency'!$A$1,工业节能技术装备推荐目录!A:A,"2021")+SUMIFS(用能设备节能分配!Q:Q,用能设备节能分配!O:O,'Improvement in Eqpt Efficiency'!A16,用能设备节能分配!P:P,'Improvement in Eqpt Efficiency'!$A$1,用能设备节能分配!M:M,"2021")+SUMIFS(工业节能技术装备推荐目录!K:K,工业节能技术装备推荐目录!D:D,'Improvement in Eqpt Efficiency'!A16,工业节能技术装备推荐目录!F:F,'Improvement in Eqpt Efficiency'!$A$1,工业节能技术装备推荐目录!A:A,"2022")+SUMIFS(用能设备节能分配!Q:Q,用能设备节能分配!O:O,'Improvement in Eqpt Efficiency'!A16,用能设备节能分配!P:P,'Improvement in Eqpt Efficiency'!$A$1,用能设备节能分配!M:M,"2022")</f>
        <v>282.73686618111009</v>
      </c>
      <c r="F16" s="73">
        <f>SUMIFS(工业节能技术装备推荐目录!K:K,工业节能技术装备推荐目录!D:D,'Improvement in Eqpt Efficiency'!A16,工业节能技术装备推荐目录!F:F,'Improvement in Eqpt Efficiency'!$A$1,工业节能技术装备推荐目录!A:A,"2020")+SUMIFS(用能设备节能分配!Q:Q,用能设备节能分配!O:O,'Improvement in Eqpt Efficiency'!A16,用能设备节能分配!P:P,'Improvement in Eqpt Efficiency'!$A$1,用能设备节能分配!M:M,"2020")+SUMIFS(工业节能技术装备推荐目录!K:K,工业节能技术装备推荐目录!D:D,'Improvement in Eqpt Efficiency'!A16,工业节能技术装备推荐目录!F:F,'Improvement in Eqpt Efficiency'!$A$1,工业节能技术装备推荐目录!A:A,"2021")+SUMIFS(用能设备节能分配!Q:Q,用能设备节能分配!O:O,'Improvement in Eqpt Efficiency'!A16,用能设备节能分配!P:P,'Improvement in Eqpt Efficiency'!$A$1,用能设备节能分配!M:M,"2021")+SUMIFS(工业节能技术装备推荐目录!K:K,工业节能技术装备推荐目录!D:D,'Improvement in Eqpt Efficiency'!A16,工业节能技术装备推荐目录!F:F,'Improvement in Eqpt Efficiency'!$A$1,工业节能技术装备推荐目录!A:A,"2022")+SUMIFS(用能设备节能分配!Q:Q,用能设备节能分配!O:O,'Improvement in Eqpt Efficiency'!A16,用能设备节能分配!P:P,'Improvement in Eqpt Efficiency'!$A$1,用能设备节能分配!M:M,"2022")</f>
        <v>282.73686618111009</v>
      </c>
      <c r="G16" s="73">
        <f>SUMIFS(工业节能技术装备推荐目录!K:K,工业节能技术装备推荐目录!D:D,'Improvement in Eqpt Efficiency'!A16,工业节能技术装备推荐目录!F:F,'Improvement in Eqpt Efficiency'!$A$1,工业节能技术装备推荐目录!A:A,"2020")+SUMIFS(用能设备节能分配!Q:Q,用能设备节能分配!O:O,'Improvement in Eqpt Efficiency'!A16,用能设备节能分配!P:P,'Improvement in Eqpt Efficiency'!$A$1,用能设备节能分配!M:M,"2020")+SUMIFS(工业节能技术装备推荐目录!K:K,工业节能技术装备推荐目录!D:D,'Improvement in Eqpt Efficiency'!A16,工业节能技术装备推荐目录!F:F,'Improvement in Eqpt Efficiency'!$A$1,工业节能技术装备推荐目录!A:A,"2022")+SUMIFS(用能设备节能分配!Q:Q,用能设备节能分配!O:O,'Improvement in Eqpt Efficiency'!A16,用能设备节能分配!P:P,'Improvement in Eqpt Efficiency'!$A$1,用能设备节能分配!M:M,"2022")</f>
        <v>156.66907957250555</v>
      </c>
      <c r="H16" s="73">
        <f>SUMIFS(工业节能技术装备推荐目录!K:K,工业节能技术装备推荐目录!D:D,'Improvement in Eqpt Efficiency'!A16,工业节能技术装备推荐目录!F:F,'Improvement in Eqpt Efficiency'!$A$1,工业节能技术装备推荐目录!A:A,"2022")+SUMIFS(用能设备节能分配!Q:Q,用能设备节能分配!O:O,'Improvement in Eqpt Efficiency'!A16,用能设备节能分配!P:P,'Improvement in Eqpt Efficiency'!$A$1,用能设备节能分配!M:M,"2022")</f>
        <v>107.5550412710451</v>
      </c>
      <c r="I16" s="73">
        <f>SUMIFS(工业节能技术装备推荐目录!K:K,工业节能技术装备推荐目录!D:D,'Improvement in Eqpt Efficiency'!A16,工业节能技术装备推荐目录!F:F,'Improvement in Eqpt Efficiency'!$A$1,工业节能技术装备推荐目录!A:A,"2022")+SUMIFS(用能设备节能分配!Q:Q,用能设备节能分配!O:O,'Improvement in Eqpt Efficiency'!A16,用能设备节能分配!P:P,'Improvement in Eqpt Efficiency'!$A$1,用能设备节能分配!M:M,"2022")</f>
        <v>107.5550412710451</v>
      </c>
      <c r="K16" s="52"/>
      <c r="L16" s="26" t="s">
        <v>45</v>
      </c>
      <c r="M16" s="50">
        <f>SUMIFS(工业节能技术装备推荐目录!L:L,工业节能技术装备推荐目录!D:D,'Improvement in Eqpt Efficiency'!A16,工业节能技术装备推荐目录!F:F,'Improvement in Eqpt Efficiency'!$A$1)</f>
        <v>710.68276349074347</v>
      </c>
      <c r="N16" s="73">
        <f>SUMIFS(工业节能技术装备推荐目录!K:K,工业节能技术装备推荐目录!D:D,'Improvement in Eqpt Efficiency'!A16,工业节能技术装备推荐目录!F:F,'Improvement in Eqpt Efficiency'!$A$1,工业节能技术装备推荐目录!A:A,"2020")</f>
        <v>0</v>
      </c>
      <c r="O16" s="73">
        <f>SUMIFS(工业节能技术装备推荐目录!K:K,工业节能技术装备推荐目录!D:D,'Improvement in Eqpt Efficiency'!A16,工业节能技术装备推荐目录!F:F,'Improvement in Eqpt Efficiency'!$A$1,工业节能技术装备推荐目录!A:A,"2020")+SUMIFS(工业节能技术装备推荐目录!K:K,工业节能技术装备推荐目录!D:D,'Improvement in Eqpt Efficiency'!A16,工业节能技术装备推荐目录!F:F,'Improvement in Eqpt Efficiency'!$A$1,工业节能技术装备推荐目录!A:A,"2021")</f>
        <v>49.6</v>
      </c>
      <c r="P16" s="73">
        <f>SUMIFS(工业节能技术装备推荐目录!K:K,工业节能技术装备推荐目录!D:D,'Improvement in Eqpt Efficiency'!A16,工业节能技术装备推荐目录!F:F,'Improvement in Eqpt Efficiency'!$A$1,工业节能技术装备推荐目录!A:A,"2020")+SUMIFS(工业节能技术装备推荐目录!K:K,工业节能技术装备推荐目录!D:D,'Improvement in Eqpt Efficiency'!A16,工业节能技术装备推荐目录!F:F,'Improvement in Eqpt Efficiency'!$A$1,工业节能技术装备推荐目录!A:A,"2021")+SUMIFS(工业节能技术装备推荐目录!K:K,工业节能技术装备推荐目录!D:D,'Improvement in Eqpt Efficiency'!A16,工业节能技术装备推荐目录!F:F,'Improvement in Eqpt Efficiency'!$A$1,工业节能技术装备推荐目录!A:A,"2022")</f>
        <v>83.004829047223055</v>
      </c>
      <c r="Q16" s="73">
        <f>SUMIFS(工业节能技术装备推荐目录!K:K,工业节能技术装备推荐目录!D:D,'Improvement in Eqpt Efficiency'!A16,工业节能技术装备推荐目录!F:F,'Improvement in Eqpt Efficiency'!$A$1,工业节能技术装备推荐目录!A:A,"2020")+SUMIFS(工业节能技术装备推荐目录!K:K,工业节能技术装备推荐目录!D:D,'Improvement in Eqpt Efficiency'!A16,工业节能技术装备推荐目录!F:F,'Improvement in Eqpt Efficiency'!$A$1,工业节能技术装备推荐目录!A:A,"2021")+SUMIFS(工业节能技术装备推荐目录!K:K,工业节能技术装备推荐目录!D:D,'Improvement in Eqpt Efficiency'!A16,工业节能技术装备推荐目录!F:F,'Improvement in Eqpt Efficiency'!$A$1,工业节能技术装备推荐目录!A:A,"2022")</f>
        <v>83.004829047223055</v>
      </c>
      <c r="R16" s="73">
        <f>SUMIFS(工业节能技术装备推荐目录!K:K,工业节能技术装备推荐目录!D:D,'Improvement in Eqpt Efficiency'!A16,工业节能技术装备推荐目录!F:F,'Improvement in Eqpt Efficiency'!$A$1,工业节能技术装备推荐目录!A:A,"2020")+SUMIFS(工业节能技术装备推荐目录!K:K,工业节能技术装备推荐目录!D:D,'Improvement in Eqpt Efficiency'!A16,工业节能技术装备推荐目录!F:F,'Improvement in Eqpt Efficiency'!$A$1,工业节能技术装备推荐目录!A:A,"2022")</f>
        <v>33.404829047223053</v>
      </c>
      <c r="S16" s="73">
        <f>SUMIFS(工业节能技术装备推荐目录!K:K,工业节能技术装备推荐目录!D:D,'Improvement in Eqpt Efficiency'!A16,工业节能技术装备推荐目录!F:F,'Improvement in Eqpt Efficiency'!$A$1,工业节能技术装备推荐目录!A:A,"2022")</f>
        <v>33.404829047223053</v>
      </c>
      <c r="T16" s="73">
        <f>SUMIFS(工业节能技术装备推荐目录!K:K,工业节能技术装备推荐目录!D:D,'Improvement in Eqpt Efficiency'!A16,工业节能技术装备推荐目录!F:F,'Improvement in Eqpt Efficiency'!$A$1,工业节能技术装备推荐目录!A:A,"2022")</f>
        <v>33.404829047223053</v>
      </c>
    </row>
    <row r="17" spans="1:20" x14ac:dyDescent="0.15">
      <c r="A17" s="26" t="s">
        <v>46</v>
      </c>
      <c r="B17" s="50">
        <f>SUMIFS(工业节能技术装备推荐目录!L:L,工业节能技术装备推荐目录!D:D,'Improvement in Eqpt Efficiency'!A17,工业节能技术装备推荐目录!F:F,'Improvement in Eqpt Efficiency'!$A$1)+SUMIFS(用能设备节能分配!R:R,用能设备节能分配!O:O,'Improvement in Eqpt Efficiency'!A17,用能设备节能分配!P:P,'Improvement in Eqpt Efficiency'!$A$1)</f>
        <v>151.73534494048641</v>
      </c>
      <c r="C17" s="73">
        <f>SUMIFS(工业节能技术装备推荐目录!K:K,工业节能技术装备推荐目录!D:D,'Improvement in Eqpt Efficiency'!A17,工业节能技术装备推荐目录!F:F,'Improvement in Eqpt Efficiency'!$A$1,工业节能技术装备推荐目录!A:A,"2020")+SUMIFS(用能设备节能分配!Q:Q,用能设备节能分配!O:O,'Improvement in Eqpt Efficiency'!A17,用能设备节能分配!P:P,'Improvement in Eqpt Efficiency'!$A$1,用能设备节能分配!M:M,"2020")</f>
        <v>1.9477313231735534</v>
      </c>
      <c r="D17" s="73">
        <f>SUMIFS(工业节能技术装备推荐目录!K:K,工业节能技术装备推荐目录!D:D,'Improvement in Eqpt Efficiency'!A17,工业节能技术装备推荐目录!F:F,'Improvement in Eqpt Efficiency'!$A$1,工业节能技术装备推荐目录!A:A,"2020")+SUMIFS(用能设备节能分配!Q:Q,用能设备节能分配!O:O,'Improvement in Eqpt Efficiency'!A17,用能设备节能分配!P:P,'Improvement in Eqpt Efficiency'!$A$1,用能设备节能分配!M:M,"2020")+SUMIFS(工业节能技术装备推荐目录!K:K,工业节能技术装备推荐目录!D:D,'Improvement in Eqpt Efficiency'!A17,工业节能技术装备推荐目录!F:F,'Improvement in Eqpt Efficiency'!$A$1,工业节能技术装备推荐目录!A:A,"2021")+SUMIFS(用能设备节能分配!Q:Q,用能设备节能分配!O:O,'Improvement in Eqpt Efficiency'!A17,用能设备节能分配!P:P,'Improvement in Eqpt Efficiency'!$A$1,用能设备节能分配!M:M,"2021")</f>
        <v>12.317780921937979</v>
      </c>
      <c r="E17" s="73">
        <f>SUMIFS(工业节能技术装备推荐目录!K:K,工业节能技术装备推荐目录!D:D,'Improvement in Eqpt Efficiency'!A17,工业节能技术装备推荐目录!F:F,'Improvement in Eqpt Efficiency'!$A$1,工业节能技术装备推荐目录!A:A,"2020")+SUMIFS(用能设备节能分配!Q:Q,用能设备节能分配!O:O,'Improvement in Eqpt Efficiency'!A17,用能设备节能分配!P:P,'Improvement in Eqpt Efficiency'!$A$1,用能设备节能分配!M:M,"2020")+SUMIFS(工业节能技术装备推荐目录!K:K,工业节能技术装备推荐目录!D:D,'Improvement in Eqpt Efficiency'!A17,工业节能技术装备推荐目录!F:F,'Improvement in Eqpt Efficiency'!$A$1,工业节能技术装备推荐目录!A:A,"2021")+SUMIFS(用能设备节能分配!Q:Q,用能设备节能分配!O:O,'Improvement in Eqpt Efficiency'!A17,用能设备节能分配!P:P,'Improvement in Eqpt Efficiency'!$A$1,用能设备节能分配!M:M,"2021")+SUMIFS(工业节能技术装备推荐目录!K:K,工业节能技术装备推荐目录!D:D,'Improvement in Eqpt Efficiency'!A17,工业节能技术装备推荐目录!F:F,'Improvement in Eqpt Efficiency'!$A$1,工业节能技术装备推荐目录!A:A,"2022")+SUMIFS(用能设备节能分配!Q:Q,用能设备节能分配!O:O,'Improvement in Eqpt Efficiency'!A17,用能设备节能分配!P:P,'Improvement in Eqpt Efficiency'!$A$1,用能设备节能分配!M:M,"2022")</f>
        <v>16.264184247024513</v>
      </c>
      <c r="F17" s="73">
        <f>SUMIFS(工业节能技术装备推荐目录!K:K,工业节能技术装备推荐目录!D:D,'Improvement in Eqpt Efficiency'!A17,工业节能技术装备推荐目录!F:F,'Improvement in Eqpt Efficiency'!$A$1,工业节能技术装备推荐目录!A:A,"2020")+SUMIFS(用能设备节能分配!Q:Q,用能设备节能分配!O:O,'Improvement in Eqpt Efficiency'!A17,用能设备节能分配!P:P,'Improvement in Eqpt Efficiency'!$A$1,用能设备节能分配!M:M,"2020")+SUMIFS(工业节能技术装备推荐目录!K:K,工业节能技术装备推荐目录!D:D,'Improvement in Eqpt Efficiency'!A17,工业节能技术装备推荐目录!F:F,'Improvement in Eqpt Efficiency'!$A$1,工业节能技术装备推荐目录!A:A,"2021")+SUMIFS(用能设备节能分配!Q:Q,用能设备节能分配!O:O,'Improvement in Eqpt Efficiency'!A17,用能设备节能分配!P:P,'Improvement in Eqpt Efficiency'!$A$1,用能设备节能分配!M:M,"2021")+SUMIFS(工业节能技术装备推荐目录!K:K,工业节能技术装备推荐目录!D:D,'Improvement in Eqpt Efficiency'!A17,工业节能技术装备推荐目录!F:F,'Improvement in Eqpt Efficiency'!$A$1,工业节能技术装备推荐目录!A:A,"2022")+SUMIFS(用能设备节能分配!Q:Q,用能设备节能分配!O:O,'Improvement in Eqpt Efficiency'!A17,用能设备节能分配!P:P,'Improvement in Eqpt Efficiency'!$A$1,用能设备节能分配!M:M,"2022")</f>
        <v>16.264184247024513</v>
      </c>
      <c r="G17" s="73">
        <f>SUMIFS(工业节能技术装备推荐目录!K:K,工业节能技术装备推荐目录!D:D,'Improvement in Eqpt Efficiency'!A17,工业节能技术装备推荐目录!F:F,'Improvement in Eqpt Efficiency'!$A$1,工业节能技术装备推荐目录!A:A,"2020")+SUMIFS(用能设备节能分配!Q:Q,用能设备节能分配!O:O,'Improvement in Eqpt Efficiency'!A17,用能设备节能分配!P:P,'Improvement in Eqpt Efficiency'!$A$1,用能设备节能分配!M:M,"2020")+SUMIFS(工业节能技术装备推荐目录!K:K,工业节能技术装备推荐目录!D:D,'Improvement in Eqpt Efficiency'!A17,工业节能技术装备推荐目录!F:F,'Improvement in Eqpt Efficiency'!$A$1,工业节能技术装备推荐目录!A:A,"2022")+SUMIFS(用能设备节能分配!Q:Q,用能设备节能分配!O:O,'Improvement in Eqpt Efficiency'!A17,用能设备节能分配!P:P,'Improvement in Eqpt Efficiency'!$A$1,用能设备节能分配!M:M,"2022")</f>
        <v>5.8941346482600867</v>
      </c>
      <c r="H17" s="73">
        <f>SUMIFS(工业节能技术装备推荐目录!K:K,工业节能技术装备推荐目录!D:D,'Improvement in Eqpt Efficiency'!A17,工业节能技术装备推荐目录!F:F,'Improvement in Eqpt Efficiency'!$A$1,工业节能技术装备推荐目录!A:A,"2022")+SUMIFS(用能设备节能分配!Q:Q,用能设备节能分配!O:O,'Improvement in Eqpt Efficiency'!A17,用能设备节能分配!P:P,'Improvement in Eqpt Efficiency'!$A$1,用能设备节能分配!M:M,"2022")</f>
        <v>3.9464033250865329</v>
      </c>
      <c r="I17" s="73">
        <f>SUMIFS(工业节能技术装备推荐目录!K:K,工业节能技术装备推荐目录!D:D,'Improvement in Eqpt Efficiency'!A17,工业节能技术装备推荐目录!F:F,'Improvement in Eqpt Efficiency'!$A$1,工业节能技术装备推荐目录!A:A,"2022")+SUMIFS(用能设备节能分配!Q:Q,用能设备节能分配!O:O,'Improvement in Eqpt Efficiency'!A17,用能设备节能分配!P:P,'Improvement in Eqpt Efficiency'!$A$1,用能设备节能分配!M:M,"2022")</f>
        <v>3.9464033250865329</v>
      </c>
      <c r="K17" s="52"/>
      <c r="L17" s="26" t="s">
        <v>46</v>
      </c>
      <c r="M17" s="50">
        <f>SUMIFS(工业节能技术装备推荐目录!L:L,工业节能技术装备推荐目录!D:D,'Improvement in Eqpt Efficiency'!A17,工业节能技术装备推荐目录!F:F,'Improvement in Eqpt Efficiency'!$A$1)</f>
        <v>0</v>
      </c>
      <c r="N17" s="73">
        <f>SUMIFS(工业节能技术装备推荐目录!K:K,工业节能技术装备推荐目录!D:D,'Improvement in Eqpt Efficiency'!A17,工业节能技术装备推荐目录!F:F,'Improvement in Eqpt Efficiency'!$A$1,工业节能技术装备推荐目录!A:A,"2020")</f>
        <v>0</v>
      </c>
      <c r="O17" s="73">
        <f>SUMIFS(工业节能技术装备推荐目录!K:K,工业节能技术装备推荐目录!D:D,'Improvement in Eqpt Efficiency'!A17,工业节能技术装备推荐目录!F:F,'Improvement in Eqpt Efficiency'!$A$1,工业节能技术装备推荐目录!A:A,"2020")+SUMIFS(工业节能技术装备推荐目录!K:K,工业节能技术装备推荐目录!D:D,'Improvement in Eqpt Efficiency'!A17,工业节能技术装备推荐目录!F:F,'Improvement in Eqpt Efficiency'!$A$1,工业节能技术装备推荐目录!A:A,"2021")</f>
        <v>0</v>
      </c>
      <c r="P17" s="73">
        <f>SUMIFS(工业节能技术装备推荐目录!K:K,工业节能技术装备推荐目录!D:D,'Improvement in Eqpt Efficiency'!A17,工业节能技术装备推荐目录!F:F,'Improvement in Eqpt Efficiency'!$A$1,工业节能技术装备推荐目录!A:A,"2020")+SUMIFS(工业节能技术装备推荐目录!K:K,工业节能技术装备推荐目录!D:D,'Improvement in Eqpt Efficiency'!A17,工业节能技术装备推荐目录!F:F,'Improvement in Eqpt Efficiency'!$A$1,工业节能技术装备推荐目录!A:A,"2021")+SUMIFS(工业节能技术装备推荐目录!K:K,工业节能技术装备推荐目录!D:D,'Improvement in Eqpt Efficiency'!A17,工业节能技术装备推荐目录!F:F,'Improvement in Eqpt Efficiency'!$A$1,工业节能技术装备推荐目录!A:A,"2022")</f>
        <v>0</v>
      </c>
      <c r="Q17" s="73">
        <f>SUMIFS(工业节能技术装备推荐目录!K:K,工业节能技术装备推荐目录!D:D,'Improvement in Eqpt Efficiency'!A17,工业节能技术装备推荐目录!F:F,'Improvement in Eqpt Efficiency'!$A$1,工业节能技术装备推荐目录!A:A,"2020")+SUMIFS(工业节能技术装备推荐目录!K:K,工业节能技术装备推荐目录!D:D,'Improvement in Eqpt Efficiency'!A17,工业节能技术装备推荐目录!F:F,'Improvement in Eqpt Efficiency'!$A$1,工业节能技术装备推荐目录!A:A,"2021")+SUMIFS(工业节能技术装备推荐目录!K:K,工业节能技术装备推荐目录!D:D,'Improvement in Eqpt Efficiency'!A17,工业节能技术装备推荐目录!F:F,'Improvement in Eqpt Efficiency'!$A$1,工业节能技术装备推荐目录!A:A,"2022")</f>
        <v>0</v>
      </c>
      <c r="R17" s="73">
        <f>SUMIFS(工业节能技术装备推荐目录!K:K,工业节能技术装备推荐目录!D:D,'Improvement in Eqpt Efficiency'!A17,工业节能技术装备推荐目录!F:F,'Improvement in Eqpt Efficiency'!$A$1,工业节能技术装备推荐目录!A:A,"2020")+SUMIFS(工业节能技术装备推荐目录!K:K,工业节能技术装备推荐目录!D:D,'Improvement in Eqpt Efficiency'!A17,工业节能技术装备推荐目录!F:F,'Improvement in Eqpt Efficiency'!$A$1,工业节能技术装备推荐目录!A:A,"2022")</f>
        <v>0</v>
      </c>
      <c r="S17" s="73">
        <f>SUMIFS(工业节能技术装备推荐目录!K:K,工业节能技术装备推荐目录!D:D,'Improvement in Eqpt Efficiency'!A17,工业节能技术装备推荐目录!F:F,'Improvement in Eqpt Efficiency'!$A$1,工业节能技术装备推荐目录!A:A,"2022")</f>
        <v>0</v>
      </c>
      <c r="T17" s="73">
        <f>SUMIFS(工业节能技术装备推荐目录!K:K,工业节能技术装备推荐目录!D:D,'Improvement in Eqpt Efficiency'!A17,工业节能技术装备推荐目录!F:F,'Improvement in Eqpt Efficiency'!$A$1,工业节能技术装备推荐目录!A:A,"2022")</f>
        <v>0</v>
      </c>
    </row>
    <row r="18" spans="1:20" x14ac:dyDescent="0.15">
      <c r="A18" s="26" t="s">
        <v>47</v>
      </c>
      <c r="B18" s="50">
        <f>SUMIFS(工业节能技术装备推荐目录!L:L,工业节能技术装备推荐目录!D:D,'Improvement in Eqpt Efficiency'!A18,工业节能技术装备推荐目录!F:F,'Improvement in Eqpt Efficiency'!$A$1)+SUMIFS(用能设备节能分配!R:R,用能设备节能分配!O:O,'Improvement in Eqpt Efficiency'!A18,用能设备节能分配!P:P,'Improvement in Eqpt Efficiency'!$A$1)</f>
        <v>36.541978995261857</v>
      </c>
      <c r="C18" s="73">
        <f>SUMIFS(工业节能技术装备推荐目录!K:K,工业节能技术装备推荐目录!D:D,'Improvement in Eqpt Efficiency'!A18,工业节能技术装备推荐目录!F:F,'Improvement in Eqpt Efficiency'!$A$1,工业节能技术装备推荐目录!A:A,"2020")+SUMIFS(用能设备节能分配!Q:Q,用能设备节能分配!O:O,'Improvement in Eqpt Efficiency'!A18,用能设备节能分配!P:P,'Improvement in Eqpt Efficiency'!$A$1,用能设备节能分配!M:M,"2020")</f>
        <v>0.52261798323129183</v>
      </c>
      <c r="D18" s="73">
        <f>SUMIFS(工业节能技术装备推荐目录!K:K,工业节能技术装备推荐目录!D:D,'Improvement in Eqpt Efficiency'!A18,工业节能技术装备推荐目录!F:F,'Improvement in Eqpt Efficiency'!$A$1,工业节能技术装备推荐目录!A:A,"2020")+SUMIFS(用能设备节能分配!Q:Q,用能设备节能分配!O:O,'Improvement in Eqpt Efficiency'!A18,用能设备节能分配!P:P,'Improvement in Eqpt Efficiency'!$A$1,用能设备节能分配!M:M,"2020")+SUMIFS(工业节能技术装备推荐目录!K:K,工业节能技术装备推荐目录!D:D,'Improvement in Eqpt Efficiency'!A18,工业节能技术装备推荐目录!F:F,'Improvement in Eqpt Efficiency'!$A$1,工业节能技术装备推荐目录!A:A,"2021")+SUMIFS(用能设备节能分配!Q:Q,用能设备节能分配!O:O,'Improvement in Eqpt Efficiency'!A18,用能设备节能分配!P:P,'Improvement in Eqpt Efficiency'!$A$1,用能设备节能分配!M:M,"2021")</f>
        <v>3.9423784346160509</v>
      </c>
      <c r="E18" s="73">
        <f>SUMIFS(工业节能技术装备推荐目录!K:K,工业节能技术装备推荐目录!D:D,'Improvement in Eqpt Efficiency'!A18,工业节能技术装备推荐目录!F:F,'Improvement in Eqpt Efficiency'!$A$1,工业节能技术装备推荐目录!A:A,"2020")+SUMIFS(用能设备节能分配!Q:Q,用能设备节能分配!O:O,'Improvement in Eqpt Efficiency'!A18,用能设备节能分配!P:P,'Improvement in Eqpt Efficiency'!$A$1,用能设备节能分配!M:M,"2020")+SUMIFS(工业节能技术装备推荐目录!K:K,工业节能技术装备推荐目录!D:D,'Improvement in Eqpt Efficiency'!A18,工业节能技术装备推荐目录!F:F,'Improvement in Eqpt Efficiency'!$A$1,工业节能技术装备推荐目录!A:A,"2021")+SUMIFS(用能设备节能分配!Q:Q,用能设备节能分配!O:O,'Improvement in Eqpt Efficiency'!A18,用能设备节能分配!P:P,'Improvement in Eqpt Efficiency'!$A$1,用能设备节能分配!M:M,"2021")+SUMIFS(工业节能技术装备推荐目录!K:K,工业节能技术装备推荐目录!D:D,'Improvement in Eqpt Efficiency'!A18,工业节能技术装备推荐目录!F:F,'Improvement in Eqpt Efficiency'!$A$1,工业节能技术装备推荐目录!A:A,"2022")+SUMIFS(用能设备节能分配!Q:Q,用能设备节能分配!O:O,'Improvement in Eqpt Efficiency'!A18,用能设备节能分配!P:P,'Improvement in Eqpt Efficiency'!$A$1,用能设备节能分配!M:M,"2022")</f>
        <v>4.6319438291573389</v>
      </c>
      <c r="F18" s="73">
        <f>SUMIFS(工业节能技术装备推荐目录!K:K,工业节能技术装备推荐目录!D:D,'Improvement in Eqpt Efficiency'!A18,工业节能技术装备推荐目录!F:F,'Improvement in Eqpt Efficiency'!$A$1,工业节能技术装备推荐目录!A:A,"2020")+SUMIFS(用能设备节能分配!Q:Q,用能设备节能分配!O:O,'Improvement in Eqpt Efficiency'!A18,用能设备节能分配!P:P,'Improvement in Eqpt Efficiency'!$A$1,用能设备节能分配!M:M,"2020")+SUMIFS(工业节能技术装备推荐目录!K:K,工业节能技术装备推荐目录!D:D,'Improvement in Eqpt Efficiency'!A18,工业节能技术装备推荐目录!F:F,'Improvement in Eqpt Efficiency'!$A$1,工业节能技术装备推荐目录!A:A,"2021")+SUMIFS(用能设备节能分配!Q:Q,用能设备节能分配!O:O,'Improvement in Eqpt Efficiency'!A18,用能设备节能分配!P:P,'Improvement in Eqpt Efficiency'!$A$1,用能设备节能分配!M:M,"2021")+SUMIFS(工业节能技术装备推荐目录!K:K,工业节能技术装备推荐目录!D:D,'Improvement in Eqpt Efficiency'!A18,工业节能技术装备推荐目录!F:F,'Improvement in Eqpt Efficiency'!$A$1,工业节能技术装备推荐目录!A:A,"2022")+SUMIFS(用能设备节能分配!Q:Q,用能设备节能分配!O:O,'Improvement in Eqpt Efficiency'!A18,用能设备节能分配!P:P,'Improvement in Eqpt Efficiency'!$A$1,用能设备节能分配!M:M,"2022")</f>
        <v>4.6319438291573389</v>
      </c>
      <c r="G18" s="73">
        <f>SUMIFS(工业节能技术装备推荐目录!K:K,工业节能技术装备推荐目录!D:D,'Improvement in Eqpt Efficiency'!A18,工业节能技术装备推荐目录!F:F,'Improvement in Eqpt Efficiency'!$A$1,工业节能技术装备推荐目录!A:A,"2020")+SUMIFS(用能设备节能分配!Q:Q,用能设备节能分配!O:O,'Improvement in Eqpt Efficiency'!A18,用能设备节能分配!P:P,'Improvement in Eqpt Efficiency'!$A$1,用能设备节能分配!M:M,"2020")+SUMIFS(工业节能技术装备推荐目录!K:K,工业节能技术装备推荐目录!D:D,'Improvement in Eqpt Efficiency'!A18,工业节能技术装备推荐目录!F:F,'Improvement in Eqpt Efficiency'!$A$1,工业节能技术装备推荐目录!A:A,"2022")+SUMIFS(用能设备节能分配!Q:Q,用能设备节能分配!O:O,'Improvement in Eqpt Efficiency'!A18,用能设备节能分配!P:P,'Improvement in Eqpt Efficiency'!$A$1,用能设备节能分配!M:M,"2022")</f>
        <v>1.2121833777725797</v>
      </c>
      <c r="H18" s="73">
        <f>SUMIFS(工业节能技术装备推荐目录!K:K,工业节能技术装备推荐目录!D:D,'Improvement in Eqpt Efficiency'!A18,工业节能技术装备推荐目录!F:F,'Improvement in Eqpt Efficiency'!$A$1,工业节能技术装备推荐目录!A:A,"2022")+SUMIFS(用能设备节能分配!Q:Q,用能设备节能分配!O:O,'Improvement in Eqpt Efficiency'!A18,用能设备节能分配!P:P,'Improvement in Eqpt Efficiency'!$A$1,用能设备节能分配!M:M,"2022")</f>
        <v>0.68956539454128785</v>
      </c>
      <c r="I18" s="73">
        <f>SUMIFS(工业节能技术装备推荐目录!K:K,工业节能技术装备推荐目录!D:D,'Improvement in Eqpt Efficiency'!A18,工业节能技术装备推荐目录!F:F,'Improvement in Eqpt Efficiency'!$A$1,工业节能技术装备推荐目录!A:A,"2022")+SUMIFS(用能设备节能分配!Q:Q,用能设备节能分配!O:O,'Improvement in Eqpt Efficiency'!A18,用能设备节能分配!P:P,'Improvement in Eqpt Efficiency'!$A$1,用能设备节能分配!M:M,"2022")</f>
        <v>0.68956539454128785</v>
      </c>
      <c r="K18" s="52"/>
      <c r="L18" s="26" t="s">
        <v>47</v>
      </c>
      <c r="M18" s="50">
        <f>SUMIFS(工业节能技术装备推荐目录!L:L,工业节能技术装备推荐目录!D:D,'Improvement in Eqpt Efficiency'!A18,工业节能技术装备推荐目录!F:F,'Improvement in Eqpt Efficiency'!$A$1)</f>
        <v>0</v>
      </c>
      <c r="N18" s="73">
        <f>SUMIFS(工业节能技术装备推荐目录!K:K,工业节能技术装备推荐目录!D:D,'Improvement in Eqpt Efficiency'!A18,工业节能技术装备推荐目录!F:F,'Improvement in Eqpt Efficiency'!$A$1,工业节能技术装备推荐目录!A:A,"2020")</f>
        <v>0</v>
      </c>
      <c r="O18" s="73">
        <f>SUMIFS(工业节能技术装备推荐目录!K:K,工业节能技术装备推荐目录!D:D,'Improvement in Eqpt Efficiency'!A18,工业节能技术装备推荐目录!F:F,'Improvement in Eqpt Efficiency'!$A$1,工业节能技术装备推荐目录!A:A,"2020")+SUMIFS(工业节能技术装备推荐目录!K:K,工业节能技术装备推荐目录!D:D,'Improvement in Eqpt Efficiency'!A18,工业节能技术装备推荐目录!F:F,'Improvement in Eqpt Efficiency'!$A$1,工业节能技术装备推荐目录!A:A,"2021")</f>
        <v>0</v>
      </c>
      <c r="P18" s="73">
        <f>SUMIFS(工业节能技术装备推荐目录!K:K,工业节能技术装备推荐目录!D:D,'Improvement in Eqpt Efficiency'!A18,工业节能技术装备推荐目录!F:F,'Improvement in Eqpt Efficiency'!$A$1,工业节能技术装备推荐目录!A:A,"2020")+SUMIFS(工业节能技术装备推荐目录!K:K,工业节能技术装备推荐目录!D:D,'Improvement in Eqpt Efficiency'!A18,工业节能技术装备推荐目录!F:F,'Improvement in Eqpt Efficiency'!$A$1,工业节能技术装备推荐目录!A:A,"2021")+SUMIFS(工业节能技术装备推荐目录!K:K,工业节能技术装备推荐目录!D:D,'Improvement in Eqpt Efficiency'!A18,工业节能技术装备推荐目录!F:F,'Improvement in Eqpt Efficiency'!$A$1,工业节能技术装备推荐目录!A:A,"2022")</f>
        <v>0</v>
      </c>
      <c r="Q18" s="73">
        <f>SUMIFS(工业节能技术装备推荐目录!K:K,工业节能技术装备推荐目录!D:D,'Improvement in Eqpt Efficiency'!A18,工业节能技术装备推荐目录!F:F,'Improvement in Eqpt Efficiency'!$A$1,工业节能技术装备推荐目录!A:A,"2020")+SUMIFS(工业节能技术装备推荐目录!K:K,工业节能技术装备推荐目录!D:D,'Improvement in Eqpt Efficiency'!A18,工业节能技术装备推荐目录!F:F,'Improvement in Eqpt Efficiency'!$A$1,工业节能技术装备推荐目录!A:A,"2021")+SUMIFS(工业节能技术装备推荐目录!K:K,工业节能技术装备推荐目录!D:D,'Improvement in Eqpt Efficiency'!A18,工业节能技术装备推荐目录!F:F,'Improvement in Eqpt Efficiency'!$A$1,工业节能技术装备推荐目录!A:A,"2022")</f>
        <v>0</v>
      </c>
      <c r="R18" s="73">
        <f>SUMIFS(工业节能技术装备推荐目录!K:K,工业节能技术装备推荐目录!D:D,'Improvement in Eqpt Efficiency'!A18,工业节能技术装备推荐目录!F:F,'Improvement in Eqpt Efficiency'!$A$1,工业节能技术装备推荐目录!A:A,"2020")+SUMIFS(工业节能技术装备推荐目录!K:K,工业节能技术装备推荐目录!D:D,'Improvement in Eqpt Efficiency'!A18,工业节能技术装备推荐目录!F:F,'Improvement in Eqpt Efficiency'!$A$1,工业节能技术装备推荐目录!A:A,"2022")</f>
        <v>0</v>
      </c>
      <c r="S18" s="73">
        <f>SUMIFS(工业节能技术装备推荐目录!K:K,工业节能技术装备推荐目录!D:D,'Improvement in Eqpt Efficiency'!A18,工业节能技术装备推荐目录!F:F,'Improvement in Eqpt Efficiency'!$A$1,工业节能技术装备推荐目录!A:A,"2022")</f>
        <v>0</v>
      </c>
      <c r="T18" s="73">
        <f>SUMIFS(工业节能技术装备推荐目录!K:K,工业节能技术装备推荐目录!D:D,'Improvement in Eqpt Efficiency'!A18,工业节能技术装备推荐目录!F:F,'Improvement in Eqpt Efficiency'!$A$1,工业节能技术装备推荐目录!A:A,"2022")</f>
        <v>0</v>
      </c>
    </row>
    <row r="19" spans="1:20" x14ac:dyDescent="0.15">
      <c r="A19" s="26" t="s">
        <v>48</v>
      </c>
      <c r="B19" s="50">
        <f>SUMIFS(工业节能技术装备推荐目录!L:L,工业节能技术装备推荐目录!D:D,'Improvement in Eqpt Efficiency'!A19,工业节能技术装备推荐目录!F:F,'Improvement in Eqpt Efficiency'!$A$1)+SUMIFS(用能设备节能分配!R:R,用能设备节能分配!O:O,'Improvement in Eqpt Efficiency'!A19,用能设备节能分配!P:P,'Improvement in Eqpt Efficiency'!$A$1)</f>
        <v>22.168619003468933</v>
      </c>
      <c r="C19" s="73">
        <f>SUMIFS(工业节能技术装备推荐目录!K:K,工业节能技术装备推荐目录!D:D,'Improvement in Eqpt Efficiency'!A19,工业节能技术装备推荐目录!F:F,'Improvement in Eqpt Efficiency'!$A$1,工业节能技术装备推荐目录!A:A,"2020")+SUMIFS(用能设备节能分配!Q:Q,用能设备节能分配!O:O,'Improvement in Eqpt Efficiency'!A19,用能设备节能分配!P:P,'Improvement in Eqpt Efficiency'!$A$1,用能设备节能分配!M:M,"2020")</f>
        <v>0.31705231279668972</v>
      </c>
      <c r="D19" s="73">
        <f>SUMIFS(工业节能技术装备推荐目录!K:K,工业节能技术装备推荐目录!D:D,'Improvement in Eqpt Efficiency'!A19,工业节能技术装备推荐目录!F:F,'Improvement in Eqpt Efficiency'!$A$1,工业节能技术装备推荐目录!A:A,"2020")+SUMIFS(用能设备节能分配!Q:Q,用能设备节能分配!O:O,'Improvement in Eqpt Efficiency'!A19,用能设备节能分配!P:P,'Improvement in Eqpt Efficiency'!$A$1,用能设备节能分配!M:M,"2020")+SUMIFS(工业节能技术装备推荐目录!K:K,工业节能技术装备推荐目录!D:D,'Improvement in Eqpt Efficiency'!A19,工业节能技术装备推荐目录!F:F,'Improvement in Eqpt Efficiency'!$A$1,工业节能技术装备推荐目录!A:A,"2021")+SUMIFS(用能设备节能分配!Q:Q,用能设备节能分配!O:O,'Improvement in Eqpt Efficiency'!A19,用能设备节能分配!P:P,'Improvement in Eqpt Efficiency'!$A$1,用能设备节能分配!M:M,"2021")</f>
        <v>2.3916899929209547</v>
      </c>
      <c r="E19" s="73">
        <f>SUMIFS(工业节能技术装备推荐目录!K:K,工业节能技术装备推荐目录!D:D,'Improvement in Eqpt Efficiency'!A19,工业节能技术装备推荐目录!F:F,'Improvement in Eqpt Efficiency'!$A$1,工业节能技术装备推荐目录!A:A,"2020")+SUMIFS(用能设备节能分配!Q:Q,用能设备节能分配!O:O,'Improvement in Eqpt Efficiency'!A19,用能设备节能分配!P:P,'Improvement in Eqpt Efficiency'!$A$1,用能设备节能分配!M:M,"2020")+SUMIFS(工业节能技术装备推荐目录!K:K,工业节能技术装备推荐目录!D:D,'Improvement in Eqpt Efficiency'!A19,工业节能技术装备推荐目录!F:F,'Improvement in Eqpt Efficiency'!$A$1,工业节能技术装备推荐目录!A:A,"2021")+SUMIFS(用能设备节能分配!Q:Q,用能设备节能分配!O:O,'Improvement in Eqpt Efficiency'!A19,用能设备节能分配!P:P,'Improvement in Eqpt Efficiency'!$A$1,用能设备节能分配!M:M,"2021")+SUMIFS(工业节能技术装备推荐目录!K:K,工业节能技术装备推荐目录!D:D,'Improvement in Eqpt Efficiency'!A19,工业节能技术装备推荐目录!F:F,'Improvement in Eqpt Efficiency'!$A$1,工业节能技术装备推荐目录!A:A,"2022")+SUMIFS(用能设备节能分配!Q:Q,用能设备节能分配!O:O,'Improvement in Eqpt Efficiency'!A19,用能设备节能分配!P:P,'Improvement in Eqpt Efficiency'!$A$1,用能设备节能分配!M:M,"2022")</f>
        <v>2.8100229056388093</v>
      </c>
      <c r="F19" s="73">
        <f>SUMIFS(工业节能技术装备推荐目录!K:K,工业节能技术装备推荐目录!D:D,'Improvement in Eqpt Efficiency'!A19,工业节能技术装备推荐目录!F:F,'Improvement in Eqpt Efficiency'!$A$1,工业节能技术装备推荐目录!A:A,"2020")+SUMIFS(用能设备节能分配!Q:Q,用能设备节能分配!O:O,'Improvement in Eqpt Efficiency'!A19,用能设备节能分配!P:P,'Improvement in Eqpt Efficiency'!$A$1,用能设备节能分配!M:M,"2020")+SUMIFS(工业节能技术装备推荐目录!K:K,工业节能技术装备推荐目录!D:D,'Improvement in Eqpt Efficiency'!A19,工业节能技术装备推荐目录!F:F,'Improvement in Eqpt Efficiency'!$A$1,工业节能技术装备推荐目录!A:A,"2021")+SUMIFS(用能设备节能分配!Q:Q,用能设备节能分配!O:O,'Improvement in Eqpt Efficiency'!A19,用能设备节能分配!P:P,'Improvement in Eqpt Efficiency'!$A$1,用能设备节能分配!M:M,"2021")+SUMIFS(工业节能技术装备推荐目录!K:K,工业节能技术装备推荐目录!D:D,'Improvement in Eqpt Efficiency'!A19,工业节能技术装备推荐目录!F:F,'Improvement in Eqpt Efficiency'!$A$1,工业节能技术装备推荐目录!A:A,"2022")+SUMIFS(用能设备节能分配!Q:Q,用能设备节能分配!O:O,'Improvement in Eqpt Efficiency'!A19,用能设备节能分配!P:P,'Improvement in Eqpt Efficiency'!$A$1,用能设备节能分配!M:M,"2022")</f>
        <v>2.8100229056388093</v>
      </c>
      <c r="G19" s="73">
        <f>SUMIFS(工业节能技术装备推荐目录!K:K,工业节能技术装备推荐目录!D:D,'Improvement in Eqpt Efficiency'!A19,工业节能技术装备推荐目录!F:F,'Improvement in Eqpt Efficiency'!$A$1,工业节能技术装备推荐目录!A:A,"2020")+SUMIFS(用能设备节能分配!Q:Q,用能设备节能分配!O:O,'Improvement in Eqpt Efficiency'!A19,用能设备节能分配!P:P,'Improvement in Eqpt Efficiency'!$A$1,用能设备节能分配!M:M,"2020")+SUMIFS(工业节能技术装备推荐目录!K:K,工业节能技术装备推荐目录!D:D,'Improvement in Eqpt Efficiency'!A19,工业节能技术装备推荐目录!F:F,'Improvement in Eqpt Efficiency'!$A$1,工业节能技术装备推荐目录!A:A,"2022")+SUMIFS(用能设备节能分配!Q:Q,用能设备节能分配!O:O,'Improvement in Eqpt Efficiency'!A19,用能设备节能分配!P:P,'Improvement in Eqpt Efficiency'!$A$1,用能设备节能分配!M:M,"2022")</f>
        <v>0.73538522551454411</v>
      </c>
      <c r="H19" s="73">
        <f>SUMIFS(工业节能技术装备推荐目录!K:K,工业节能技术装备推荐目录!D:D,'Improvement in Eqpt Efficiency'!A19,工业节能技术装备推荐目录!F:F,'Improvement in Eqpt Efficiency'!$A$1,工业节能技术装备推荐目录!A:A,"2022")+SUMIFS(用能设备节能分配!Q:Q,用能设备节能分配!O:O,'Improvement in Eqpt Efficiency'!A19,用能设备节能分配!P:P,'Improvement in Eqpt Efficiency'!$A$1,用能设备节能分配!M:M,"2022")</f>
        <v>0.41833291271785444</v>
      </c>
      <c r="I19" s="73">
        <f>SUMIFS(工业节能技术装备推荐目录!K:K,工业节能技术装备推荐目录!D:D,'Improvement in Eqpt Efficiency'!A19,工业节能技术装备推荐目录!F:F,'Improvement in Eqpt Efficiency'!$A$1,工业节能技术装备推荐目录!A:A,"2022")+SUMIFS(用能设备节能分配!Q:Q,用能设备节能分配!O:O,'Improvement in Eqpt Efficiency'!A19,用能设备节能分配!P:P,'Improvement in Eqpt Efficiency'!$A$1,用能设备节能分配!M:M,"2022")</f>
        <v>0.41833291271785444</v>
      </c>
      <c r="K19" s="52"/>
      <c r="L19" s="26" t="s">
        <v>48</v>
      </c>
      <c r="M19" s="50">
        <f>SUMIFS(工业节能技术装备推荐目录!L:L,工业节能技术装备推荐目录!D:D,'Improvement in Eqpt Efficiency'!A19,工业节能技术装备推荐目录!F:F,'Improvement in Eqpt Efficiency'!$A$1)</f>
        <v>0</v>
      </c>
      <c r="N19" s="73">
        <f>SUMIFS(工业节能技术装备推荐目录!K:K,工业节能技术装备推荐目录!D:D,'Improvement in Eqpt Efficiency'!A19,工业节能技术装备推荐目录!F:F,'Improvement in Eqpt Efficiency'!$A$1,工业节能技术装备推荐目录!A:A,"2020")</f>
        <v>0</v>
      </c>
      <c r="O19" s="73">
        <f>SUMIFS(工业节能技术装备推荐目录!K:K,工业节能技术装备推荐目录!D:D,'Improvement in Eqpt Efficiency'!A19,工业节能技术装备推荐目录!F:F,'Improvement in Eqpt Efficiency'!$A$1,工业节能技术装备推荐目录!A:A,"2020")+SUMIFS(工业节能技术装备推荐目录!K:K,工业节能技术装备推荐目录!D:D,'Improvement in Eqpt Efficiency'!A19,工业节能技术装备推荐目录!F:F,'Improvement in Eqpt Efficiency'!$A$1,工业节能技术装备推荐目录!A:A,"2021")</f>
        <v>0</v>
      </c>
      <c r="P19" s="73">
        <f>SUMIFS(工业节能技术装备推荐目录!K:K,工业节能技术装备推荐目录!D:D,'Improvement in Eqpt Efficiency'!A19,工业节能技术装备推荐目录!F:F,'Improvement in Eqpt Efficiency'!$A$1,工业节能技术装备推荐目录!A:A,"2020")+SUMIFS(工业节能技术装备推荐目录!K:K,工业节能技术装备推荐目录!D:D,'Improvement in Eqpt Efficiency'!A19,工业节能技术装备推荐目录!F:F,'Improvement in Eqpt Efficiency'!$A$1,工业节能技术装备推荐目录!A:A,"2021")+SUMIFS(工业节能技术装备推荐目录!K:K,工业节能技术装备推荐目录!D:D,'Improvement in Eqpt Efficiency'!A19,工业节能技术装备推荐目录!F:F,'Improvement in Eqpt Efficiency'!$A$1,工业节能技术装备推荐目录!A:A,"2022")</f>
        <v>0</v>
      </c>
      <c r="Q19" s="73">
        <f>SUMIFS(工业节能技术装备推荐目录!K:K,工业节能技术装备推荐目录!D:D,'Improvement in Eqpt Efficiency'!A19,工业节能技术装备推荐目录!F:F,'Improvement in Eqpt Efficiency'!$A$1,工业节能技术装备推荐目录!A:A,"2020")+SUMIFS(工业节能技术装备推荐目录!K:K,工业节能技术装备推荐目录!D:D,'Improvement in Eqpt Efficiency'!A19,工业节能技术装备推荐目录!F:F,'Improvement in Eqpt Efficiency'!$A$1,工业节能技术装备推荐目录!A:A,"2021")+SUMIFS(工业节能技术装备推荐目录!K:K,工业节能技术装备推荐目录!D:D,'Improvement in Eqpt Efficiency'!A19,工业节能技术装备推荐目录!F:F,'Improvement in Eqpt Efficiency'!$A$1,工业节能技术装备推荐目录!A:A,"2022")</f>
        <v>0</v>
      </c>
      <c r="R19" s="73">
        <f>SUMIFS(工业节能技术装备推荐目录!K:K,工业节能技术装备推荐目录!D:D,'Improvement in Eqpt Efficiency'!A19,工业节能技术装备推荐目录!F:F,'Improvement in Eqpt Efficiency'!$A$1,工业节能技术装备推荐目录!A:A,"2020")+SUMIFS(工业节能技术装备推荐目录!K:K,工业节能技术装备推荐目录!D:D,'Improvement in Eqpt Efficiency'!A19,工业节能技术装备推荐目录!F:F,'Improvement in Eqpt Efficiency'!$A$1,工业节能技术装备推荐目录!A:A,"2022")</f>
        <v>0</v>
      </c>
      <c r="S19" s="73">
        <f>SUMIFS(工业节能技术装备推荐目录!K:K,工业节能技术装备推荐目录!D:D,'Improvement in Eqpt Efficiency'!A19,工业节能技术装备推荐目录!F:F,'Improvement in Eqpt Efficiency'!$A$1,工业节能技术装备推荐目录!A:A,"2022")</f>
        <v>0</v>
      </c>
      <c r="T19" s="73">
        <f>SUMIFS(工业节能技术装备推荐目录!K:K,工业节能技术装备推荐目录!D:D,'Improvement in Eqpt Efficiency'!A19,工业节能技术装备推荐目录!F:F,'Improvement in Eqpt Efficiency'!$A$1,工业节能技术装备推荐目录!A:A,"2022")</f>
        <v>0</v>
      </c>
    </row>
    <row r="20" spans="1:20" x14ac:dyDescent="0.15">
      <c r="A20" s="26" t="s">
        <v>49</v>
      </c>
      <c r="B20" s="50">
        <f>SUMIFS(工业节能技术装备推荐目录!L:L,工业节能技术装备推荐目录!D:D,'Improvement in Eqpt Efficiency'!A20,工业节能技术装备推荐目录!F:F,'Improvement in Eqpt Efficiency'!$A$1)+SUMIFS(用能设备节能分配!R:R,用能设备节能分配!O:O,'Improvement in Eqpt Efficiency'!A20,用能设备节能分配!P:P,'Improvement in Eqpt Efficiency'!$A$1)</f>
        <v>11.235206981502529</v>
      </c>
      <c r="C20" s="73">
        <f>SUMIFS(工业节能技术装备推荐目录!K:K,工业节能技术装备推荐目录!D:D,'Improvement in Eqpt Efficiency'!A20,工业节能技术装备推荐目录!F:F,'Improvement in Eqpt Efficiency'!$A$1,工业节能技术装备推荐目录!A:A,"2020")+SUMIFS(用能设备节能分配!Q:Q,用能设备节能分配!O:O,'Improvement in Eqpt Efficiency'!A20,用能设备节能分配!P:P,'Improvement in Eqpt Efficiency'!$A$1,用能设备节能分配!M:M,"2020")</f>
        <v>0.16068426985359299</v>
      </c>
      <c r="D20" s="73">
        <f>SUMIFS(工业节能技术装备推荐目录!K:K,工业节能技术装备推荐目录!D:D,'Improvement in Eqpt Efficiency'!A20,工业节能技术装备推荐目录!F:F,'Improvement in Eqpt Efficiency'!$A$1,工业节能技术装备推荐目录!A:A,"2020")+SUMIFS(用能设备节能分配!Q:Q,用能设备节能分配!O:O,'Improvement in Eqpt Efficiency'!A20,用能设备节能分配!P:P,'Improvement in Eqpt Efficiency'!$A$1,用能设备节能分配!M:M,"2020")+SUMIFS(工业节能技术装备推荐目录!K:K,工业节能技术装备推荐目录!D:D,'Improvement in Eqpt Efficiency'!A20,工业节能技术装备推荐目录!F:F,'Improvement in Eqpt Efficiency'!$A$1,工业节能技术装备推荐目录!A:A,"2021")+SUMIFS(用能设备节能分配!Q:Q,用能设备节能分配!O:O,'Improvement in Eqpt Efficiency'!A20,用能设备节能分配!P:P,'Improvement in Eqpt Efficiency'!$A$1,用能设备节能分配!M:M,"2021")</f>
        <v>1.2121247652752056</v>
      </c>
      <c r="E20" s="73">
        <f>SUMIFS(工业节能技术装备推荐目录!K:K,工业节能技术装备推荐目录!D:D,'Improvement in Eqpt Efficiency'!A20,工业节能技术装备推荐目录!F:F,'Improvement in Eqpt Efficiency'!$A$1,工业节能技术装备推荐目录!A:A,"2020")+SUMIFS(用能设备节能分配!Q:Q,用能设备节能分配!O:O,'Improvement in Eqpt Efficiency'!A20,用能设备节能分配!P:P,'Improvement in Eqpt Efficiency'!$A$1,用能设备节能分配!M:M,"2020")+SUMIFS(工业节能技术装备推荐目录!K:K,工业节能技术装备推荐目录!D:D,'Improvement in Eqpt Efficiency'!A20,工业节能技术装备推荐目录!F:F,'Improvement in Eqpt Efficiency'!$A$1,工业节能技术装备推荐目录!A:A,"2021")+SUMIFS(用能设备节能分配!Q:Q,用能设备节能分配!O:O,'Improvement in Eqpt Efficiency'!A20,用能设备节能分配!P:P,'Improvement in Eqpt Efficiency'!$A$1,用能设备节能分配!M:M,"2021")+SUMIFS(工业节能技术装备推荐目录!K:K,工业节能技术装备推荐目录!D:D,'Improvement in Eqpt Efficiency'!A20,工业节能技术装备推荐目录!F:F,'Improvement in Eqpt Efficiency'!$A$1,工业节能技术装备推荐目录!A:A,"2022")+SUMIFS(用能设备节能分配!Q:Q,用能设备节能分配!O:O,'Improvement in Eqpt Efficiency'!A20,用能设备节能分配!P:P,'Improvement in Eqpt Efficiency'!$A$1,用能设备节能分配!M:M,"2022")</f>
        <v>1.4241387324431407</v>
      </c>
      <c r="F20" s="73">
        <f>SUMIFS(工业节能技术装备推荐目录!K:K,工业节能技术装备推荐目录!D:D,'Improvement in Eqpt Efficiency'!A20,工业节能技术装备推荐目录!F:F,'Improvement in Eqpt Efficiency'!$A$1,工业节能技术装备推荐目录!A:A,"2020")+SUMIFS(用能设备节能分配!Q:Q,用能设备节能分配!O:O,'Improvement in Eqpt Efficiency'!A20,用能设备节能分配!P:P,'Improvement in Eqpt Efficiency'!$A$1,用能设备节能分配!M:M,"2020")+SUMIFS(工业节能技术装备推荐目录!K:K,工业节能技术装备推荐目录!D:D,'Improvement in Eqpt Efficiency'!A20,工业节能技术装备推荐目录!F:F,'Improvement in Eqpt Efficiency'!$A$1,工业节能技术装备推荐目录!A:A,"2021")+SUMIFS(用能设备节能分配!Q:Q,用能设备节能分配!O:O,'Improvement in Eqpt Efficiency'!A20,用能设备节能分配!P:P,'Improvement in Eqpt Efficiency'!$A$1,用能设备节能分配!M:M,"2021")+SUMIFS(工业节能技术装备推荐目录!K:K,工业节能技术装备推荐目录!D:D,'Improvement in Eqpt Efficiency'!A20,工业节能技术装备推荐目录!F:F,'Improvement in Eqpt Efficiency'!$A$1,工业节能技术装备推荐目录!A:A,"2022")+SUMIFS(用能设备节能分配!Q:Q,用能设备节能分配!O:O,'Improvement in Eqpt Efficiency'!A20,用能设备节能分配!P:P,'Improvement in Eqpt Efficiency'!$A$1,用能设备节能分配!M:M,"2022")</f>
        <v>1.4241387324431407</v>
      </c>
      <c r="G20" s="73">
        <f>SUMIFS(工业节能技术装备推荐目录!K:K,工业节能技术装备推荐目录!D:D,'Improvement in Eqpt Efficiency'!A20,工业节能技术装备推荐目录!F:F,'Improvement in Eqpt Efficiency'!$A$1,工业节能技术装备推荐目录!A:A,"2020")+SUMIFS(用能设备节能分配!Q:Q,用能设备节能分配!O:O,'Improvement in Eqpt Efficiency'!A20,用能设备节能分配!P:P,'Improvement in Eqpt Efficiency'!$A$1,用能设备节能分配!M:M,"2020")+SUMIFS(工业节能技术装备推荐目录!K:K,工业节能技术装备推荐目录!D:D,'Improvement in Eqpt Efficiency'!A20,工业节能技术装备推荐目录!F:F,'Improvement in Eqpt Efficiency'!$A$1,工业节能技术装备推荐目录!A:A,"2022")+SUMIFS(用能设备节能分配!Q:Q,用能设备节能分配!O:O,'Improvement in Eqpt Efficiency'!A20,用能设备节能分配!P:P,'Improvement in Eqpt Efficiency'!$A$1,用能设备节能分配!M:M,"2022")</f>
        <v>0.37269823702152816</v>
      </c>
      <c r="H20" s="73">
        <f>SUMIFS(工业节能技术装备推荐目录!K:K,工业节能技术装备推荐目录!D:D,'Improvement in Eqpt Efficiency'!A20,工业节能技术装备推荐目录!F:F,'Improvement in Eqpt Efficiency'!$A$1,工业节能技术装备推荐目录!A:A,"2022")+SUMIFS(用能设备节能分配!Q:Q,用能设备节能分配!O:O,'Improvement in Eqpt Efficiency'!A20,用能设备节能分配!P:P,'Improvement in Eqpt Efficiency'!$A$1,用能设备节能分配!M:M,"2022")</f>
        <v>0.21201396716793516</v>
      </c>
      <c r="I20" s="73">
        <f>SUMIFS(工业节能技术装备推荐目录!K:K,工业节能技术装备推荐目录!D:D,'Improvement in Eqpt Efficiency'!A20,工业节能技术装备推荐目录!F:F,'Improvement in Eqpt Efficiency'!$A$1,工业节能技术装备推荐目录!A:A,"2022")+SUMIFS(用能设备节能分配!Q:Q,用能设备节能分配!O:O,'Improvement in Eqpt Efficiency'!A20,用能设备节能分配!P:P,'Improvement in Eqpt Efficiency'!$A$1,用能设备节能分配!M:M,"2022")</f>
        <v>0.21201396716793516</v>
      </c>
      <c r="K20" s="52"/>
      <c r="L20" s="26" t="s">
        <v>49</v>
      </c>
      <c r="M20" s="50">
        <f>SUMIFS(工业节能技术装备推荐目录!L:L,工业节能技术装备推荐目录!D:D,'Improvement in Eqpt Efficiency'!A20,工业节能技术装备推荐目录!F:F,'Improvement in Eqpt Efficiency'!$A$1)</f>
        <v>0</v>
      </c>
      <c r="N20" s="73">
        <f>SUMIFS(工业节能技术装备推荐目录!K:K,工业节能技术装备推荐目录!D:D,'Improvement in Eqpt Efficiency'!A20,工业节能技术装备推荐目录!F:F,'Improvement in Eqpt Efficiency'!$A$1,工业节能技术装备推荐目录!A:A,"2020")</f>
        <v>0</v>
      </c>
      <c r="O20" s="73">
        <f>SUMIFS(工业节能技术装备推荐目录!K:K,工业节能技术装备推荐目录!D:D,'Improvement in Eqpt Efficiency'!A20,工业节能技术装备推荐目录!F:F,'Improvement in Eqpt Efficiency'!$A$1,工业节能技术装备推荐目录!A:A,"2020")+SUMIFS(工业节能技术装备推荐目录!K:K,工业节能技术装备推荐目录!D:D,'Improvement in Eqpt Efficiency'!A20,工业节能技术装备推荐目录!F:F,'Improvement in Eqpt Efficiency'!$A$1,工业节能技术装备推荐目录!A:A,"2021")</f>
        <v>0</v>
      </c>
      <c r="P20" s="73">
        <f>SUMIFS(工业节能技术装备推荐目录!K:K,工业节能技术装备推荐目录!D:D,'Improvement in Eqpt Efficiency'!A20,工业节能技术装备推荐目录!F:F,'Improvement in Eqpt Efficiency'!$A$1,工业节能技术装备推荐目录!A:A,"2020")+SUMIFS(工业节能技术装备推荐目录!K:K,工业节能技术装备推荐目录!D:D,'Improvement in Eqpt Efficiency'!A20,工业节能技术装备推荐目录!F:F,'Improvement in Eqpt Efficiency'!$A$1,工业节能技术装备推荐目录!A:A,"2021")+SUMIFS(工业节能技术装备推荐目录!K:K,工业节能技术装备推荐目录!D:D,'Improvement in Eqpt Efficiency'!A20,工业节能技术装备推荐目录!F:F,'Improvement in Eqpt Efficiency'!$A$1,工业节能技术装备推荐目录!A:A,"2022")</f>
        <v>0</v>
      </c>
      <c r="Q20" s="73">
        <f>SUMIFS(工业节能技术装备推荐目录!K:K,工业节能技术装备推荐目录!D:D,'Improvement in Eqpt Efficiency'!A20,工业节能技术装备推荐目录!F:F,'Improvement in Eqpt Efficiency'!$A$1,工业节能技术装备推荐目录!A:A,"2020")+SUMIFS(工业节能技术装备推荐目录!K:K,工业节能技术装备推荐目录!D:D,'Improvement in Eqpt Efficiency'!A20,工业节能技术装备推荐目录!F:F,'Improvement in Eqpt Efficiency'!$A$1,工业节能技术装备推荐目录!A:A,"2021")+SUMIFS(工业节能技术装备推荐目录!K:K,工业节能技术装备推荐目录!D:D,'Improvement in Eqpt Efficiency'!A20,工业节能技术装备推荐目录!F:F,'Improvement in Eqpt Efficiency'!$A$1,工业节能技术装备推荐目录!A:A,"2022")</f>
        <v>0</v>
      </c>
      <c r="R20" s="73">
        <f>SUMIFS(工业节能技术装备推荐目录!K:K,工业节能技术装备推荐目录!D:D,'Improvement in Eqpt Efficiency'!A20,工业节能技术装备推荐目录!F:F,'Improvement in Eqpt Efficiency'!$A$1,工业节能技术装备推荐目录!A:A,"2020")+SUMIFS(工业节能技术装备推荐目录!K:K,工业节能技术装备推荐目录!D:D,'Improvement in Eqpt Efficiency'!A20,工业节能技术装备推荐目录!F:F,'Improvement in Eqpt Efficiency'!$A$1,工业节能技术装备推荐目录!A:A,"2022")</f>
        <v>0</v>
      </c>
      <c r="S20" s="73">
        <f>SUMIFS(工业节能技术装备推荐目录!K:K,工业节能技术装备推荐目录!D:D,'Improvement in Eqpt Efficiency'!A20,工业节能技术装备推荐目录!F:F,'Improvement in Eqpt Efficiency'!$A$1,工业节能技术装备推荐目录!A:A,"2022")</f>
        <v>0</v>
      </c>
      <c r="T20" s="73">
        <f>SUMIFS(工业节能技术装备推荐目录!K:K,工业节能技术装备推荐目录!D:D,'Improvement in Eqpt Efficiency'!A20,工业节能技术装备推荐目录!F:F,'Improvement in Eqpt Efficiency'!$A$1,工业节能技术装备推荐目录!A:A,"2022")</f>
        <v>0</v>
      </c>
    </row>
    <row r="21" spans="1:20" x14ac:dyDescent="0.15">
      <c r="A21" s="26" t="s">
        <v>50</v>
      </c>
      <c r="B21" s="50">
        <f>SUMIFS(工业节能技术装备推荐目录!L:L,工业节能技术装备推荐目录!D:D,'Improvement in Eqpt Efficiency'!A21,工业节能技术装备推荐目录!F:F,'Improvement in Eqpt Efficiency'!$A$1)+SUMIFS(用能设备节能分配!R:R,用能设备节能分配!O:O,'Improvement in Eqpt Efficiency'!A21,用能设备节能分配!P:P,'Improvement in Eqpt Efficiency'!$A$1)</f>
        <v>6.9613963236584055</v>
      </c>
      <c r="C21" s="73">
        <f>SUMIFS(工业节能技术装备推荐目录!K:K,工业节能技术装备推荐目录!D:D,'Improvement in Eqpt Efficiency'!A21,工业节能技术装备推荐目录!F:F,'Improvement in Eqpt Efficiency'!$A$1,工业节能技术装备推荐目录!A:A,"2020")+SUMIFS(用能设备节能分配!Q:Q,用能设备节能分配!O:O,'Improvement in Eqpt Efficiency'!A21,用能设备节能分配!P:P,'Improvement in Eqpt Efficiency'!$A$1,用能设备节能分配!M:M,"2020")</f>
        <v>9.9560861430515818E-2</v>
      </c>
      <c r="D21" s="73">
        <f>SUMIFS(工业节能技术装备推荐目录!K:K,工业节能技术装备推荐目录!D:D,'Improvement in Eqpt Efficiency'!A21,工业节能技术装备推荐目录!F:F,'Improvement in Eqpt Efficiency'!$A$1,工业节能技术装备推荐目录!A:A,"2020")+SUMIFS(用能设备节能分配!Q:Q,用能设备节能分配!O:O,'Improvement in Eqpt Efficiency'!A21,用能设备节能分配!P:P,'Improvement in Eqpt Efficiency'!$A$1,用能设备节能分配!M:M,"2020")+SUMIFS(工业节能技术装备推荐目录!K:K,工业节能技术装备推荐目录!D:D,'Improvement in Eqpt Efficiency'!A21,工业节能技术装备推荐目录!F:F,'Improvement in Eqpt Efficiency'!$A$1,工业节能技术装备推荐目录!A:A,"2021")+SUMIFS(用能设备节能分配!Q:Q,用能设备节能分配!O:O,'Improvement in Eqpt Efficiency'!A21,用能设备节能分配!P:P,'Improvement in Eqpt Efficiency'!$A$1,用能设备节能分配!M:M,"2021")</f>
        <v>0.75103920192075213</v>
      </c>
      <c r="E21" s="73">
        <f>SUMIFS(工业节能技术装备推荐目录!K:K,工业节能技术装备推荐目录!D:D,'Improvement in Eqpt Efficiency'!A21,工业节能技术装备推荐目录!F:F,'Improvement in Eqpt Efficiency'!$A$1,工业节能技术装备推荐目录!A:A,"2020")+SUMIFS(用能设备节能分配!Q:Q,用能设备节能分配!O:O,'Improvement in Eqpt Efficiency'!A21,用能设备节能分配!P:P,'Improvement in Eqpt Efficiency'!$A$1,用能设备节能分配!M:M,"2020")+SUMIFS(工业节能技术装备推荐目录!K:K,工业节能技术装备推荐目录!D:D,'Improvement in Eqpt Efficiency'!A21,工业节能技术装备推荐目录!F:F,'Improvement in Eqpt Efficiency'!$A$1,工业节能技术装备推荐目录!A:A,"2021")+SUMIFS(用能设备节能分配!Q:Q,用能设备节能分配!O:O,'Improvement in Eqpt Efficiency'!A21,用能设备节能分配!P:P,'Improvement in Eqpt Efficiency'!$A$1,用能设备节能分配!M:M,"2021")+SUMIFS(工业节能技术装备推荐目录!K:K,工业节能技术装备推荐目录!D:D,'Improvement in Eqpt Efficiency'!A21,工业节能技术装备推荐目录!F:F,'Improvement in Eqpt Efficiency'!$A$1,工业节能技术装备推荐目录!A:A,"2022")+SUMIFS(用能设备节能分配!Q:Q,用能设备节能分配!O:O,'Improvement in Eqpt Efficiency'!A21,用能设备节能分配!P:P,'Improvement in Eqpt Efficiency'!$A$1,用能设备节能分配!M:M,"2022")</f>
        <v>0.88240422741934943</v>
      </c>
      <c r="F21" s="73">
        <f>SUMIFS(工业节能技术装备推荐目录!K:K,工业节能技术装备推荐目录!D:D,'Improvement in Eqpt Efficiency'!A21,工业节能技术装备推荐目录!F:F,'Improvement in Eqpt Efficiency'!$A$1,工业节能技术装备推荐目录!A:A,"2020")+SUMIFS(用能设备节能分配!Q:Q,用能设备节能分配!O:O,'Improvement in Eqpt Efficiency'!A21,用能设备节能分配!P:P,'Improvement in Eqpt Efficiency'!$A$1,用能设备节能分配!M:M,"2020")+SUMIFS(工业节能技术装备推荐目录!K:K,工业节能技术装备推荐目录!D:D,'Improvement in Eqpt Efficiency'!A21,工业节能技术装备推荐目录!F:F,'Improvement in Eqpt Efficiency'!$A$1,工业节能技术装备推荐目录!A:A,"2021")+SUMIFS(用能设备节能分配!Q:Q,用能设备节能分配!O:O,'Improvement in Eqpt Efficiency'!A21,用能设备节能分配!P:P,'Improvement in Eqpt Efficiency'!$A$1,用能设备节能分配!M:M,"2021")+SUMIFS(工业节能技术装备推荐目录!K:K,工业节能技术装备推荐目录!D:D,'Improvement in Eqpt Efficiency'!A21,工业节能技术装备推荐目录!F:F,'Improvement in Eqpt Efficiency'!$A$1,工业节能技术装备推荐目录!A:A,"2022")+SUMIFS(用能设备节能分配!Q:Q,用能设备节能分配!O:O,'Improvement in Eqpt Efficiency'!A21,用能设备节能分配!P:P,'Improvement in Eqpt Efficiency'!$A$1,用能设备节能分配!M:M,"2022")</f>
        <v>0.88240422741934943</v>
      </c>
      <c r="G21" s="73">
        <f>SUMIFS(工业节能技术装备推荐目录!K:K,工业节能技术装备推荐目录!D:D,'Improvement in Eqpt Efficiency'!A21,工业节能技术装备推荐目录!F:F,'Improvement in Eqpt Efficiency'!$A$1,工业节能技术装备推荐目录!A:A,"2020")+SUMIFS(用能设备节能分配!Q:Q,用能设备节能分配!O:O,'Improvement in Eqpt Efficiency'!A21,用能设备节能分配!P:P,'Improvement in Eqpt Efficiency'!$A$1,用能设备节能分配!M:M,"2020")+SUMIFS(工业节能技术装备推荐目录!K:K,工业节能技术装备推荐目录!D:D,'Improvement in Eqpt Efficiency'!A21,工业节能技术装备推荐目录!F:F,'Improvement in Eqpt Efficiency'!$A$1,工业节能技术装备推荐目录!A:A,"2022")+SUMIFS(用能设备节能分配!Q:Q,用能设备节能分配!O:O,'Improvement in Eqpt Efficiency'!A21,用能设备节能分配!P:P,'Improvement in Eqpt Efficiency'!$A$1,用能设备节能分配!M:M,"2022")</f>
        <v>0.23092588692911309</v>
      </c>
      <c r="H21" s="73">
        <f>SUMIFS(工业节能技术装备推荐目录!K:K,工业节能技术装备推荐目录!D:D,'Improvement in Eqpt Efficiency'!A21,工业节能技术装备推荐目录!F:F,'Improvement in Eqpt Efficiency'!$A$1,工业节能技术装备推荐目录!A:A,"2022")+SUMIFS(用能设备节能分配!Q:Q,用能设备节能分配!O:O,'Improvement in Eqpt Efficiency'!A21,用能设备节能分配!P:P,'Improvement in Eqpt Efficiency'!$A$1,用能设备节能分配!M:M,"2022")</f>
        <v>0.13136502549859727</v>
      </c>
      <c r="I21" s="73">
        <f>SUMIFS(工业节能技术装备推荐目录!K:K,工业节能技术装备推荐目录!D:D,'Improvement in Eqpt Efficiency'!A21,工业节能技术装备推荐目录!F:F,'Improvement in Eqpt Efficiency'!$A$1,工业节能技术装备推荐目录!A:A,"2022")+SUMIFS(用能设备节能分配!Q:Q,用能设备节能分配!O:O,'Improvement in Eqpt Efficiency'!A21,用能设备节能分配!P:P,'Improvement in Eqpt Efficiency'!$A$1,用能设备节能分配!M:M,"2022")</f>
        <v>0.13136502549859727</v>
      </c>
      <c r="K21" s="52"/>
      <c r="L21" s="26" t="s">
        <v>50</v>
      </c>
      <c r="M21" s="50">
        <f>SUMIFS(工业节能技术装备推荐目录!L:L,工业节能技术装备推荐目录!D:D,'Improvement in Eqpt Efficiency'!A21,工业节能技术装备推荐目录!F:F,'Improvement in Eqpt Efficiency'!$A$1)</f>
        <v>0</v>
      </c>
      <c r="N21" s="73">
        <f>SUMIFS(工业节能技术装备推荐目录!K:K,工业节能技术装备推荐目录!D:D,'Improvement in Eqpt Efficiency'!A21,工业节能技术装备推荐目录!F:F,'Improvement in Eqpt Efficiency'!$A$1,工业节能技术装备推荐目录!A:A,"2020")</f>
        <v>0</v>
      </c>
      <c r="O21" s="73">
        <f>SUMIFS(工业节能技术装备推荐目录!K:K,工业节能技术装备推荐目录!D:D,'Improvement in Eqpt Efficiency'!A21,工业节能技术装备推荐目录!F:F,'Improvement in Eqpt Efficiency'!$A$1,工业节能技术装备推荐目录!A:A,"2020")+SUMIFS(工业节能技术装备推荐目录!K:K,工业节能技术装备推荐目录!D:D,'Improvement in Eqpt Efficiency'!A21,工业节能技术装备推荐目录!F:F,'Improvement in Eqpt Efficiency'!$A$1,工业节能技术装备推荐目录!A:A,"2021")</f>
        <v>0</v>
      </c>
      <c r="P21" s="73">
        <f>SUMIFS(工业节能技术装备推荐目录!K:K,工业节能技术装备推荐目录!D:D,'Improvement in Eqpt Efficiency'!A21,工业节能技术装备推荐目录!F:F,'Improvement in Eqpt Efficiency'!$A$1,工业节能技术装备推荐目录!A:A,"2020")+SUMIFS(工业节能技术装备推荐目录!K:K,工业节能技术装备推荐目录!D:D,'Improvement in Eqpt Efficiency'!A21,工业节能技术装备推荐目录!F:F,'Improvement in Eqpt Efficiency'!$A$1,工业节能技术装备推荐目录!A:A,"2021")+SUMIFS(工业节能技术装备推荐目录!K:K,工业节能技术装备推荐目录!D:D,'Improvement in Eqpt Efficiency'!A21,工业节能技术装备推荐目录!F:F,'Improvement in Eqpt Efficiency'!$A$1,工业节能技术装备推荐目录!A:A,"2022")</f>
        <v>0</v>
      </c>
      <c r="Q21" s="73">
        <f>SUMIFS(工业节能技术装备推荐目录!K:K,工业节能技术装备推荐目录!D:D,'Improvement in Eqpt Efficiency'!A21,工业节能技术装备推荐目录!F:F,'Improvement in Eqpt Efficiency'!$A$1,工业节能技术装备推荐目录!A:A,"2020")+SUMIFS(工业节能技术装备推荐目录!K:K,工业节能技术装备推荐目录!D:D,'Improvement in Eqpt Efficiency'!A21,工业节能技术装备推荐目录!F:F,'Improvement in Eqpt Efficiency'!$A$1,工业节能技术装备推荐目录!A:A,"2021")+SUMIFS(工业节能技术装备推荐目录!K:K,工业节能技术装备推荐目录!D:D,'Improvement in Eqpt Efficiency'!A21,工业节能技术装备推荐目录!F:F,'Improvement in Eqpt Efficiency'!$A$1,工业节能技术装备推荐目录!A:A,"2022")</f>
        <v>0</v>
      </c>
      <c r="R21" s="73">
        <f>SUMIFS(工业节能技术装备推荐目录!K:K,工业节能技术装备推荐目录!D:D,'Improvement in Eqpt Efficiency'!A21,工业节能技术装备推荐目录!F:F,'Improvement in Eqpt Efficiency'!$A$1,工业节能技术装备推荐目录!A:A,"2020")+SUMIFS(工业节能技术装备推荐目录!K:K,工业节能技术装备推荐目录!D:D,'Improvement in Eqpt Efficiency'!A21,工业节能技术装备推荐目录!F:F,'Improvement in Eqpt Efficiency'!$A$1,工业节能技术装备推荐目录!A:A,"2022")</f>
        <v>0</v>
      </c>
      <c r="S21" s="73">
        <f>SUMIFS(工业节能技术装备推荐目录!K:K,工业节能技术装备推荐目录!D:D,'Improvement in Eqpt Efficiency'!A21,工业节能技术装备推荐目录!F:F,'Improvement in Eqpt Efficiency'!$A$1,工业节能技术装备推荐目录!A:A,"2022")</f>
        <v>0</v>
      </c>
      <c r="T21" s="73">
        <f>SUMIFS(工业节能技术装备推荐目录!K:K,工业节能技术装备推荐目录!D:D,'Improvement in Eqpt Efficiency'!A21,工业节能技术装备推荐目录!F:F,'Improvement in Eqpt Efficiency'!$A$1,工业节能技术装备推荐目录!A:A,"2022")</f>
        <v>0</v>
      </c>
    </row>
    <row r="22" spans="1:20" x14ac:dyDescent="0.15">
      <c r="A22" s="26" t="s">
        <v>81</v>
      </c>
      <c r="B22" s="50">
        <f>SUMIFS(工业节能技术装备推荐目录!L:L,工业节能技术装备推荐目录!D:D,'Improvement in Eqpt Efficiency'!A22,工业节能技术装备推荐目录!F:F,'Improvement in Eqpt Efficiency'!$A$1)+SUMIFS(用能设备节能分配!R:R,用能设备节能分配!O:O,'Improvement in Eqpt Efficiency'!A22,用能设备节能分配!P:P,'Improvement in Eqpt Efficiency'!$A$1)</f>
        <v>73.730257780608255</v>
      </c>
      <c r="C22" s="73">
        <f>SUMIFS(工业节能技术装备推荐目录!K:K,工业节能技术装备推荐目录!D:D,'Improvement in Eqpt Efficiency'!A22,工业节能技术装备推荐目录!F:F,'Improvement in Eqpt Efficiency'!$A$1,工业节能技术装备推荐目录!A:A,"2020")+SUMIFS(用能设备节能分配!Q:Q,用能设备节能分配!O:O,'Improvement in Eqpt Efficiency'!A22,用能设备节能分配!P:P,'Improvement in Eqpt Efficiency'!$A$1,用能设备节能分配!M:M,"2020")</f>
        <v>0.13911817295450093</v>
      </c>
      <c r="D22" s="73">
        <f>SUMIFS(工业节能技术装备推荐目录!K:K,工业节能技术装备推荐目录!D:D,'Improvement in Eqpt Efficiency'!A22,工业节能技术装备推荐目录!F:F,'Improvement in Eqpt Efficiency'!$A$1,工业节能技术装备推荐目录!A:A,"2020")+SUMIFS(用能设备节能分配!Q:Q,用能设备节能分配!O:O,'Improvement in Eqpt Efficiency'!A22,用能设备节能分配!P:P,'Improvement in Eqpt Efficiency'!$A$1,用能设备节能分配!M:M,"2020")+SUMIFS(工业节能技术装备推荐目录!K:K,工业节能技术装备推荐目录!D:D,'Improvement in Eqpt Efficiency'!A22,工业节能技术装备推荐目录!F:F,'Improvement in Eqpt Efficiency'!$A$1,工业节能技术装备推荐目录!A:A,"2021")+SUMIFS(用能设备节能分配!Q:Q,用能设备节能分配!O:O,'Improvement in Eqpt Efficiency'!A22,用能设备节能分配!P:P,'Improvement in Eqpt Efficiency'!$A$1,用能设备节能分配!M:M,"2021")</f>
        <v>6.8678927092922484</v>
      </c>
      <c r="E22" s="73">
        <f>SUMIFS(工业节能技术装备推荐目录!K:K,工业节能技术装备推荐目录!D:D,'Improvement in Eqpt Efficiency'!A22,工业节能技术装备推荐目录!F:F,'Improvement in Eqpt Efficiency'!$A$1,工业节能技术装备推荐目录!A:A,"2020")+SUMIFS(用能设备节能分配!Q:Q,用能设备节能分配!O:O,'Improvement in Eqpt Efficiency'!A22,用能设备节能分配!P:P,'Improvement in Eqpt Efficiency'!$A$1,用能设备节能分配!M:M,"2020")+SUMIFS(工业节能技术装备推荐目录!K:K,工业节能技术装备推荐目录!D:D,'Improvement in Eqpt Efficiency'!A22,工业节能技术装备推荐目录!F:F,'Improvement in Eqpt Efficiency'!$A$1,工业节能技术装备推荐目录!A:A,"2021")+SUMIFS(用能设备节能分配!Q:Q,用能设备节能分配!O:O,'Improvement in Eqpt Efficiency'!A22,用能设备节能分配!P:P,'Improvement in Eqpt Efficiency'!$A$1,用能设备节能分配!M:M,"2021")+SUMIFS(工业节能技术装备推荐目录!K:K,工业节能技术装备推荐目录!D:D,'Improvement in Eqpt Efficiency'!A22,工业节能技术装备推荐目录!F:F,'Improvement in Eqpt Efficiency'!$A$1,工业节能技术装备推荐目录!A:A,"2022")+SUMIFS(用能设备节能分配!Q:Q,用能设备节能分配!O:O,'Improvement in Eqpt Efficiency'!A22,用能设备节能分配!P:P,'Improvement in Eqpt Efficiency'!$A$1,用能设备节能分配!M:M,"2022")</f>
        <v>7.0514514097183261</v>
      </c>
      <c r="F22" s="73">
        <f>SUMIFS(工业节能技术装备推荐目录!K:K,工业节能技术装备推荐目录!D:D,'Improvement in Eqpt Efficiency'!A22,工业节能技术装备推荐目录!F:F,'Improvement in Eqpt Efficiency'!$A$1,工业节能技术装备推荐目录!A:A,"2020")+SUMIFS(用能设备节能分配!Q:Q,用能设备节能分配!O:O,'Improvement in Eqpt Efficiency'!A22,用能设备节能分配!P:P,'Improvement in Eqpt Efficiency'!$A$1,用能设备节能分配!M:M,"2020")+SUMIFS(工业节能技术装备推荐目录!K:K,工业节能技术装备推荐目录!D:D,'Improvement in Eqpt Efficiency'!A22,工业节能技术装备推荐目录!F:F,'Improvement in Eqpt Efficiency'!$A$1,工业节能技术装备推荐目录!A:A,"2021")+SUMIFS(用能设备节能分配!Q:Q,用能设备节能分配!O:O,'Improvement in Eqpt Efficiency'!A22,用能设备节能分配!P:P,'Improvement in Eqpt Efficiency'!$A$1,用能设备节能分配!M:M,"2021")+SUMIFS(工业节能技术装备推荐目录!K:K,工业节能技术装备推荐目录!D:D,'Improvement in Eqpt Efficiency'!A22,工业节能技术装备推荐目录!F:F,'Improvement in Eqpt Efficiency'!$A$1,工业节能技术装备推荐目录!A:A,"2022")+SUMIFS(用能设备节能分配!Q:Q,用能设备节能分配!O:O,'Improvement in Eqpt Efficiency'!A22,用能设备节能分配!P:P,'Improvement in Eqpt Efficiency'!$A$1,用能设备节能分配!M:M,"2022")</f>
        <v>7.0514514097183261</v>
      </c>
      <c r="G22" s="73">
        <f>SUMIFS(工业节能技术装备推荐目录!K:K,工业节能技术装备推荐目录!D:D,'Improvement in Eqpt Efficiency'!A22,工业节能技术装备推荐目录!F:F,'Improvement in Eqpt Efficiency'!$A$1,工业节能技术装备推荐目录!A:A,"2020")+SUMIFS(用能设备节能分配!Q:Q,用能设备节能分配!O:O,'Improvement in Eqpt Efficiency'!A22,用能设备节能分配!P:P,'Improvement in Eqpt Efficiency'!$A$1,用能设备节能分配!M:M,"2020")+SUMIFS(工业节能技术装备推荐目录!K:K,工业节能技术装备推荐目录!D:D,'Improvement in Eqpt Efficiency'!A22,工业节能技术装备推荐目录!F:F,'Improvement in Eqpt Efficiency'!$A$1,工业节能技术装备推荐目录!A:A,"2022")+SUMIFS(用能设备节能分配!Q:Q,用能设备节能分配!O:O,'Improvement in Eqpt Efficiency'!A22,用能设备节能分配!P:P,'Improvement in Eqpt Efficiency'!$A$1,用能设备节能分配!M:M,"2022")</f>
        <v>0.32267687338057854</v>
      </c>
      <c r="H22" s="73">
        <f>SUMIFS(工业节能技术装备推荐目录!K:K,工业节能技术装备推荐目录!D:D,'Improvement in Eqpt Efficiency'!A22,工业节能技术装备推荐目录!F:F,'Improvement in Eqpt Efficiency'!$A$1,工业节能技术装备推荐目录!A:A,"2022")+SUMIFS(用能设备节能分配!Q:Q,用能设备节能分配!O:O,'Improvement in Eqpt Efficiency'!A22,用能设备节能分配!P:P,'Improvement in Eqpt Efficiency'!$A$1,用能设备节能分配!M:M,"2022")</f>
        <v>0.18355870042607761</v>
      </c>
      <c r="I22" s="73">
        <f>SUMIFS(工业节能技术装备推荐目录!K:K,工业节能技术装备推荐目录!D:D,'Improvement in Eqpt Efficiency'!A22,工业节能技术装备推荐目录!F:F,'Improvement in Eqpt Efficiency'!$A$1,工业节能技术装备推荐目录!A:A,"2022")+SUMIFS(用能设备节能分配!Q:Q,用能设备节能分配!O:O,'Improvement in Eqpt Efficiency'!A22,用能设备节能分配!P:P,'Improvement in Eqpt Efficiency'!$A$1,用能设备节能分配!M:M,"2022")</f>
        <v>0.18355870042607761</v>
      </c>
      <c r="K22" s="52"/>
      <c r="L22" s="26" t="s">
        <v>81</v>
      </c>
      <c r="M22" s="50">
        <f>SUMIFS(工业节能技术装备推荐目录!L:L,工业节能技术装备推荐目录!D:D,'Improvement in Eqpt Efficiency'!A22,工业节能技术装备推荐目录!F:F,'Improvement in Eqpt Efficiency'!$A$1)</f>
        <v>64.002974148822588</v>
      </c>
      <c r="N22" s="73">
        <f>SUMIFS(工业节能技术装备推荐目录!K:K,工业节能技术装备推荐目录!D:D,'Improvement in Eqpt Efficiency'!A22,工业节能技术装备推荐目录!F:F,'Improvement in Eqpt Efficiency'!$A$1,工业节能技术装备推荐目录!A:A,"2020")</f>
        <v>0</v>
      </c>
      <c r="O22" s="73">
        <f>SUMIFS(工业节能技术装备推荐目录!K:K,工业节能技术装备推荐目录!D:D,'Improvement in Eqpt Efficiency'!A22,工业节能技术装备推荐目录!F:F,'Improvement in Eqpt Efficiency'!$A$1,工业节能技术装备推荐目录!A:A,"2020")+SUMIFS(工业节能技术装备推荐目录!K:K,工业节能技术装备推荐目录!D:D,'Improvement in Eqpt Efficiency'!A22,工业节能技术装备推荐目录!F:F,'Improvement in Eqpt Efficiency'!$A$1,工业节能技术装备推荐目录!A:A,"2021")</f>
        <v>5.8184521953475086</v>
      </c>
      <c r="P22" s="73">
        <f>SUMIFS(工业节能技术装备推荐目录!K:K,工业节能技术装备推荐目录!D:D,'Improvement in Eqpt Efficiency'!A22,工业节能技术装备推荐目录!F:F,'Improvement in Eqpt Efficiency'!$A$1,工业节能技术装备推荐目录!A:A,"2020")+SUMIFS(工业节能技术装备推荐目录!K:K,工业节能技术装备推荐目录!D:D,'Improvement in Eqpt Efficiency'!A22,工业节能技术装备推荐目录!F:F,'Improvement in Eqpt Efficiency'!$A$1,工业节能技术装备推荐目录!A:A,"2021")+SUMIFS(工业节能技术装备推荐目录!K:K,工业节能技术装备推荐目录!D:D,'Improvement in Eqpt Efficiency'!A22,工业节能技术装备推荐目录!F:F,'Improvement in Eqpt Efficiency'!$A$1,工业节能技术装备推荐目录!A:A,"2022")</f>
        <v>5.8184521953475086</v>
      </c>
      <c r="Q22" s="73">
        <f>SUMIFS(工业节能技术装备推荐目录!K:K,工业节能技术装备推荐目录!D:D,'Improvement in Eqpt Efficiency'!A22,工业节能技术装备推荐目录!F:F,'Improvement in Eqpt Efficiency'!$A$1,工业节能技术装备推荐目录!A:A,"2020")+SUMIFS(工业节能技术装备推荐目录!K:K,工业节能技术装备推荐目录!D:D,'Improvement in Eqpt Efficiency'!A22,工业节能技术装备推荐目录!F:F,'Improvement in Eqpt Efficiency'!$A$1,工业节能技术装备推荐目录!A:A,"2021")+SUMIFS(工业节能技术装备推荐目录!K:K,工业节能技术装备推荐目录!D:D,'Improvement in Eqpt Efficiency'!A22,工业节能技术装备推荐目录!F:F,'Improvement in Eqpt Efficiency'!$A$1,工业节能技术装备推荐目录!A:A,"2022")</f>
        <v>5.8184521953475086</v>
      </c>
      <c r="R22" s="73">
        <f>SUMIFS(工业节能技术装备推荐目录!K:K,工业节能技术装备推荐目录!D:D,'Improvement in Eqpt Efficiency'!A22,工业节能技术装备推荐目录!F:F,'Improvement in Eqpt Efficiency'!$A$1,工业节能技术装备推荐目录!A:A,"2020")+SUMIFS(工业节能技术装备推荐目录!K:K,工业节能技术装备推荐目录!D:D,'Improvement in Eqpt Efficiency'!A22,工业节能技术装备推荐目录!F:F,'Improvement in Eqpt Efficiency'!$A$1,工业节能技术装备推荐目录!A:A,"2022")</f>
        <v>0</v>
      </c>
      <c r="S22" s="73">
        <f>SUMIFS(工业节能技术装备推荐目录!K:K,工业节能技术装备推荐目录!D:D,'Improvement in Eqpt Efficiency'!A22,工业节能技术装备推荐目录!F:F,'Improvement in Eqpt Efficiency'!$A$1,工业节能技术装备推荐目录!A:A,"2022")</f>
        <v>0</v>
      </c>
      <c r="T22" s="73">
        <f>SUMIFS(工业节能技术装备推荐目录!K:K,工业节能技术装备推荐目录!D:D,'Improvement in Eqpt Efficiency'!A22,工业节能技术装备推荐目录!F:F,'Improvement in Eqpt Efficiency'!$A$1,工业节能技术装备推荐目录!A:A,"2022")</f>
        <v>0</v>
      </c>
    </row>
    <row r="23" spans="1:20" x14ac:dyDescent="0.15">
      <c r="A23" s="26" t="s">
        <v>71</v>
      </c>
      <c r="B23" s="50">
        <f>SUMIFS(工业节能技术装备推荐目录!L:L,工业节能技术装备推荐目录!D:D,'Improvement in Eqpt Efficiency'!A23,工业节能技术装备推荐目录!F:F,'Improvement in Eqpt Efficiency'!$A$1)+SUMIFS(用能设备节能分配!R:R,用能设备节能分配!O:O,'Improvement in Eqpt Efficiency'!A23,用能设备节能分配!P:P,'Improvement in Eqpt Efficiency'!$A$1)</f>
        <v>112.85664525667536</v>
      </c>
      <c r="C23" s="73">
        <f>SUMIFS(工业节能技术装备推荐目录!K:K,工业节能技术装备推荐目录!D:D,'Improvement in Eqpt Efficiency'!A23,工业节能技术装备推荐目录!F:F,'Improvement in Eqpt Efficiency'!$A$1,工业节能技术装备推荐目录!A:A,"2020")+SUMIFS(用能设备节能分配!Q:Q,用能设备节能分配!O:O,'Improvement in Eqpt Efficiency'!A23,用能设备节能分配!P:P,'Improvement in Eqpt Efficiency'!$A$1,用能设备节能分配!M:M,"2020")</f>
        <v>8.4947558950358978E-2</v>
      </c>
      <c r="D23" s="73">
        <f>SUMIFS(工业节能技术装备推荐目录!K:K,工业节能技术装备推荐目录!D:D,'Improvement in Eqpt Efficiency'!A23,工业节能技术装备推荐目录!F:F,'Improvement in Eqpt Efficiency'!$A$1,工业节能技术装备推荐目录!A:A,"2020")+SUMIFS(用能设备节能分配!Q:Q,用能设备节能分配!O:O,'Improvement in Eqpt Efficiency'!A23,用能设备节能分配!P:P,'Improvement in Eqpt Efficiency'!$A$1,用能设备节能分配!M:M,"2020")+SUMIFS(工业节能技术装备推荐目录!K:K,工业节能技术装备推荐目录!D:D,'Improvement in Eqpt Efficiency'!A23,工业节能技术装备推荐目录!F:F,'Improvement in Eqpt Efficiency'!$A$1,工业节能技术装备推荐目录!A:A,"2021")+SUMIFS(用能设备节能分配!Q:Q,用能设备节能分配!O:O,'Improvement in Eqpt Efficiency'!A23,用能设备节能分配!P:P,'Improvement in Eqpt Efficiency'!$A$1,用能设备节能分配!M:M,"2021")</f>
        <v>7.7423512886974679</v>
      </c>
      <c r="E23" s="73">
        <f>SUMIFS(工业节能技术装备推荐目录!K:K,工业节能技术装备推荐目录!D:D,'Improvement in Eqpt Efficiency'!A23,工业节能技术装备推荐目录!F:F,'Improvement in Eqpt Efficiency'!$A$1,工业节能技术装备推荐目录!A:A,"2020")+SUMIFS(用能设备节能分配!Q:Q,用能设备节能分配!O:O,'Improvement in Eqpt Efficiency'!A23,用能设备节能分配!P:P,'Improvement in Eqpt Efficiency'!$A$1,用能设备节能分配!M:M,"2020")+SUMIFS(工业节能技术装备推荐目录!K:K,工业节能技术装备推荐目录!D:D,'Improvement in Eqpt Efficiency'!A23,工业节能技术装备推荐目录!F:F,'Improvement in Eqpt Efficiency'!$A$1,工业节能技术装备推荐目录!A:A,"2021")+SUMIFS(用能设备节能分配!Q:Q,用能设备节能分配!O:O,'Improvement in Eqpt Efficiency'!A23,用能设备节能分配!P:P,'Improvement in Eqpt Efficiency'!$A$1,用能设备节能分配!M:M,"2021")+SUMIFS(工业节能技术装备推荐目录!K:K,工业节能技术装备推荐目录!D:D,'Improvement in Eqpt Efficiency'!A23,工业节能技术装备推荐目录!F:F,'Improvement in Eqpt Efficiency'!$A$1,工业节能技术装备推荐目录!A:A,"2022")+SUMIFS(用能设备节能分配!Q:Q,用能设备节能分配!O:O,'Improvement in Eqpt Efficiency'!A23,用能设备节能分配!P:P,'Improvement in Eqpt Efficiency'!$A$1,用能设备节能分配!M:M,"2022")</f>
        <v>7.854434873423636</v>
      </c>
      <c r="F23" s="73">
        <f>SUMIFS(工业节能技术装备推荐目录!K:K,工业节能技术装备推荐目录!D:D,'Improvement in Eqpt Efficiency'!A23,工业节能技术装备推荐目录!F:F,'Improvement in Eqpt Efficiency'!$A$1,工业节能技术装备推荐目录!A:A,"2020")+SUMIFS(用能设备节能分配!Q:Q,用能设备节能分配!O:O,'Improvement in Eqpt Efficiency'!A23,用能设备节能分配!P:P,'Improvement in Eqpt Efficiency'!$A$1,用能设备节能分配!M:M,"2020")+SUMIFS(工业节能技术装备推荐目录!K:K,工业节能技术装备推荐目录!D:D,'Improvement in Eqpt Efficiency'!A23,工业节能技术装备推荐目录!F:F,'Improvement in Eqpt Efficiency'!$A$1,工业节能技术装备推荐目录!A:A,"2021")+SUMIFS(用能设备节能分配!Q:Q,用能设备节能分配!O:O,'Improvement in Eqpt Efficiency'!A23,用能设备节能分配!P:P,'Improvement in Eqpt Efficiency'!$A$1,用能设备节能分配!M:M,"2021")+SUMIFS(工业节能技术装备推荐目录!K:K,工业节能技术装备推荐目录!D:D,'Improvement in Eqpt Efficiency'!A23,工业节能技术装备推荐目录!F:F,'Improvement in Eqpt Efficiency'!$A$1,工业节能技术装备推荐目录!A:A,"2022")+SUMIFS(用能设备节能分配!Q:Q,用能设备节能分配!O:O,'Improvement in Eqpt Efficiency'!A23,用能设备节能分配!P:P,'Improvement in Eqpt Efficiency'!$A$1,用能设备节能分配!M:M,"2022")</f>
        <v>7.854434873423636</v>
      </c>
      <c r="G23" s="73">
        <f>SUMIFS(工业节能技术装备推荐目录!K:K,工业节能技术装备推荐目录!D:D,'Improvement in Eqpt Efficiency'!A23,工业节能技术装备推荐目录!F:F,'Improvement in Eqpt Efficiency'!$A$1,工业节能技术装备推荐目录!A:A,"2020")+SUMIFS(用能设备节能分配!Q:Q,用能设备节能分配!O:O,'Improvement in Eqpt Efficiency'!A23,用能设备节能分配!P:P,'Improvement in Eqpt Efficiency'!$A$1,用能设备节能分配!M:M,"2020")+SUMIFS(工业节能技术装备推荐目录!K:K,工业节能技术装备推荐目录!D:D,'Improvement in Eqpt Efficiency'!A23,工业节能技术装备推荐目录!F:F,'Improvement in Eqpt Efficiency'!$A$1,工业节能技术装备推荐目录!A:A,"2022")+SUMIFS(用能设备节能分配!Q:Q,用能设备节能分配!O:O,'Improvement in Eqpt Efficiency'!A23,用能设备节能分配!P:P,'Improvement in Eqpt Efficiency'!$A$1,用能设备节能分配!M:M,"2022")</f>
        <v>0.19703114367652708</v>
      </c>
      <c r="H23" s="73">
        <f>SUMIFS(工业节能技术装备推荐目录!K:K,工业节能技术装备推荐目录!D:D,'Improvement in Eqpt Efficiency'!A23,工业节能技术装备推荐目录!F:F,'Improvement in Eqpt Efficiency'!$A$1,工业节能技术装备推荐目录!A:A,"2022")+SUMIFS(用能设备节能分配!Q:Q,用能设备节能分配!O:O,'Improvement in Eqpt Efficiency'!A23,用能设备节能分配!P:P,'Improvement in Eqpt Efficiency'!$A$1,用能设备节能分配!M:M,"2022")</f>
        <v>0.11208358472616808</v>
      </c>
      <c r="I23" s="73">
        <f>SUMIFS(工业节能技术装备推荐目录!K:K,工业节能技术装备推荐目录!D:D,'Improvement in Eqpt Efficiency'!A23,工业节能技术装备推荐目录!F:F,'Improvement in Eqpt Efficiency'!$A$1,工业节能技术装备推荐目录!A:A,"2022")+SUMIFS(用能设备节能分配!Q:Q,用能设备节能分配!O:O,'Improvement in Eqpt Efficiency'!A23,用能设备节能分配!P:P,'Improvement in Eqpt Efficiency'!$A$1,用能设备节能分配!M:M,"2022")</f>
        <v>0.11208358472616808</v>
      </c>
      <c r="K23" s="52"/>
      <c r="L23" s="26" t="s">
        <v>71</v>
      </c>
      <c r="M23" s="50">
        <f>SUMIFS(工业节能技术装备推荐目录!L:L,工业节能技术装备推荐目录!D:D,'Improvement in Eqpt Efficiency'!A23,工业节能技术装备推荐目录!F:F,'Improvement in Eqpt Efficiency'!$A$1)</f>
        <v>106.91702585117741</v>
      </c>
      <c r="N23" s="73">
        <f>SUMIFS(工业节能技术装备推荐目录!K:K,工业节能技术装备推荐目录!D:D,'Improvement in Eqpt Efficiency'!A23,工业节能技术装备推荐目录!F:F,'Improvement in Eqpt Efficiency'!$A$1,工业节能技术装备推荐目录!A:A,"2020")</f>
        <v>0</v>
      </c>
      <c r="O23" s="73">
        <f>SUMIFS(工业节能技术装备推荐目录!K:K,工业节能技术装备推荐目录!D:D,'Improvement in Eqpt Efficiency'!A23,工业节能技术装备推荐目录!F:F,'Improvement in Eqpt Efficiency'!$A$1,工业节能技术装备推荐目录!A:A,"2020")+SUMIFS(工业节能技术装备推荐目录!K:K,工业节能技术装备推荐目录!D:D,'Improvement in Eqpt Efficiency'!A23,工业节能技术装备推荐目录!F:F,'Improvement in Eqpt Efficiency'!$A$1,工业节能技术装备推荐目录!A:A,"2021")</f>
        <v>7.1015478046524922</v>
      </c>
      <c r="P23" s="73">
        <f>SUMIFS(工业节能技术装备推荐目录!K:K,工业节能技术装备推荐目录!D:D,'Improvement in Eqpt Efficiency'!A23,工业节能技术装备推荐目录!F:F,'Improvement in Eqpt Efficiency'!$A$1,工业节能技术装备推荐目录!A:A,"2020")+SUMIFS(工业节能技术装备推荐目录!K:K,工业节能技术装备推荐目录!D:D,'Improvement in Eqpt Efficiency'!A23,工业节能技术装备推荐目录!F:F,'Improvement in Eqpt Efficiency'!$A$1,工业节能技术装备推荐目录!A:A,"2021")+SUMIFS(工业节能技术装备推荐目录!K:K,工业节能技术装备推荐目录!D:D,'Improvement in Eqpt Efficiency'!A23,工业节能技术装备推荐目录!F:F,'Improvement in Eqpt Efficiency'!$A$1,工业节能技术装备推荐目录!A:A,"2022")</f>
        <v>7.1015478046524922</v>
      </c>
      <c r="Q23" s="73">
        <f>SUMIFS(工业节能技术装备推荐目录!K:K,工业节能技术装备推荐目录!D:D,'Improvement in Eqpt Efficiency'!A23,工业节能技术装备推荐目录!F:F,'Improvement in Eqpt Efficiency'!$A$1,工业节能技术装备推荐目录!A:A,"2020")+SUMIFS(工业节能技术装备推荐目录!K:K,工业节能技术装备推荐目录!D:D,'Improvement in Eqpt Efficiency'!A23,工业节能技术装备推荐目录!F:F,'Improvement in Eqpt Efficiency'!$A$1,工业节能技术装备推荐目录!A:A,"2021")+SUMIFS(工业节能技术装备推荐目录!K:K,工业节能技术装备推荐目录!D:D,'Improvement in Eqpt Efficiency'!A23,工业节能技术装备推荐目录!F:F,'Improvement in Eqpt Efficiency'!$A$1,工业节能技术装备推荐目录!A:A,"2022")</f>
        <v>7.1015478046524922</v>
      </c>
      <c r="R23" s="73">
        <f>SUMIFS(工业节能技术装备推荐目录!K:K,工业节能技术装备推荐目录!D:D,'Improvement in Eqpt Efficiency'!A23,工业节能技术装备推荐目录!F:F,'Improvement in Eqpt Efficiency'!$A$1,工业节能技术装备推荐目录!A:A,"2020")+SUMIFS(工业节能技术装备推荐目录!K:K,工业节能技术装备推荐目录!D:D,'Improvement in Eqpt Efficiency'!A23,工业节能技术装备推荐目录!F:F,'Improvement in Eqpt Efficiency'!$A$1,工业节能技术装备推荐目录!A:A,"2022")</f>
        <v>0</v>
      </c>
      <c r="S23" s="73">
        <f>SUMIFS(工业节能技术装备推荐目录!K:K,工业节能技术装备推荐目录!D:D,'Improvement in Eqpt Efficiency'!A23,工业节能技术装备推荐目录!F:F,'Improvement in Eqpt Efficiency'!$A$1,工业节能技术装备推荐目录!A:A,"2022")</f>
        <v>0</v>
      </c>
      <c r="T23" s="73">
        <f>SUMIFS(工业节能技术装备推荐目录!K:K,工业节能技术装备推荐目录!D:D,'Improvement in Eqpt Efficiency'!A23,工业节能技术装备推荐目录!F:F,'Improvement in Eqpt Efficiency'!$A$1,工业节能技术装备推荐目录!A:A,"2022")</f>
        <v>0</v>
      </c>
    </row>
    <row r="24" spans="1:20" x14ac:dyDescent="0.15">
      <c r="A24" s="26" t="s">
        <v>53</v>
      </c>
      <c r="B24" s="50">
        <f>SUMIFS(工业节能技术装备推荐目录!L:L,工业节能技术装备推荐目录!D:D,'Improvement in Eqpt Efficiency'!A24,工业节能技术装备推荐目录!F:F,'Improvement in Eqpt Efficiency'!$A$1)+SUMIFS(用能设备节能分配!R:R,用能设备节能分配!O:O,'Improvement in Eqpt Efficiency'!A24,用能设备节能分配!P:P,'Improvement in Eqpt Efficiency'!$A$1)</f>
        <v>15.591946682897902</v>
      </c>
      <c r="C24" s="73">
        <f>SUMIFS(工业节能技术装备推荐目录!K:K,工业节能技术装备推荐目录!D:D,'Improvement in Eqpt Efficiency'!A24,工业节能技术装备推荐目录!F:F,'Improvement in Eqpt Efficiency'!$A$1,工业节能技术装备推荐目录!A:A,"2020")+SUMIFS(用能设备节能分配!Q:Q,用能设备节能分配!O:O,'Improvement in Eqpt Efficiency'!A24,用能设备节能分配!P:P,'Improvement in Eqpt Efficiency'!$A$1,用能设备节能分配!M:M,"2020")</f>
        <v>0.2229937172018655</v>
      </c>
      <c r="D24" s="73">
        <f>SUMIFS(工业节能技术装备推荐目录!K:K,工业节能技术装备推荐目录!D:D,'Improvement in Eqpt Efficiency'!A24,工业节能技术装备推荐目录!F:F,'Improvement in Eqpt Efficiency'!$A$1,工业节能技术装备推荐目录!A:A,"2020")+SUMIFS(用能设备节能分配!Q:Q,用能设备节能分配!O:O,'Improvement in Eqpt Efficiency'!A24,用能设备节能分配!P:P,'Improvement in Eqpt Efficiency'!$A$1,用能设备节能分配!M:M,"2020")+SUMIFS(工业节能技术装备推荐目录!K:K,工业节能技术装备推荐目录!D:D,'Improvement in Eqpt Efficiency'!A24,工业节能技术装备推荐目录!F:F,'Improvement in Eqpt Efficiency'!$A$1,工业节能技术装备推荐目录!A:A,"2021")+SUMIFS(用能设备节能分配!Q:Q,用能设备节能分配!O:O,'Improvement in Eqpt Efficiency'!A24,用能设备节能分配!P:P,'Improvement in Eqpt Efficiency'!$A$1,用能设备节能分配!M:M,"2021")</f>
        <v>1.6821572352255538</v>
      </c>
      <c r="E24" s="73">
        <f>SUMIFS(工业节能技术装备推荐目录!K:K,工业节能技术装备推荐目录!D:D,'Improvement in Eqpt Efficiency'!A24,工业节能技术装备推荐目录!F:F,'Improvement in Eqpt Efficiency'!$A$1,工业节能技术装备推荐目录!A:A,"2020")+SUMIFS(用能设备节能分配!Q:Q,用能设备节能分配!O:O,'Improvement in Eqpt Efficiency'!A24,用能设备节能分配!P:P,'Improvement in Eqpt Efficiency'!$A$1,用能设备节能分配!M:M,"2020")+SUMIFS(工业节能技术装备推荐目录!K:K,工业节能技术装备推荐目录!D:D,'Improvement in Eqpt Efficiency'!A24,工业节能技术装备推荐目录!F:F,'Improvement in Eqpt Efficiency'!$A$1,工业节能技术装备推荐目录!A:A,"2021")+SUMIFS(用能设备节能分配!Q:Q,用能设备节能分配!O:O,'Improvement in Eqpt Efficiency'!A24,用能设备节能分配!P:P,'Improvement in Eqpt Efficiency'!$A$1,用能设备节能分配!M:M,"2021")+SUMIFS(工业节能技术装备推荐目录!K:K,工业节能技术装备推荐目录!D:D,'Improvement in Eqpt Efficiency'!A24,工业节能技术装备推荐目录!F:F,'Improvement in Eqpt Efficiency'!$A$1,工业节能技术装备推荐目录!A:A,"2022")+SUMIFS(用能设备节能分配!Q:Q,用能设备节能分配!O:O,'Improvement in Eqpt Efficiency'!A24,用能设备节能分配!P:P,'Improvement in Eqpt Efficiency'!$A$1,用能设备节能分配!M:M,"2022")</f>
        <v>1.9763850565335708</v>
      </c>
      <c r="F24" s="73">
        <f>SUMIFS(工业节能技术装备推荐目录!K:K,工业节能技术装备推荐目录!D:D,'Improvement in Eqpt Efficiency'!A24,工业节能技术装备推荐目录!F:F,'Improvement in Eqpt Efficiency'!$A$1,工业节能技术装备推荐目录!A:A,"2020")+SUMIFS(用能设备节能分配!Q:Q,用能设备节能分配!O:O,'Improvement in Eqpt Efficiency'!A24,用能设备节能分配!P:P,'Improvement in Eqpt Efficiency'!$A$1,用能设备节能分配!M:M,"2020")+SUMIFS(工业节能技术装备推荐目录!K:K,工业节能技术装备推荐目录!D:D,'Improvement in Eqpt Efficiency'!A24,工业节能技术装备推荐目录!F:F,'Improvement in Eqpt Efficiency'!$A$1,工业节能技术装备推荐目录!A:A,"2021")+SUMIFS(用能设备节能分配!Q:Q,用能设备节能分配!O:O,'Improvement in Eqpt Efficiency'!A24,用能设备节能分配!P:P,'Improvement in Eqpt Efficiency'!$A$1,用能设备节能分配!M:M,"2021")+SUMIFS(工业节能技术装备推荐目录!K:K,工业节能技术装备推荐目录!D:D,'Improvement in Eqpt Efficiency'!A24,工业节能技术装备推荐目录!F:F,'Improvement in Eqpt Efficiency'!$A$1,工业节能技术装备推荐目录!A:A,"2022")+SUMIFS(用能设备节能分配!Q:Q,用能设备节能分配!O:O,'Improvement in Eqpt Efficiency'!A24,用能设备节能分配!P:P,'Improvement in Eqpt Efficiency'!$A$1,用能设备节能分配!M:M,"2022")</f>
        <v>1.9763850565335708</v>
      </c>
      <c r="G24" s="73">
        <f>SUMIFS(工业节能技术装备推荐目录!K:K,工业节能技术装备推荐目录!D:D,'Improvement in Eqpt Efficiency'!A24,工业节能技术装备推荐目录!F:F,'Improvement in Eqpt Efficiency'!$A$1,工业节能技术装备推荐目录!A:A,"2020")+SUMIFS(用能设备节能分配!Q:Q,用能设备节能分配!O:O,'Improvement in Eqpt Efficiency'!A24,用能设备节能分配!P:P,'Improvement in Eqpt Efficiency'!$A$1,用能设备节能分配!M:M,"2020")+SUMIFS(工业节能技术装备推荐目录!K:K,工业节能技术装备推荐目录!D:D,'Improvement in Eqpt Efficiency'!A24,工业节能技术装备推荐目录!F:F,'Improvement in Eqpt Efficiency'!$A$1,工业节能技术装备推荐目录!A:A,"2022")+SUMIFS(用能设备节能分配!Q:Q,用能设备节能分配!O:O,'Improvement in Eqpt Efficiency'!A24,用能设备节能分配!P:P,'Improvement in Eqpt Efficiency'!$A$1,用能设备节能分配!M:M,"2022")</f>
        <v>0.51722153850988251</v>
      </c>
      <c r="H24" s="73">
        <f>SUMIFS(工业节能技术装备推荐目录!K:K,工业节能技术装备推荐目录!D:D,'Improvement in Eqpt Efficiency'!A24,工业节能技术装备推荐目录!F:F,'Improvement in Eqpt Efficiency'!$A$1,工业节能技术装备推荐目录!A:A,"2022")+SUMIFS(用能设备节能分配!Q:Q,用能设备节能分配!O:O,'Improvement in Eqpt Efficiency'!A24,用能设备节能分配!P:P,'Improvement in Eqpt Efficiency'!$A$1,用能设备节能分配!M:M,"2022")</f>
        <v>0.294227821308017</v>
      </c>
      <c r="I24" s="73">
        <f>SUMIFS(工业节能技术装备推荐目录!K:K,工业节能技术装备推荐目录!D:D,'Improvement in Eqpt Efficiency'!A24,工业节能技术装备推荐目录!F:F,'Improvement in Eqpt Efficiency'!$A$1,工业节能技术装备推荐目录!A:A,"2022")+SUMIFS(用能设备节能分配!Q:Q,用能设备节能分配!O:O,'Improvement in Eqpt Efficiency'!A24,用能设备节能分配!P:P,'Improvement in Eqpt Efficiency'!$A$1,用能设备节能分配!M:M,"2022")</f>
        <v>0.294227821308017</v>
      </c>
      <c r="K24" s="52"/>
      <c r="L24" s="26" t="s">
        <v>53</v>
      </c>
      <c r="M24" s="50">
        <f>SUMIFS(工业节能技术装备推荐目录!L:L,工业节能技术装备推荐目录!D:D,'Improvement in Eqpt Efficiency'!A24,工业节能技术装备推荐目录!F:F,'Improvement in Eqpt Efficiency'!$A$1)</f>
        <v>0</v>
      </c>
      <c r="N24" s="73">
        <f>SUMIFS(工业节能技术装备推荐目录!K:K,工业节能技术装备推荐目录!D:D,'Improvement in Eqpt Efficiency'!A24,工业节能技术装备推荐目录!F:F,'Improvement in Eqpt Efficiency'!$A$1,工业节能技术装备推荐目录!A:A,"2020")</f>
        <v>0</v>
      </c>
      <c r="O24" s="73">
        <f>SUMIFS(工业节能技术装备推荐目录!K:K,工业节能技术装备推荐目录!D:D,'Improvement in Eqpt Efficiency'!A24,工业节能技术装备推荐目录!F:F,'Improvement in Eqpt Efficiency'!$A$1,工业节能技术装备推荐目录!A:A,"2020")+SUMIFS(工业节能技术装备推荐目录!K:K,工业节能技术装备推荐目录!D:D,'Improvement in Eqpt Efficiency'!A24,工业节能技术装备推荐目录!F:F,'Improvement in Eqpt Efficiency'!$A$1,工业节能技术装备推荐目录!A:A,"2021")</f>
        <v>0</v>
      </c>
      <c r="P24" s="73">
        <f>SUMIFS(工业节能技术装备推荐目录!K:K,工业节能技术装备推荐目录!D:D,'Improvement in Eqpt Efficiency'!A24,工业节能技术装备推荐目录!F:F,'Improvement in Eqpt Efficiency'!$A$1,工业节能技术装备推荐目录!A:A,"2020")+SUMIFS(工业节能技术装备推荐目录!K:K,工业节能技术装备推荐目录!D:D,'Improvement in Eqpt Efficiency'!A24,工业节能技术装备推荐目录!F:F,'Improvement in Eqpt Efficiency'!$A$1,工业节能技术装备推荐目录!A:A,"2021")+SUMIFS(工业节能技术装备推荐目录!K:K,工业节能技术装备推荐目录!D:D,'Improvement in Eqpt Efficiency'!A24,工业节能技术装备推荐目录!F:F,'Improvement in Eqpt Efficiency'!$A$1,工业节能技术装备推荐目录!A:A,"2022")</f>
        <v>0</v>
      </c>
      <c r="Q24" s="73">
        <f>SUMIFS(工业节能技术装备推荐目录!K:K,工业节能技术装备推荐目录!D:D,'Improvement in Eqpt Efficiency'!A24,工业节能技术装备推荐目录!F:F,'Improvement in Eqpt Efficiency'!$A$1,工业节能技术装备推荐目录!A:A,"2020")+SUMIFS(工业节能技术装备推荐目录!K:K,工业节能技术装备推荐目录!D:D,'Improvement in Eqpt Efficiency'!A24,工业节能技术装备推荐目录!F:F,'Improvement in Eqpt Efficiency'!$A$1,工业节能技术装备推荐目录!A:A,"2021")+SUMIFS(工业节能技术装备推荐目录!K:K,工业节能技术装备推荐目录!D:D,'Improvement in Eqpt Efficiency'!A24,工业节能技术装备推荐目录!F:F,'Improvement in Eqpt Efficiency'!$A$1,工业节能技术装备推荐目录!A:A,"2022")</f>
        <v>0</v>
      </c>
      <c r="R24" s="73">
        <f>SUMIFS(工业节能技术装备推荐目录!K:K,工业节能技术装备推荐目录!D:D,'Improvement in Eqpt Efficiency'!A24,工业节能技术装备推荐目录!F:F,'Improvement in Eqpt Efficiency'!$A$1,工业节能技术装备推荐目录!A:A,"2020")+SUMIFS(工业节能技术装备推荐目录!K:K,工业节能技术装备推荐目录!D:D,'Improvement in Eqpt Efficiency'!A24,工业节能技术装备推荐目录!F:F,'Improvement in Eqpt Efficiency'!$A$1,工业节能技术装备推荐目录!A:A,"2022")</f>
        <v>0</v>
      </c>
      <c r="S24" s="73">
        <f>SUMIFS(工业节能技术装备推荐目录!K:K,工业节能技术装备推荐目录!D:D,'Improvement in Eqpt Efficiency'!A24,工业节能技术装备推荐目录!F:F,'Improvement in Eqpt Efficiency'!$A$1,工业节能技术装备推荐目录!A:A,"2022")</f>
        <v>0</v>
      </c>
      <c r="T24" s="73">
        <f>SUMIFS(工业节能技术装备推荐目录!K:K,工业节能技术装备推荐目录!D:D,'Improvement in Eqpt Efficiency'!A24,工业节能技术装备推荐目录!F:F,'Improvement in Eqpt Efficiency'!$A$1,工业节能技术装备推荐目录!A:A,"2022")</f>
        <v>0</v>
      </c>
    </row>
    <row r="25" spans="1:20" x14ac:dyDescent="0.15">
      <c r="A25" s="26" t="s">
        <v>76</v>
      </c>
      <c r="B25" s="50">
        <f>SUMIFS(工业节能技术装备推荐目录!L:L,工业节能技术装备推荐目录!D:D,'Improvement in Eqpt Efficiency'!A25,工业节能技术装备推荐目录!F:F,'Improvement in Eqpt Efficiency'!$A$1)+SUMIFS(用能设备节能分配!R:R,用能设备节能分配!O:O,'Improvement in Eqpt Efficiency'!A25,用能设备节能分配!P:P,'Improvement in Eqpt Efficiency'!$A$1)</f>
        <v>181.3476305909893</v>
      </c>
      <c r="C25" s="73">
        <f>SUMIFS(工业节能技术装备推荐目录!K:K,工业节能技术装备推荐目录!D:D,'Improvement in Eqpt Efficiency'!A25,工业节能技术装备推荐目录!F:F,'Improvement in Eqpt Efficiency'!$A$1,工业节能技术装备推荐目录!A:A,"2020")+SUMIFS(用能设备节能分配!Q:Q,用能设备节能分配!O:O,'Improvement in Eqpt Efficiency'!A25,用能设备节能分配!P:P,'Improvement in Eqpt Efficiency'!$A$1,用能设备节能分配!M:M,"2020")</f>
        <v>0.41412309484096149</v>
      </c>
      <c r="D25" s="73">
        <f>SUMIFS(工业节能技术装备推荐目录!K:K,工业节能技术装备推荐目录!D:D,'Improvement in Eqpt Efficiency'!A25,工业节能技术装备推荐目录!F:F,'Improvement in Eqpt Efficiency'!$A$1,工业节能技术装备推荐目录!A:A,"2020")+SUMIFS(用能设备节能分配!Q:Q,用能设备节能分配!O:O,'Improvement in Eqpt Efficiency'!A25,用能设备节能分配!P:P,'Improvement in Eqpt Efficiency'!$A$1,用能设备节能分配!M:M,"2020")+SUMIFS(工业节能技术装备推荐目录!K:K,工业节能技术装备推荐目录!D:D,'Improvement in Eqpt Efficiency'!A25,工业节能技术装备推荐目录!F:F,'Improvement in Eqpt Efficiency'!$A$1,工业节能技术装备推荐目录!A:A,"2021")+SUMIFS(用能设备节能分配!Q:Q,用能设备节能分配!O:O,'Improvement in Eqpt Efficiency'!A25,用能设备节能分配!P:P,'Improvement in Eqpt Efficiency'!$A$1,用能设备节能分配!M:M,"2021")</f>
        <v>47.763945234878996</v>
      </c>
      <c r="E25" s="73">
        <f>SUMIFS(工业节能技术装备推荐目录!K:K,工业节能技术装备推荐目录!D:D,'Improvement in Eqpt Efficiency'!A25,工业节能技术装备推荐目录!F:F,'Improvement in Eqpt Efficiency'!$A$1,工业节能技术装备推荐目录!A:A,"2020")+SUMIFS(用能设备节能分配!Q:Q,用能设备节能分配!O:O,'Improvement in Eqpt Efficiency'!A25,用能设备节能分配!P:P,'Improvement in Eqpt Efficiency'!$A$1,用能设备节能分配!M:M,"2020")+SUMIFS(工业节能技术装备推荐目录!K:K,工业节能技术装备推荐目录!D:D,'Improvement in Eqpt Efficiency'!A25,工业节能技术装备推荐目录!F:F,'Improvement in Eqpt Efficiency'!$A$1,工业节能技术装备推荐目录!A:A,"2021")+SUMIFS(用能设备节能分配!Q:Q,用能设备节能分配!O:O,'Improvement in Eqpt Efficiency'!A25,用能设备节能分配!P:P,'Improvement in Eqpt Efficiency'!$A$1,用能设备节能分配!M:M,"2021")+SUMIFS(工业节能技术装备推荐目录!K:K,工业节能技术装备推荐目录!D:D,'Improvement in Eqpt Efficiency'!A25,工业节能技术装备推荐目录!F:F,'Improvement in Eqpt Efficiency'!$A$1,工业节能技术装备推荐目录!A:A,"2022")+SUMIFS(用能设备节能分配!Q:Q,用能设备节能分配!O:O,'Improvement in Eqpt Efficiency'!A25,用能设备节能分配!P:P,'Improvement in Eqpt Efficiency'!$A$1,用能设备节能分配!M:M,"2022")</f>
        <v>48.310357651683042</v>
      </c>
      <c r="F25" s="73">
        <f>SUMIFS(工业节能技术装备推荐目录!K:K,工业节能技术装备推荐目录!D:D,'Improvement in Eqpt Efficiency'!A25,工业节能技术装备推荐目录!F:F,'Improvement in Eqpt Efficiency'!$A$1,工业节能技术装备推荐目录!A:A,"2020")+SUMIFS(用能设备节能分配!Q:Q,用能设备节能分配!O:O,'Improvement in Eqpt Efficiency'!A25,用能设备节能分配!P:P,'Improvement in Eqpt Efficiency'!$A$1,用能设备节能分配!M:M,"2020")+SUMIFS(工业节能技术装备推荐目录!K:K,工业节能技术装备推荐目录!D:D,'Improvement in Eqpt Efficiency'!A25,工业节能技术装备推荐目录!F:F,'Improvement in Eqpt Efficiency'!$A$1,工业节能技术装备推荐目录!A:A,"2021")+SUMIFS(用能设备节能分配!Q:Q,用能设备节能分配!O:O,'Improvement in Eqpt Efficiency'!A25,用能设备节能分配!P:P,'Improvement in Eqpt Efficiency'!$A$1,用能设备节能分配!M:M,"2021")+SUMIFS(工业节能技术装备推荐目录!K:K,工业节能技术装备推荐目录!D:D,'Improvement in Eqpt Efficiency'!A25,工业节能技术装备推荐目录!F:F,'Improvement in Eqpt Efficiency'!$A$1,工业节能技术装备推荐目录!A:A,"2022")+SUMIFS(用能设备节能分配!Q:Q,用能设备节能分配!O:O,'Improvement in Eqpt Efficiency'!A25,用能设备节能分配!P:P,'Improvement in Eqpt Efficiency'!$A$1,用能设备节能分配!M:M,"2022")</f>
        <v>48.310357651683042</v>
      </c>
      <c r="G25" s="73">
        <f>SUMIFS(工业节能技术装备推荐目录!K:K,工业节能技术装备推荐目录!D:D,'Improvement in Eqpt Efficiency'!A25,工业节能技术装备推荐目录!F:F,'Improvement in Eqpt Efficiency'!$A$1,工业节能技术装备推荐目录!A:A,"2020")+SUMIFS(用能设备节能分配!Q:Q,用能设备节能分配!O:O,'Improvement in Eqpt Efficiency'!A25,用能设备节能分配!P:P,'Improvement in Eqpt Efficiency'!$A$1,用能设备节能分配!M:M,"2020")+SUMIFS(工业节能技术装备推荐目录!K:K,工业节能技术装备推荐目录!D:D,'Improvement in Eqpt Efficiency'!A25,工业节能技术装备推荐目录!F:F,'Improvement in Eqpt Efficiency'!$A$1,工业节能技术装备推荐目录!A:A,"2022")+SUMIFS(用能设备节能分配!Q:Q,用能设备节能分配!O:O,'Improvement in Eqpt Efficiency'!A25,用能设备节能分配!P:P,'Improvement in Eqpt Efficiency'!$A$1,用能设备节能分配!M:M,"2022")</f>
        <v>0.96053551164500783</v>
      </c>
      <c r="H25" s="73">
        <f>SUMIFS(工业节能技术装备推荐目录!K:K,工业节能技术装备推荐目录!D:D,'Improvement in Eqpt Efficiency'!A25,工业节能技术装备推荐目录!F:F,'Improvement in Eqpt Efficiency'!$A$1,工业节能技术装备推荐目录!A:A,"2022")+SUMIFS(用能设备节能分配!Q:Q,用能设备节能分配!O:O,'Improvement in Eqpt Efficiency'!A25,用能设备节能分配!P:P,'Improvement in Eqpt Efficiency'!$A$1,用能设备节能分配!M:M,"2022")</f>
        <v>0.5464124168040464</v>
      </c>
      <c r="I25" s="73">
        <f>SUMIFS(工业节能技术装备推荐目录!K:K,工业节能技术装备推荐目录!D:D,'Improvement in Eqpt Efficiency'!A25,工业节能技术装备推荐目录!F:F,'Improvement in Eqpt Efficiency'!$A$1,工业节能技术装备推荐目录!A:A,"2022")+SUMIFS(用能设备节能分配!Q:Q,用能设备节能分配!O:O,'Improvement in Eqpt Efficiency'!A25,用能设备节能分配!P:P,'Improvement in Eqpt Efficiency'!$A$1,用能设备节能分配!M:M,"2022")</f>
        <v>0.5464124168040464</v>
      </c>
      <c r="K25" s="52"/>
      <c r="L25" s="26" t="s">
        <v>76</v>
      </c>
      <c r="M25" s="50">
        <f>SUMIFS(工业节能技术装备推荐目录!L:L,工业节能技术装备推荐目录!D:D,'Improvement in Eqpt Efficiency'!A25,工业节能技术装备推荐目录!F:F,'Improvement in Eqpt Efficiency'!$A$1)</f>
        <v>152.39172413793105</v>
      </c>
      <c r="N25" s="73">
        <f>SUMIFS(工业节能技术装备推荐目录!K:K,工业节能技术装备推荐目录!D:D,'Improvement in Eqpt Efficiency'!A25,工业节能技术装备推荐目录!F:F,'Improvement in Eqpt Efficiency'!$A$1,工业节能技术装备推荐目录!A:A,"2020")</f>
        <v>0</v>
      </c>
      <c r="O25" s="73">
        <f>SUMIFS(工业节能技术装备推荐目录!K:K,工业节能技术装备推荐目录!D:D,'Improvement in Eqpt Efficiency'!A25,工业节能技术装备推荐目录!F:F,'Improvement in Eqpt Efficiency'!$A$1,工业节能技术装备推荐目录!A:A,"2020")+SUMIFS(工业节能技术装备推荐目录!K:K,工业节能技术装备推荐目录!D:D,'Improvement in Eqpt Efficiency'!A25,工业节能技术装备推荐目录!F:F,'Improvement in Eqpt Efficiency'!$A$1,工业节能技术装备推荐目录!A:A,"2021")</f>
        <v>44.64</v>
      </c>
      <c r="P25" s="73">
        <f>SUMIFS(工业节能技术装备推荐目录!K:K,工业节能技术装备推荐目录!D:D,'Improvement in Eqpt Efficiency'!A25,工业节能技术装备推荐目录!F:F,'Improvement in Eqpt Efficiency'!$A$1,工业节能技术装备推荐目录!A:A,"2020")+SUMIFS(工业节能技术装备推荐目录!K:K,工业节能技术装备推荐目录!D:D,'Improvement in Eqpt Efficiency'!A25,工业节能技术装备推荐目录!F:F,'Improvement in Eqpt Efficiency'!$A$1,工业节能技术装备推荐目录!A:A,"2021")+SUMIFS(工业节能技术装备推荐目录!K:K,工业节能技术装备推荐目录!D:D,'Improvement in Eqpt Efficiency'!A25,工业节能技术装备推荐目录!F:F,'Improvement in Eqpt Efficiency'!$A$1,工业节能技术装备推荐目录!A:A,"2022")</f>
        <v>44.64</v>
      </c>
      <c r="Q25" s="73">
        <f>SUMIFS(工业节能技术装备推荐目录!K:K,工业节能技术装备推荐目录!D:D,'Improvement in Eqpt Efficiency'!A25,工业节能技术装备推荐目录!F:F,'Improvement in Eqpt Efficiency'!$A$1,工业节能技术装备推荐目录!A:A,"2020")+SUMIFS(工业节能技术装备推荐目录!K:K,工业节能技术装备推荐目录!D:D,'Improvement in Eqpt Efficiency'!A25,工业节能技术装备推荐目录!F:F,'Improvement in Eqpt Efficiency'!$A$1,工业节能技术装备推荐目录!A:A,"2021")+SUMIFS(工业节能技术装备推荐目录!K:K,工业节能技术装备推荐目录!D:D,'Improvement in Eqpt Efficiency'!A25,工业节能技术装备推荐目录!F:F,'Improvement in Eqpt Efficiency'!$A$1,工业节能技术装备推荐目录!A:A,"2022")</f>
        <v>44.64</v>
      </c>
      <c r="R25" s="73">
        <f>SUMIFS(工业节能技术装备推荐目录!K:K,工业节能技术装备推荐目录!D:D,'Improvement in Eqpt Efficiency'!A25,工业节能技术装备推荐目录!F:F,'Improvement in Eqpt Efficiency'!$A$1,工业节能技术装备推荐目录!A:A,"2020")+SUMIFS(工业节能技术装备推荐目录!K:K,工业节能技术装备推荐目录!D:D,'Improvement in Eqpt Efficiency'!A25,工业节能技术装备推荐目录!F:F,'Improvement in Eqpt Efficiency'!$A$1,工业节能技术装备推荐目录!A:A,"2022")</f>
        <v>0</v>
      </c>
      <c r="S25" s="73">
        <f>SUMIFS(工业节能技术装备推荐目录!K:K,工业节能技术装备推荐目录!D:D,'Improvement in Eqpt Efficiency'!A25,工业节能技术装备推荐目录!F:F,'Improvement in Eqpt Efficiency'!$A$1,工业节能技术装备推荐目录!A:A,"2022")</f>
        <v>0</v>
      </c>
      <c r="T25" s="73">
        <f>SUMIFS(工业节能技术装备推荐目录!K:K,工业节能技术装备推荐目录!D:D,'Improvement in Eqpt Efficiency'!A25,工业节能技术装备推荐目录!F:F,'Improvement in Eqpt Efficiency'!$A$1,工业节能技术装备推荐目录!A:A,"2022")</f>
        <v>0</v>
      </c>
    </row>
    <row r="26" spans="1:20" x14ac:dyDescent="0.15">
      <c r="A26" s="26" t="s">
        <v>83</v>
      </c>
      <c r="B26" s="50">
        <f>SUMIFS(工业节能技术装备推荐目录!L:L,工业节能技术装备推荐目录!D:D,'Improvement in Eqpt Efficiency'!A26,工业节能技术装备推荐目录!F:F,'Improvement in Eqpt Efficiency'!$A$1)+SUMIFS(用能设备节能分配!R:R,用能设备节能分配!O:O,'Improvement in Eqpt Efficiency'!A26,用能设备节能分配!P:P,'Improvement in Eqpt Efficiency'!$A$1)</f>
        <v>14.985679237413974</v>
      </c>
      <c r="C26" s="73">
        <f>SUMIFS(工业节能技术装备推荐目录!K:K,工业节能技术装备推荐目录!D:D,'Improvement in Eqpt Efficiency'!A26,工业节能技术装备推荐目录!F:F,'Improvement in Eqpt Efficiency'!$A$1,工业节能技术装备推荐目录!A:A,"2020")+SUMIFS(用能设备节能分配!Q:Q,用能设备节能分配!O:O,'Improvement in Eqpt Efficiency'!A26,用能设备节能分配!P:P,'Improvement in Eqpt Efficiency'!$A$1,用能设备节能分配!M:M,"2020")</f>
        <v>0.16698331250615364</v>
      </c>
      <c r="D26" s="73">
        <f>SUMIFS(工业节能技术装备推荐目录!K:K,工业节能技术装备推荐目录!D:D,'Improvement in Eqpt Efficiency'!A26,工业节能技术装备推荐目录!F:F,'Improvement in Eqpt Efficiency'!$A$1,工业节能技术装备推荐目录!A:A,"2020")+SUMIFS(用能设备节能分配!Q:Q,用能设备节能分配!O:O,'Improvement in Eqpt Efficiency'!A26,用能设备节能分配!P:P,'Improvement in Eqpt Efficiency'!$A$1,用能设备节能分配!M:M,"2020")+SUMIFS(工业节能技术装备推荐目录!K:K,工业节能技术装备推荐目录!D:D,'Improvement in Eqpt Efficiency'!A26,工业节能技术装备推荐目录!F:F,'Improvement in Eqpt Efficiency'!$A$1,工业节能技术装备推荐目录!A:A,"2021")+SUMIFS(用能设备节能分配!Q:Q,用能设备节能分配!O:O,'Improvement in Eqpt Efficiency'!A26,用能设备节能分配!P:P,'Improvement in Eqpt Efficiency'!$A$1,用能设备节能分配!M:M,"2021")</f>
        <v>1.2842301228561257</v>
      </c>
      <c r="E26" s="73">
        <f>SUMIFS(工业节能技术装备推荐目录!K:K,工业节能技术装备推荐目录!D:D,'Improvement in Eqpt Efficiency'!A26,工业节能技术装备推荐目录!F:F,'Improvement in Eqpt Efficiency'!$A$1,工业节能技术装备推荐目录!A:A,"2020")+SUMIFS(用能设备节能分配!Q:Q,用能设备节能分配!O:O,'Improvement in Eqpt Efficiency'!A26,用能设备节能分配!P:P,'Improvement in Eqpt Efficiency'!$A$1,用能设备节能分配!M:M,"2020")+SUMIFS(工业节能技术装备推荐目录!K:K,工业节能技术装备推荐目录!D:D,'Improvement in Eqpt Efficiency'!A26,工业节能技术装备推荐目录!F:F,'Improvement in Eqpt Efficiency'!$A$1,工业节能技术装备推荐目录!A:A,"2021")+SUMIFS(用能设备节能分配!Q:Q,用能设备节能分配!O:O,'Improvement in Eqpt Efficiency'!A26,用能设备节能分配!P:P,'Improvement in Eqpt Efficiency'!$A$1,用能设备节能分配!M:M,"2021")+SUMIFS(工业节能技术装备推荐目录!K:K,工业节能技术装备推荐目录!D:D,'Improvement in Eqpt Efficiency'!A26,工业节能技术装备推荐目录!F:F,'Improvement in Eqpt Efficiency'!$A$1,工业节能技术装备推荐目录!A:A,"2022")+SUMIFS(用能设备节能分配!Q:Q,用能设备节能分配!O:O,'Improvement in Eqpt Efficiency'!A26,用能设备节能分配!P:P,'Improvement in Eqpt Efficiency'!$A$1,用能设备节能分配!M:M,"2022")</f>
        <v>1.9671288389088959</v>
      </c>
      <c r="F26" s="73">
        <f>SUMIFS(工业节能技术装备推荐目录!K:K,工业节能技术装备推荐目录!D:D,'Improvement in Eqpt Efficiency'!A26,工业节能技术装备推荐目录!F:F,'Improvement in Eqpt Efficiency'!$A$1,工业节能技术装备推荐目录!A:A,"2020")+SUMIFS(用能设备节能分配!Q:Q,用能设备节能分配!O:O,'Improvement in Eqpt Efficiency'!A26,用能设备节能分配!P:P,'Improvement in Eqpt Efficiency'!$A$1,用能设备节能分配!M:M,"2020")+SUMIFS(工业节能技术装备推荐目录!K:K,工业节能技术装备推荐目录!D:D,'Improvement in Eqpt Efficiency'!A26,工业节能技术装备推荐目录!F:F,'Improvement in Eqpt Efficiency'!$A$1,工业节能技术装备推荐目录!A:A,"2021")+SUMIFS(用能设备节能分配!Q:Q,用能设备节能分配!O:O,'Improvement in Eqpt Efficiency'!A26,用能设备节能分配!P:P,'Improvement in Eqpt Efficiency'!$A$1,用能设备节能分配!M:M,"2021")+SUMIFS(工业节能技术装备推荐目录!K:K,工业节能技术装备推荐目录!D:D,'Improvement in Eqpt Efficiency'!A26,工业节能技术装备推荐目录!F:F,'Improvement in Eqpt Efficiency'!$A$1,工业节能技术装备推荐目录!A:A,"2022")+SUMIFS(用能设备节能分配!Q:Q,用能设备节能分配!O:O,'Improvement in Eqpt Efficiency'!A26,用能设备节能分配!P:P,'Improvement in Eqpt Efficiency'!$A$1,用能设备节能分配!M:M,"2022")</f>
        <v>1.9671288389088959</v>
      </c>
      <c r="G26" s="73">
        <f>SUMIFS(工业节能技术装备推荐目录!K:K,工业节能技术装备推荐目录!D:D,'Improvement in Eqpt Efficiency'!A26,工业节能技术装备推荐目录!F:F,'Improvement in Eqpt Efficiency'!$A$1,工业节能技术装备推荐目录!A:A,"2020")+SUMIFS(用能设备节能分配!Q:Q,用能设备节能分配!O:O,'Improvement in Eqpt Efficiency'!A26,用能设备节能分配!P:P,'Improvement in Eqpt Efficiency'!$A$1,用能设备节能分配!M:M,"2020")+SUMIFS(工业节能技术装备推荐目录!K:K,工业节能技术装备推荐目录!D:D,'Improvement in Eqpt Efficiency'!A26,工业节能技术装备推荐目录!F:F,'Improvement in Eqpt Efficiency'!$A$1,工业节能技术装备推荐目录!A:A,"2022")+SUMIFS(用能设备节能分配!Q:Q,用能设备节能分配!O:O,'Improvement in Eqpt Efficiency'!A26,用能设备节能分配!P:P,'Improvement in Eqpt Efficiency'!$A$1,用能设备节能分配!M:M,"2022")</f>
        <v>0.8498820285589237</v>
      </c>
      <c r="H26" s="73">
        <f>SUMIFS(工业节能技术装备推荐目录!K:K,工业节能技术装备推荐目录!D:D,'Improvement in Eqpt Efficiency'!A26,工业节能技术装备推荐目录!F:F,'Improvement in Eqpt Efficiency'!$A$1,工业节能技术装备推荐目录!A:A,"2022")+SUMIFS(用能设备节能分配!Q:Q,用能设备节能分配!O:O,'Improvement in Eqpt Efficiency'!A26,用能设备节能分配!P:P,'Improvement in Eqpt Efficiency'!$A$1,用能设备节能分配!M:M,"2022")</f>
        <v>0.68289871605277008</v>
      </c>
      <c r="I26" s="73">
        <f>SUMIFS(工业节能技术装备推荐目录!K:K,工业节能技术装备推荐目录!D:D,'Improvement in Eqpt Efficiency'!A26,工业节能技术装备推荐目录!F:F,'Improvement in Eqpt Efficiency'!$A$1,工业节能技术装备推荐目录!A:A,"2022")+SUMIFS(用能设备节能分配!Q:Q,用能设备节能分配!O:O,'Improvement in Eqpt Efficiency'!A26,用能设备节能分配!P:P,'Improvement in Eqpt Efficiency'!$A$1,用能设备节能分配!M:M,"2022")</f>
        <v>0.68289871605277008</v>
      </c>
      <c r="K26" s="52"/>
      <c r="L26" s="26" t="s">
        <v>83</v>
      </c>
      <c r="M26" s="50">
        <f>SUMIFS(工业节能技术装备推荐目录!L:L,工业节能技术装备推荐目录!D:D,'Improvement in Eqpt Efficiency'!A26,工业节能技术装备推荐目录!F:F,'Improvement in Eqpt Efficiency'!$A$1)</f>
        <v>0</v>
      </c>
      <c r="N26" s="73">
        <f>SUMIFS(工业节能技术装备推荐目录!K:K,工业节能技术装备推荐目录!D:D,'Improvement in Eqpt Efficiency'!A26,工业节能技术装备推荐目录!F:F,'Improvement in Eqpt Efficiency'!$A$1,工业节能技术装备推荐目录!A:A,"2020")</f>
        <v>0</v>
      </c>
      <c r="O26" s="73">
        <f>SUMIFS(工业节能技术装备推荐目录!K:K,工业节能技术装备推荐目录!D:D,'Improvement in Eqpt Efficiency'!A26,工业节能技术装备推荐目录!F:F,'Improvement in Eqpt Efficiency'!$A$1,工业节能技术装备推荐目录!A:A,"2020")+SUMIFS(工业节能技术装备推荐目录!K:K,工业节能技术装备推荐目录!D:D,'Improvement in Eqpt Efficiency'!A26,工业节能技术装备推荐目录!F:F,'Improvement in Eqpt Efficiency'!$A$1,工业节能技术装备推荐目录!A:A,"2021")</f>
        <v>0</v>
      </c>
      <c r="P26" s="73">
        <f>SUMIFS(工业节能技术装备推荐目录!K:K,工业节能技术装备推荐目录!D:D,'Improvement in Eqpt Efficiency'!A26,工业节能技术装备推荐目录!F:F,'Improvement in Eqpt Efficiency'!$A$1,工业节能技术装备推荐目录!A:A,"2020")+SUMIFS(工业节能技术装备推荐目录!K:K,工业节能技术装备推荐目录!D:D,'Improvement in Eqpt Efficiency'!A26,工业节能技术装备推荐目录!F:F,'Improvement in Eqpt Efficiency'!$A$1,工业节能技术装备推荐目录!A:A,"2021")+SUMIFS(工业节能技术装备推荐目录!K:K,工业节能技术装备推荐目录!D:D,'Improvement in Eqpt Efficiency'!A26,工业节能技术装备推荐目录!F:F,'Improvement in Eqpt Efficiency'!$A$1,工业节能技术装备推荐目录!A:A,"2022")</f>
        <v>0</v>
      </c>
      <c r="Q26" s="73">
        <f>SUMIFS(工业节能技术装备推荐目录!K:K,工业节能技术装备推荐目录!D:D,'Improvement in Eqpt Efficiency'!A26,工业节能技术装备推荐目录!F:F,'Improvement in Eqpt Efficiency'!$A$1,工业节能技术装备推荐目录!A:A,"2020")+SUMIFS(工业节能技术装备推荐目录!K:K,工业节能技术装备推荐目录!D:D,'Improvement in Eqpt Efficiency'!A26,工业节能技术装备推荐目录!F:F,'Improvement in Eqpt Efficiency'!$A$1,工业节能技术装备推荐目录!A:A,"2021")+SUMIFS(工业节能技术装备推荐目录!K:K,工业节能技术装备推荐目录!D:D,'Improvement in Eqpt Efficiency'!A26,工业节能技术装备推荐目录!F:F,'Improvement in Eqpt Efficiency'!$A$1,工业节能技术装备推荐目录!A:A,"2022")</f>
        <v>0</v>
      </c>
      <c r="R26" s="73">
        <f>SUMIFS(工业节能技术装备推荐目录!K:K,工业节能技术装备推荐目录!D:D,'Improvement in Eqpt Efficiency'!A26,工业节能技术装备推荐目录!F:F,'Improvement in Eqpt Efficiency'!$A$1,工业节能技术装备推荐目录!A:A,"2020")+SUMIFS(工业节能技术装备推荐目录!K:K,工业节能技术装备推荐目录!D:D,'Improvement in Eqpt Efficiency'!A26,工业节能技术装备推荐目录!F:F,'Improvement in Eqpt Efficiency'!$A$1,工业节能技术装备推荐目录!A:A,"2022")</f>
        <v>0</v>
      </c>
      <c r="S26" s="73">
        <f>SUMIFS(工业节能技术装备推荐目录!K:K,工业节能技术装备推荐目录!D:D,'Improvement in Eqpt Efficiency'!A26,工业节能技术装备推荐目录!F:F,'Improvement in Eqpt Efficiency'!$A$1,工业节能技术装备推荐目录!A:A,"2022")</f>
        <v>0</v>
      </c>
      <c r="T26" s="73">
        <f>SUMIFS(工业节能技术装备推荐目录!K:K,工业节能技术装备推荐目录!D:D,'Improvement in Eqpt Efficiency'!A26,工业节能技术装备推荐目录!F:F,'Improvement in Eqpt Efficiency'!$A$1,工业节能技术装备推荐目录!A:A,"2022")</f>
        <v>0</v>
      </c>
    </row>
    <row r="27" spans="1:20" x14ac:dyDescent="0.15">
      <c r="A27" s="26" t="s">
        <v>55</v>
      </c>
      <c r="B27" s="50">
        <f>SUMIFS(工业节能技术装备推荐目录!L:L,工业节能技术装备推荐目录!D:D,'Improvement in Eqpt Efficiency'!A27,工业节能技术装备推荐目录!F:F,'Improvement in Eqpt Efficiency'!$A$1)+SUMIFS(用能设备节能分配!R:R,用能设备节能分配!O:O,'Improvement in Eqpt Efficiency'!A27,用能设备节能分配!P:P,'Improvement in Eqpt Efficiency'!$A$1)</f>
        <v>60.133122739246559</v>
      </c>
      <c r="C27" s="73">
        <f>SUMIFS(工业节能技术装备推荐目录!K:K,工业节能技术装备推荐目录!D:D,'Improvement in Eqpt Efficiency'!A27,工业节能技术装备推荐目录!F:F,'Improvement in Eqpt Efficiency'!$A$1,工业节能技术装备推荐目录!A:A,"2020")+SUMIFS(用能设备节能分配!Q:Q,用能设备节能分配!O:O,'Improvement in Eqpt Efficiency'!A27,用能设备节能分配!P:P,'Improvement in Eqpt Efficiency'!$A$1,用能设备节能分配!M:M,"2020")</f>
        <v>0.86001503463891893</v>
      </c>
      <c r="D27" s="73">
        <f>SUMIFS(工业节能技术装备推荐目录!K:K,工业节能技术装备推荐目录!D:D,'Improvement in Eqpt Efficiency'!A27,工业节能技术装备推荐目录!F:F,'Improvement in Eqpt Efficiency'!$A$1,工业节能技术装备推荐目录!A:A,"2020")+SUMIFS(用能设备节能分配!Q:Q,用能设备节能分配!O:O,'Improvement in Eqpt Efficiency'!A27,用能设备节能分配!P:P,'Improvement in Eqpt Efficiency'!$A$1,用能设备节能分配!M:M,"2020")+SUMIFS(工业节能技术装备推荐目录!K:K,工业节能技术装备推荐目录!D:D,'Improvement in Eqpt Efficiency'!A27,工业节能技术装备推荐目录!F:F,'Improvement in Eqpt Efficiency'!$A$1,工业节能技术装备推荐目录!A:A,"2021")+SUMIFS(用能设备节能分配!Q:Q,用能设备节能分配!O:O,'Improvement in Eqpt Efficiency'!A27,用能设备节能分配!P:P,'Improvement in Eqpt Efficiency'!$A$1,用能设备节能分配!M:M,"2021")</f>
        <v>6.4875393400030301</v>
      </c>
      <c r="E27" s="73">
        <f>SUMIFS(工业节能技术装备推荐目录!K:K,工业节能技术装备推荐目录!D:D,'Improvement in Eqpt Efficiency'!A27,工业节能技术装备推荐目录!F:F,'Improvement in Eqpt Efficiency'!$A$1,工业节能技术装备推荐目录!A:A,"2020")+SUMIFS(用能设备节能分配!Q:Q,用能设备节能分配!O:O,'Improvement in Eqpt Efficiency'!A27,用能设备节能分配!P:P,'Improvement in Eqpt Efficiency'!$A$1,用能设备节能分配!M:M,"2020")+SUMIFS(工业节能技术装备推荐目录!K:K,工业节能技术装备推荐目录!D:D,'Improvement in Eqpt Efficiency'!A27,工业节能技术装备推荐目录!F:F,'Improvement in Eqpt Efficiency'!$A$1,工业节能技术装备推荐目录!A:A,"2021")+SUMIFS(用能设备节能分配!Q:Q,用能设备节能分配!O:O,'Improvement in Eqpt Efficiency'!A27,用能设备节能分配!P:P,'Improvement in Eqpt Efficiency'!$A$1,用能设备节能分配!M:M,"2021")+SUMIFS(工业节能技术装备推荐目录!K:K,工业节能技术装备推荐目录!D:D,'Improvement in Eqpt Efficiency'!A27,工业节能技术装备推荐目录!F:F,'Improvement in Eqpt Efficiency'!$A$1,工业节能技术装备推荐目录!A:A,"2022")+SUMIFS(用能设备节能分配!Q:Q,用能设备节能分配!O:O,'Improvement in Eqpt Efficiency'!A27,用能设备节能分配!P:P,'Improvement in Eqpt Efficiency'!$A$1,用能设备节能分配!M:M,"2022")</f>
        <v>7.6222813995960479</v>
      </c>
      <c r="F27" s="73">
        <f>SUMIFS(工业节能技术装备推荐目录!K:K,工业节能技术装备推荐目录!D:D,'Improvement in Eqpt Efficiency'!A27,工业节能技术装备推荐目录!F:F,'Improvement in Eqpt Efficiency'!$A$1,工业节能技术装备推荐目录!A:A,"2020")+SUMIFS(用能设备节能分配!Q:Q,用能设备节能分配!O:O,'Improvement in Eqpt Efficiency'!A27,用能设备节能分配!P:P,'Improvement in Eqpt Efficiency'!$A$1,用能设备节能分配!M:M,"2020")+SUMIFS(工业节能技术装备推荐目录!K:K,工业节能技术装备推荐目录!D:D,'Improvement in Eqpt Efficiency'!A27,工业节能技术装备推荐目录!F:F,'Improvement in Eqpt Efficiency'!$A$1,工业节能技术装备推荐目录!A:A,"2021")+SUMIFS(用能设备节能分配!Q:Q,用能设备节能分配!O:O,'Improvement in Eqpt Efficiency'!A27,用能设备节能分配!P:P,'Improvement in Eqpt Efficiency'!$A$1,用能设备节能分配!M:M,"2021")+SUMIFS(工业节能技术装备推荐目录!K:K,工业节能技术装备推荐目录!D:D,'Improvement in Eqpt Efficiency'!A27,工业节能技术装备推荐目录!F:F,'Improvement in Eqpt Efficiency'!$A$1,工业节能技术装备推荐目录!A:A,"2022")+SUMIFS(用能设备节能分配!Q:Q,用能设备节能分配!O:O,'Improvement in Eqpt Efficiency'!A27,用能设备节能分配!P:P,'Improvement in Eqpt Efficiency'!$A$1,用能设备节能分配!M:M,"2022")</f>
        <v>7.6222813995960479</v>
      </c>
      <c r="G27" s="73">
        <f>SUMIFS(工业节能技术装备推荐目录!K:K,工业节能技术装备推荐目录!D:D,'Improvement in Eqpt Efficiency'!A27,工业节能技术装备推荐目录!F:F,'Improvement in Eqpt Efficiency'!$A$1,工业节能技术装备推荐目录!A:A,"2020")+SUMIFS(用能设备节能分配!Q:Q,用能设备节能分配!O:O,'Improvement in Eqpt Efficiency'!A27,用能设备节能分配!P:P,'Improvement in Eqpt Efficiency'!$A$1,用能设备节能分配!M:M,"2020")+SUMIFS(工业节能技术装备推荐目录!K:K,工业节能技术装备推荐目录!D:D,'Improvement in Eqpt Efficiency'!A27,工业节能技术装备推荐目录!F:F,'Improvement in Eqpt Efficiency'!$A$1,工业节能技术装备推荐目录!A:A,"2022")+SUMIFS(用能设备节能分配!Q:Q,用能设备节能分配!O:O,'Improvement in Eqpt Efficiency'!A27,用能设备节能分配!P:P,'Improvement in Eqpt Efficiency'!$A$1,用能设备节能分配!M:M,"2022")</f>
        <v>1.9947570942319368</v>
      </c>
      <c r="H27" s="73">
        <f>SUMIFS(工业节能技术装备推荐目录!K:K,工业节能技术装备推荐目录!D:D,'Improvement in Eqpt Efficiency'!A27,工业节能技术装备推荐目录!F:F,'Improvement in Eqpt Efficiency'!$A$1,工业节能技术装备推荐目录!A:A,"2022")+SUMIFS(用能设备节能分配!Q:Q,用能设备节能分配!O:O,'Improvement in Eqpt Efficiency'!A27,用能设备节能分配!P:P,'Improvement in Eqpt Efficiency'!$A$1,用能设备节能分配!M:M,"2022")</f>
        <v>1.134742059593018</v>
      </c>
      <c r="I27" s="73">
        <f>SUMIFS(工业节能技术装备推荐目录!K:K,工业节能技术装备推荐目录!D:D,'Improvement in Eqpt Efficiency'!A27,工业节能技术装备推荐目录!F:F,'Improvement in Eqpt Efficiency'!$A$1,工业节能技术装备推荐目录!A:A,"2022")+SUMIFS(用能设备节能分配!Q:Q,用能设备节能分配!O:O,'Improvement in Eqpt Efficiency'!A27,用能设备节能分配!P:P,'Improvement in Eqpt Efficiency'!$A$1,用能设备节能分配!M:M,"2022")</f>
        <v>1.134742059593018</v>
      </c>
      <c r="K27" s="52"/>
      <c r="L27" s="26" t="s">
        <v>55</v>
      </c>
      <c r="M27" s="50">
        <f>SUMIFS(工业节能技术装备推荐目录!L:L,工业节能技术装备推荐目录!D:D,'Improvement in Eqpt Efficiency'!A27,工业节能技术装备推荐目录!F:F,'Improvement in Eqpt Efficiency'!$A$1)</f>
        <v>0</v>
      </c>
      <c r="N27" s="73">
        <f>SUMIFS(工业节能技术装备推荐目录!K:K,工业节能技术装备推荐目录!D:D,'Improvement in Eqpt Efficiency'!A27,工业节能技术装备推荐目录!F:F,'Improvement in Eqpt Efficiency'!$A$1,工业节能技术装备推荐目录!A:A,"2020")</f>
        <v>0</v>
      </c>
      <c r="O27" s="73">
        <f>SUMIFS(工业节能技术装备推荐目录!K:K,工业节能技术装备推荐目录!D:D,'Improvement in Eqpt Efficiency'!A27,工业节能技术装备推荐目录!F:F,'Improvement in Eqpt Efficiency'!$A$1,工业节能技术装备推荐目录!A:A,"2020")+SUMIFS(工业节能技术装备推荐目录!K:K,工业节能技术装备推荐目录!D:D,'Improvement in Eqpt Efficiency'!A27,工业节能技术装备推荐目录!F:F,'Improvement in Eqpt Efficiency'!$A$1,工业节能技术装备推荐目录!A:A,"2021")</f>
        <v>0</v>
      </c>
      <c r="P27" s="73">
        <f>SUMIFS(工业节能技术装备推荐目录!K:K,工业节能技术装备推荐目录!D:D,'Improvement in Eqpt Efficiency'!A27,工业节能技术装备推荐目录!F:F,'Improvement in Eqpt Efficiency'!$A$1,工业节能技术装备推荐目录!A:A,"2020")+SUMIFS(工业节能技术装备推荐目录!K:K,工业节能技术装备推荐目录!D:D,'Improvement in Eqpt Efficiency'!A27,工业节能技术装备推荐目录!F:F,'Improvement in Eqpt Efficiency'!$A$1,工业节能技术装备推荐目录!A:A,"2021")+SUMIFS(工业节能技术装备推荐目录!K:K,工业节能技术装备推荐目录!D:D,'Improvement in Eqpt Efficiency'!A27,工业节能技术装备推荐目录!F:F,'Improvement in Eqpt Efficiency'!$A$1,工业节能技术装备推荐目录!A:A,"2022")</f>
        <v>0</v>
      </c>
      <c r="Q27" s="73">
        <f>SUMIFS(工业节能技术装备推荐目录!K:K,工业节能技术装备推荐目录!D:D,'Improvement in Eqpt Efficiency'!A27,工业节能技术装备推荐目录!F:F,'Improvement in Eqpt Efficiency'!$A$1,工业节能技术装备推荐目录!A:A,"2020")+SUMIFS(工业节能技术装备推荐目录!K:K,工业节能技术装备推荐目录!D:D,'Improvement in Eqpt Efficiency'!A27,工业节能技术装备推荐目录!F:F,'Improvement in Eqpt Efficiency'!$A$1,工业节能技术装备推荐目录!A:A,"2021")+SUMIFS(工业节能技术装备推荐目录!K:K,工业节能技术装备推荐目录!D:D,'Improvement in Eqpt Efficiency'!A27,工业节能技术装备推荐目录!F:F,'Improvement in Eqpt Efficiency'!$A$1,工业节能技术装备推荐目录!A:A,"2022")</f>
        <v>0</v>
      </c>
      <c r="R27" s="73">
        <f>SUMIFS(工业节能技术装备推荐目录!K:K,工业节能技术装备推荐目录!D:D,'Improvement in Eqpt Efficiency'!A27,工业节能技术装备推荐目录!F:F,'Improvement in Eqpt Efficiency'!$A$1,工业节能技术装备推荐目录!A:A,"2020")+SUMIFS(工业节能技术装备推荐目录!K:K,工业节能技术装备推荐目录!D:D,'Improvement in Eqpt Efficiency'!A27,工业节能技术装备推荐目录!F:F,'Improvement in Eqpt Efficiency'!$A$1,工业节能技术装备推荐目录!A:A,"2022")</f>
        <v>0</v>
      </c>
      <c r="S27" s="73">
        <f>SUMIFS(工业节能技术装备推荐目录!K:K,工业节能技术装备推荐目录!D:D,'Improvement in Eqpt Efficiency'!A27,工业节能技术装备推荐目录!F:F,'Improvement in Eqpt Efficiency'!$A$1,工业节能技术装备推荐目录!A:A,"2022")</f>
        <v>0</v>
      </c>
      <c r="T27" s="73">
        <f>SUMIFS(工业节能技术装备推荐目录!K:K,工业节能技术装备推荐目录!D:D,'Improvement in Eqpt Efficiency'!A27,工业节能技术装备推荐目录!F:F,'Improvement in Eqpt Efficiency'!$A$1,工业节能技术装备推荐目录!A:A,"2022")</f>
        <v>0</v>
      </c>
    </row>
    <row r="28" spans="1:20" x14ac:dyDescent="0.15">
      <c r="A28" s="62" t="s">
        <v>444</v>
      </c>
      <c r="B28" s="63">
        <f>SUM(B3:B27)</f>
        <v>8283.8520320510124</v>
      </c>
      <c r="C28" s="74">
        <f>SUM(C3:C27)</f>
        <v>365.86419383884049</v>
      </c>
      <c r="D28" s="74">
        <f t="shared" ref="D28:I28" si="0">SUM(D3:D27)</f>
        <v>843.76312285763152</v>
      </c>
      <c r="E28" s="74">
        <f t="shared" si="0"/>
        <v>1146.5170613321607</v>
      </c>
      <c r="F28" s="74">
        <f t="shared" si="0"/>
        <v>1146.5170613321607</v>
      </c>
      <c r="G28" s="74">
        <f t="shared" si="0"/>
        <v>668.61813231336941</v>
      </c>
      <c r="H28" s="74">
        <f t="shared" si="0"/>
        <v>302.75393847452921</v>
      </c>
      <c r="I28" s="74">
        <f t="shared" si="0"/>
        <v>302.75393847452921</v>
      </c>
      <c r="L28" s="62" t="s">
        <v>444</v>
      </c>
      <c r="M28" s="63">
        <f>SUM(M3:M27)</f>
        <v>2615.7233908045969</v>
      </c>
      <c r="N28" s="74">
        <f>SUM(N3:N27)</f>
        <v>166.28</v>
      </c>
      <c r="O28" s="74">
        <f t="shared" ref="O28:T28" si="1">SUM(O3:O27)</f>
        <v>279.53999999999996</v>
      </c>
      <c r="P28" s="74">
        <f t="shared" si="1"/>
        <v>334.54</v>
      </c>
      <c r="Q28" s="74">
        <f t="shared" si="1"/>
        <v>334.54</v>
      </c>
      <c r="R28" s="74">
        <f t="shared" si="1"/>
        <v>221.28</v>
      </c>
      <c r="S28" s="74">
        <f t="shared" si="1"/>
        <v>55</v>
      </c>
      <c r="T28" s="74">
        <f t="shared" si="1"/>
        <v>55</v>
      </c>
    </row>
    <row r="31" spans="1:20" x14ac:dyDescent="0.15">
      <c r="A31" s="51" t="s">
        <v>103</v>
      </c>
      <c r="B31" s="51"/>
      <c r="C31" s="51"/>
      <c r="D31" s="51"/>
      <c r="E31" s="51"/>
      <c r="F31" s="51"/>
      <c r="G31" s="51"/>
      <c r="H31" s="51"/>
      <c r="I31" s="51"/>
    </row>
    <row r="32" spans="1:20" x14ac:dyDescent="0.15">
      <c r="A32" s="26" t="s">
        <v>384</v>
      </c>
      <c r="B32" s="46">
        <v>2060</v>
      </c>
      <c r="C32" s="20">
        <v>2021</v>
      </c>
      <c r="D32" s="20">
        <v>2022</v>
      </c>
      <c r="E32" s="20">
        <v>2023</v>
      </c>
      <c r="F32" s="20">
        <v>2024</v>
      </c>
      <c r="G32" s="20">
        <v>2025</v>
      </c>
      <c r="H32" s="20">
        <v>2026</v>
      </c>
      <c r="I32" s="20">
        <v>2027</v>
      </c>
    </row>
    <row r="33" spans="1:9" x14ac:dyDescent="0.15">
      <c r="A33" s="26" t="s">
        <v>99</v>
      </c>
      <c r="B33" s="87">
        <f>B3*$K$2/BIFUbC!AQ2</f>
        <v>5.1822734990700624E-3</v>
      </c>
      <c r="C33" s="59">
        <f>C3*$K$2/BIFUbC!D2</f>
        <v>1.1167867748347897E-4</v>
      </c>
      <c r="D33" s="59">
        <f>D3*$K$2/BIFUbC!E2</f>
        <v>8.0743986241826209E-4</v>
      </c>
      <c r="E33" s="59">
        <f>E3*$K$2/BIFUbC!F2</f>
        <v>1.1620076727318351E-3</v>
      </c>
      <c r="F33" s="59">
        <f>F3*$K$2/BIFUbC!G2</f>
        <v>1.1078689053067882E-3</v>
      </c>
      <c r="G33" s="59">
        <f>G3*$K$2/BIFUbC!H2</f>
        <v>4.7248575589332577E-4</v>
      </c>
      <c r="H33" s="59">
        <f>H3*$K$2/BIFUbC!I2</f>
        <v>3.5667432005197686E-4</v>
      </c>
      <c r="I33" s="59">
        <f>I3*$K$2/BIFUbC!J2</f>
        <v>3.425351562503069E-4</v>
      </c>
    </row>
    <row r="34" spans="1:9" x14ac:dyDescent="0.15">
      <c r="A34" s="26" t="s">
        <v>35</v>
      </c>
      <c r="B34" s="87">
        <f>B4*$K$2/BIFUbC!AQ3</f>
        <v>3.3653348301125027E-2</v>
      </c>
      <c r="C34" s="75">
        <f>C4*$K$2/BIFUbC!D3</f>
        <v>1.0840477640017485E-4</v>
      </c>
      <c r="D34" s="75">
        <f>D4*$K$2/BIFUbC!E3</f>
        <v>1.6553841803672233E-3</v>
      </c>
      <c r="E34" s="75">
        <f>E4*$K$2/BIFUbC!F3</f>
        <v>2.1392895883431389E-3</v>
      </c>
      <c r="F34" s="75">
        <f>F4*$K$2/BIFUbC!G3</f>
        <v>2.0347975661778937E-3</v>
      </c>
      <c r="G34" s="75">
        <f>G4*$K$2/BIFUbC!H3</f>
        <v>6.2818404173926661E-4</v>
      </c>
      <c r="H34" s="75">
        <f>H4*$K$2/BIFUbC!I3</f>
        <v>5.3472811452518116E-4</v>
      </c>
      <c r="I34" s="75">
        <f>I4*$K$2/BIFUbC!J3</f>
        <v>5.2633706115157858E-4</v>
      </c>
    </row>
    <row r="35" spans="1:9" x14ac:dyDescent="0.15">
      <c r="A35" s="26" t="s">
        <v>67</v>
      </c>
      <c r="B35" s="87">
        <f>B5*$K$2/BIFUbC!AQ4</f>
        <v>0.15279444094555453</v>
      </c>
      <c r="C35" s="75">
        <f>C5*$K$2/BIFUbC!D4</f>
        <v>3.7061142537254572E-2</v>
      </c>
      <c r="D35" s="75">
        <f>D5*$K$2/BIFUbC!E4</f>
        <v>3.4711745223394846E-2</v>
      </c>
      <c r="E35" s="75">
        <f>E5*$K$2/BIFUbC!F4</f>
        <v>3.1979005574175774E-2</v>
      </c>
      <c r="F35" s="75">
        <f>F5*$K$2/BIFUbC!G4</f>
        <v>3.0300506310169392E-2</v>
      </c>
      <c r="G35" s="75">
        <f>G5*$K$2/BIFUbC!H4</f>
        <v>2.8263653308037911E-2</v>
      </c>
      <c r="H35" s="75">
        <f>H5*$K$2/BIFUbC!I4</f>
        <v>3.2437011554082944E-4</v>
      </c>
      <c r="I35" s="75">
        <f>I5*$K$2/BIFUbC!J4</f>
        <v>3.1685694742137775E-4</v>
      </c>
    </row>
    <row r="36" spans="1:9" x14ac:dyDescent="0.15">
      <c r="A36" s="26" t="s">
        <v>100</v>
      </c>
      <c r="B36" s="87">
        <f>B6*$K$2/BIFUbC!AQ5</f>
        <v>1.0845917436859621E-2</v>
      </c>
      <c r="C36" s="75">
        <f>C6*$K$2/BIFUbC!D5</f>
        <v>1.0903913763267183E-4</v>
      </c>
      <c r="D36" s="75">
        <f>D6*$K$2/BIFUbC!E5</f>
        <v>7.6884354542532964E-4</v>
      </c>
      <c r="E36" s="75">
        <f>E6*$K$2/BIFUbC!F5</f>
        <v>1.0937328869529766E-3</v>
      </c>
      <c r="F36" s="75">
        <f>F6*$K$2/BIFUbC!G5</f>
        <v>1.0466840152283806E-3</v>
      </c>
      <c r="G36" s="75">
        <f>G6*$K$2/BIFUbC!H5</f>
        <v>4.3912293509731031E-4</v>
      </c>
      <c r="H36" s="75">
        <f>H6*$K$2/BIFUbC!I5</f>
        <v>3.4379203237152976E-4</v>
      </c>
      <c r="I36" s="75">
        <f>I6*$K$2/BIFUbC!J5</f>
        <v>3.3519722319740606E-4</v>
      </c>
    </row>
    <row r="37" spans="1:9" x14ac:dyDescent="0.15">
      <c r="A37" s="26" t="s">
        <v>101</v>
      </c>
      <c r="B37" s="87">
        <f>B7*$K$2/BIFUbC!AQ6</f>
        <v>7.8615723383137198E-3</v>
      </c>
      <c r="C37" s="75">
        <f>C7*$K$2/BIFUbC!D6</f>
        <v>6.0190184553366875E-4</v>
      </c>
      <c r="D37" s="75">
        <f>D7*$K$2/BIFUbC!E6</f>
        <v>1.2517453744531012E-3</v>
      </c>
      <c r="E37" s="75">
        <f>E7*$K$2/BIFUbC!F6</f>
        <v>1.4843959749541232E-3</v>
      </c>
      <c r="F37" s="75">
        <f>F7*$K$2/BIFUbC!G6</f>
        <v>1.4481084877291306E-3</v>
      </c>
      <c r="G37" s="75">
        <f>G7*$K$2/BIFUbC!H6</f>
        <v>7.8848524019643372E-4</v>
      </c>
      <c r="H37" s="75">
        <f>H7*$K$2/BIFUbC!I6</f>
        <v>2.5157313349520214E-4</v>
      </c>
      <c r="I37" s="75">
        <f>I7*$K$2/BIFUbC!J6</f>
        <v>2.4313193778633055E-4</v>
      </c>
    </row>
    <row r="38" spans="1:9" x14ac:dyDescent="0.15">
      <c r="A38" s="26" t="s">
        <v>72</v>
      </c>
      <c r="B38" s="87">
        <f>B8*$K$2/BIFUbC!AQ7</f>
        <v>1.3596532323947559E-2</v>
      </c>
      <c r="C38" s="75">
        <f>C8*$K$2/BIFUbC!D7</f>
        <v>6.3417551606806367E-4</v>
      </c>
      <c r="D38" s="75">
        <f>D8*$K$2/BIFUbC!E7</f>
        <v>1.3833782929874078E-3</v>
      </c>
      <c r="E38" s="75">
        <f>E8*$K$2/BIFUbC!F7</f>
        <v>1.6510756634439345E-3</v>
      </c>
      <c r="F38" s="75">
        <f>F8*$K$2/BIFUbC!G7</f>
        <v>1.6372967372852254E-3</v>
      </c>
      <c r="G38" s="75">
        <f>G8*$K$2/BIFUbC!H7</f>
        <v>9.1031559658077998E-4</v>
      </c>
      <c r="H38" s="75">
        <f>H8*$K$2/BIFUbC!I7</f>
        <v>2.966231917272816E-4</v>
      </c>
      <c r="I38" s="75">
        <f>I8*$K$2/BIFUbC!J7</f>
        <v>2.9270647226873047E-4</v>
      </c>
    </row>
    <row r="39" spans="1:9" x14ac:dyDescent="0.15">
      <c r="A39" s="26" t="s">
        <v>38</v>
      </c>
      <c r="B39" s="87">
        <f>B9*$K$2/BIFUbC!AQ8</f>
        <v>7.3251845136396328E-3</v>
      </c>
      <c r="C39" s="75">
        <f>C9*$K$2/BIFUbC!D8</f>
        <v>9.8570574362851496E-5</v>
      </c>
      <c r="D39" s="75">
        <f>D9*$K$2/BIFUbC!E8</f>
        <v>7.4907073410263004E-4</v>
      </c>
      <c r="E39" s="75">
        <f>E9*$K$2/BIFUbC!F8</f>
        <v>8.5449141865710744E-4</v>
      </c>
      <c r="F39" s="75">
        <f>F9*$K$2/BIFUbC!G8</f>
        <v>8.4521796498911931E-4</v>
      </c>
      <c r="G39" s="75">
        <f>G9*$K$2/BIFUbC!H8</f>
        <v>2.176240293175604E-4</v>
      </c>
      <c r="H39" s="75">
        <f>H9*$K$2/BIFUbC!I8</f>
        <v>1.2123807008553791E-4</v>
      </c>
      <c r="I39" s="75">
        <f>I9*$K$2/BIFUbC!J8</f>
        <v>1.1856725665139671E-4</v>
      </c>
    </row>
    <row r="40" spans="1:9" x14ac:dyDescent="0.15">
      <c r="A40" s="26" t="s">
        <v>68</v>
      </c>
      <c r="B40" s="87">
        <f>B10*$K$2/BIFUbC!AQ9</f>
        <v>0.13478375503036047</v>
      </c>
      <c r="C40" s="75">
        <f>C10*$K$2/BIFUbC!D9</f>
        <v>1.600889653793126E-2</v>
      </c>
      <c r="D40" s="75">
        <f>D10*$K$2/BIFUbC!E9</f>
        <v>1.5765115661448795E-2</v>
      </c>
      <c r="E40" s="75">
        <f>E10*$K$2/BIFUbC!F9</f>
        <v>1.480633380332249E-2</v>
      </c>
      <c r="F40" s="75">
        <f>F10*$K$2/BIFUbC!G9</f>
        <v>1.4176358751537511E-2</v>
      </c>
      <c r="G40" s="75">
        <f>G10*$K$2/BIFUbC!H9</f>
        <v>1.3007307707086697E-2</v>
      </c>
      <c r="H40" s="75">
        <f>H10*$K$2/BIFUbC!I9</f>
        <v>1.7202331355379856E-4</v>
      </c>
      <c r="I40" s="75">
        <f>I10*$K$2/BIFUbC!J9</f>
        <v>1.6770099675851488E-4</v>
      </c>
    </row>
    <row r="41" spans="1:9" x14ac:dyDescent="0.15">
      <c r="A41" s="26" t="s">
        <v>40</v>
      </c>
      <c r="B41" s="87">
        <f>B11*$K$2/BIFUbC!AQ10</f>
        <v>1.9820233503885735E-2</v>
      </c>
      <c r="C41" s="75">
        <f>C11*$K$2/BIFUbC!D10</f>
        <v>6.0463584352491502E-4</v>
      </c>
      <c r="D41" s="75">
        <f>D11*$K$2/BIFUbC!E10</f>
        <v>1.4790447553905117E-3</v>
      </c>
      <c r="E41" s="75">
        <f>E11*$K$2/BIFUbC!F10</f>
        <v>2.0395980081727811E-3</v>
      </c>
      <c r="F41" s="75">
        <f>F11*$K$2/BIFUbC!G10</f>
        <v>1.934088594746741E-3</v>
      </c>
      <c r="G41" s="75">
        <f>G11*$K$2/BIFUbC!H10</f>
        <v>1.0668321376722863E-3</v>
      </c>
      <c r="H41" s="75">
        <f>H11*$K$2/BIFUbC!I10</f>
        <v>5.7420360243853603E-4</v>
      </c>
      <c r="I41" s="75">
        <f>I11*$K$2/BIFUbC!J10</f>
        <v>5.6200382695185632E-4</v>
      </c>
    </row>
    <row r="42" spans="1:9" x14ac:dyDescent="0.15">
      <c r="A42" s="26" t="s">
        <v>41</v>
      </c>
      <c r="B42" s="87">
        <f>B12*$K$2/BIFUbC!AQ11</f>
        <v>9.3112226271586645E-3</v>
      </c>
      <c r="C42" s="75">
        <f>C12*$K$2/BIFUbC!D11</f>
        <v>7.455821812146783E-4</v>
      </c>
      <c r="D42" s="75">
        <f>D12*$K$2/BIFUbC!E11</f>
        <v>1.5265638062626275E-3</v>
      </c>
      <c r="E42" s="75">
        <f>E12*$K$2/BIFUbC!F11</f>
        <v>2.1006170796766164E-3</v>
      </c>
      <c r="F42" s="75">
        <f>F12*$K$2/BIFUbC!G11</f>
        <v>1.9758819770270791E-3</v>
      </c>
      <c r="G42" s="75">
        <f>G12*$K$2/BIFUbC!H11</f>
        <v>1.1781901671703255E-3</v>
      </c>
      <c r="H42" s="75">
        <f>H12*$K$2/BIFUbC!I11</f>
        <v>6.0634250948378128E-4</v>
      </c>
      <c r="I42" s="75">
        <f>I12*$K$2/BIFUbC!J11</f>
        <v>5.8562392720243502E-4</v>
      </c>
    </row>
    <row r="43" spans="1:9" x14ac:dyDescent="0.15">
      <c r="A43" s="26" t="s">
        <v>42</v>
      </c>
      <c r="B43" s="87">
        <f>B13*$K$2/BIFUbC!AQ12</f>
        <v>6.3010409679048768E-3</v>
      </c>
      <c r="C43" s="75">
        <f>C13*$K$2/BIFUbC!D12</f>
        <v>1.0284144839413484E-4</v>
      </c>
      <c r="D43" s="75">
        <f>D13*$K$2/BIFUbC!E12</f>
        <v>7.7784951310444083E-4</v>
      </c>
      <c r="E43" s="75">
        <f>E13*$K$2/BIFUbC!F12</f>
        <v>8.7885335462201694E-4</v>
      </c>
      <c r="F43" s="75">
        <f>F13*$K$2/BIFUbC!G12</f>
        <v>8.5077308649778363E-4</v>
      </c>
      <c r="G43" s="75">
        <f>G13*$K$2/BIFUbC!H12</f>
        <v>2.1407163739487872E-4</v>
      </c>
      <c r="H43" s="75">
        <f>H13*$K$2/BIFUbC!I12</f>
        <v>1.1738040906237167E-4</v>
      </c>
      <c r="I43" s="75">
        <f>I13*$K$2/BIFUbC!J12</f>
        <v>1.1386442175754906E-4</v>
      </c>
    </row>
    <row r="44" spans="1:9" x14ac:dyDescent="0.15">
      <c r="A44" s="26" t="s">
        <v>43</v>
      </c>
      <c r="B44" s="87">
        <f>B14*$K$2/BIFUbC!AQ13</f>
        <v>2.6548721868442206E-3</v>
      </c>
      <c r="C44" s="75">
        <f>C14*$K$2/BIFUbC!D13</f>
        <v>9.708714132669064E-5</v>
      </c>
      <c r="D44" s="75">
        <f>D14*$K$2/BIFUbC!E13</f>
        <v>6.9604979159968545E-4</v>
      </c>
      <c r="E44" s="75">
        <f>E14*$K$2/BIFUbC!F13</f>
        <v>7.7993607273653864E-4</v>
      </c>
      <c r="F44" s="75">
        <f>F14*$K$2/BIFUbC!G13</f>
        <v>7.400515622038845E-4</v>
      </c>
      <c r="G44" s="75">
        <f>G14*$K$2/BIFUbC!H13</f>
        <v>1.8187076156989134E-4</v>
      </c>
      <c r="H44" s="75">
        <f>H14*$K$2/BIFUbC!I13</f>
        <v>9.7674965189592394E-5</v>
      </c>
      <c r="I44" s="75">
        <f>I14*$K$2/BIFUbC!J13</f>
        <v>9.3061192109479104E-5</v>
      </c>
    </row>
    <row r="45" spans="1:9" x14ac:dyDescent="0.15">
      <c r="A45" s="26" t="s">
        <v>56</v>
      </c>
      <c r="B45" s="87">
        <f>B15*$K$2/BIFUbC!AQ14</f>
        <v>1.5490913316508235E-2</v>
      </c>
      <c r="C45" s="75">
        <f>C15*$K$2/BIFUbC!D14</f>
        <v>1.1260363447358517E-4</v>
      </c>
      <c r="D45" s="75">
        <f>D15*$K$2/BIFUbC!E14</f>
        <v>8.811815349849167E-4</v>
      </c>
      <c r="E45" s="75">
        <f>E15*$K$2/BIFUbC!F14</f>
        <v>1.0937407539406666E-3</v>
      </c>
      <c r="F45" s="75">
        <f>F15*$K$2/BIFUbC!G14</f>
        <v>1.0804021133045013E-3</v>
      </c>
      <c r="G45" s="75">
        <f>G15*$K$2/BIFUbC!H14</f>
        <v>3.4281500614403906E-4</v>
      </c>
      <c r="H45" s="75">
        <f>H15*$K$2/BIFUbC!I14</f>
        <v>2.355747447565777E-4</v>
      </c>
      <c r="I45" s="75">
        <f>I15*$K$2/BIFUbC!J14</f>
        <v>2.3272263636524756E-4</v>
      </c>
    </row>
    <row r="46" spans="1:9" x14ac:dyDescent="0.15">
      <c r="A46" s="26" t="s">
        <v>45</v>
      </c>
      <c r="B46" s="87">
        <f>B16*$K$2/BIFUbC!AQ15</f>
        <v>3.7739742122551219E-2</v>
      </c>
      <c r="C46" s="75">
        <f>C16*$K$2/BIFUbC!D15</f>
        <v>6.5342501135065296E-4</v>
      </c>
      <c r="D46" s="75">
        <f>D16*$K$2/BIFUbC!E15</f>
        <v>2.2118646956761929E-3</v>
      </c>
      <c r="E46" s="75">
        <f>E16*$K$2/BIFUbC!F15</f>
        <v>3.3199158983762212E-3</v>
      </c>
      <c r="F46" s="75">
        <f>F16*$K$2/BIFUbC!G15</f>
        <v>3.181779282477851E-3</v>
      </c>
      <c r="G46" s="75">
        <f>G16*$K$2/BIFUbC!H15</f>
        <v>1.6929008042663454E-3</v>
      </c>
      <c r="H46" s="75">
        <f>H16*$K$2/BIFUbC!I15</f>
        <v>1.1372438235323866E-3</v>
      </c>
      <c r="I46" s="75">
        <f>I16*$K$2/BIFUbC!J15</f>
        <v>1.1133545999570029E-3</v>
      </c>
    </row>
    <row r="47" spans="1:9" x14ac:dyDescent="0.15">
      <c r="A47" s="26" t="s">
        <v>46</v>
      </c>
      <c r="B47" s="87">
        <f>B17*$K$2/BIFUbC!AQ16</f>
        <v>8.2917921097890625E-3</v>
      </c>
      <c r="C47" s="75">
        <f>C17*$K$2/BIFUbC!D16</f>
        <v>1.4878109893395165E-4</v>
      </c>
      <c r="D47" s="75">
        <f>D17*$K$2/BIFUbC!E16</f>
        <v>8.6331565534342593E-4</v>
      </c>
      <c r="E47" s="75">
        <f>E17*$K$2/BIFUbC!F16</f>
        <v>1.0276769916218583E-3</v>
      </c>
      <c r="F47" s="75">
        <f>F17*$K$2/BIFUbC!G16</f>
        <v>9.6131196368587195E-4</v>
      </c>
      <c r="G47" s="75">
        <f>G17*$K$2/BIFUbC!H16</f>
        <v>3.273253388251679E-4</v>
      </c>
      <c r="H47" s="75">
        <f>H17*$K$2/BIFUbC!I16</f>
        <v>2.0844010181054746E-4</v>
      </c>
      <c r="I47" s="75">
        <f>I17*$K$2/BIFUbC!J16</f>
        <v>1.9872559075631189E-4</v>
      </c>
    </row>
    <row r="48" spans="1:9" x14ac:dyDescent="0.15">
      <c r="A48" s="26" t="s">
        <v>47</v>
      </c>
      <c r="B48" s="87">
        <f>B18*$K$2/BIFUbC!AQ17</f>
        <v>4.5392373494956588E-3</v>
      </c>
      <c r="C48" s="75">
        <f>C18*$K$2/BIFUbC!D17</f>
        <v>9.4241808183264026E-5</v>
      </c>
      <c r="D48" s="75">
        <f>D18*$K$2/BIFUbC!E17</f>
        <v>7.0278619083630959E-4</v>
      </c>
      <c r="E48" s="75">
        <f>E18*$K$2/BIFUbC!F17</f>
        <v>7.948488787585127E-4</v>
      </c>
      <c r="F48" s="75">
        <f>F18*$K$2/BIFUbC!G17</f>
        <v>7.7130342791992593E-4</v>
      </c>
      <c r="G48" s="75">
        <f>G18*$K$2/BIFUbC!H17</f>
        <v>1.9460669573359346E-4</v>
      </c>
      <c r="H48" s="75">
        <f>H18*$K$2/BIFUbC!I17</f>
        <v>1.0693284740166702E-4</v>
      </c>
      <c r="I48" s="75">
        <f>I18*$K$2/BIFUbC!J17</f>
        <v>1.0382159687430902E-4</v>
      </c>
    </row>
    <row r="49" spans="1:9" x14ac:dyDescent="0.15">
      <c r="A49" s="26" t="s">
        <v>48</v>
      </c>
      <c r="B49" s="87">
        <f>B19*$K$2/BIFUbC!AQ18</f>
        <v>2.0288113733589516E-3</v>
      </c>
      <c r="C49" s="75">
        <f>C19*$K$2/BIFUbC!D18</f>
        <v>9.461110346761858E-5</v>
      </c>
      <c r="D49" s="75">
        <f>D19*$K$2/BIFUbC!E18</f>
        <v>6.5381322301634633E-4</v>
      </c>
      <c r="E49" s="75">
        <f>E19*$K$2/BIFUbC!F18</f>
        <v>7.2934767694495526E-4</v>
      </c>
      <c r="F49" s="75">
        <f>F19*$K$2/BIFUbC!G18</f>
        <v>6.8572814908413992E-4</v>
      </c>
      <c r="G49" s="75">
        <f>G19*$K$2/BIFUbC!H18</f>
        <v>1.6708972497726787E-4</v>
      </c>
      <c r="H49" s="75">
        <f>H19*$K$2/BIFUbC!I18</f>
        <v>8.9410027505612818E-5</v>
      </c>
      <c r="I49" s="75">
        <f>I19*$K$2/BIFUbC!J18</f>
        <v>8.5198262061409716E-5</v>
      </c>
    </row>
    <row r="50" spans="1:9" x14ac:dyDescent="0.15">
      <c r="A50" s="26" t="s">
        <v>49</v>
      </c>
      <c r="B50" s="87">
        <f>B20*$K$2/BIFUbC!AQ19</f>
        <v>1.8955844073484259E-3</v>
      </c>
      <c r="C50" s="75">
        <f>C20*$K$2/BIFUbC!D19</f>
        <v>9.3596316346392349E-5</v>
      </c>
      <c r="D50" s="75">
        <f>D20*$K$2/BIFUbC!E19</f>
        <v>6.2125173944801385E-4</v>
      </c>
      <c r="E50" s="75">
        <f>E20*$K$2/BIFUbC!F19</f>
        <v>6.8999277018388255E-4</v>
      </c>
      <c r="F50" s="75">
        <f>F20*$K$2/BIFUbC!G19</f>
        <v>6.4144451842432129E-4</v>
      </c>
      <c r="G50" s="75">
        <f>G20*$K$2/BIFUbC!H19</f>
        <v>1.5390915945089412E-4</v>
      </c>
      <c r="H50" s="75">
        <f>H20*$K$2/BIFUbC!I19</f>
        <v>8.0966944839722259E-5</v>
      </c>
      <c r="I50" s="75">
        <f>I20*$K$2/BIFUbC!J19</f>
        <v>7.5843610730685383E-5</v>
      </c>
    </row>
    <row r="51" spans="1:9" x14ac:dyDescent="0.15">
      <c r="A51" s="26" t="s">
        <v>50</v>
      </c>
      <c r="B51" s="87">
        <f>B21*$K$2/BIFUbC!AQ20</f>
        <v>4.0258297574920117E-3</v>
      </c>
      <c r="C51" s="75">
        <f>C21*$K$2/BIFUbC!D20</f>
        <v>1.0061168793394173E-4</v>
      </c>
      <c r="D51" s="75">
        <f>D21*$K$2/BIFUbC!E20</f>
        <v>6.8756850370618597E-4</v>
      </c>
      <c r="E51" s="75">
        <f>E21*$K$2/BIFUbC!F20</f>
        <v>7.7822340439101295E-4</v>
      </c>
      <c r="F51" s="75">
        <f>F21*$K$2/BIFUbC!G20</f>
        <v>7.5569015162762934E-4</v>
      </c>
      <c r="G51" s="75">
        <f>G21*$K$2/BIFUbC!H20</f>
        <v>1.9034773411902653E-4</v>
      </c>
      <c r="H51" s="75">
        <f>H21*$K$2/BIFUbC!I20</f>
        <v>1.0400689176467372E-4</v>
      </c>
      <c r="I51" s="75">
        <f>I21*$K$2/BIFUbC!J20</f>
        <v>1.0007668031080462E-4</v>
      </c>
    </row>
    <row r="52" spans="1:9" x14ac:dyDescent="0.15">
      <c r="A52" s="26" t="s">
        <v>81</v>
      </c>
      <c r="B52" s="87">
        <f>B22*$K$2/BIFUbC!AQ21</f>
        <v>3.6138925560352128E-2</v>
      </c>
      <c r="C52" s="75">
        <f>C22*$K$2/BIFUbC!D21</f>
        <v>1.0691100900539247E-4</v>
      </c>
      <c r="D52" s="75">
        <f>D22*$K$2/BIFUbC!E21</f>
        <v>4.7937918898144577E-3</v>
      </c>
      <c r="E52" s="75">
        <f>E22*$K$2/BIFUbC!F21</f>
        <v>4.4435725683158577E-3</v>
      </c>
      <c r="F52" s="75">
        <f>F22*$K$2/BIFUbC!G21</f>
        <v>4.1821395821677338E-3</v>
      </c>
      <c r="G52" s="75">
        <f>G22*$K$2/BIFUbC!H21</f>
        <v>1.8078281626196773E-4</v>
      </c>
      <c r="H52" s="75">
        <f>H22*$K$2/BIFUbC!I21</f>
        <v>9.9910785820440603E-5</v>
      </c>
      <c r="I52" s="75">
        <f>I22*$K$2/BIFUbC!J21</f>
        <v>9.714496604414796E-5</v>
      </c>
    </row>
    <row r="53" spans="1:9" x14ac:dyDescent="0.15">
      <c r="A53" s="26" t="s">
        <v>71</v>
      </c>
      <c r="B53" s="87">
        <f>B23*$K$2/BIFUbC!AQ22</f>
        <v>0.11532362650582383</v>
      </c>
      <c r="C53" s="75">
        <f>C23*$K$2/BIFUbC!D22</f>
        <v>1.0084913638802838E-4</v>
      </c>
      <c r="D53" s="75">
        <f>D23*$K$2/BIFUbC!E22</f>
        <v>8.8381044353486038E-3</v>
      </c>
      <c r="E53" s="75">
        <f>E23*$K$2/BIFUbC!F22</f>
        <v>8.6701886533879606E-3</v>
      </c>
      <c r="F53" s="75">
        <f>F23*$K$2/BIFUbC!G22</f>
        <v>8.5038068839215532E-3</v>
      </c>
      <c r="G53" s="75">
        <f>G23*$K$2/BIFUbC!H22</f>
        <v>2.0826300418147573E-4</v>
      </c>
      <c r="H53" s="75">
        <f>H23*$K$2/BIFUbC!I22</f>
        <v>1.1569174039353484E-4</v>
      </c>
      <c r="I53" s="75">
        <f>I23*$K$2/BIFUbC!J22</f>
        <v>1.1333984784757792E-4</v>
      </c>
    </row>
    <row r="54" spans="1:9" x14ac:dyDescent="0.15">
      <c r="A54" s="26" t="s">
        <v>53</v>
      </c>
      <c r="B54" s="87">
        <f>B24*$K$2/BIFUbC!AQ23</f>
        <v>4.508858225879089E-3</v>
      </c>
      <c r="C54" s="75">
        <f>C24*$K$2/BIFUbC!D23</f>
        <v>9.7260088381038952E-5</v>
      </c>
      <c r="D54" s="75">
        <f>D24*$K$2/BIFUbC!E23</f>
        <v>7.3116671302874878E-4</v>
      </c>
      <c r="E54" s="75">
        <f>E24*$K$2/BIFUbC!F23</f>
        <v>8.2631461683759845E-4</v>
      </c>
      <c r="F54" s="75">
        <f>F24*$K$2/BIFUbC!G23</f>
        <v>8.0024952438654835E-4</v>
      </c>
      <c r="G54" s="75">
        <f>G24*$K$2/BIFUbC!H23</f>
        <v>2.0144105640892881E-4</v>
      </c>
      <c r="H54" s="75">
        <f>H24*$K$2/BIFUbC!I23</f>
        <v>1.1046518902069697E-4</v>
      </c>
      <c r="I54" s="75">
        <f>I24*$K$2/BIFUbC!J23</f>
        <v>1.0707298991351828E-4</v>
      </c>
    </row>
    <row r="55" spans="1:9" x14ac:dyDescent="0.15">
      <c r="A55" s="26" t="s">
        <v>76</v>
      </c>
      <c r="B55" s="87">
        <f>B25*$K$2/BIFUbC!AQ24</f>
        <v>6.2380537879849146E-3</v>
      </c>
      <c r="C55" s="75">
        <f>C25*$K$2/BIFUbC!D24</f>
        <v>9.2527574828751144E-5</v>
      </c>
      <c r="D55" s="75">
        <f>D25*$K$2/BIFUbC!E24</f>
        <v>9.8832877512711956E-3</v>
      </c>
      <c r="E55" s="75">
        <f>E25*$K$2/BIFUbC!F24</f>
        <v>9.52033244302798E-3</v>
      </c>
      <c r="F55" s="75">
        <f>F25*$K$2/BIFUbC!G24</f>
        <v>8.5667707009800271E-3</v>
      </c>
      <c r="G55" s="75">
        <f>G25*$K$2/BIFUbC!H24</f>
        <v>1.5030583338199464E-4</v>
      </c>
      <c r="H55" s="75">
        <f>H25*$K$2/BIFUbC!I24</f>
        <v>7.653786035446187E-5</v>
      </c>
      <c r="I55" s="75">
        <f>I25*$K$2/BIFUbC!J24</f>
        <v>6.9758229447473139E-5</v>
      </c>
    </row>
    <row r="56" spans="1:9" x14ac:dyDescent="0.15">
      <c r="A56" s="26" t="s">
        <v>83</v>
      </c>
      <c r="B56" s="87">
        <f>B26*$K$2/BIFUbC!AQ25</f>
        <v>1.5198859478254669E-3</v>
      </c>
      <c r="C56" s="75">
        <f>C26*$K$2/BIFUbC!D25</f>
        <v>9.2056197939709614E-5</v>
      </c>
      <c r="D56" s="75">
        <f>D26*$K$2/BIFUbC!E25</f>
        <v>6.198880178885695E-4</v>
      </c>
      <c r="E56" s="75">
        <f>E26*$K$2/BIFUbC!F25</f>
        <v>8.9533200001132307E-4</v>
      </c>
      <c r="F56" s="75">
        <f>F26*$K$2/BIFUbC!G25</f>
        <v>8.2679563064888041E-4</v>
      </c>
      <c r="G56" s="75">
        <f>G26*$K$2/BIFUbC!H25</f>
        <v>3.2440654887937935E-4</v>
      </c>
      <c r="H56" s="75">
        <f>H26*$K$2/BIFUbC!I25</f>
        <v>2.3841708832432224E-4</v>
      </c>
      <c r="I56" s="75">
        <f>I26*$K$2/BIFUbC!J25</f>
        <v>2.20689018837287E-4</v>
      </c>
    </row>
    <row r="57" spans="1:9" x14ac:dyDescent="0.15">
      <c r="A57" s="26" t="s">
        <v>55</v>
      </c>
      <c r="B57" s="87">
        <f>B27*$K$2/BIFUbC!AQ26</f>
        <v>3.6782468363404622E-3</v>
      </c>
      <c r="C57" s="75">
        <f>C27*$K$2/BIFUbC!D26</f>
        <v>1.0759963066285436E-4</v>
      </c>
      <c r="D57" s="75">
        <f>D27*$K$2/BIFUbC!E26</f>
        <v>7.9763127690782656E-4</v>
      </c>
      <c r="E57" s="75">
        <f>E27*$K$2/BIFUbC!F26</f>
        <v>8.8052385627511909E-4</v>
      </c>
      <c r="F57" s="75">
        <f>F27*$K$2/BIFUbC!G26</f>
        <v>8.3812940356434965E-4</v>
      </c>
      <c r="G57" s="75">
        <f>G27*$K$2/BIFUbC!H26</f>
        <v>2.1073474903991169E-4</v>
      </c>
      <c r="H57" s="75">
        <f>H27*$K$2/BIFUbC!I26</f>
        <v>1.13939730314077E-4</v>
      </c>
      <c r="I57" s="75">
        <f>I27*$K$2/BIFUbC!J26</f>
        <v>1.0928901093650468E-4</v>
      </c>
    </row>
    <row r="58" spans="1:9" x14ac:dyDescent="0.15">
      <c r="A58" s="62" t="s">
        <v>445</v>
      </c>
      <c r="B58" s="65">
        <f>B28*$K$2/SUM(BIFUbC!AQ3:AQ26)</f>
        <v>1.9179613102445058E-2</v>
      </c>
      <c r="C58" s="83">
        <f>C28*$K$2/SUM(BIFUbC!D2:D26)</f>
        <v>9.1332831449447054E-4</v>
      </c>
      <c r="D58" s="83">
        <f>D28*$K$2/SUM(BIFUbC!E2:E26)</f>
        <v>1.9833581122422135E-3</v>
      </c>
      <c r="E58" s="83">
        <f>E28*$K$2/SUM(BIFUbC!F2:F26)</f>
        <v>2.5204192555179365E-3</v>
      </c>
      <c r="F58" s="83">
        <f>F28*$K$2/SUM(BIFUbC!G2:G26)</f>
        <v>2.4002478981307008E-3</v>
      </c>
      <c r="G58" s="83">
        <f>G28*$K$2/SUM(BIFUbC!H2:H26)</f>
        <v>1.3352034149343524E-3</v>
      </c>
      <c r="H58" s="83">
        <f>H28*$K$2/SUM(BIFUbC!I2:I26)</f>
        <v>5.8785339512103967E-4</v>
      </c>
      <c r="I58" s="83">
        <f>I28*$K$2/SUM(BIFUbC!J2:J26)</f>
        <v>5.7250620559583536E-4</v>
      </c>
    </row>
    <row r="61" spans="1:9" x14ac:dyDescent="0.15">
      <c r="A61" s="51" t="s">
        <v>103</v>
      </c>
      <c r="B61" s="51"/>
      <c r="C61" s="51"/>
      <c r="D61" s="51"/>
      <c r="E61" s="51"/>
      <c r="F61" s="51"/>
      <c r="G61" s="51"/>
      <c r="H61" s="51"/>
      <c r="I61" s="51"/>
    </row>
    <row r="62" spans="1:9" x14ac:dyDescent="0.15">
      <c r="A62" s="26" t="s">
        <v>384</v>
      </c>
      <c r="B62" s="46">
        <v>2060</v>
      </c>
      <c r="C62" s="20">
        <v>2021</v>
      </c>
      <c r="D62" s="20">
        <v>2022</v>
      </c>
      <c r="E62" s="20">
        <v>2023</v>
      </c>
      <c r="F62" s="20">
        <v>2024</v>
      </c>
      <c r="G62" s="20">
        <v>2025</v>
      </c>
      <c r="H62" s="20">
        <v>2026</v>
      </c>
      <c r="I62" s="20">
        <v>2027</v>
      </c>
    </row>
    <row r="63" spans="1:9" x14ac:dyDescent="0.15">
      <c r="A63" s="26" t="s">
        <v>99</v>
      </c>
      <c r="B63" s="58">
        <v>1</v>
      </c>
      <c r="C63" s="86">
        <f>C33/$B33</f>
        <v>2.1550131907071144E-2</v>
      </c>
      <c r="D63" s="86">
        <f t="shared" ref="D63:I63" si="2">D33/$B33</f>
        <v>0.1558080372568437</v>
      </c>
      <c r="E63" s="86">
        <f t="shared" si="2"/>
        <v>0.22422739227104718</v>
      </c>
      <c r="F63" s="86">
        <f t="shared" si="2"/>
        <v>0.2137804779129451</v>
      </c>
      <c r="G63" s="86">
        <f t="shared" si="2"/>
        <v>9.117345041285671E-2</v>
      </c>
      <c r="H63" s="86">
        <f t="shared" si="2"/>
        <v>6.8825838720395702E-2</v>
      </c>
      <c r="I63" s="86">
        <f t="shared" si="2"/>
        <v>6.6097467899325149E-2</v>
      </c>
    </row>
    <row r="64" spans="1:9" x14ac:dyDescent="0.15">
      <c r="A64" s="26" t="s">
        <v>35</v>
      </c>
      <c r="B64" s="58">
        <v>1</v>
      </c>
      <c r="C64" s="86">
        <f t="shared" ref="C64:I86" si="3">C34/$B34</f>
        <v>3.2212181513169343E-3</v>
      </c>
      <c r="D64" s="86">
        <f t="shared" si="3"/>
        <v>4.9189286176076694E-2</v>
      </c>
      <c r="E64" s="86">
        <f t="shared" si="3"/>
        <v>6.3568402442488098E-2</v>
      </c>
      <c r="F64" s="86">
        <f t="shared" si="3"/>
        <v>6.0463450708406051E-2</v>
      </c>
      <c r="G64" s="86">
        <f t="shared" si="3"/>
        <v>1.8666316234520607E-2</v>
      </c>
      <c r="H64" s="86">
        <f t="shared" si="3"/>
        <v>1.5889299030233651E-2</v>
      </c>
      <c r="I64" s="86">
        <f t="shared" si="3"/>
        <v>1.563996118430757E-2</v>
      </c>
    </row>
    <row r="65" spans="1:9" x14ac:dyDescent="0.15">
      <c r="A65" s="26" t="s">
        <v>67</v>
      </c>
      <c r="B65" s="58">
        <v>1</v>
      </c>
      <c r="C65" s="86">
        <f t="shared" si="3"/>
        <v>0.24255556882766843</v>
      </c>
      <c r="D65" s="86">
        <f t="shared" si="3"/>
        <v>0.22717937255167375</v>
      </c>
      <c r="E65" s="86">
        <f t="shared" si="3"/>
        <v>0.20929430008236297</v>
      </c>
      <c r="F65" s="86">
        <f t="shared" si="3"/>
        <v>0.19830895759464454</v>
      </c>
      <c r="G65" s="86">
        <f t="shared" si="3"/>
        <v>0.18497828280355527</v>
      </c>
      <c r="H65" s="86">
        <f t="shared" si="3"/>
        <v>2.1229183047072552E-3</v>
      </c>
      <c r="I65" s="86">
        <f t="shared" si="3"/>
        <v>2.0737465673524333E-3</v>
      </c>
    </row>
    <row r="66" spans="1:9" x14ac:dyDescent="0.15">
      <c r="A66" s="26" t="s">
        <v>100</v>
      </c>
      <c r="B66" s="58">
        <v>1</v>
      </c>
      <c r="C66" s="86">
        <f t="shared" si="3"/>
        <v>1.0053472955833559E-2</v>
      </c>
      <c r="D66" s="86">
        <f t="shared" si="3"/>
        <v>7.0887829443771269E-2</v>
      </c>
      <c r="E66" s="86">
        <f t="shared" si="3"/>
        <v>0.10084281881364397</v>
      </c>
      <c r="F66" s="86">
        <f t="shared" si="3"/>
        <v>9.6504885024409931E-2</v>
      </c>
      <c r="G66" s="86">
        <f t="shared" si="3"/>
        <v>4.0487394234162276E-2</v>
      </c>
      <c r="H66" s="86">
        <f t="shared" si="3"/>
        <v>3.1697828641324505E-2</v>
      </c>
      <c r="I66" s="86">
        <f t="shared" si="3"/>
        <v>3.0905382154048616E-2</v>
      </c>
    </row>
    <row r="67" spans="1:9" x14ac:dyDescent="0.15">
      <c r="A67" s="26" t="s">
        <v>101</v>
      </c>
      <c r="B67" s="58">
        <v>1</v>
      </c>
      <c r="C67" s="86">
        <f t="shared" si="3"/>
        <v>7.6562527142347028E-2</v>
      </c>
      <c r="D67" s="86">
        <f t="shared" si="3"/>
        <v>0.15922328518846857</v>
      </c>
      <c r="E67" s="86">
        <f t="shared" si="3"/>
        <v>0.188816678276921</v>
      </c>
      <c r="F67" s="86">
        <f t="shared" si="3"/>
        <v>0.18420087298207635</v>
      </c>
      <c r="G67" s="86">
        <f t="shared" si="3"/>
        <v>0.10029612477820958</v>
      </c>
      <c r="H67" s="86">
        <f t="shared" si="3"/>
        <v>3.2000358537585337E-2</v>
      </c>
      <c r="I67" s="86">
        <f t="shared" si="3"/>
        <v>3.0926629855126606E-2</v>
      </c>
    </row>
    <row r="68" spans="1:9" x14ac:dyDescent="0.15">
      <c r="A68" s="26" t="s">
        <v>72</v>
      </c>
      <c r="B68" s="58">
        <v>1</v>
      </c>
      <c r="C68" s="86">
        <f t="shared" si="3"/>
        <v>4.6642445364623662E-2</v>
      </c>
      <c r="D68" s="86">
        <f t="shared" si="3"/>
        <v>0.10174493466623581</v>
      </c>
      <c r="E68" s="86">
        <f t="shared" si="3"/>
        <v>0.12143358498371651</v>
      </c>
      <c r="F68" s="86">
        <f t="shared" si="3"/>
        <v>0.12042017025189991</v>
      </c>
      <c r="G68" s="86">
        <f t="shared" si="3"/>
        <v>6.695204151263201E-2</v>
      </c>
      <c r="H68" s="86">
        <f t="shared" si="3"/>
        <v>2.1816091387128131E-2</v>
      </c>
      <c r="I68" s="86">
        <f t="shared" si="3"/>
        <v>2.1528023858935475E-2</v>
      </c>
    </row>
    <row r="69" spans="1:9" x14ac:dyDescent="0.15">
      <c r="A69" s="26" t="s">
        <v>38</v>
      </c>
      <c r="B69" s="58">
        <v>1</v>
      </c>
      <c r="C69" s="86">
        <f t="shared" si="3"/>
        <v>1.345639474054356E-2</v>
      </c>
      <c r="D69" s="86">
        <f t="shared" si="3"/>
        <v>0.10225964038282533</v>
      </c>
      <c r="E69" s="86">
        <f t="shared" si="3"/>
        <v>0.11665118019430476</v>
      </c>
      <c r="F69" s="86">
        <f t="shared" si="3"/>
        <v>0.11538521158276729</v>
      </c>
      <c r="G69" s="86">
        <f t="shared" si="3"/>
        <v>2.9709016737031035E-2</v>
      </c>
      <c r="H69" s="86">
        <f t="shared" si="3"/>
        <v>1.6550855457605242E-2</v>
      </c>
      <c r="I69" s="86">
        <f t="shared" si="3"/>
        <v>1.6186248473416914E-2</v>
      </c>
    </row>
    <row r="70" spans="1:9" x14ac:dyDescent="0.15">
      <c r="A70" s="26" t="s">
        <v>68</v>
      </c>
      <c r="B70" s="58">
        <v>1</v>
      </c>
      <c r="C70" s="86">
        <f t="shared" si="3"/>
        <v>0.11877467380490479</v>
      </c>
      <c r="D70" s="86">
        <f t="shared" si="3"/>
        <v>0.11696599236234109</v>
      </c>
      <c r="E70" s="86">
        <f t="shared" si="3"/>
        <v>0.10985251004460675</v>
      </c>
      <c r="F70" s="86">
        <f t="shared" si="3"/>
        <v>0.10517854134828222</v>
      </c>
      <c r="G70" s="86">
        <f t="shared" si="3"/>
        <v>9.6505010593871343E-2</v>
      </c>
      <c r="H70" s="86">
        <f t="shared" si="3"/>
        <v>1.2762911488483886E-3</v>
      </c>
      <c r="I70" s="86">
        <f t="shared" si="3"/>
        <v>1.2442226195637574E-3</v>
      </c>
    </row>
    <row r="71" spans="1:9" x14ac:dyDescent="0.15">
      <c r="A71" s="26" t="s">
        <v>40</v>
      </c>
      <c r="B71" s="58">
        <v>1</v>
      </c>
      <c r="C71" s="86">
        <f t="shared" si="3"/>
        <v>3.0505989922186175E-2</v>
      </c>
      <c r="D71" s="86">
        <f t="shared" si="3"/>
        <v>7.4622973291437092E-2</v>
      </c>
      <c r="E71" s="86">
        <f t="shared" si="3"/>
        <v>0.1029048425576278</v>
      </c>
      <c r="F71" s="86">
        <f t="shared" si="3"/>
        <v>9.7581524171628201E-2</v>
      </c>
      <c r="G71" s="86">
        <f t="shared" si="3"/>
        <v>5.3825407125659495E-2</v>
      </c>
      <c r="H71" s="86">
        <f t="shared" si="3"/>
        <v>2.8970577078517468E-2</v>
      </c>
      <c r="I71" s="86">
        <f t="shared" si="3"/>
        <v>2.8355055798998337E-2</v>
      </c>
    </row>
    <row r="72" spans="1:9" x14ac:dyDescent="0.15">
      <c r="A72" s="26" t="s">
        <v>41</v>
      </c>
      <c r="B72" s="58">
        <v>1</v>
      </c>
      <c r="C72" s="86">
        <f t="shared" si="3"/>
        <v>8.0073499589623065E-2</v>
      </c>
      <c r="D72" s="86">
        <f t="shared" si="3"/>
        <v>0.16394880322268279</v>
      </c>
      <c r="E72" s="86">
        <f t="shared" si="3"/>
        <v>0.22560056437160103</v>
      </c>
      <c r="F72" s="86">
        <f t="shared" si="3"/>
        <v>0.21220435340724131</v>
      </c>
      <c r="G72" s="86">
        <f t="shared" si="3"/>
        <v>0.12653442134804291</v>
      </c>
      <c r="H72" s="86">
        <f t="shared" si="3"/>
        <v>6.5119537332854832E-2</v>
      </c>
      <c r="I72" s="86">
        <f t="shared" si="3"/>
        <v>6.2894417913959721E-2</v>
      </c>
    </row>
    <row r="73" spans="1:9" x14ac:dyDescent="0.15">
      <c r="A73" s="26" t="s">
        <v>42</v>
      </c>
      <c r="B73" s="58">
        <v>1</v>
      </c>
      <c r="C73" s="86">
        <f t="shared" si="3"/>
        <v>1.6321342603225458E-2</v>
      </c>
      <c r="D73" s="86">
        <f t="shared" si="3"/>
        <v>0.12344777903627552</v>
      </c>
      <c r="E73" s="86">
        <f t="shared" si="3"/>
        <v>0.13947748619610062</v>
      </c>
      <c r="F73" s="86">
        <f t="shared" si="3"/>
        <v>0.1350210371320073</v>
      </c>
      <c r="G73" s="86">
        <f t="shared" si="3"/>
        <v>3.3974011355469486E-2</v>
      </c>
      <c r="H73" s="86">
        <f t="shared" si="3"/>
        <v>1.8628732880846696E-2</v>
      </c>
      <c r="I73" s="86">
        <f t="shared" si="3"/>
        <v>1.8070731858042411E-2</v>
      </c>
    </row>
    <row r="74" spans="1:9" x14ac:dyDescent="0.15">
      <c r="A74" s="26" t="s">
        <v>43</v>
      </c>
      <c r="B74" s="58">
        <v>1</v>
      </c>
      <c r="C74" s="86">
        <f t="shared" si="3"/>
        <v>3.6569421988670449E-2</v>
      </c>
      <c r="D74" s="86">
        <f t="shared" si="3"/>
        <v>0.26217826795912996</v>
      </c>
      <c r="E74" s="86">
        <f t="shared" si="3"/>
        <v>0.29377537517677221</v>
      </c>
      <c r="F74" s="86">
        <f t="shared" si="3"/>
        <v>0.27875223744144351</v>
      </c>
      <c r="G74" s="86">
        <f t="shared" si="3"/>
        <v>6.8504526308694552E-2</v>
      </c>
      <c r="H74" s="86">
        <f t="shared" si="3"/>
        <v>3.6790835232522495E-2</v>
      </c>
      <c r="I74" s="86">
        <f t="shared" si="3"/>
        <v>3.5052983932947292E-2</v>
      </c>
    </row>
    <row r="75" spans="1:9" x14ac:dyDescent="0.15">
      <c r="A75" s="26" t="s">
        <v>56</v>
      </c>
      <c r="B75" s="58">
        <v>1</v>
      </c>
      <c r="C75" s="86">
        <f t="shared" si="3"/>
        <v>7.2690119796607871E-3</v>
      </c>
      <c r="D75" s="86">
        <f t="shared" si="3"/>
        <v>5.6883769018697308E-2</v>
      </c>
      <c r="E75" s="86">
        <f t="shared" si="3"/>
        <v>7.0605311100353105E-2</v>
      </c>
      <c r="F75" s="86">
        <f t="shared" si="3"/>
        <v>6.9744248852851479E-2</v>
      </c>
      <c r="G75" s="86">
        <f t="shared" si="3"/>
        <v>2.2130070651077149E-2</v>
      </c>
      <c r="H75" s="86">
        <f t="shared" si="3"/>
        <v>1.5207285712814121E-2</v>
      </c>
      <c r="I75" s="86">
        <f t="shared" si="3"/>
        <v>1.5023170784723296E-2</v>
      </c>
    </row>
    <row r="76" spans="1:9" x14ac:dyDescent="0.15">
      <c r="A76" s="26" t="s">
        <v>45</v>
      </c>
      <c r="B76" s="58">
        <v>1</v>
      </c>
      <c r="C76" s="86">
        <f t="shared" si="3"/>
        <v>1.7313976582797097E-2</v>
      </c>
      <c r="D76" s="86">
        <f t="shared" si="3"/>
        <v>5.8608368030011064E-2</v>
      </c>
      <c r="E76" s="86">
        <f t="shared" si="3"/>
        <v>8.7968695906706265E-2</v>
      </c>
      <c r="F76" s="86">
        <f t="shared" si="3"/>
        <v>8.430845319890494E-2</v>
      </c>
      <c r="G76" s="86">
        <f t="shared" si="3"/>
        <v>4.4857243559562103E-2</v>
      </c>
      <c r="H76" s="86">
        <f t="shared" si="3"/>
        <v>3.0133852527117071E-2</v>
      </c>
      <c r="I76" s="86">
        <f t="shared" si="3"/>
        <v>2.9500853406513414E-2</v>
      </c>
    </row>
    <row r="77" spans="1:9" x14ac:dyDescent="0.15">
      <c r="A77" s="26" t="s">
        <v>46</v>
      </c>
      <c r="B77" s="58">
        <v>1</v>
      </c>
      <c r="C77" s="86">
        <f t="shared" si="3"/>
        <v>1.7943177658579352E-2</v>
      </c>
      <c r="D77" s="86">
        <f t="shared" si="3"/>
        <v>0.10411689583054297</v>
      </c>
      <c r="E77" s="86">
        <f t="shared" si="3"/>
        <v>0.12393906866147923</v>
      </c>
      <c r="F77" s="86">
        <f t="shared" si="3"/>
        <v>0.11593536728338538</v>
      </c>
      <c r="G77" s="86">
        <f t="shared" si="3"/>
        <v>3.9475825550273576E-2</v>
      </c>
      <c r="H77" s="86">
        <f t="shared" si="3"/>
        <v>2.513812443084153E-2</v>
      </c>
      <c r="I77" s="86">
        <f t="shared" si="3"/>
        <v>2.3966542832363331E-2</v>
      </c>
    </row>
    <row r="78" spans="1:9" x14ac:dyDescent="0.15">
      <c r="A78" s="26" t="s">
        <v>47</v>
      </c>
      <c r="B78" s="58">
        <v>1</v>
      </c>
      <c r="C78" s="86">
        <f t="shared" si="3"/>
        <v>2.0761595159533783E-2</v>
      </c>
      <c r="D78" s="86">
        <f t="shared" si="3"/>
        <v>0.15482472863297048</v>
      </c>
      <c r="E78" s="86">
        <f t="shared" si="3"/>
        <v>0.17510626071289839</v>
      </c>
      <c r="F78" s="86">
        <f t="shared" si="3"/>
        <v>0.16991916670883561</v>
      </c>
      <c r="G78" s="86">
        <f t="shared" si="3"/>
        <v>4.2872112813227455E-2</v>
      </c>
      <c r="H78" s="86">
        <f t="shared" si="3"/>
        <v>2.3557447907752174E-2</v>
      </c>
      <c r="I78" s="86">
        <f t="shared" si="3"/>
        <v>2.2872035295938939E-2</v>
      </c>
    </row>
    <row r="79" spans="1:9" x14ac:dyDescent="0.15">
      <c r="A79" s="26" t="s">
        <v>48</v>
      </c>
      <c r="B79" s="58">
        <v>1</v>
      </c>
      <c r="C79" s="86">
        <f t="shared" si="3"/>
        <v>4.663376039290338E-2</v>
      </c>
      <c r="D79" s="86">
        <f t="shared" si="3"/>
        <v>0.32226417477829722</v>
      </c>
      <c r="E79" s="86">
        <f t="shared" si="3"/>
        <v>0.35949506520038321</v>
      </c>
      <c r="F79" s="86">
        <f t="shared" si="3"/>
        <v>0.33799502412529903</v>
      </c>
      <c r="G79" s="86">
        <f t="shared" si="3"/>
        <v>8.235843271157825E-2</v>
      </c>
      <c r="H79" s="86">
        <f t="shared" si="3"/>
        <v>4.4070152937669763E-2</v>
      </c>
      <c r="I79" s="86">
        <f t="shared" si="3"/>
        <v>4.1994176087623812E-2</v>
      </c>
    </row>
    <row r="80" spans="1:9" x14ac:dyDescent="0.15">
      <c r="A80" s="26" t="s">
        <v>49</v>
      </c>
      <c r="B80" s="58">
        <v>1</v>
      </c>
      <c r="C80" s="86">
        <f t="shared" si="3"/>
        <v>4.93759686899495E-2</v>
      </c>
      <c r="D80" s="86">
        <f t="shared" si="3"/>
        <v>0.3277362575043708</v>
      </c>
      <c r="E80" s="86">
        <f t="shared" si="3"/>
        <v>0.36400002421894556</v>
      </c>
      <c r="F80" s="86">
        <f t="shared" si="3"/>
        <v>0.33838879236276492</v>
      </c>
      <c r="G80" s="86">
        <f t="shared" si="3"/>
        <v>8.1193514176551351E-2</v>
      </c>
      <c r="H80" s="86">
        <f t="shared" si="3"/>
        <v>4.2713447381106141E-2</v>
      </c>
      <c r="I80" s="86">
        <f t="shared" si="3"/>
        <v>4.0010674511074214E-2</v>
      </c>
    </row>
    <row r="81" spans="1:9" x14ac:dyDescent="0.15">
      <c r="A81" s="26" t="s">
        <v>50</v>
      </c>
      <c r="B81" s="58">
        <v>1</v>
      </c>
      <c r="C81" s="86">
        <f t="shared" si="3"/>
        <v>2.4991540625061162E-2</v>
      </c>
      <c r="D81" s="86">
        <f t="shared" si="3"/>
        <v>0.17078926460480123</v>
      </c>
      <c r="E81" s="86">
        <f t="shared" si="3"/>
        <v>0.19330757912521024</v>
      </c>
      <c r="F81" s="86">
        <f t="shared" si="3"/>
        <v>0.18771040931904803</v>
      </c>
      <c r="G81" s="86">
        <f t="shared" si="3"/>
        <v>4.7281615365078994E-2</v>
      </c>
      <c r="H81" s="86">
        <f t="shared" si="3"/>
        <v>2.5834895668680073E-2</v>
      </c>
      <c r="I81" s="86">
        <f t="shared" si="3"/>
        <v>2.4858646872626282E-2</v>
      </c>
    </row>
    <row r="82" spans="1:9" x14ac:dyDescent="0.15">
      <c r="A82" s="26" t="s">
        <v>81</v>
      </c>
      <c r="B82" s="58">
        <v>1</v>
      </c>
      <c r="C82" s="86">
        <f t="shared" si="3"/>
        <v>2.958333911362437E-3</v>
      </c>
      <c r="D82" s="86">
        <f t="shared" si="3"/>
        <v>0.13264898763547381</v>
      </c>
      <c r="E82" s="86">
        <f t="shared" si="3"/>
        <v>0.12295807081743691</v>
      </c>
      <c r="F82" s="86">
        <f t="shared" si="3"/>
        <v>0.11572396017096707</v>
      </c>
      <c r="G82" s="86">
        <f t="shared" si="3"/>
        <v>5.0024402623719353E-3</v>
      </c>
      <c r="H82" s="86">
        <f t="shared" si="3"/>
        <v>2.7646307761305536E-3</v>
      </c>
      <c r="I82" s="86">
        <f t="shared" si="3"/>
        <v>2.6880977931099679E-3</v>
      </c>
    </row>
    <row r="83" spans="1:9" x14ac:dyDescent="0.15">
      <c r="A83" s="26" t="s">
        <v>71</v>
      </c>
      <c r="B83" s="58">
        <v>1</v>
      </c>
      <c r="C83" s="86">
        <f t="shared" si="3"/>
        <v>8.7448807710651993E-4</v>
      </c>
      <c r="D83" s="86">
        <f t="shared" si="3"/>
        <v>7.6637413365614901E-2</v>
      </c>
      <c r="E83" s="86">
        <f t="shared" si="3"/>
        <v>7.518137363595756E-2</v>
      </c>
      <c r="F83" s="86">
        <f t="shared" si="3"/>
        <v>7.3738635712189582E-2</v>
      </c>
      <c r="G83" s="86">
        <f t="shared" si="3"/>
        <v>1.8059005816207009E-3</v>
      </c>
      <c r="H83" s="86">
        <f t="shared" si="3"/>
        <v>1.0031920075605012E-3</v>
      </c>
      <c r="I83" s="86">
        <f t="shared" si="3"/>
        <v>9.8279815924670285E-4</v>
      </c>
    </row>
    <row r="84" spans="1:9" x14ac:dyDescent="0.15">
      <c r="A84" s="26" t="s">
        <v>53</v>
      </c>
      <c r="B84" s="58">
        <v>1</v>
      </c>
      <c r="C84" s="86">
        <f t="shared" si="3"/>
        <v>2.1570890790667124E-2</v>
      </c>
      <c r="D84" s="86">
        <f t="shared" si="3"/>
        <v>0.16216227621266441</v>
      </c>
      <c r="E84" s="86">
        <f t="shared" si="3"/>
        <v>0.18326471479960815</v>
      </c>
      <c r="F84" s="86">
        <f t="shared" si="3"/>
        <v>0.17748385163086919</v>
      </c>
      <c r="G84" s="86">
        <f t="shared" si="3"/>
        <v>4.467673329197526E-2</v>
      </c>
      <c r="H84" s="86">
        <f t="shared" si="3"/>
        <v>2.4499592465930694E-2</v>
      </c>
      <c r="I84" s="86">
        <f t="shared" si="3"/>
        <v>2.3747251421426616E-2</v>
      </c>
    </row>
    <row r="85" spans="1:9" x14ac:dyDescent="0.15">
      <c r="A85" s="26" t="s">
        <v>76</v>
      </c>
      <c r="B85" s="58">
        <v>1</v>
      </c>
      <c r="C85" s="86">
        <f t="shared" si="3"/>
        <v>1.483276322608312E-2</v>
      </c>
      <c r="D85" s="86">
        <f t="shared" si="3"/>
        <v>1.5843543655085739</v>
      </c>
      <c r="E85" s="86">
        <f t="shared" si="3"/>
        <v>1.526170303527207</v>
      </c>
      <c r="F85" s="86">
        <f t="shared" si="3"/>
        <v>1.3733082451902616</v>
      </c>
      <c r="G85" s="86">
        <f t="shared" si="3"/>
        <v>2.4094988355422325E-2</v>
      </c>
      <c r="H85" s="86">
        <f t="shared" si="3"/>
        <v>1.2269509522646483E-2</v>
      </c>
      <c r="I85" s="86">
        <f t="shared" si="3"/>
        <v>1.1182691239667432E-2</v>
      </c>
    </row>
    <row r="86" spans="1:9" x14ac:dyDescent="0.15">
      <c r="A86" s="26" t="s">
        <v>83</v>
      </c>
      <c r="B86" s="58">
        <v>1</v>
      </c>
      <c r="C86" s="86">
        <f t="shared" si="3"/>
        <v>6.0567832784700966E-2</v>
      </c>
      <c r="D86" s="86">
        <f t="shared" si="3"/>
        <v>0.40785166727507183</v>
      </c>
      <c r="E86" s="86">
        <f t="shared" si="3"/>
        <v>0.58907841163496089</v>
      </c>
      <c r="F86" s="86">
        <f t="shared" si="3"/>
        <v>0.5439853114187907</v>
      </c>
      <c r="G86" s="86">
        <f t="shared" si="3"/>
        <v>0.21344137653454504</v>
      </c>
      <c r="H86" s="86">
        <f t="shared" si="3"/>
        <v>0.15686511785007989</v>
      </c>
      <c r="I86" s="86">
        <f t="shared" si="3"/>
        <v>0.14520103903390347</v>
      </c>
    </row>
    <row r="87" spans="1:9" x14ac:dyDescent="0.15">
      <c r="A87" s="26" t="s">
        <v>55</v>
      </c>
      <c r="B87" s="58">
        <v>1</v>
      </c>
      <c r="C87" s="86">
        <f>C57/$B57</f>
        <v>2.9252966277246009E-2</v>
      </c>
      <c r="D87" s="86">
        <f t="shared" ref="D87:I87" si="4">D57/$B57</f>
        <v>0.21685093806847416</v>
      </c>
      <c r="E87" s="86">
        <f t="shared" si="4"/>
        <v>0.23938683167635488</v>
      </c>
      <c r="F87" s="86">
        <f t="shared" si="4"/>
        <v>0.227861109070705</v>
      </c>
      <c r="G87" s="86">
        <f t="shared" si="4"/>
        <v>5.7292171628583403E-2</v>
      </c>
      <c r="H87" s="86">
        <f t="shared" si="4"/>
        <v>3.0976640607251141E-2</v>
      </c>
      <c r="I87" s="86">
        <f t="shared" si="4"/>
        <v>2.9712255810770381E-2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F6631-6F63-4188-85CC-6BCD8497B9E0}">
  <dimension ref="A1:N87"/>
  <sheetViews>
    <sheetView tabSelected="1" topLeftCell="A61" zoomScaleNormal="100" workbookViewId="0">
      <selection activeCell="N76" sqref="N76"/>
    </sheetView>
  </sheetViews>
  <sheetFormatPr defaultColWidth="9" defaultRowHeight="12" x14ac:dyDescent="0.15"/>
  <cols>
    <col min="1" max="1" width="27" style="21" customWidth="1"/>
    <col min="2" max="2" width="9" style="21" customWidth="1"/>
    <col min="3" max="13" width="10" style="21" customWidth="1"/>
    <col min="14" max="14" width="9" style="21" customWidth="1"/>
    <col min="15" max="16384" width="9" style="21"/>
  </cols>
  <sheetData>
    <row r="1" spans="1:14" x14ac:dyDescent="0.15">
      <c r="A1" s="51" t="s">
        <v>463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N1" s="21" t="s">
        <v>440</v>
      </c>
    </row>
    <row r="2" spans="1:14" x14ac:dyDescent="0.15">
      <c r="A2" s="26" t="s">
        <v>384</v>
      </c>
      <c r="B2" s="46" t="s">
        <v>437</v>
      </c>
      <c r="C2" s="20">
        <v>2021</v>
      </c>
      <c r="D2" s="20">
        <v>2022</v>
      </c>
      <c r="E2" s="20">
        <v>2023</v>
      </c>
      <c r="F2" s="20">
        <v>2024</v>
      </c>
      <c r="G2" s="20">
        <v>2025</v>
      </c>
      <c r="H2" s="20">
        <v>2026</v>
      </c>
      <c r="I2" s="20">
        <v>2027</v>
      </c>
      <c r="J2" s="20">
        <v>2028</v>
      </c>
      <c r="K2" s="20">
        <v>2029</v>
      </c>
      <c r="L2" s="20">
        <v>2030</v>
      </c>
      <c r="N2" s="21">
        <v>277435549975.86145</v>
      </c>
    </row>
    <row r="3" spans="1:14" x14ac:dyDescent="0.15">
      <c r="A3" s="26" t="s">
        <v>99</v>
      </c>
      <c r="B3" s="50">
        <f>'Early Facility Retirement'!M3+'Installation&amp;System Integration'!M3+'Cogeneration&amp;Waste Heat Recover'!M3+'Improvement in Eqpt Efficiency'!M3</f>
        <v>0</v>
      </c>
      <c r="C3" s="50">
        <f>'Early Facility Retirement'!N3+'Installation&amp;System Integration'!N3+'Cogeneration&amp;Waste Heat Recover'!N3+'Improvement in Eqpt Efficiency'!N3</f>
        <v>0</v>
      </c>
      <c r="D3" s="50">
        <f>'Early Facility Retirement'!O3+'Installation&amp;System Integration'!O3+'Cogeneration&amp;Waste Heat Recover'!O3+'Improvement in Eqpt Efficiency'!O3</f>
        <v>0</v>
      </c>
      <c r="E3" s="50">
        <f>'Early Facility Retirement'!P3+'Installation&amp;System Integration'!P3+'Cogeneration&amp;Waste Heat Recover'!P3+'Improvement in Eqpt Efficiency'!P3</f>
        <v>0</v>
      </c>
      <c r="F3" s="50">
        <f>'Early Facility Retirement'!Q3+'Installation&amp;System Integration'!Q3+'Cogeneration&amp;Waste Heat Recover'!Q3+'Improvement in Eqpt Efficiency'!Q3</f>
        <v>0</v>
      </c>
      <c r="G3" s="50">
        <f>'Early Facility Retirement'!R3+'Installation&amp;System Integration'!R3+'Cogeneration&amp;Waste Heat Recover'!R3+'Improvement in Eqpt Efficiency'!R3</f>
        <v>0</v>
      </c>
      <c r="H3" s="50">
        <f>'Early Facility Retirement'!S3+'Installation&amp;System Integration'!S3+'Cogeneration&amp;Waste Heat Recover'!S3+'Improvement in Eqpt Efficiency'!S3</f>
        <v>0</v>
      </c>
      <c r="I3" s="50">
        <f>'Early Facility Retirement'!T3+'Installation&amp;System Integration'!T3+'Cogeneration&amp;Waste Heat Recover'!T3+'Improvement in Eqpt Efficiency'!T3</f>
        <v>0</v>
      </c>
      <c r="J3" s="91">
        <f>I3*J$28/I$28</f>
        <v>0</v>
      </c>
      <c r="K3" s="91">
        <f>$J3</f>
        <v>0</v>
      </c>
      <c r="L3" s="91">
        <f>$J3</f>
        <v>0</v>
      </c>
      <c r="M3" s="52">
        <f>SUM(C3:G3)</f>
        <v>0</v>
      </c>
      <c r="N3" s="52"/>
    </row>
    <row r="4" spans="1:14" x14ac:dyDescent="0.15">
      <c r="A4" s="26" t="s">
        <v>35</v>
      </c>
      <c r="B4" s="50">
        <f>'Early Facility Retirement'!M4+'Installation&amp;System Integration'!M4+'Cogeneration&amp;Waste Heat Recover'!M4+'Improvement in Eqpt Efficiency'!M4</f>
        <v>268.99697802197801</v>
      </c>
      <c r="C4" s="50">
        <f>'Early Facility Retirement'!N4+'Installation&amp;System Integration'!N4+'Cogeneration&amp;Waste Heat Recover'!N4+'Improvement in Eqpt Efficiency'!N4</f>
        <v>0</v>
      </c>
      <c r="D4" s="50">
        <f>'Early Facility Retirement'!O4+'Installation&amp;System Integration'!O4+'Cogeneration&amp;Waste Heat Recover'!O4+'Improvement in Eqpt Efficiency'!O4</f>
        <v>6.1</v>
      </c>
      <c r="E4" s="50">
        <f>'Early Facility Retirement'!P4+'Installation&amp;System Integration'!P4+'Cogeneration&amp;Waste Heat Recover'!P4+'Improvement in Eqpt Efficiency'!P4</f>
        <v>51.1</v>
      </c>
      <c r="F4" s="50">
        <f>'Early Facility Retirement'!Q4+'Installation&amp;System Integration'!Q4+'Cogeneration&amp;Waste Heat Recover'!Q4+'Improvement in Eqpt Efficiency'!Q4</f>
        <v>51.1</v>
      </c>
      <c r="G4" s="50">
        <f>'Early Facility Retirement'!R4+'Installation&amp;System Integration'!R4+'Cogeneration&amp;Waste Heat Recover'!R4+'Improvement in Eqpt Efficiency'!R4</f>
        <v>45</v>
      </c>
      <c r="H4" s="50">
        <f>'Early Facility Retirement'!S4+'Installation&amp;System Integration'!S4+'Cogeneration&amp;Waste Heat Recover'!S4+'Improvement in Eqpt Efficiency'!S4</f>
        <v>45</v>
      </c>
      <c r="I4" s="50">
        <f>'Early Facility Retirement'!T4+'Installation&amp;System Integration'!T4+'Cogeneration&amp;Waste Heat Recover'!T4+'Improvement in Eqpt Efficiency'!T4</f>
        <v>45</v>
      </c>
      <c r="J4" s="91">
        <f t="shared" ref="J4:J27" si="0">I4*J$28/I$28</f>
        <v>52.995204721504983</v>
      </c>
      <c r="K4" s="91">
        <f t="shared" ref="K4:L27" si="1">$J4</f>
        <v>52.995204721504983</v>
      </c>
      <c r="L4" s="91">
        <f t="shared" si="1"/>
        <v>52.995204721504983</v>
      </c>
      <c r="M4" s="52">
        <f>SUM(C4:G4)</f>
        <v>153.30000000000001</v>
      </c>
      <c r="N4" s="52"/>
    </row>
    <row r="5" spans="1:14" x14ac:dyDescent="0.15">
      <c r="A5" s="26" t="s">
        <v>67</v>
      </c>
      <c r="B5" s="50">
        <f>'Early Facility Retirement'!M5+'Installation&amp;System Integration'!M5+'Cogeneration&amp;Waste Heat Recover'!M5+'Improvement in Eqpt Efficiency'!M5</f>
        <v>805.44210526315794</v>
      </c>
      <c r="C5" s="50">
        <f>'Early Facility Retirement'!N5+'Installation&amp;System Integration'!N5+'Cogeneration&amp;Waste Heat Recover'!N5+'Improvement in Eqpt Efficiency'!N5</f>
        <v>108</v>
      </c>
      <c r="D5" s="50">
        <f>'Early Facility Retirement'!O5+'Installation&amp;System Integration'!O5+'Cogeneration&amp;Waste Heat Recover'!O5+'Improvement in Eqpt Efficiency'!O5</f>
        <v>110.35</v>
      </c>
      <c r="E5" s="50">
        <f>'Early Facility Retirement'!P5+'Installation&amp;System Integration'!P5+'Cogeneration&amp;Waste Heat Recover'!P5+'Improvement in Eqpt Efficiency'!P5</f>
        <v>110.35</v>
      </c>
      <c r="F5" s="50">
        <f>'Early Facility Retirement'!Q5+'Installation&amp;System Integration'!Q5+'Cogeneration&amp;Waste Heat Recover'!Q5+'Improvement in Eqpt Efficiency'!Q5</f>
        <v>110.35</v>
      </c>
      <c r="G5" s="50">
        <f>'Early Facility Retirement'!R5+'Installation&amp;System Integration'!R5+'Cogeneration&amp;Waste Heat Recover'!R5+'Improvement in Eqpt Efficiency'!R5</f>
        <v>108</v>
      </c>
      <c r="H5" s="50">
        <f>'Early Facility Retirement'!S5+'Installation&amp;System Integration'!S5+'Cogeneration&amp;Waste Heat Recover'!S5+'Improvement in Eqpt Efficiency'!S5</f>
        <v>0</v>
      </c>
      <c r="I5" s="50">
        <f>'Early Facility Retirement'!T5+'Installation&amp;System Integration'!T5+'Cogeneration&amp;Waste Heat Recover'!T5+'Improvement in Eqpt Efficiency'!T5</f>
        <v>0</v>
      </c>
      <c r="J5" s="91">
        <f t="shared" si="0"/>
        <v>0</v>
      </c>
      <c r="K5" s="91">
        <f t="shared" si="1"/>
        <v>0</v>
      </c>
      <c r="L5" s="91">
        <f t="shared" si="1"/>
        <v>0</v>
      </c>
      <c r="M5" s="52">
        <f>SUM(C5:G5)</f>
        <v>547.04999999999995</v>
      </c>
      <c r="N5" s="52"/>
    </row>
    <row r="6" spans="1:14" x14ac:dyDescent="0.15">
      <c r="A6" s="26" t="s">
        <v>100</v>
      </c>
      <c r="B6" s="50">
        <f>'Early Facility Retirement'!M6+'Installation&amp;System Integration'!M6+'Cogeneration&amp;Waste Heat Recover'!M6+'Improvement in Eqpt Efficiency'!M6</f>
        <v>0</v>
      </c>
      <c r="C6" s="50">
        <f>'Early Facility Retirement'!N6+'Installation&amp;System Integration'!N6+'Cogeneration&amp;Waste Heat Recover'!N6+'Improvement in Eqpt Efficiency'!N6</f>
        <v>0</v>
      </c>
      <c r="D6" s="50">
        <f>'Early Facility Retirement'!O6+'Installation&amp;System Integration'!O6+'Cogeneration&amp;Waste Heat Recover'!O6+'Improvement in Eqpt Efficiency'!O6</f>
        <v>0</v>
      </c>
      <c r="E6" s="50">
        <f>'Early Facility Retirement'!P6+'Installation&amp;System Integration'!P6+'Cogeneration&amp;Waste Heat Recover'!P6+'Improvement in Eqpt Efficiency'!P6</f>
        <v>0</v>
      </c>
      <c r="F6" s="50">
        <f>'Early Facility Retirement'!Q6+'Installation&amp;System Integration'!Q6+'Cogeneration&amp;Waste Heat Recover'!Q6+'Improvement in Eqpt Efficiency'!Q6</f>
        <v>0</v>
      </c>
      <c r="G6" s="50">
        <f>'Early Facility Retirement'!R6+'Installation&amp;System Integration'!R6+'Cogeneration&amp;Waste Heat Recover'!R6+'Improvement in Eqpt Efficiency'!R6</f>
        <v>0</v>
      </c>
      <c r="H6" s="50">
        <f>'Early Facility Retirement'!S6+'Installation&amp;System Integration'!S6+'Cogeneration&amp;Waste Heat Recover'!S6+'Improvement in Eqpt Efficiency'!S6</f>
        <v>0</v>
      </c>
      <c r="I6" s="50">
        <f>'Early Facility Retirement'!T6+'Installation&amp;System Integration'!T6+'Cogeneration&amp;Waste Heat Recover'!T6+'Improvement in Eqpt Efficiency'!T6</f>
        <v>0</v>
      </c>
      <c r="J6" s="91">
        <f t="shared" si="0"/>
        <v>0</v>
      </c>
      <c r="K6" s="91">
        <f t="shared" si="1"/>
        <v>0</v>
      </c>
      <c r="L6" s="91">
        <f t="shared" si="1"/>
        <v>0</v>
      </c>
      <c r="M6" s="52">
        <f>SUM(C6:G6)</f>
        <v>0</v>
      </c>
      <c r="N6" s="52" t="s">
        <v>465</v>
      </c>
    </row>
    <row r="7" spans="1:14" x14ac:dyDescent="0.15">
      <c r="A7" s="26" t="s">
        <v>101</v>
      </c>
      <c r="B7" s="50">
        <f>'Early Facility Retirement'!M7+'Installation&amp;System Integration'!M7+'Cogeneration&amp;Waste Heat Recover'!M7+'Improvement in Eqpt Efficiency'!M7</f>
        <v>0</v>
      </c>
      <c r="C7" s="50">
        <f>'Early Facility Retirement'!N7+'Installation&amp;System Integration'!N7+'Cogeneration&amp;Waste Heat Recover'!N7+'Improvement in Eqpt Efficiency'!N7</f>
        <v>0</v>
      </c>
      <c r="D7" s="50">
        <f>'Early Facility Retirement'!O7+'Installation&amp;System Integration'!O7+'Cogeneration&amp;Waste Heat Recover'!O7+'Improvement in Eqpt Efficiency'!O7</f>
        <v>0</v>
      </c>
      <c r="E7" s="50">
        <f>'Early Facility Retirement'!P7+'Installation&amp;System Integration'!P7+'Cogeneration&amp;Waste Heat Recover'!P7+'Improvement in Eqpt Efficiency'!P7</f>
        <v>0</v>
      </c>
      <c r="F7" s="50">
        <f>'Early Facility Retirement'!Q7+'Installation&amp;System Integration'!Q7+'Cogeneration&amp;Waste Heat Recover'!Q7+'Improvement in Eqpt Efficiency'!Q7</f>
        <v>0</v>
      </c>
      <c r="G7" s="50">
        <f>'Early Facility Retirement'!R7+'Installation&amp;System Integration'!R7+'Cogeneration&amp;Waste Heat Recover'!R7+'Improvement in Eqpt Efficiency'!R7</f>
        <v>0</v>
      </c>
      <c r="H7" s="50">
        <f>'Early Facility Retirement'!S7+'Installation&amp;System Integration'!S7+'Cogeneration&amp;Waste Heat Recover'!S7+'Improvement in Eqpt Efficiency'!S7</f>
        <v>0</v>
      </c>
      <c r="I7" s="50">
        <f>'Early Facility Retirement'!T7+'Installation&amp;System Integration'!T7+'Cogeneration&amp;Waste Heat Recover'!T7+'Improvement in Eqpt Efficiency'!T7</f>
        <v>0</v>
      </c>
      <c r="J7" s="91">
        <f t="shared" si="0"/>
        <v>0</v>
      </c>
      <c r="K7" s="91">
        <f t="shared" si="1"/>
        <v>0</v>
      </c>
      <c r="L7" s="91">
        <f t="shared" si="1"/>
        <v>0</v>
      </c>
      <c r="M7" s="52">
        <f>SUM(C7:G7)</f>
        <v>0</v>
      </c>
      <c r="N7" s="52"/>
    </row>
    <row r="8" spans="1:14" x14ac:dyDescent="0.15">
      <c r="A8" s="26" t="s">
        <v>72</v>
      </c>
      <c r="B8" s="50">
        <f>'Early Facility Retirement'!M8+'Installation&amp;System Integration'!M8+'Cogeneration&amp;Waste Heat Recover'!M8+'Improvement in Eqpt Efficiency'!M8</f>
        <v>547</v>
      </c>
      <c r="C8" s="50">
        <f>'Early Facility Retirement'!N8+'Installation&amp;System Integration'!N8+'Cogeneration&amp;Waste Heat Recover'!N8+'Improvement in Eqpt Efficiency'!N8</f>
        <v>7.7</v>
      </c>
      <c r="D8" s="50">
        <f>'Early Facility Retirement'!O8+'Installation&amp;System Integration'!O8+'Cogeneration&amp;Waste Heat Recover'!O8+'Improvement in Eqpt Efficiency'!O8</f>
        <v>12.350000000000001</v>
      </c>
      <c r="E8" s="50">
        <f>'Early Facility Retirement'!P8+'Installation&amp;System Integration'!P8+'Cogeneration&amp;Waste Heat Recover'!P8+'Improvement in Eqpt Efficiency'!P8</f>
        <v>108.35000000000001</v>
      </c>
      <c r="F8" s="50">
        <f>'Early Facility Retirement'!Q8+'Installation&amp;System Integration'!Q8+'Cogeneration&amp;Waste Heat Recover'!Q8+'Improvement in Eqpt Efficiency'!Q8</f>
        <v>108.35000000000001</v>
      </c>
      <c r="G8" s="50">
        <f>'Early Facility Retirement'!R8+'Installation&amp;System Integration'!R8+'Cogeneration&amp;Waste Heat Recover'!R8+'Improvement in Eqpt Efficiency'!R8</f>
        <v>103.7</v>
      </c>
      <c r="H8" s="50">
        <f>'Early Facility Retirement'!S8+'Installation&amp;System Integration'!S8+'Cogeneration&amp;Waste Heat Recover'!S8+'Improvement in Eqpt Efficiency'!S8</f>
        <v>96</v>
      </c>
      <c r="I8" s="50">
        <f>'Early Facility Retirement'!T8+'Installation&amp;System Integration'!T8+'Cogeneration&amp;Waste Heat Recover'!T8+'Improvement in Eqpt Efficiency'!T8</f>
        <v>96</v>
      </c>
      <c r="J8" s="91">
        <f t="shared" si="0"/>
        <v>113.05643673921062</v>
      </c>
      <c r="K8" s="91">
        <f t="shared" si="1"/>
        <v>113.05643673921062</v>
      </c>
      <c r="L8" s="91">
        <f t="shared" si="1"/>
        <v>113.05643673921062</v>
      </c>
      <c r="M8" s="52">
        <f>SUM(C8:G8)</f>
        <v>340.45</v>
      </c>
      <c r="N8" s="52"/>
    </row>
    <row r="9" spans="1:14" x14ac:dyDescent="0.15">
      <c r="A9" s="26" t="s">
        <v>38</v>
      </c>
      <c r="B9" s="50">
        <f>'Early Facility Retirement'!M9+'Installation&amp;System Integration'!M9+'Cogeneration&amp;Waste Heat Recover'!M9+'Improvement in Eqpt Efficiency'!M9</f>
        <v>0</v>
      </c>
      <c r="C9" s="50">
        <f>'Early Facility Retirement'!N9+'Installation&amp;System Integration'!N9+'Cogeneration&amp;Waste Heat Recover'!N9+'Improvement in Eqpt Efficiency'!N9</f>
        <v>0</v>
      </c>
      <c r="D9" s="50">
        <f>'Early Facility Retirement'!O9+'Installation&amp;System Integration'!O9+'Cogeneration&amp;Waste Heat Recover'!O9+'Improvement in Eqpt Efficiency'!O9</f>
        <v>0</v>
      </c>
      <c r="E9" s="50">
        <f>'Early Facility Retirement'!P9+'Installation&amp;System Integration'!P9+'Cogeneration&amp;Waste Heat Recover'!P9+'Improvement in Eqpt Efficiency'!P9</f>
        <v>0</v>
      </c>
      <c r="F9" s="50">
        <f>'Early Facility Retirement'!Q9+'Installation&amp;System Integration'!Q9+'Cogeneration&amp;Waste Heat Recover'!Q9+'Improvement in Eqpt Efficiency'!Q9</f>
        <v>0</v>
      </c>
      <c r="G9" s="50">
        <f>'Early Facility Retirement'!R9+'Installation&amp;System Integration'!R9+'Cogeneration&amp;Waste Heat Recover'!R9+'Improvement in Eqpt Efficiency'!R9</f>
        <v>0</v>
      </c>
      <c r="H9" s="50">
        <f>'Early Facility Retirement'!S9+'Installation&amp;System Integration'!S9+'Cogeneration&amp;Waste Heat Recover'!S9+'Improvement in Eqpt Efficiency'!S9</f>
        <v>0</v>
      </c>
      <c r="I9" s="50">
        <f>'Early Facility Retirement'!T9+'Installation&amp;System Integration'!T9+'Cogeneration&amp;Waste Heat Recover'!T9+'Improvement in Eqpt Efficiency'!T9</f>
        <v>0</v>
      </c>
      <c r="J9" s="91">
        <f t="shared" si="0"/>
        <v>0</v>
      </c>
      <c r="K9" s="91">
        <f t="shared" si="1"/>
        <v>0</v>
      </c>
      <c r="L9" s="91">
        <f t="shared" si="1"/>
        <v>0</v>
      </c>
      <c r="M9" s="52">
        <f>SUM(C9:G9)</f>
        <v>0</v>
      </c>
      <c r="N9" s="52"/>
    </row>
    <row r="10" spans="1:14" x14ac:dyDescent="0.15">
      <c r="A10" s="26" t="s">
        <v>68</v>
      </c>
      <c r="B10" s="50">
        <f>'Early Facility Retirement'!M10+'Installation&amp;System Integration'!M10+'Cogeneration&amp;Waste Heat Recover'!M10+'Improvement in Eqpt Efficiency'!M10</f>
        <v>530</v>
      </c>
      <c r="C10" s="50">
        <f>'Early Facility Retirement'!N10+'Installation&amp;System Integration'!N10+'Cogeneration&amp;Waste Heat Recover'!N10+'Improvement in Eqpt Efficiency'!N10</f>
        <v>53</v>
      </c>
      <c r="D10" s="50">
        <f>'Early Facility Retirement'!O10+'Installation&amp;System Integration'!O10+'Cogeneration&amp;Waste Heat Recover'!O10+'Improvement in Eqpt Efficiency'!O10</f>
        <v>53</v>
      </c>
      <c r="E10" s="50">
        <f>'Early Facility Retirement'!P10+'Installation&amp;System Integration'!P10+'Cogeneration&amp;Waste Heat Recover'!P10+'Improvement in Eqpt Efficiency'!P10</f>
        <v>53</v>
      </c>
      <c r="F10" s="50">
        <f>'Early Facility Retirement'!Q10+'Installation&amp;System Integration'!Q10+'Cogeneration&amp;Waste Heat Recover'!Q10+'Improvement in Eqpt Efficiency'!Q10</f>
        <v>53</v>
      </c>
      <c r="G10" s="50">
        <f>'Early Facility Retirement'!R10+'Installation&amp;System Integration'!R10+'Cogeneration&amp;Waste Heat Recover'!R10+'Improvement in Eqpt Efficiency'!R10</f>
        <v>53</v>
      </c>
      <c r="H10" s="50">
        <f>'Early Facility Retirement'!S10+'Installation&amp;System Integration'!S10+'Cogeneration&amp;Waste Heat Recover'!S10+'Improvement in Eqpt Efficiency'!S10</f>
        <v>0</v>
      </c>
      <c r="I10" s="50">
        <f>'Early Facility Retirement'!T10+'Installation&amp;System Integration'!T10+'Cogeneration&amp;Waste Heat Recover'!T10+'Improvement in Eqpt Efficiency'!T10</f>
        <v>0</v>
      </c>
      <c r="J10" s="91">
        <f t="shared" si="0"/>
        <v>0</v>
      </c>
      <c r="K10" s="91">
        <f t="shared" si="1"/>
        <v>0</v>
      </c>
      <c r="L10" s="91">
        <f t="shared" si="1"/>
        <v>0</v>
      </c>
      <c r="M10" s="52">
        <f>SUM(C10:G10)</f>
        <v>265</v>
      </c>
      <c r="N10" s="52"/>
    </row>
    <row r="11" spans="1:14" x14ac:dyDescent="0.15">
      <c r="A11" s="26" t="s">
        <v>40</v>
      </c>
      <c r="B11" s="50">
        <f>'Early Facility Retirement'!M11+'Installation&amp;System Integration'!M11+'Cogeneration&amp;Waste Heat Recover'!M11+'Improvement in Eqpt Efficiency'!M11</f>
        <v>19632.109944230775</v>
      </c>
      <c r="C11" s="50">
        <f>'Early Facility Retirement'!N11+'Installation&amp;System Integration'!N11+'Cogeneration&amp;Waste Heat Recover'!N11+'Improvement in Eqpt Efficiency'!N11</f>
        <v>0</v>
      </c>
      <c r="D11" s="50">
        <f>'Early Facility Retirement'!O11+'Installation&amp;System Integration'!O11+'Cogeneration&amp;Waste Heat Recover'!O11+'Improvement in Eqpt Efficiency'!O11</f>
        <v>466.86182886969164</v>
      </c>
      <c r="E11" s="50">
        <f>'Early Facility Retirement'!P11+'Installation&amp;System Integration'!P11+'Cogeneration&amp;Waste Heat Recover'!P11+'Improvement in Eqpt Efficiency'!P11</f>
        <v>1054.2728226124561</v>
      </c>
      <c r="F11" s="50">
        <f>'Early Facility Retirement'!Q11+'Installation&amp;System Integration'!Q11+'Cogeneration&amp;Waste Heat Recover'!Q11+'Improvement in Eqpt Efficiency'!Q11</f>
        <v>1054.2728226124561</v>
      </c>
      <c r="G11" s="50">
        <f>'Early Facility Retirement'!R11+'Installation&amp;System Integration'!R11+'Cogeneration&amp;Waste Heat Recover'!R11+'Improvement in Eqpt Efficiency'!R11</f>
        <v>587.4109937427645</v>
      </c>
      <c r="H11" s="50">
        <f>'Early Facility Retirement'!S11+'Installation&amp;System Integration'!S11+'Cogeneration&amp;Waste Heat Recover'!S11+'Improvement in Eqpt Efficiency'!S11</f>
        <v>587.4109937427645</v>
      </c>
      <c r="I11" s="50">
        <f>'Early Facility Retirement'!T11+'Installation&amp;System Integration'!T11+'Cogeneration&amp;Waste Heat Recover'!T11+'Improvement in Eqpt Efficiency'!T11</f>
        <v>587.4109937427645</v>
      </c>
      <c r="J11" s="91">
        <f t="shared" si="0"/>
        <v>691.7770193124552</v>
      </c>
      <c r="K11" s="91">
        <f t="shared" si="1"/>
        <v>691.7770193124552</v>
      </c>
      <c r="L11" s="91">
        <f t="shared" si="1"/>
        <v>691.7770193124552</v>
      </c>
      <c r="M11" s="52">
        <f>SUM(C11:G11)</f>
        <v>3162.8184678373682</v>
      </c>
      <c r="N11" s="52"/>
    </row>
    <row r="12" spans="1:14" x14ac:dyDescent="0.15">
      <c r="A12" s="26" t="s">
        <v>41</v>
      </c>
      <c r="B12" s="50">
        <f>'Early Facility Retirement'!M12+'Installation&amp;System Integration'!M12+'Cogeneration&amp;Waste Heat Recover'!M12+'Improvement in Eqpt Efficiency'!M12</f>
        <v>7168.8537817908191</v>
      </c>
      <c r="C12" s="50">
        <f>'Early Facility Retirement'!N12+'Installation&amp;System Integration'!N12+'Cogeneration&amp;Waste Heat Recover'!N12+'Improvement in Eqpt Efficiency'!N12</f>
        <v>54.28</v>
      </c>
      <c r="D12" s="50">
        <f>'Early Facility Retirement'!O12+'Installation&amp;System Integration'!O12+'Cogeneration&amp;Waste Heat Recover'!O12+'Improvement in Eqpt Efficiency'!O12</f>
        <v>498.94817113030837</v>
      </c>
      <c r="E12" s="50">
        <f>'Early Facility Retirement'!P12+'Installation&amp;System Integration'!P12+'Cogeneration&amp;Waste Heat Recover'!P12+'Improvement in Eqpt Efficiency'!P12</f>
        <v>828.03340024889144</v>
      </c>
      <c r="F12" s="50">
        <f>'Early Facility Retirement'!Q12+'Installation&amp;System Integration'!Q12+'Cogeneration&amp;Waste Heat Recover'!Q12+'Improvement in Eqpt Efficiency'!Q12</f>
        <v>828.03340024889144</v>
      </c>
      <c r="G12" s="50">
        <f>'Early Facility Retirement'!R12+'Installation&amp;System Integration'!R12+'Cogeneration&amp;Waste Heat Recover'!R12+'Improvement in Eqpt Efficiency'!R12</f>
        <v>383.36522911858304</v>
      </c>
      <c r="H12" s="50">
        <f>'Early Facility Retirement'!S12+'Installation&amp;System Integration'!S12+'Cogeneration&amp;Waste Heat Recover'!S12+'Improvement in Eqpt Efficiency'!S12</f>
        <v>329.08522911858307</v>
      </c>
      <c r="I12" s="50">
        <f>'Early Facility Retirement'!T12+'Installation&amp;System Integration'!T12+'Cogeneration&amp;Waste Heat Recover'!T12+'Improvement in Eqpt Efficiency'!T12</f>
        <v>329.08522911858307</v>
      </c>
      <c r="J12" s="91">
        <f t="shared" si="0"/>
        <v>387.55420195472624</v>
      </c>
      <c r="K12" s="91">
        <f t="shared" si="1"/>
        <v>387.55420195472624</v>
      </c>
      <c r="L12" s="91">
        <f t="shared" si="1"/>
        <v>387.55420195472624</v>
      </c>
      <c r="M12" s="52">
        <f>SUM(C12:G12)</f>
        <v>2592.660200746674</v>
      </c>
      <c r="N12" s="52"/>
    </row>
    <row r="13" spans="1:14" x14ac:dyDescent="0.15">
      <c r="A13" s="26" t="s">
        <v>42</v>
      </c>
      <c r="B13" s="50">
        <f>'Early Facility Retirement'!M13+'Installation&amp;System Integration'!M13+'Cogeneration&amp;Waste Heat Recover'!M13+'Improvement in Eqpt Efficiency'!M13</f>
        <v>0</v>
      </c>
      <c r="C13" s="50">
        <f>'Early Facility Retirement'!N13+'Installation&amp;System Integration'!N13+'Cogeneration&amp;Waste Heat Recover'!N13+'Improvement in Eqpt Efficiency'!N13</f>
        <v>0</v>
      </c>
      <c r="D13" s="50">
        <f>'Early Facility Retirement'!O13+'Installation&amp;System Integration'!O13+'Cogeneration&amp;Waste Heat Recover'!O13+'Improvement in Eqpt Efficiency'!O13</f>
        <v>0</v>
      </c>
      <c r="E13" s="50">
        <f>'Early Facility Retirement'!P13+'Installation&amp;System Integration'!P13+'Cogeneration&amp;Waste Heat Recover'!P13+'Improvement in Eqpt Efficiency'!P13</f>
        <v>0</v>
      </c>
      <c r="F13" s="50">
        <f>'Early Facility Retirement'!Q13+'Installation&amp;System Integration'!Q13+'Cogeneration&amp;Waste Heat Recover'!Q13+'Improvement in Eqpt Efficiency'!Q13</f>
        <v>0</v>
      </c>
      <c r="G13" s="50">
        <f>'Early Facility Retirement'!R13+'Installation&amp;System Integration'!R13+'Cogeneration&amp;Waste Heat Recover'!R13+'Improvement in Eqpt Efficiency'!R13</f>
        <v>0</v>
      </c>
      <c r="H13" s="50">
        <f>'Early Facility Retirement'!S13+'Installation&amp;System Integration'!S13+'Cogeneration&amp;Waste Heat Recover'!S13+'Improvement in Eqpt Efficiency'!S13</f>
        <v>0</v>
      </c>
      <c r="I13" s="50">
        <f>'Early Facility Retirement'!T13+'Installation&amp;System Integration'!T13+'Cogeneration&amp;Waste Heat Recover'!T13+'Improvement in Eqpt Efficiency'!T13</f>
        <v>0</v>
      </c>
      <c r="J13" s="91">
        <f t="shared" si="0"/>
        <v>0</v>
      </c>
      <c r="K13" s="91">
        <f t="shared" si="1"/>
        <v>0</v>
      </c>
      <c r="L13" s="91">
        <f t="shared" si="1"/>
        <v>0</v>
      </c>
      <c r="M13" s="52">
        <f>SUM(C13:G13)</f>
        <v>0</v>
      </c>
      <c r="N13" s="52"/>
    </row>
    <row r="14" spans="1:14" x14ac:dyDescent="0.15">
      <c r="A14" s="26" t="s">
        <v>43</v>
      </c>
      <c r="B14" s="50">
        <f>'Early Facility Retirement'!M14+'Installation&amp;System Integration'!M14+'Cogeneration&amp;Waste Heat Recover'!M14+'Improvement in Eqpt Efficiency'!M14</f>
        <v>0</v>
      </c>
      <c r="C14" s="50">
        <f>'Early Facility Retirement'!N14+'Installation&amp;System Integration'!N14+'Cogeneration&amp;Waste Heat Recover'!N14+'Improvement in Eqpt Efficiency'!N14</f>
        <v>0</v>
      </c>
      <c r="D14" s="50">
        <f>'Early Facility Retirement'!O14+'Installation&amp;System Integration'!O14+'Cogeneration&amp;Waste Heat Recover'!O14+'Improvement in Eqpt Efficiency'!O14</f>
        <v>0</v>
      </c>
      <c r="E14" s="50">
        <f>'Early Facility Retirement'!P14+'Installation&amp;System Integration'!P14+'Cogeneration&amp;Waste Heat Recover'!P14+'Improvement in Eqpt Efficiency'!P14</f>
        <v>0</v>
      </c>
      <c r="F14" s="50">
        <f>'Early Facility Retirement'!Q14+'Installation&amp;System Integration'!Q14+'Cogeneration&amp;Waste Heat Recover'!Q14+'Improvement in Eqpt Efficiency'!Q14</f>
        <v>0</v>
      </c>
      <c r="G14" s="50">
        <f>'Early Facility Retirement'!R14+'Installation&amp;System Integration'!R14+'Cogeneration&amp;Waste Heat Recover'!R14+'Improvement in Eqpt Efficiency'!R14</f>
        <v>0</v>
      </c>
      <c r="H14" s="50">
        <f>'Early Facility Retirement'!S14+'Installation&amp;System Integration'!S14+'Cogeneration&amp;Waste Heat Recover'!S14+'Improvement in Eqpt Efficiency'!S14</f>
        <v>0</v>
      </c>
      <c r="I14" s="50">
        <f>'Early Facility Retirement'!T14+'Installation&amp;System Integration'!T14+'Cogeneration&amp;Waste Heat Recover'!T14+'Improvement in Eqpt Efficiency'!T14</f>
        <v>0</v>
      </c>
      <c r="J14" s="91">
        <f t="shared" si="0"/>
        <v>0</v>
      </c>
      <c r="K14" s="91">
        <f t="shared" si="1"/>
        <v>0</v>
      </c>
      <c r="L14" s="91">
        <f t="shared" si="1"/>
        <v>0</v>
      </c>
      <c r="M14" s="52">
        <f>SUM(C14:G14)</f>
        <v>0</v>
      </c>
      <c r="N14" s="52"/>
    </row>
    <row r="15" spans="1:14" x14ac:dyDescent="0.15">
      <c r="A15" s="26" t="s">
        <v>56</v>
      </c>
      <c r="B15" s="50">
        <f>'Early Facility Retirement'!M15+'Installation&amp;System Integration'!M15+'Cogeneration&amp;Waste Heat Recover'!M15+'Improvement in Eqpt Efficiency'!M15</f>
        <v>8141.4494110706082</v>
      </c>
      <c r="C15" s="50">
        <f>'Early Facility Retirement'!N15+'Installation&amp;System Integration'!N15+'Cogeneration&amp;Waste Heat Recover'!N15+'Improvement in Eqpt Efficiency'!N15</f>
        <v>346.38466998317125</v>
      </c>
      <c r="D15" s="50">
        <f>'Early Facility Retirement'!O15+'Installation&amp;System Integration'!O15+'Cogeneration&amp;Waste Heat Recover'!O15+'Improvement in Eqpt Efficiency'!O15</f>
        <v>359.62466998317126</v>
      </c>
      <c r="E15" s="50">
        <f>'Early Facility Retirement'!P15+'Installation&amp;System Integration'!P15+'Cogeneration&amp;Waste Heat Recover'!P15+'Improvement in Eqpt Efficiency'!P15</f>
        <v>770.62466998317132</v>
      </c>
      <c r="F15" s="50">
        <f>'Early Facility Retirement'!Q15+'Installation&amp;System Integration'!Q15+'Cogeneration&amp;Waste Heat Recover'!Q15+'Improvement in Eqpt Efficiency'!Q15</f>
        <v>770.62466998317132</v>
      </c>
      <c r="G15" s="50">
        <f>'Early Facility Retirement'!R15+'Installation&amp;System Integration'!R15+'Cogeneration&amp;Waste Heat Recover'!R15+'Improvement in Eqpt Efficiency'!R15</f>
        <v>757.38466998317131</v>
      </c>
      <c r="H15" s="50">
        <f>'Early Facility Retirement'!S15+'Installation&amp;System Integration'!S15+'Cogeneration&amp;Waste Heat Recover'!S15+'Improvement in Eqpt Efficiency'!S15</f>
        <v>411</v>
      </c>
      <c r="I15" s="50">
        <f>'Early Facility Retirement'!T15+'Installation&amp;System Integration'!T15+'Cogeneration&amp;Waste Heat Recover'!T15+'Improvement in Eqpt Efficiency'!T15</f>
        <v>411</v>
      </c>
      <c r="J15" s="91">
        <f t="shared" si="0"/>
        <v>484.02286978974547</v>
      </c>
      <c r="K15" s="91">
        <f t="shared" si="1"/>
        <v>484.02286978974547</v>
      </c>
      <c r="L15" s="91">
        <f t="shared" si="1"/>
        <v>484.02286978974547</v>
      </c>
      <c r="M15" s="52">
        <f>SUM(C15:G15)</f>
        <v>3004.6433499158566</v>
      </c>
      <c r="N15" s="52"/>
    </row>
    <row r="16" spans="1:14" x14ac:dyDescent="0.15">
      <c r="A16" s="26" t="s">
        <v>45</v>
      </c>
      <c r="B16" s="50">
        <f>'Early Facility Retirement'!M16+'Installation&amp;System Integration'!M16+'Cogeneration&amp;Waste Heat Recover'!M16+'Improvement in Eqpt Efficiency'!M16</f>
        <v>20993.140892543335</v>
      </c>
      <c r="C16" s="50">
        <f>'Early Facility Retirement'!N16+'Installation&amp;System Integration'!N16+'Cogeneration&amp;Waste Heat Recover'!N16+'Improvement in Eqpt Efficiency'!N16</f>
        <v>322.38533001682879</v>
      </c>
      <c r="D16" s="50">
        <f>'Early Facility Retirement'!O16+'Installation&amp;System Integration'!O16+'Cogeneration&amp;Waste Heat Recover'!O16+'Improvement in Eqpt Efficiency'!O16</f>
        <v>778.18533001682886</v>
      </c>
      <c r="E16" s="50">
        <f>'Early Facility Retirement'!P16+'Installation&amp;System Integration'!P16+'Cogeneration&amp;Waste Heat Recover'!P16+'Improvement in Eqpt Efficiency'!P16</f>
        <v>1451.7292883359053</v>
      </c>
      <c r="F16" s="50">
        <f>'Early Facility Retirement'!Q16+'Installation&amp;System Integration'!Q16+'Cogeneration&amp;Waste Heat Recover'!Q16+'Improvement in Eqpt Efficiency'!Q16</f>
        <v>1451.7292883359053</v>
      </c>
      <c r="G16" s="50">
        <f>'Early Facility Retirement'!R16+'Installation&amp;System Integration'!R16+'Cogeneration&amp;Waste Heat Recover'!R16+'Improvement in Eqpt Efficiency'!R16</f>
        <v>995.92928833590543</v>
      </c>
      <c r="H16" s="50">
        <f>'Early Facility Retirement'!S16+'Installation&amp;System Integration'!S16+'Cogeneration&amp;Waste Heat Recover'!S16+'Improvement in Eqpt Efficiency'!S16</f>
        <v>673.54395831907664</v>
      </c>
      <c r="I16" s="50">
        <f>'Early Facility Retirement'!T16+'Installation&amp;System Integration'!T16+'Cogeneration&amp;Waste Heat Recover'!T16+'Improvement in Eqpt Efficiency'!T16</f>
        <v>673.54395831907664</v>
      </c>
      <c r="J16" s="91">
        <f t="shared" si="0"/>
        <v>793.21333244560617</v>
      </c>
      <c r="K16" s="91">
        <f t="shared" si="1"/>
        <v>793.21333244560617</v>
      </c>
      <c r="L16" s="91">
        <f t="shared" si="1"/>
        <v>793.21333244560617</v>
      </c>
      <c r="M16" s="52">
        <f>SUM(C16:G16)</f>
        <v>4999.9585250413738</v>
      </c>
      <c r="N16" s="52"/>
    </row>
    <row r="17" spans="1:14" x14ac:dyDescent="0.15">
      <c r="A17" s="26" t="s">
        <v>46</v>
      </c>
      <c r="B17" s="50">
        <f>'Early Facility Retirement'!M17+'Installation&amp;System Integration'!M17+'Cogeneration&amp;Waste Heat Recover'!M17+'Improvement in Eqpt Efficiency'!M17</f>
        <v>1166.5615215290904</v>
      </c>
      <c r="C17" s="50">
        <f>'Early Facility Retirement'!N17+'Installation&amp;System Integration'!N17+'Cogeneration&amp;Waste Heat Recover'!N17+'Improvement in Eqpt Efficiency'!N17</f>
        <v>10</v>
      </c>
      <c r="D17" s="50">
        <f>'Early Facility Retirement'!O17+'Installation&amp;System Integration'!O17+'Cogeneration&amp;Waste Heat Recover'!O17+'Improvement in Eqpt Efficiency'!O17</f>
        <v>63.43</v>
      </c>
      <c r="E17" s="50">
        <f>'Early Facility Retirement'!P17+'Installation&amp;System Integration'!P17+'Cogeneration&amp;Waste Heat Recover'!P17+'Improvement in Eqpt Efficiency'!P17</f>
        <v>141.38981881957571</v>
      </c>
      <c r="F17" s="50">
        <f>'Early Facility Retirement'!Q17+'Installation&amp;System Integration'!Q17+'Cogeneration&amp;Waste Heat Recover'!Q17+'Improvement in Eqpt Efficiency'!Q17</f>
        <v>141.38981881957571</v>
      </c>
      <c r="G17" s="50">
        <f>'Early Facility Retirement'!R17+'Installation&amp;System Integration'!R17+'Cogeneration&amp;Waste Heat Recover'!R17+'Improvement in Eqpt Efficiency'!R17</f>
        <v>87.959818819575716</v>
      </c>
      <c r="H17" s="50">
        <f>'Early Facility Retirement'!S17+'Installation&amp;System Integration'!S17+'Cogeneration&amp;Waste Heat Recover'!S17+'Improvement in Eqpt Efficiency'!S17</f>
        <v>77.959818819575716</v>
      </c>
      <c r="I17" s="50">
        <f>'Early Facility Retirement'!T17+'Installation&amp;System Integration'!T17+'Cogeneration&amp;Waste Heat Recover'!T17+'Improvement in Eqpt Efficiency'!T17</f>
        <v>77.959818819575716</v>
      </c>
      <c r="J17" s="91">
        <f t="shared" si="0"/>
        <v>91.811034630996701</v>
      </c>
      <c r="K17" s="91">
        <f t="shared" si="1"/>
        <v>91.811034630996701</v>
      </c>
      <c r="L17" s="91">
        <f t="shared" si="1"/>
        <v>91.811034630996701</v>
      </c>
      <c r="M17" s="52">
        <f>SUM(C17:G17)</f>
        <v>444.16945645872715</v>
      </c>
      <c r="N17" s="52"/>
    </row>
    <row r="18" spans="1:14" x14ac:dyDescent="0.15">
      <c r="A18" s="26" t="s">
        <v>47</v>
      </c>
      <c r="B18" s="50">
        <f>'Early Facility Retirement'!M18+'Installation&amp;System Integration'!M18+'Cogeneration&amp;Waste Heat Recover'!M18+'Improvement in Eqpt Efficiency'!M18</f>
        <v>0</v>
      </c>
      <c r="C18" s="50">
        <f>'Early Facility Retirement'!N18+'Installation&amp;System Integration'!N18+'Cogeneration&amp;Waste Heat Recover'!N18+'Improvement in Eqpt Efficiency'!N18</f>
        <v>0</v>
      </c>
      <c r="D18" s="50">
        <f>'Early Facility Retirement'!O18+'Installation&amp;System Integration'!O18+'Cogeneration&amp;Waste Heat Recover'!O18+'Improvement in Eqpt Efficiency'!O18</f>
        <v>0</v>
      </c>
      <c r="E18" s="50">
        <f>'Early Facility Retirement'!P18+'Installation&amp;System Integration'!P18+'Cogeneration&amp;Waste Heat Recover'!P18+'Improvement in Eqpt Efficiency'!P18</f>
        <v>0</v>
      </c>
      <c r="F18" s="50">
        <f>'Early Facility Retirement'!Q18+'Installation&amp;System Integration'!Q18+'Cogeneration&amp;Waste Heat Recover'!Q18+'Improvement in Eqpt Efficiency'!Q18</f>
        <v>0</v>
      </c>
      <c r="G18" s="50">
        <f>'Early Facility Retirement'!R18+'Installation&amp;System Integration'!R18+'Cogeneration&amp;Waste Heat Recover'!R18+'Improvement in Eqpt Efficiency'!R18</f>
        <v>0</v>
      </c>
      <c r="H18" s="50">
        <f>'Early Facility Retirement'!S18+'Installation&amp;System Integration'!S18+'Cogeneration&amp;Waste Heat Recover'!S18+'Improvement in Eqpt Efficiency'!S18</f>
        <v>0</v>
      </c>
      <c r="I18" s="50">
        <f>'Early Facility Retirement'!T18+'Installation&amp;System Integration'!T18+'Cogeneration&amp;Waste Heat Recover'!T18+'Improvement in Eqpt Efficiency'!T18</f>
        <v>0</v>
      </c>
      <c r="J18" s="91">
        <f t="shared" si="0"/>
        <v>0</v>
      </c>
      <c r="K18" s="91">
        <f t="shared" si="1"/>
        <v>0</v>
      </c>
      <c r="L18" s="91">
        <f t="shared" si="1"/>
        <v>0</v>
      </c>
      <c r="M18" s="52">
        <f>SUM(C18:G18)</f>
        <v>0</v>
      </c>
      <c r="N18" s="52"/>
    </row>
    <row r="19" spans="1:14" x14ac:dyDescent="0.15">
      <c r="A19" s="26" t="s">
        <v>48</v>
      </c>
      <c r="B19" s="50">
        <f>'Early Facility Retirement'!M19+'Installation&amp;System Integration'!M19+'Cogeneration&amp;Waste Heat Recover'!M19+'Improvement in Eqpt Efficiency'!M19</f>
        <v>202.38095238095238</v>
      </c>
      <c r="C19" s="50">
        <f>'Early Facility Retirement'!N19+'Installation&amp;System Integration'!N19+'Cogeneration&amp;Waste Heat Recover'!N19+'Improvement in Eqpt Efficiency'!N19</f>
        <v>0</v>
      </c>
      <c r="D19" s="50">
        <f>'Early Facility Retirement'!O19+'Installation&amp;System Integration'!O19+'Cogeneration&amp;Waste Heat Recover'!O19+'Improvement in Eqpt Efficiency'!O19</f>
        <v>0</v>
      </c>
      <c r="E19" s="50">
        <f>'Early Facility Retirement'!P19+'Installation&amp;System Integration'!P19+'Cogeneration&amp;Waste Heat Recover'!P19+'Improvement in Eqpt Efficiency'!P19</f>
        <v>41</v>
      </c>
      <c r="F19" s="50">
        <f>'Early Facility Retirement'!Q19+'Installation&amp;System Integration'!Q19+'Cogeneration&amp;Waste Heat Recover'!Q19+'Improvement in Eqpt Efficiency'!Q19</f>
        <v>41</v>
      </c>
      <c r="G19" s="50">
        <f>'Early Facility Retirement'!R19+'Installation&amp;System Integration'!R19+'Cogeneration&amp;Waste Heat Recover'!R19+'Improvement in Eqpt Efficiency'!R19</f>
        <v>41</v>
      </c>
      <c r="H19" s="50">
        <f>'Early Facility Retirement'!S19+'Installation&amp;System Integration'!S19+'Cogeneration&amp;Waste Heat Recover'!S19+'Improvement in Eqpt Efficiency'!S19</f>
        <v>41</v>
      </c>
      <c r="I19" s="50">
        <f>'Early Facility Retirement'!T19+'Installation&amp;System Integration'!T19+'Cogeneration&amp;Waste Heat Recover'!T19+'Improvement in Eqpt Efficiency'!T19</f>
        <v>41</v>
      </c>
      <c r="J19" s="91">
        <f t="shared" si="0"/>
        <v>48.284519857371201</v>
      </c>
      <c r="K19" s="91">
        <f t="shared" si="1"/>
        <v>48.284519857371201</v>
      </c>
      <c r="L19" s="91">
        <f t="shared" si="1"/>
        <v>48.284519857371201</v>
      </c>
      <c r="M19" s="52">
        <f>SUM(C19:G19)</f>
        <v>123</v>
      </c>
      <c r="N19" s="52"/>
    </row>
    <row r="20" spans="1:14" x14ac:dyDescent="0.15">
      <c r="A20" s="26" t="s">
        <v>49</v>
      </c>
      <c r="B20" s="50">
        <f>'Early Facility Retirement'!M20+'Installation&amp;System Integration'!M20+'Cogeneration&amp;Waste Heat Recover'!M20+'Improvement in Eqpt Efficiency'!M20</f>
        <v>500</v>
      </c>
      <c r="C20" s="50">
        <f>'Early Facility Retirement'!N20+'Installation&amp;System Integration'!N20+'Cogeneration&amp;Waste Heat Recover'!N20+'Improvement in Eqpt Efficiency'!N20</f>
        <v>0</v>
      </c>
      <c r="D20" s="50">
        <f>'Early Facility Retirement'!O20+'Installation&amp;System Integration'!O20+'Cogeneration&amp;Waste Heat Recover'!O20+'Improvement in Eqpt Efficiency'!O20</f>
        <v>0</v>
      </c>
      <c r="E20" s="50">
        <f>'Early Facility Retirement'!P20+'Installation&amp;System Integration'!P20+'Cogeneration&amp;Waste Heat Recover'!P20+'Improvement in Eqpt Efficiency'!P20</f>
        <v>450</v>
      </c>
      <c r="F20" s="50">
        <f>'Early Facility Retirement'!Q20+'Installation&amp;System Integration'!Q20+'Cogeneration&amp;Waste Heat Recover'!Q20+'Improvement in Eqpt Efficiency'!Q20</f>
        <v>450</v>
      </c>
      <c r="G20" s="50">
        <f>'Early Facility Retirement'!R20+'Installation&amp;System Integration'!R20+'Cogeneration&amp;Waste Heat Recover'!R20+'Improvement in Eqpt Efficiency'!R20</f>
        <v>450</v>
      </c>
      <c r="H20" s="50">
        <f>'Early Facility Retirement'!S20+'Installation&amp;System Integration'!S20+'Cogeneration&amp;Waste Heat Recover'!S20+'Improvement in Eqpt Efficiency'!S20</f>
        <v>450</v>
      </c>
      <c r="I20" s="50">
        <f>'Early Facility Retirement'!T20+'Installation&amp;System Integration'!T20+'Cogeneration&amp;Waste Heat Recover'!T20+'Improvement in Eqpt Efficiency'!T20</f>
        <v>450</v>
      </c>
      <c r="J20" s="91">
        <f t="shared" si="0"/>
        <v>529.95204721504979</v>
      </c>
      <c r="K20" s="91">
        <f t="shared" si="1"/>
        <v>529.95204721504979</v>
      </c>
      <c r="L20" s="91">
        <f t="shared" si="1"/>
        <v>529.95204721504979</v>
      </c>
      <c r="M20" s="52">
        <f>SUM(C20:G20)</f>
        <v>1350</v>
      </c>
      <c r="N20" s="52"/>
    </row>
    <row r="21" spans="1:14" x14ac:dyDescent="0.15">
      <c r="A21" s="26" t="s">
        <v>50</v>
      </c>
      <c r="B21" s="50">
        <f>'Early Facility Retirement'!M21+'Installation&amp;System Integration'!M21+'Cogeneration&amp;Waste Heat Recover'!M21+'Improvement in Eqpt Efficiency'!M21</f>
        <v>0</v>
      </c>
      <c r="C21" s="50">
        <f>'Early Facility Retirement'!N21+'Installation&amp;System Integration'!N21+'Cogeneration&amp;Waste Heat Recover'!N21+'Improvement in Eqpt Efficiency'!N21</f>
        <v>0</v>
      </c>
      <c r="D21" s="50">
        <f>'Early Facility Retirement'!O21+'Installation&amp;System Integration'!O21+'Cogeneration&amp;Waste Heat Recover'!O21+'Improvement in Eqpt Efficiency'!O21</f>
        <v>0</v>
      </c>
      <c r="E21" s="50">
        <f>'Early Facility Retirement'!P21+'Installation&amp;System Integration'!P21+'Cogeneration&amp;Waste Heat Recover'!P21+'Improvement in Eqpt Efficiency'!P21</f>
        <v>0</v>
      </c>
      <c r="F21" s="50">
        <f>'Early Facility Retirement'!Q21+'Installation&amp;System Integration'!Q21+'Cogeneration&amp;Waste Heat Recover'!Q21+'Improvement in Eqpt Efficiency'!Q21</f>
        <v>0</v>
      </c>
      <c r="G21" s="50">
        <f>'Early Facility Retirement'!R21+'Installation&amp;System Integration'!R21+'Cogeneration&amp;Waste Heat Recover'!R21+'Improvement in Eqpt Efficiency'!R21</f>
        <v>0</v>
      </c>
      <c r="H21" s="50">
        <f>'Early Facility Retirement'!S21+'Installation&amp;System Integration'!S21+'Cogeneration&amp;Waste Heat Recover'!S21+'Improvement in Eqpt Efficiency'!S21</f>
        <v>0</v>
      </c>
      <c r="I21" s="50">
        <f>'Early Facility Retirement'!T21+'Installation&amp;System Integration'!T21+'Cogeneration&amp;Waste Heat Recover'!T21+'Improvement in Eqpt Efficiency'!T21</f>
        <v>0</v>
      </c>
      <c r="J21" s="91">
        <f t="shared" si="0"/>
        <v>0</v>
      </c>
      <c r="K21" s="91">
        <f t="shared" si="1"/>
        <v>0</v>
      </c>
      <c r="L21" s="91">
        <f t="shared" si="1"/>
        <v>0</v>
      </c>
      <c r="M21" s="52">
        <f>SUM(C21:G21)</f>
        <v>0</v>
      </c>
      <c r="N21" s="52"/>
    </row>
    <row r="22" spans="1:14" x14ac:dyDescent="0.15">
      <c r="A22" s="26" t="s">
        <v>81</v>
      </c>
      <c r="B22" s="50">
        <f>'Early Facility Retirement'!M22+'Installation&amp;System Integration'!M22+'Cogeneration&amp;Waste Heat Recover'!M22+'Improvement in Eqpt Efficiency'!M22</f>
        <v>264.0029741488226</v>
      </c>
      <c r="C22" s="50">
        <f>'Early Facility Retirement'!N22+'Installation&amp;System Integration'!N22+'Cogeneration&amp;Waste Heat Recover'!N22+'Improvement in Eqpt Efficiency'!N22</f>
        <v>0</v>
      </c>
      <c r="D22" s="50">
        <f>'Early Facility Retirement'!O22+'Installation&amp;System Integration'!O22+'Cogeneration&amp;Waste Heat Recover'!O22+'Improvement in Eqpt Efficiency'!O22</f>
        <v>11.818452195347508</v>
      </c>
      <c r="E22" s="50">
        <f>'Early Facility Retirement'!P22+'Installation&amp;System Integration'!P22+'Cogeneration&amp;Waste Heat Recover'!P22+'Improvement in Eqpt Efficiency'!P22</f>
        <v>11.818452195347508</v>
      </c>
      <c r="F22" s="50">
        <f>'Early Facility Retirement'!Q22+'Installation&amp;System Integration'!Q22+'Cogeneration&amp;Waste Heat Recover'!Q22+'Improvement in Eqpt Efficiency'!Q22</f>
        <v>11.818452195347508</v>
      </c>
      <c r="G22" s="50">
        <f>'Early Facility Retirement'!R22+'Installation&amp;System Integration'!R22+'Cogeneration&amp;Waste Heat Recover'!R22+'Improvement in Eqpt Efficiency'!R22</f>
        <v>0</v>
      </c>
      <c r="H22" s="50">
        <f>'Early Facility Retirement'!S22+'Installation&amp;System Integration'!S22+'Cogeneration&amp;Waste Heat Recover'!S22+'Improvement in Eqpt Efficiency'!S22</f>
        <v>0</v>
      </c>
      <c r="I22" s="50">
        <f>'Early Facility Retirement'!T22+'Installation&amp;System Integration'!T22+'Cogeneration&amp;Waste Heat Recover'!T22+'Improvement in Eqpt Efficiency'!T22</f>
        <v>0</v>
      </c>
      <c r="J22" s="91">
        <f t="shared" si="0"/>
        <v>0</v>
      </c>
      <c r="K22" s="91">
        <f t="shared" si="1"/>
        <v>0</v>
      </c>
      <c r="L22" s="91">
        <f t="shared" si="1"/>
        <v>0</v>
      </c>
      <c r="M22" s="52">
        <f>SUM(C22:G22)</f>
        <v>35.455356586042527</v>
      </c>
      <c r="N22" s="52"/>
    </row>
    <row r="23" spans="1:14" x14ac:dyDescent="0.15">
      <c r="A23" s="26" t="s">
        <v>71</v>
      </c>
      <c r="B23" s="50">
        <f>'Early Facility Retirement'!M23+'Installation&amp;System Integration'!M23+'Cogeneration&amp;Waste Heat Recover'!M23+'Improvement in Eqpt Efficiency'!M23</f>
        <v>206.91702585117741</v>
      </c>
      <c r="C23" s="50">
        <f>'Early Facility Retirement'!N23+'Installation&amp;System Integration'!N23+'Cogeneration&amp;Waste Heat Recover'!N23+'Improvement in Eqpt Efficiency'!N23</f>
        <v>15</v>
      </c>
      <c r="D23" s="50">
        <f>'Early Facility Retirement'!O23+'Installation&amp;System Integration'!O23+'Cogeneration&amp;Waste Heat Recover'!O23+'Improvement in Eqpt Efficiency'!O23</f>
        <v>22.10154780465249</v>
      </c>
      <c r="E23" s="50">
        <f>'Early Facility Retirement'!P23+'Installation&amp;System Integration'!P23+'Cogeneration&amp;Waste Heat Recover'!P23+'Improvement in Eqpt Efficiency'!P23</f>
        <v>22.10154780465249</v>
      </c>
      <c r="F23" s="50">
        <f>'Early Facility Retirement'!Q23+'Installation&amp;System Integration'!Q23+'Cogeneration&amp;Waste Heat Recover'!Q23+'Improvement in Eqpt Efficiency'!Q23</f>
        <v>22.10154780465249</v>
      </c>
      <c r="G23" s="50">
        <f>'Early Facility Retirement'!R23+'Installation&amp;System Integration'!R23+'Cogeneration&amp;Waste Heat Recover'!R23+'Improvement in Eqpt Efficiency'!R23</f>
        <v>15</v>
      </c>
      <c r="H23" s="50">
        <f>'Early Facility Retirement'!S23+'Installation&amp;System Integration'!S23+'Cogeneration&amp;Waste Heat Recover'!S23+'Improvement in Eqpt Efficiency'!S23</f>
        <v>0</v>
      </c>
      <c r="I23" s="50">
        <f>'Early Facility Retirement'!T23+'Installation&amp;System Integration'!T23+'Cogeneration&amp;Waste Heat Recover'!T23+'Improvement in Eqpt Efficiency'!T23</f>
        <v>0</v>
      </c>
      <c r="J23" s="91">
        <f t="shared" si="0"/>
        <v>0</v>
      </c>
      <c r="K23" s="91">
        <f t="shared" si="1"/>
        <v>0</v>
      </c>
      <c r="L23" s="91">
        <f t="shared" si="1"/>
        <v>0</v>
      </c>
      <c r="M23" s="52">
        <f>SUM(C23:G23)</f>
        <v>96.304643413957479</v>
      </c>
      <c r="N23" s="52"/>
    </row>
    <row r="24" spans="1:14" x14ac:dyDescent="0.15">
      <c r="A24" s="26" t="s">
        <v>53</v>
      </c>
      <c r="B24" s="50">
        <f>'Early Facility Retirement'!M24+'Installation&amp;System Integration'!M24+'Cogeneration&amp;Waste Heat Recover'!M24+'Improvement in Eqpt Efficiency'!M24</f>
        <v>0</v>
      </c>
      <c r="C24" s="50">
        <f>'Early Facility Retirement'!N24+'Installation&amp;System Integration'!N24+'Cogeneration&amp;Waste Heat Recover'!N24+'Improvement in Eqpt Efficiency'!N24</f>
        <v>0</v>
      </c>
      <c r="D24" s="50">
        <f>'Early Facility Retirement'!O24+'Installation&amp;System Integration'!O24+'Cogeneration&amp;Waste Heat Recover'!O24+'Improvement in Eqpt Efficiency'!O24</f>
        <v>0</v>
      </c>
      <c r="E24" s="50">
        <f>'Early Facility Retirement'!P24+'Installation&amp;System Integration'!P24+'Cogeneration&amp;Waste Heat Recover'!P24+'Improvement in Eqpt Efficiency'!P24</f>
        <v>0</v>
      </c>
      <c r="F24" s="50">
        <f>'Early Facility Retirement'!Q24+'Installation&amp;System Integration'!Q24+'Cogeneration&amp;Waste Heat Recover'!Q24+'Improvement in Eqpt Efficiency'!Q24</f>
        <v>0</v>
      </c>
      <c r="G24" s="50">
        <f>'Early Facility Retirement'!R24+'Installation&amp;System Integration'!R24+'Cogeneration&amp;Waste Heat Recover'!R24+'Improvement in Eqpt Efficiency'!R24</f>
        <v>0</v>
      </c>
      <c r="H24" s="50">
        <f>'Early Facility Retirement'!S24+'Installation&amp;System Integration'!S24+'Cogeneration&amp;Waste Heat Recover'!S24+'Improvement in Eqpt Efficiency'!S24</f>
        <v>0</v>
      </c>
      <c r="I24" s="50">
        <f>'Early Facility Retirement'!T24+'Installation&amp;System Integration'!T24+'Cogeneration&amp;Waste Heat Recover'!T24+'Improvement in Eqpt Efficiency'!T24</f>
        <v>0</v>
      </c>
      <c r="J24" s="91">
        <f t="shared" si="0"/>
        <v>0</v>
      </c>
      <c r="K24" s="91">
        <f t="shared" si="1"/>
        <v>0</v>
      </c>
      <c r="L24" s="91">
        <f t="shared" si="1"/>
        <v>0</v>
      </c>
      <c r="M24" s="52">
        <f>SUM(C24:G24)</f>
        <v>0</v>
      </c>
      <c r="N24" s="52"/>
    </row>
    <row r="25" spans="1:14" x14ac:dyDescent="0.15">
      <c r="A25" s="26" t="s">
        <v>76</v>
      </c>
      <c r="B25" s="50">
        <f>'Early Facility Retirement'!M25+'Installation&amp;System Integration'!M25+'Cogeneration&amp;Waste Heat Recover'!M25+'Improvement in Eqpt Efficiency'!M25</f>
        <v>152.59839080459773</v>
      </c>
      <c r="C25" s="50">
        <f>'Early Facility Retirement'!N25+'Installation&amp;System Integration'!N25+'Cogeneration&amp;Waste Heat Recover'!N25+'Improvement in Eqpt Efficiency'!N25</f>
        <v>0</v>
      </c>
      <c r="D25" s="50">
        <f>'Early Facility Retirement'!O25+'Installation&amp;System Integration'!O25+'Cogeneration&amp;Waste Heat Recover'!O25+'Improvement in Eqpt Efficiency'!O25</f>
        <v>44.701999999999998</v>
      </c>
      <c r="E25" s="50">
        <f>'Early Facility Retirement'!P25+'Installation&amp;System Integration'!P25+'Cogeneration&amp;Waste Heat Recover'!P25+'Improvement in Eqpt Efficiency'!P25</f>
        <v>44.701999999999998</v>
      </c>
      <c r="F25" s="50">
        <f>'Early Facility Retirement'!Q25+'Installation&amp;System Integration'!Q25+'Cogeneration&amp;Waste Heat Recover'!Q25+'Improvement in Eqpt Efficiency'!Q25</f>
        <v>44.701999999999998</v>
      </c>
      <c r="G25" s="50">
        <f>'Early Facility Retirement'!R25+'Installation&amp;System Integration'!R25+'Cogeneration&amp;Waste Heat Recover'!R25+'Improvement in Eqpt Efficiency'!R25</f>
        <v>0</v>
      </c>
      <c r="H25" s="50">
        <f>'Early Facility Retirement'!S25+'Installation&amp;System Integration'!S25+'Cogeneration&amp;Waste Heat Recover'!S25+'Improvement in Eqpt Efficiency'!S25</f>
        <v>0</v>
      </c>
      <c r="I25" s="50">
        <f>'Early Facility Retirement'!T25+'Installation&amp;System Integration'!T25+'Cogeneration&amp;Waste Heat Recover'!T25+'Improvement in Eqpt Efficiency'!T25</f>
        <v>0</v>
      </c>
      <c r="J25" s="91">
        <f t="shared" si="0"/>
        <v>0</v>
      </c>
      <c r="K25" s="91">
        <f t="shared" si="1"/>
        <v>0</v>
      </c>
      <c r="L25" s="91">
        <f t="shared" si="1"/>
        <v>0</v>
      </c>
      <c r="M25" s="52">
        <f>SUM(C25:G25)</f>
        <v>134.10599999999999</v>
      </c>
      <c r="N25" s="52"/>
    </row>
    <row r="26" spans="1:14" x14ac:dyDescent="0.15">
      <c r="A26" s="26" t="s">
        <v>83</v>
      </c>
      <c r="B26" s="50">
        <f>'Early Facility Retirement'!M26+'Installation&amp;System Integration'!M26+'Cogeneration&amp;Waste Heat Recover'!M26+'Improvement in Eqpt Efficiency'!M26</f>
        <v>33.333333333333329</v>
      </c>
      <c r="C26" s="50">
        <f>'Early Facility Retirement'!N26+'Installation&amp;System Integration'!N26+'Cogeneration&amp;Waste Heat Recover'!N26+'Improvement in Eqpt Efficiency'!N26</f>
        <v>0</v>
      </c>
      <c r="D26" s="50">
        <f>'Early Facility Retirement'!O26+'Installation&amp;System Integration'!O26+'Cogeneration&amp;Waste Heat Recover'!O26+'Improvement in Eqpt Efficiency'!O26</f>
        <v>10</v>
      </c>
      <c r="E26" s="50">
        <f>'Early Facility Retirement'!P26+'Installation&amp;System Integration'!P26+'Cogeneration&amp;Waste Heat Recover'!P26+'Improvement in Eqpt Efficiency'!P26</f>
        <v>10</v>
      </c>
      <c r="F26" s="50">
        <f>'Early Facility Retirement'!Q26+'Installation&amp;System Integration'!Q26+'Cogeneration&amp;Waste Heat Recover'!Q26+'Improvement in Eqpt Efficiency'!Q26</f>
        <v>10</v>
      </c>
      <c r="G26" s="50">
        <f>'Early Facility Retirement'!R26+'Installation&amp;System Integration'!R26+'Cogeneration&amp;Waste Heat Recover'!R26+'Improvement in Eqpt Efficiency'!R26</f>
        <v>0</v>
      </c>
      <c r="H26" s="50">
        <f>'Early Facility Retirement'!S26+'Installation&amp;System Integration'!S26+'Cogeneration&amp;Waste Heat Recover'!S26+'Improvement in Eqpt Efficiency'!S26</f>
        <v>0</v>
      </c>
      <c r="I26" s="50">
        <f>'Early Facility Retirement'!T26+'Installation&amp;System Integration'!T26+'Cogeneration&amp;Waste Heat Recover'!T26+'Improvement in Eqpt Efficiency'!T26</f>
        <v>0</v>
      </c>
      <c r="J26" s="91">
        <f t="shared" si="0"/>
        <v>0</v>
      </c>
      <c r="K26" s="91">
        <f t="shared" si="1"/>
        <v>0</v>
      </c>
      <c r="L26" s="91">
        <f t="shared" si="1"/>
        <v>0</v>
      </c>
      <c r="M26" s="52">
        <f>SUM(C26:G26)</f>
        <v>30</v>
      </c>
      <c r="N26" s="52"/>
    </row>
    <row r="27" spans="1:14" x14ac:dyDescent="0.15">
      <c r="A27" s="26" t="s">
        <v>55</v>
      </c>
      <c r="B27" s="50">
        <f>'Early Facility Retirement'!M27+'Installation&amp;System Integration'!M27+'Cogeneration&amp;Waste Heat Recover'!M27+'Improvement in Eqpt Efficiency'!M27</f>
        <v>0</v>
      </c>
      <c r="C27" s="50">
        <f>'Early Facility Retirement'!N27+'Installation&amp;System Integration'!N27+'Cogeneration&amp;Waste Heat Recover'!N27+'Improvement in Eqpt Efficiency'!N27</f>
        <v>0</v>
      </c>
      <c r="D27" s="50">
        <f>'Early Facility Retirement'!O27+'Installation&amp;System Integration'!O27+'Cogeneration&amp;Waste Heat Recover'!O27+'Improvement in Eqpt Efficiency'!O27</f>
        <v>0</v>
      </c>
      <c r="E27" s="50">
        <f>'Early Facility Retirement'!P27+'Installation&amp;System Integration'!P27+'Cogeneration&amp;Waste Heat Recover'!P27+'Improvement in Eqpt Efficiency'!P27</f>
        <v>0</v>
      </c>
      <c r="F27" s="50">
        <f>'Early Facility Retirement'!Q27+'Installation&amp;System Integration'!Q27+'Cogeneration&amp;Waste Heat Recover'!Q27+'Improvement in Eqpt Efficiency'!Q27</f>
        <v>0</v>
      </c>
      <c r="G27" s="50">
        <f>'Early Facility Retirement'!R27+'Installation&amp;System Integration'!R27+'Cogeneration&amp;Waste Heat Recover'!R27+'Improvement in Eqpt Efficiency'!R27</f>
        <v>0</v>
      </c>
      <c r="H27" s="50">
        <f>'Early Facility Retirement'!S27+'Installation&amp;System Integration'!S27+'Cogeneration&amp;Waste Heat Recover'!S27+'Improvement in Eqpt Efficiency'!S27</f>
        <v>0</v>
      </c>
      <c r="I27" s="50">
        <f>'Early Facility Retirement'!T27+'Installation&amp;System Integration'!T27+'Cogeneration&amp;Waste Heat Recover'!T27+'Improvement in Eqpt Efficiency'!T27</f>
        <v>0</v>
      </c>
      <c r="J27" s="91">
        <f t="shared" si="0"/>
        <v>0</v>
      </c>
      <c r="K27" s="91">
        <f t="shared" si="1"/>
        <v>0</v>
      </c>
      <c r="L27" s="91">
        <f t="shared" si="1"/>
        <v>0</v>
      </c>
      <c r="M27" s="52">
        <f>SUM(C27:G27)</f>
        <v>0</v>
      </c>
      <c r="N27" s="52"/>
    </row>
    <row r="28" spans="1:14" x14ac:dyDescent="0.15">
      <c r="A28" s="62" t="s">
        <v>444</v>
      </c>
      <c r="B28" s="74">
        <f>'Early Facility Retirement'!M28+'Installation&amp;System Integration'!M28+'Cogeneration&amp;Waste Heat Recover'!M28+'Improvement in Eqpt Efficiency'!M28</f>
        <v>60612.787310968655</v>
      </c>
      <c r="C28" s="74">
        <f>'Early Facility Retirement'!N28+'Installation&amp;System Integration'!N28+'Cogeneration&amp;Waste Heat Recover'!N28+'Improvement in Eqpt Efficiency'!N28</f>
        <v>916.75</v>
      </c>
      <c r="D28" s="74">
        <f>'Early Facility Retirement'!O28+'Installation&amp;System Integration'!O28+'Cogeneration&amp;Waste Heat Recover'!O28+'Improvement in Eqpt Efficiency'!O28</f>
        <v>2437.4720000000002</v>
      </c>
      <c r="E28" s="74">
        <f>'Early Facility Retirement'!P28+'Installation&amp;System Integration'!P28+'Cogeneration&amp;Waste Heat Recover'!P28+'Improvement in Eqpt Efficiency'!P28</f>
        <v>5148.4719999999998</v>
      </c>
      <c r="F28" s="74">
        <f>'Early Facility Retirement'!Q28+'Installation&amp;System Integration'!Q28+'Cogeneration&amp;Waste Heat Recover'!Q28+'Improvement in Eqpt Efficiency'!Q28</f>
        <v>5148.4719999999998</v>
      </c>
      <c r="G28" s="74">
        <f>'Early Facility Retirement'!R28+'Installation&amp;System Integration'!R28+'Cogeneration&amp;Waste Heat Recover'!R28+'Improvement in Eqpt Efficiency'!R28</f>
        <v>3627.75</v>
      </c>
      <c r="H28" s="74">
        <f>'Early Facility Retirement'!S28+'Installation&amp;System Integration'!S28+'Cogeneration&amp;Waste Heat Recover'!S28+'Improvement in Eqpt Efficiency'!S28</f>
        <v>2711</v>
      </c>
      <c r="I28" s="74">
        <f>'Early Facility Retirement'!T28+'Installation&amp;System Integration'!T28+'Cogeneration&amp;Waste Heat Recover'!T28+'Improvement in Eqpt Efficiency'!T28</f>
        <v>2711</v>
      </c>
      <c r="J28" s="91">
        <f>(15000-SUM(H28:I28))/3</f>
        <v>3192.6666666666665</v>
      </c>
      <c r="K28" s="91">
        <f>$J$28</f>
        <v>3192.6666666666665</v>
      </c>
      <c r="L28" s="91">
        <f>$J$28</f>
        <v>3192.6666666666665</v>
      </c>
      <c r="M28" s="52">
        <f>SUM(C28:G28)</f>
        <v>17278.915999999997</v>
      </c>
    </row>
    <row r="29" spans="1:14" x14ac:dyDescent="0.15">
      <c r="H29" s="21" t="s">
        <v>466</v>
      </c>
    </row>
    <row r="31" spans="1:14" x14ac:dyDescent="0.15">
      <c r="A31" s="51" t="s">
        <v>464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</row>
    <row r="32" spans="1:14" x14ac:dyDescent="0.15">
      <c r="A32" s="26" t="s">
        <v>384</v>
      </c>
      <c r="B32" s="46">
        <v>2060</v>
      </c>
      <c r="C32" s="20">
        <v>2021</v>
      </c>
      <c r="D32" s="20">
        <v>2022</v>
      </c>
      <c r="E32" s="20">
        <v>2023</v>
      </c>
      <c r="F32" s="20">
        <v>2024</v>
      </c>
      <c r="G32" s="20">
        <v>2025</v>
      </c>
      <c r="H32" s="20">
        <v>2026</v>
      </c>
      <c r="I32" s="20">
        <v>2027</v>
      </c>
      <c r="J32" s="20">
        <v>2028</v>
      </c>
      <c r="K32" s="20">
        <v>2029</v>
      </c>
      <c r="L32" s="20">
        <v>2030</v>
      </c>
    </row>
    <row r="33" spans="1:12" x14ac:dyDescent="0.15">
      <c r="A33" s="26" t="s">
        <v>99</v>
      </c>
      <c r="B33" s="89">
        <f>B3*$N$2/BIFUbC!AQ2</f>
        <v>0</v>
      </c>
      <c r="C33" s="59">
        <f>C3*$N$2/BIFUbC!D2</f>
        <v>0</v>
      </c>
      <c r="D33" s="59">
        <f>D3*$N$2/BIFUbC!E2</f>
        <v>0</v>
      </c>
      <c r="E33" s="59">
        <f>E3*$N$2/BIFUbC!F2</f>
        <v>0</v>
      </c>
      <c r="F33" s="59">
        <f>F3*$N$2/BIFUbC!G2</f>
        <v>0</v>
      </c>
      <c r="G33" s="59">
        <f>G3*$N$2/BIFUbC!H2</f>
        <v>0</v>
      </c>
      <c r="H33" s="59">
        <f>H3*$N$2/BIFUbC!I2</f>
        <v>0</v>
      </c>
      <c r="I33" s="59">
        <f>I3*$N$2/BIFUbC!J2</f>
        <v>0</v>
      </c>
      <c r="J33" s="59">
        <f>J3*$N$2/BIFUbC!K2</f>
        <v>0</v>
      </c>
      <c r="K33" s="59">
        <f>K3*$N$2/BIFUbC!L2</f>
        <v>0</v>
      </c>
      <c r="L33" s="59">
        <f>L3*$N$2/BIFUbC!M2</f>
        <v>0</v>
      </c>
    </row>
    <row r="34" spans="1:12" x14ac:dyDescent="0.15">
      <c r="A34" s="26" t="s">
        <v>35</v>
      </c>
      <c r="B34" s="89">
        <f>B4*$N$2/BIFUbC!AQ3</f>
        <v>3.7353104910868677E-2</v>
      </c>
      <c r="C34" s="75">
        <f>C4*$N$2/BIFUbC!D3</f>
        <v>0</v>
      </c>
      <c r="D34" s="75">
        <f>D4*$N$2/BIFUbC!E3</f>
        <v>7.1576116484427547E-4</v>
      </c>
      <c r="E34" s="75">
        <f>E4*$N$2/BIFUbC!F3</f>
        <v>5.5785104512472185E-3</v>
      </c>
      <c r="F34" s="75">
        <f>F4*$N$2/BIFUbC!G3</f>
        <v>5.3060322225412888E-3</v>
      </c>
      <c r="G34" s="75">
        <f>G4*$N$2/BIFUbC!H3</f>
        <v>4.4553594999148516E-3</v>
      </c>
      <c r="H34" s="75">
        <f>H4*$N$2/BIFUbC!I3</f>
        <v>4.3843133944666919E-3</v>
      </c>
      <c r="I34" s="59">
        <f>I4*$N$2/BIFUbC!J3</f>
        <v>4.3155139304021598E-3</v>
      </c>
      <c r="J34" s="59">
        <f>J4*$N$2/BIFUbC!K3</f>
        <v>5.0037556551327895E-3</v>
      </c>
      <c r="K34" s="59">
        <f>K4*$N$2/BIFUbC!L3</f>
        <v>4.9276610712788776E-3</v>
      </c>
      <c r="L34" s="59">
        <f>L4*$N$2/BIFUbC!M3</f>
        <v>4.8538638222207116E-3</v>
      </c>
    </row>
    <row r="35" spans="1:12" x14ac:dyDescent="0.15">
      <c r="A35" s="26" t="s">
        <v>67</v>
      </c>
      <c r="B35" s="89">
        <f>B5*$N$2/BIFUbC!AQ4</f>
        <v>0.1486591911597672</v>
      </c>
      <c r="C35" s="75">
        <f>C5*$N$2/BIFUbC!D4</f>
        <v>3.6953344223383859E-2</v>
      </c>
      <c r="D35" s="75">
        <f>D5*$N$2/BIFUbC!E4</f>
        <v>3.4703380200605989E-2</v>
      </c>
      <c r="E35" s="75">
        <f>E5*$N$2/BIFUbC!F4</f>
        <v>3.1602399446387305E-2</v>
      </c>
      <c r="F35" s="75">
        <f>F5*$N$2/BIFUbC!G4</f>
        <v>2.9943667310750412E-2</v>
      </c>
      <c r="G35" s="75">
        <f>G5*$N$2/BIFUbC!H4</f>
        <v>2.7850157182327917E-2</v>
      </c>
      <c r="H35" s="75">
        <f>H5*$N$2/BIFUbC!I4</f>
        <v>0</v>
      </c>
      <c r="I35" s="59">
        <f>I5*$N$2/BIFUbC!J4</f>
        <v>0</v>
      </c>
      <c r="J35" s="59">
        <f>J5*$N$2/BIFUbC!K4</f>
        <v>0</v>
      </c>
      <c r="K35" s="59">
        <f>K5*$N$2/BIFUbC!L4</f>
        <v>0</v>
      </c>
      <c r="L35" s="59">
        <f>L5*$N$2/BIFUbC!M4</f>
        <v>0</v>
      </c>
    </row>
    <row r="36" spans="1:12" x14ac:dyDescent="0.15">
      <c r="A36" s="26" t="s">
        <v>100</v>
      </c>
      <c r="B36" s="89">
        <f>B6*$N$2/BIFUbC!AQ5</f>
        <v>0</v>
      </c>
      <c r="C36" s="75">
        <f>C6*$N$2/BIFUbC!D5</f>
        <v>0</v>
      </c>
      <c r="D36" s="75">
        <f>D6*$N$2/BIFUbC!E5</f>
        <v>0</v>
      </c>
      <c r="E36" s="75">
        <f>E6*$N$2/BIFUbC!F5</f>
        <v>0</v>
      </c>
      <c r="F36" s="75">
        <f>F6*$N$2/BIFUbC!G5</f>
        <v>0</v>
      </c>
      <c r="G36" s="75">
        <f>G6*$N$2/BIFUbC!H5</f>
        <v>0</v>
      </c>
      <c r="H36" s="75">
        <f>H6*$N$2/BIFUbC!I5</f>
        <v>0</v>
      </c>
      <c r="I36" s="59">
        <f>I6*$N$2/BIFUbC!J5</f>
        <v>0</v>
      </c>
      <c r="J36" s="59">
        <f>J6*$N$2/BIFUbC!K5</f>
        <v>0</v>
      </c>
      <c r="K36" s="59">
        <f>K6*$N$2/BIFUbC!L5</f>
        <v>0</v>
      </c>
      <c r="L36" s="59">
        <f>L6*$N$2/BIFUbC!M5</f>
        <v>0</v>
      </c>
    </row>
    <row r="37" spans="1:12" x14ac:dyDescent="0.15">
      <c r="A37" s="26" t="s">
        <v>101</v>
      </c>
      <c r="B37" s="89">
        <f>B7*$N$2/BIFUbC!AQ6</f>
        <v>0</v>
      </c>
      <c r="C37" s="75">
        <f>C7*$N$2/BIFUbC!D6</f>
        <v>0</v>
      </c>
      <c r="D37" s="75">
        <f>D7*$N$2/BIFUbC!E6</f>
        <v>0</v>
      </c>
      <c r="E37" s="75">
        <f>E7*$N$2/BIFUbC!F6</f>
        <v>0</v>
      </c>
      <c r="F37" s="75">
        <f>F7*$N$2/BIFUbC!G6</f>
        <v>0</v>
      </c>
      <c r="G37" s="75">
        <f>G7*$N$2/BIFUbC!H6</f>
        <v>0</v>
      </c>
      <c r="H37" s="75">
        <f>H7*$N$2/BIFUbC!I6</f>
        <v>0</v>
      </c>
      <c r="I37" s="59">
        <f>I7*$N$2/BIFUbC!J6</f>
        <v>0</v>
      </c>
      <c r="J37" s="59">
        <f>J7*$N$2/BIFUbC!K6</f>
        <v>0</v>
      </c>
      <c r="K37" s="59">
        <f>K7*$N$2/BIFUbC!L6</f>
        <v>0</v>
      </c>
      <c r="L37" s="59">
        <f>L7*$N$2/BIFUbC!M6</f>
        <v>0</v>
      </c>
    </row>
    <row r="38" spans="1:12" x14ac:dyDescent="0.15">
      <c r="A38" s="26" t="s">
        <v>72</v>
      </c>
      <c r="B38" s="89">
        <f>B8*$N$2/BIFUbC!AQ7</f>
        <v>0.12471769241552937</v>
      </c>
      <c r="C38" s="75">
        <f>C8*$N$2/BIFUbC!D7</f>
        <v>1.4922444642889332E-3</v>
      </c>
      <c r="D38" s="75">
        <f>D8*$N$2/BIFUbC!E7</f>
        <v>2.4154755939104172E-3</v>
      </c>
      <c r="E38" s="75">
        <f>E8*$N$2/BIFUbC!F7</f>
        <v>2.0590064053994765E-2</v>
      </c>
      <c r="F38" s="75">
        <f>F8*$N$2/BIFUbC!G7</f>
        <v>2.041823124312812E-2</v>
      </c>
      <c r="G38" s="75">
        <f>G8*$N$2/BIFUbC!H7</f>
        <v>1.9313750916821717E-2</v>
      </c>
      <c r="H38" s="75">
        <f>H8*$N$2/BIFUbC!I7</f>
        <v>1.7628361596145926E-2</v>
      </c>
      <c r="I38" s="59">
        <f>I8*$N$2/BIFUbC!J7</f>
        <v>1.7395590360410992E-2</v>
      </c>
      <c r="J38" s="59">
        <f>J8*$N$2/BIFUbC!K7</f>
        <v>2.0259267562228234E-2</v>
      </c>
      <c r="K38" s="59">
        <f>K8*$N$2/BIFUbC!L7</f>
        <v>2.0103626908001829E-2</v>
      </c>
      <c r="L38" s="59">
        <f>L8*$N$2/BIFUbC!M7</f>
        <v>2.0043388817910283E-2</v>
      </c>
    </row>
    <row r="39" spans="1:12" x14ac:dyDescent="0.15">
      <c r="A39" s="26" t="s">
        <v>38</v>
      </c>
      <c r="B39" s="89">
        <f>B9*$N$2/BIFUbC!AQ8</f>
        <v>0</v>
      </c>
      <c r="C39" s="75">
        <f>C9*$N$2/BIFUbC!D8</f>
        <v>0</v>
      </c>
      <c r="D39" s="75">
        <f>D9*$N$2/BIFUbC!E8</f>
        <v>0</v>
      </c>
      <c r="E39" s="75">
        <f>E9*$N$2/BIFUbC!F8</f>
        <v>0</v>
      </c>
      <c r="F39" s="75">
        <f>F9*$N$2/BIFUbC!G8</f>
        <v>0</v>
      </c>
      <c r="G39" s="75">
        <f>G9*$N$2/BIFUbC!H8</f>
        <v>0</v>
      </c>
      <c r="H39" s="75">
        <f>H9*$N$2/BIFUbC!I8</f>
        <v>0</v>
      </c>
      <c r="I39" s="59">
        <f>I9*$N$2/BIFUbC!J8</f>
        <v>0</v>
      </c>
      <c r="J39" s="59">
        <f>J9*$N$2/BIFUbC!K8</f>
        <v>0</v>
      </c>
      <c r="K39" s="59">
        <f>K9*$N$2/BIFUbC!L8</f>
        <v>0</v>
      </c>
      <c r="L39" s="59">
        <f>L9*$N$2/BIFUbC!M8</f>
        <v>0</v>
      </c>
    </row>
    <row r="40" spans="1:12" x14ac:dyDescent="0.15">
      <c r="A40" s="26" t="s">
        <v>68</v>
      </c>
      <c r="B40" s="89">
        <f>B10*$N$2/BIFUbC!AQ9</f>
        <v>0.12657100405338337</v>
      </c>
      <c r="C40" s="75">
        <f>C10*$N$2/BIFUbC!D9</f>
        <v>1.5421682704086101E-2</v>
      </c>
      <c r="D40" s="75">
        <f>D10*$N$2/BIFUbC!E9</f>
        <v>1.4540367345642458E-2</v>
      </c>
      <c r="E40" s="75">
        <f>E10*$N$2/BIFUbC!F9</f>
        <v>1.3478494173577736E-2</v>
      </c>
      <c r="F40" s="75">
        <f>F10*$N$2/BIFUbC!G9</f>
        <v>1.2905015608406E-2</v>
      </c>
      <c r="G40" s="75">
        <f>G10*$N$2/BIFUbC!H9</f>
        <v>1.236011150935672E-2</v>
      </c>
      <c r="H40" s="75">
        <f>H10*$N$2/BIFUbC!I9</f>
        <v>0</v>
      </c>
      <c r="I40" s="59">
        <f>I10*$N$2/BIFUbC!J9</f>
        <v>0</v>
      </c>
      <c r="J40" s="59">
        <f>J10*$N$2/BIFUbC!K9</f>
        <v>0</v>
      </c>
      <c r="K40" s="59">
        <f>K10*$N$2/BIFUbC!L9</f>
        <v>0</v>
      </c>
      <c r="L40" s="59">
        <f>L10*$N$2/BIFUbC!M9</f>
        <v>0</v>
      </c>
    </row>
    <row r="41" spans="1:12" x14ac:dyDescent="0.15">
      <c r="A41" s="26" t="s">
        <v>40</v>
      </c>
      <c r="B41" s="89">
        <f>B11*$N$2/BIFUbC!AQ10</f>
        <v>0.15492841441076619</v>
      </c>
      <c r="C41" s="75">
        <f>C11*$N$2/BIFUbC!D10</f>
        <v>0</v>
      </c>
      <c r="D41" s="75">
        <f>D11*$N$2/BIFUbC!E10</f>
        <v>2.6359379863574802E-3</v>
      </c>
      <c r="E41" s="75">
        <f>E11*$N$2/BIFUbC!F10</f>
        <v>5.5886125965200423E-3</v>
      </c>
      <c r="F41" s="75">
        <f>F11*$N$2/BIFUbC!G10</f>
        <v>5.2995109036563289E-3</v>
      </c>
      <c r="G41" s="75">
        <f>G11*$N$2/BIFUbC!H10</f>
        <v>2.8075597612752189E-3</v>
      </c>
      <c r="H41" s="75">
        <f>H11*$N$2/BIFUbC!I10</f>
        <v>2.7466105257433681E-3</v>
      </c>
      <c r="I41" s="59">
        <f>I11*$N$2/BIFUbC!J10</f>
        <v>2.6882548630113375E-3</v>
      </c>
      <c r="J41" s="59">
        <f>J11*$N$2/BIFUbC!K10</f>
        <v>3.1000200679771606E-3</v>
      </c>
      <c r="K41" s="59">
        <f>K11*$N$2/BIFUbC!L10</f>
        <v>3.0368479272246457E-3</v>
      </c>
      <c r="L41" s="59">
        <f>L11*$N$2/BIFUbC!M10</f>
        <v>2.9762026623645858E-3</v>
      </c>
    </row>
    <row r="42" spans="1:12" x14ac:dyDescent="0.15">
      <c r="A42" s="26" t="s">
        <v>41</v>
      </c>
      <c r="B42" s="89">
        <f>B12*$N$2/BIFUbC!AQ11</f>
        <v>8.3793354532208569E-2</v>
      </c>
      <c r="C42" s="75">
        <f>C12*$N$2/BIFUbC!D11</f>
        <v>1.1265763622953979E-3</v>
      </c>
      <c r="D42" s="75">
        <f>D12*$N$2/BIFUbC!E11</f>
        <v>9.4261663012652225E-3</v>
      </c>
      <c r="E42" s="75">
        <f>E12*$N$2/BIFUbC!F11</f>
        <v>1.4267179845398334E-2</v>
      </c>
      <c r="F42" s="75">
        <f>F12*$N$2/BIFUbC!G11</f>
        <v>1.341999157879187E-2</v>
      </c>
      <c r="G42" s="75">
        <f>G12*$N$2/BIFUbC!H11</f>
        <v>5.8633804206248879E-3</v>
      </c>
      <c r="H42" s="75">
        <f>H12*$N$2/BIFUbC!I11</f>
        <v>4.8537201736808212E-3</v>
      </c>
      <c r="I42" s="59">
        <f>I12*$N$2/BIFUbC!J11</f>
        <v>4.6878696861821761E-3</v>
      </c>
      <c r="J42" s="59">
        <f>J12*$N$2/BIFUbC!K11</f>
        <v>5.3397685433750368E-3</v>
      </c>
      <c r="K42" s="59">
        <f>K12*$N$2/BIFUbC!L11</f>
        <v>5.171533065034273E-3</v>
      </c>
      <c r="L42" s="59">
        <f>L12*$N$2/BIFUbC!M11</f>
        <v>5.0146749500210143E-3</v>
      </c>
    </row>
    <row r="43" spans="1:12" x14ac:dyDescent="0.15">
      <c r="A43" s="26" t="s">
        <v>42</v>
      </c>
      <c r="B43" s="89">
        <f>B13*$N$2/BIFUbC!AQ12</f>
        <v>0</v>
      </c>
      <c r="C43" s="75">
        <f>C13*$N$2/BIFUbC!D12</f>
        <v>0</v>
      </c>
      <c r="D43" s="75">
        <f>D13*$N$2/BIFUbC!E12</f>
        <v>0</v>
      </c>
      <c r="E43" s="75">
        <f>E13*$N$2/BIFUbC!F12</f>
        <v>0</v>
      </c>
      <c r="F43" s="75">
        <f>F13*$N$2/BIFUbC!G12</f>
        <v>0</v>
      </c>
      <c r="G43" s="75">
        <f>G13*$N$2/BIFUbC!H12</f>
        <v>0</v>
      </c>
      <c r="H43" s="75">
        <f>H13*$N$2/BIFUbC!I12</f>
        <v>0</v>
      </c>
      <c r="I43" s="59">
        <f>I13*$N$2/BIFUbC!J12</f>
        <v>0</v>
      </c>
      <c r="J43" s="59">
        <f>J13*$N$2/BIFUbC!K12</f>
        <v>0</v>
      </c>
      <c r="K43" s="59">
        <f>K13*$N$2/BIFUbC!L12</f>
        <v>0</v>
      </c>
      <c r="L43" s="59">
        <f>L13*$N$2/BIFUbC!M12</f>
        <v>0</v>
      </c>
    </row>
    <row r="44" spans="1:12" x14ac:dyDescent="0.15">
      <c r="A44" s="26" t="s">
        <v>43</v>
      </c>
      <c r="B44" s="89">
        <f>B14*$N$2/BIFUbC!AQ13</f>
        <v>0</v>
      </c>
      <c r="C44" s="75">
        <f>C14*$N$2/BIFUbC!D13</f>
        <v>0</v>
      </c>
      <c r="D44" s="75">
        <f>D14*$N$2/BIFUbC!E13</f>
        <v>0</v>
      </c>
      <c r="E44" s="75">
        <f>E14*$N$2/BIFUbC!F13</f>
        <v>0</v>
      </c>
      <c r="F44" s="75">
        <f>F14*$N$2/BIFUbC!G13</f>
        <v>0</v>
      </c>
      <c r="G44" s="75">
        <f>G14*$N$2/BIFUbC!H13</f>
        <v>0</v>
      </c>
      <c r="H44" s="75">
        <f>H14*$N$2/BIFUbC!I13</f>
        <v>0</v>
      </c>
      <c r="I44" s="59">
        <f>I14*$N$2/BIFUbC!J13</f>
        <v>0</v>
      </c>
      <c r="J44" s="59">
        <f>J14*$N$2/BIFUbC!K13</f>
        <v>0</v>
      </c>
      <c r="K44" s="59">
        <f>K14*$N$2/BIFUbC!L13</f>
        <v>0</v>
      </c>
      <c r="L44" s="59">
        <f>L14*$N$2/BIFUbC!M13</f>
        <v>0</v>
      </c>
    </row>
    <row r="45" spans="1:12" x14ac:dyDescent="0.15">
      <c r="A45" s="26" t="s">
        <v>56</v>
      </c>
      <c r="B45" s="89">
        <f>B15*$N$2/BIFUbC!AQ14</f>
        <v>0.4057218970045342</v>
      </c>
      <c r="C45" s="75">
        <f>C15*$N$2/BIFUbC!D14</f>
        <v>1.1629476913441721E-2</v>
      </c>
      <c r="D45" s="75">
        <f>D15*$N$2/BIFUbC!E14</f>
        <v>1.1890345650519274E-2</v>
      </c>
      <c r="E45" s="75">
        <f>E15*$N$2/BIFUbC!F14</f>
        <v>2.4559305131812242E-2</v>
      </c>
      <c r="F45" s="75">
        <f>F15*$N$2/BIFUbC!G14</f>
        <v>2.4259793804062135E-2</v>
      </c>
      <c r="G45" s="75">
        <f>G15*$N$2/BIFUbC!H14</f>
        <v>2.3556767496443386E-2</v>
      </c>
      <c r="H45" s="75">
        <f>H15*$N$2/BIFUbC!I14</f>
        <v>1.2626494409083736E-2</v>
      </c>
      <c r="I45" s="59">
        <f>I15*$N$2/BIFUbC!J14</f>
        <v>1.2473625175607784E-2</v>
      </c>
      <c r="J45" s="59">
        <f>J15*$N$2/BIFUbC!K14</f>
        <v>1.4514199573921374E-2</v>
      </c>
      <c r="K45" s="59">
        <f>K15*$N$2/BIFUbC!L14</f>
        <v>1.4342810477661906E-2</v>
      </c>
      <c r="L45" s="59">
        <f>L15*$N$2/BIFUbC!M14</f>
        <v>1.4175510354401273E-2</v>
      </c>
    </row>
    <row r="46" spans="1:12" x14ac:dyDescent="0.15">
      <c r="A46" s="26" t="s">
        <v>45</v>
      </c>
      <c r="B46" s="89">
        <f>B16*$N$2/BIFUbC!AQ15</f>
        <v>0.37592761150619713</v>
      </c>
      <c r="C46" s="75">
        <f>C16*$N$2/BIFUbC!D15</f>
        <v>4.2890921864852296E-3</v>
      </c>
      <c r="D46" s="75">
        <f>D16*$N$2/BIFUbC!E15</f>
        <v>9.8254522639035346E-3</v>
      </c>
      <c r="E46" s="75">
        <f>E16*$N$2/BIFUbC!F15</f>
        <v>1.7046306021505916E-2</v>
      </c>
      <c r="F46" s="75">
        <f>F16*$N$2/BIFUbC!G15</f>
        <v>1.6337035335302529E-2</v>
      </c>
      <c r="G46" s="75">
        <f>G16*$N$2/BIFUbC!H15</f>
        <v>1.0761596977634555E-2</v>
      </c>
      <c r="H46" s="75">
        <f>H16*$N$2/BIFUbC!I15</f>
        <v>7.1217833903814941E-3</v>
      </c>
      <c r="I46" s="59">
        <f>I16*$N$2/BIFUbC!J15</f>
        <v>6.9721814561719709E-3</v>
      </c>
      <c r="J46" s="59">
        <f>J16*$N$2/BIFUbC!K15</f>
        <v>8.0420976611777339E-3</v>
      </c>
      <c r="K46" s="59">
        <f>K16*$N$2/BIFUbC!L15</f>
        <v>7.8801505298012799E-3</v>
      </c>
      <c r="L46" s="59">
        <f>L16*$N$2/BIFUbC!M15</f>
        <v>7.724682463463685E-3</v>
      </c>
    </row>
    <row r="47" spans="1:12" x14ac:dyDescent="0.15">
      <c r="A47" s="26" t="s">
        <v>46</v>
      </c>
      <c r="B47" s="89">
        <f>B17*$N$2/BIFUbC!AQ16</f>
        <v>6.3748401030704685E-2</v>
      </c>
      <c r="C47" s="75">
        <f>C17*$N$2/BIFUbC!D16</f>
        <v>7.6386869771922041E-4</v>
      </c>
      <c r="D47" s="75">
        <f>D17*$N$2/BIFUbC!E16</f>
        <v>4.4456150312679847E-3</v>
      </c>
      <c r="E47" s="75">
        <f>E17*$N$2/BIFUbC!F16</f>
        <v>8.933928775250068E-3</v>
      </c>
      <c r="F47" s="75">
        <f>F17*$N$2/BIFUbC!G16</f>
        <v>8.3569961032322962E-3</v>
      </c>
      <c r="G47" s="75">
        <f>G17*$N$2/BIFUbC!H16</f>
        <v>4.8847675216610589E-3</v>
      </c>
      <c r="H47" s="75">
        <f>H17*$N$2/BIFUbC!I16</f>
        <v>4.1176613826028252E-3</v>
      </c>
      <c r="I47" s="59">
        <f>I17*$N$2/BIFUbC!J16</f>
        <v>3.9257546109622539E-3</v>
      </c>
      <c r="J47" s="59">
        <f>J17*$N$2/BIFUbC!K16</f>
        <v>4.4174897412327715E-3</v>
      </c>
      <c r="K47" s="59">
        <f>K17*$N$2/BIFUbC!L16</f>
        <v>4.2293724263821712E-3</v>
      </c>
      <c r="L47" s="59">
        <f>L17*$N$2/BIFUbC!M16</f>
        <v>4.0567208560612017E-3</v>
      </c>
    </row>
    <row r="48" spans="1:12" x14ac:dyDescent="0.15">
      <c r="A48" s="26" t="s">
        <v>47</v>
      </c>
      <c r="B48" s="89">
        <f>B18*$N$2/BIFUbC!AQ17</f>
        <v>0</v>
      </c>
      <c r="C48" s="75">
        <f>C18*$N$2/BIFUbC!D17</f>
        <v>0</v>
      </c>
      <c r="D48" s="75">
        <f>D18*$N$2/BIFUbC!E17</f>
        <v>0</v>
      </c>
      <c r="E48" s="75">
        <f>E18*$N$2/BIFUbC!F17</f>
        <v>0</v>
      </c>
      <c r="F48" s="75">
        <f>F18*$N$2/BIFUbC!G17</f>
        <v>0</v>
      </c>
      <c r="G48" s="75">
        <f>G18*$N$2/BIFUbC!H17</f>
        <v>0</v>
      </c>
      <c r="H48" s="75">
        <f>H18*$N$2/BIFUbC!I17</f>
        <v>0</v>
      </c>
      <c r="I48" s="59">
        <f>I18*$N$2/BIFUbC!J17</f>
        <v>0</v>
      </c>
      <c r="J48" s="59">
        <f>J18*$N$2/BIFUbC!K17</f>
        <v>0</v>
      </c>
      <c r="K48" s="59">
        <f>K18*$N$2/BIFUbC!L17</f>
        <v>0</v>
      </c>
      <c r="L48" s="59">
        <f>L18*$N$2/BIFUbC!M17</f>
        <v>0</v>
      </c>
    </row>
    <row r="49" spans="1:12" x14ac:dyDescent="0.15">
      <c r="A49" s="26" t="s">
        <v>48</v>
      </c>
      <c r="B49" s="89">
        <f>B19*$N$2/BIFUbC!AQ18</f>
        <v>1.8521351189149094E-2</v>
      </c>
      <c r="C49" s="75">
        <f>C19*$N$2/BIFUbC!D18</f>
        <v>0</v>
      </c>
      <c r="D49" s="75">
        <f>D19*$N$2/BIFUbC!E18</f>
        <v>0</v>
      </c>
      <c r="E49" s="75">
        <f>E19*$N$2/BIFUbC!F18</f>
        <v>1.064164092567964E-2</v>
      </c>
      <c r="F49" s="75">
        <f>F19*$N$2/BIFUbC!G18</f>
        <v>1.0005204603860096E-2</v>
      </c>
      <c r="G49" s="75">
        <f>G19*$N$2/BIFUbC!H18</f>
        <v>9.3157687785671902E-3</v>
      </c>
      <c r="H49" s="75">
        <f>H19*$N$2/BIFUbC!I18</f>
        <v>8.7629039367565619E-3</v>
      </c>
      <c r="I49" s="59">
        <f>I19*$N$2/BIFUbC!J18</f>
        <v>8.3501169483017629E-3</v>
      </c>
      <c r="J49" s="59">
        <f>J19*$N$2/BIFUbC!K18</f>
        <v>9.4530328342466927E-3</v>
      </c>
      <c r="K49" s="59">
        <f>K19*$N$2/BIFUbC!L18</f>
        <v>9.1291082481579737E-3</v>
      </c>
      <c r="L49" s="59">
        <f>L19*$N$2/BIFUbC!M18</f>
        <v>8.8202141897269128E-3</v>
      </c>
    </row>
    <row r="50" spans="1:12" x14ac:dyDescent="0.15">
      <c r="A50" s="26" t="s">
        <v>49</v>
      </c>
      <c r="B50" s="89">
        <f>B20*$N$2/BIFUbC!AQ19</f>
        <v>8.4359122643191467E-2</v>
      </c>
      <c r="C50" s="75">
        <f>C20*$N$2/BIFUbC!D19</f>
        <v>0</v>
      </c>
      <c r="D50" s="75">
        <f>D20*$N$2/BIFUbC!E19</f>
        <v>0</v>
      </c>
      <c r="E50" s="75">
        <f>E20*$N$2/BIFUbC!F19</f>
        <v>0.21802422721140607</v>
      </c>
      <c r="F50" s="75">
        <f>F20*$N$2/BIFUbC!G19</f>
        <v>0.20268392868983995</v>
      </c>
      <c r="G50" s="75">
        <f>G20*$N$2/BIFUbC!H19</f>
        <v>0.18583163233182062</v>
      </c>
      <c r="H50" s="75">
        <f>H20*$N$2/BIFUbC!I19</f>
        <v>0.17185247587492641</v>
      </c>
      <c r="I50" s="59">
        <f>I20*$N$2/BIFUbC!J19</f>
        <v>0.16097819065747929</v>
      </c>
      <c r="J50" s="59">
        <f>J20*$N$2/BIFUbC!K19</f>
        <v>0.17936192235082399</v>
      </c>
      <c r="K50" s="59">
        <f>K20*$N$2/BIFUbC!L19</f>
        <v>0.17090316270665484</v>
      </c>
      <c r="L50" s="59">
        <f>L20*$N$2/BIFUbC!M19</f>
        <v>0.16353226592448555</v>
      </c>
    </row>
    <row r="51" spans="1:12" x14ac:dyDescent="0.15">
      <c r="A51" s="26" t="s">
        <v>50</v>
      </c>
      <c r="B51" s="89">
        <f>B21*$N$2/BIFUbC!AQ20</f>
        <v>0</v>
      </c>
      <c r="C51" s="75">
        <f>C21*$N$2/BIFUbC!D20</f>
        <v>0</v>
      </c>
      <c r="D51" s="75">
        <f>D21*$N$2/BIFUbC!E20</f>
        <v>0</v>
      </c>
      <c r="E51" s="75">
        <f>E21*$N$2/BIFUbC!F20</f>
        <v>0</v>
      </c>
      <c r="F51" s="75">
        <f>F21*$N$2/BIFUbC!G20</f>
        <v>0</v>
      </c>
      <c r="G51" s="75">
        <f>G21*$N$2/BIFUbC!H20</f>
        <v>0</v>
      </c>
      <c r="H51" s="75">
        <f>H21*$N$2/BIFUbC!I20</f>
        <v>0</v>
      </c>
      <c r="I51" s="59">
        <f>I21*$N$2/BIFUbC!J20</f>
        <v>0</v>
      </c>
      <c r="J51" s="59">
        <f>J21*$N$2/BIFUbC!K20</f>
        <v>0</v>
      </c>
      <c r="K51" s="59">
        <f>K21*$N$2/BIFUbC!L20</f>
        <v>0</v>
      </c>
      <c r="L51" s="59">
        <f>L21*$N$2/BIFUbC!M20</f>
        <v>0</v>
      </c>
    </row>
    <row r="52" spans="1:12" x14ac:dyDescent="0.15">
      <c r="A52" s="26" t="s">
        <v>81</v>
      </c>
      <c r="B52" s="89">
        <f>B22*$N$2/BIFUbC!AQ21</f>
        <v>0.12940119996413715</v>
      </c>
      <c r="C52" s="75">
        <f>C22*$N$2/BIFUbC!D21</f>
        <v>0</v>
      </c>
      <c r="D52" s="75">
        <f>D22*$N$2/BIFUbC!E21</f>
        <v>8.2492844140623148E-3</v>
      </c>
      <c r="E52" s="75">
        <f>E22*$N$2/BIFUbC!F21</f>
        <v>7.447566029146941E-3</v>
      </c>
      <c r="F52" s="75">
        <f>F22*$N$2/BIFUbC!G21</f>
        <v>7.0093962014685903E-3</v>
      </c>
      <c r="G52" s="75">
        <f>G22*$N$2/BIFUbC!H21</f>
        <v>0</v>
      </c>
      <c r="H52" s="75">
        <f>H22*$N$2/BIFUbC!I21</f>
        <v>0</v>
      </c>
      <c r="I52" s="59">
        <f>I22*$N$2/BIFUbC!J21</f>
        <v>0</v>
      </c>
      <c r="J52" s="59">
        <f>J22*$N$2/BIFUbC!K21</f>
        <v>0</v>
      </c>
      <c r="K52" s="59">
        <f>K22*$N$2/BIFUbC!L21</f>
        <v>0</v>
      </c>
      <c r="L52" s="59">
        <f>L22*$N$2/BIFUbC!M21</f>
        <v>0</v>
      </c>
    </row>
    <row r="53" spans="1:12" x14ac:dyDescent="0.15">
      <c r="A53" s="26" t="s">
        <v>71</v>
      </c>
      <c r="B53" s="89">
        <f>B23*$N$2/BIFUbC!AQ22</f>
        <v>0.21144011283239555</v>
      </c>
      <c r="C53" s="75">
        <f>C23*$N$2/BIFUbC!D22</f>
        <v>1.7807893063818674E-2</v>
      </c>
      <c r="D53" s="75">
        <f>D23*$N$2/BIFUbC!E22</f>
        <v>2.5229517545338687E-2</v>
      </c>
      <c r="E53" s="75">
        <f>E23*$N$2/BIFUbC!F22</f>
        <v>2.439699253813829E-2</v>
      </c>
      <c r="F53" s="75">
        <f>F23*$N$2/BIFUbC!G22</f>
        <v>2.3928811861750353E-2</v>
      </c>
      <c r="G53" s="75">
        <f>G23*$N$2/BIFUbC!H22</f>
        <v>1.5855082625165218E-2</v>
      </c>
      <c r="H53" s="75">
        <f>H23*$N$2/BIFUbC!I22</f>
        <v>0</v>
      </c>
      <c r="I53" s="59">
        <f>I23*$N$2/BIFUbC!J22</f>
        <v>0</v>
      </c>
      <c r="J53" s="59">
        <f>J23*$N$2/BIFUbC!K22</f>
        <v>0</v>
      </c>
      <c r="K53" s="59">
        <f>K23*$N$2/BIFUbC!L22</f>
        <v>0</v>
      </c>
      <c r="L53" s="59">
        <f>L23*$N$2/BIFUbC!M22</f>
        <v>0</v>
      </c>
    </row>
    <row r="54" spans="1:12" x14ac:dyDescent="0.15">
      <c r="A54" s="26" t="s">
        <v>53</v>
      </c>
      <c r="B54" s="89">
        <f>B24*$N$2/BIFUbC!AQ23</f>
        <v>0</v>
      </c>
      <c r="C54" s="75">
        <f>C24*$N$2/BIFUbC!D23</f>
        <v>0</v>
      </c>
      <c r="D54" s="75">
        <f>D24*$N$2/BIFUbC!E23</f>
        <v>0</v>
      </c>
      <c r="E54" s="75">
        <f>E24*$N$2/BIFUbC!F23</f>
        <v>0</v>
      </c>
      <c r="F54" s="75">
        <f>F24*$N$2/BIFUbC!G23</f>
        <v>0</v>
      </c>
      <c r="G54" s="75">
        <f>G24*$N$2/BIFUbC!H23</f>
        <v>0</v>
      </c>
      <c r="H54" s="75">
        <f>H24*$N$2/BIFUbC!I23</f>
        <v>0</v>
      </c>
      <c r="I54" s="59">
        <f>I24*$N$2/BIFUbC!J23</f>
        <v>0</v>
      </c>
      <c r="J54" s="59">
        <f>J24*$N$2/BIFUbC!K23</f>
        <v>0</v>
      </c>
      <c r="K54" s="59">
        <f>K24*$N$2/BIFUbC!L23</f>
        <v>0</v>
      </c>
      <c r="L54" s="59">
        <f>L24*$N$2/BIFUbC!M23</f>
        <v>0</v>
      </c>
    </row>
    <row r="55" spans="1:12" x14ac:dyDescent="0.15">
      <c r="A55" s="26" t="s">
        <v>76</v>
      </c>
      <c r="B55" s="89">
        <f>B25*$N$2/BIFUbC!AQ24</f>
        <v>5.2491282444487673E-3</v>
      </c>
      <c r="C55" s="75">
        <f>C25*$N$2/BIFUbC!D24</f>
        <v>0</v>
      </c>
      <c r="D55" s="75">
        <f>D25*$N$2/BIFUbC!E24</f>
        <v>9.2497118252012483E-3</v>
      </c>
      <c r="E55" s="75">
        <f>E25*$N$2/BIFUbC!F24</f>
        <v>8.8092475724698017E-3</v>
      </c>
      <c r="F55" s="75">
        <f>F25*$N$2/BIFUbC!G24</f>
        <v>7.926908482778907E-3</v>
      </c>
      <c r="G55" s="75">
        <f>G25*$N$2/BIFUbC!H24</f>
        <v>0</v>
      </c>
      <c r="H55" s="75">
        <f>H25*$N$2/BIFUbC!I24</f>
        <v>0</v>
      </c>
      <c r="I55" s="59">
        <f>I25*$N$2/BIFUbC!J24</f>
        <v>0</v>
      </c>
      <c r="J55" s="59">
        <f>J25*$N$2/BIFUbC!K24</f>
        <v>0</v>
      </c>
      <c r="K55" s="59">
        <f>K25*$N$2/BIFUbC!L24</f>
        <v>0</v>
      </c>
      <c r="L55" s="59">
        <f>L25*$N$2/BIFUbC!M24</f>
        <v>0</v>
      </c>
    </row>
    <row r="56" spans="1:12" x14ac:dyDescent="0.15">
      <c r="A56" s="26" t="s">
        <v>83</v>
      </c>
      <c r="B56" s="89">
        <f>B26*$N$2/BIFUbC!AQ25</f>
        <v>3.3807519916099755E-3</v>
      </c>
      <c r="C56" s="75">
        <f>C26*$N$2/BIFUbC!D25</f>
        <v>0</v>
      </c>
      <c r="D56" s="75">
        <f>D26*$N$2/BIFUbC!E25</f>
        <v>4.8269232036851741E-3</v>
      </c>
      <c r="E56" s="75">
        <f>E26*$N$2/BIFUbC!F25</f>
        <v>4.5514659858676837E-3</v>
      </c>
      <c r="F56" s="75">
        <f>F26*$N$2/BIFUbC!G25</f>
        <v>4.2030578490602453E-3</v>
      </c>
      <c r="G56" s="75">
        <f>G26*$N$2/BIFUbC!H25</f>
        <v>0</v>
      </c>
      <c r="H56" s="75">
        <f>H26*$N$2/BIFUbC!I25</f>
        <v>0</v>
      </c>
      <c r="I56" s="59">
        <f>I26*$N$2/BIFUbC!J25</f>
        <v>0</v>
      </c>
      <c r="J56" s="59">
        <f>J26*$N$2/BIFUbC!K25</f>
        <v>0</v>
      </c>
      <c r="K56" s="59">
        <f>K26*$N$2/BIFUbC!L25</f>
        <v>0</v>
      </c>
      <c r="L56" s="59">
        <f>L26*$N$2/BIFUbC!M25</f>
        <v>0</v>
      </c>
    </row>
    <row r="57" spans="1:12" x14ac:dyDescent="0.15">
      <c r="A57" s="26" t="s">
        <v>55</v>
      </c>
      <c r="B57" s="89">
        <f>B27*$N$2/BIFUbC!AQ26</f>
        <v>0</v>
      </c>
      <c r="C57" s="75">
        <f>C27*$N$2/BIFUbC!D26</f>
        <v>0</v>
      </c>
      <c r="D57" s="75">
        <f>D27*$N$2/BIFUbC!E26</f>
        <v>0</v>
      </c>
      <c r="E57" s="75">
        <f>E27*$N$2/BIFUbC!F26</f>
        <v>0</v>
      </c>
      <c r="F57" s="75">
        <f>F27*$N$2/BIFUbC!G26</f>
        <v>0</v>
      </c>
      <c r="G57" s="75">
        <f>G27*$N$2/BIFUbC!H26</f>
        <v>0</v>
      </c>
      <c r="H57" s="75">
        <f>H27*$N$2/BIFUbC!I26</f>
        <v>0</v>
      </c>
      <c r="I57" s="59">
        <f>I27*$N$2/BIFUbC!J26</f>
        <v>0</v>
      </c>
      <c r="J57" s="59">
        <f>J27*$N$2/BIFUbC!K26</f>
        <v>0</v>
      </c>
      <c r="K57" s="59">
        <f>K27*$N$2/BIFUbC!L26</f>
        <v>0</v>
      </c>
      <c r="L57" s="59">
        <f>L27*$N$2/BIFUbC!M26</f>
        <v>0</v>
      </c>
    </row>
    <row r="58" spans="1:12" x14ac:dyDescent="0.15">
      <c r="A58" s="62" t="s">
        <v>445</v>
      </c>
      <c r="B58" s="90">
        <f>B28*$N$2/SUM(BIFUbC!AQ3:AQ26)</f>
        <v>0.14033686323551309</v>
      </c>
      <c r="C58" s="83">
        <f>C28*$N$2/SUM(BIFUbC!D2:D26)</f>
        <v>2.2885369664833212E-3</v>
      </c>
      <c r="D58" s="83">
        <f>D28*$N$2/SUM(BIFUbC!E2:E26)</f>
        <v>5.7295462833103217E-3</v>
      </c>
      <c r="E58" s="83">
        <f>E28*$N$2/SUM(BIFUbC!F2:F26)</f>
        <v>1.1318024304163005E-2</v>
      </c>
      <c r="F58" s="83">
        <f>F28*$N$2/SUM(BIFUbC!G2:G26)</f>
        <v>1.0778390931423399E-2</v>
      </c>
      <c r="G58" s="83">
        <f>G28*$N$2/SUM(BIFUbC!H2:H26)</f>
        <v>7.2444702804707987E-3</v>
      </c>
      <c r="H58" s="83">
        <f>H28*$N$2/SUM(BIFUbC!I2:I26)</f>
        <v>5.2639135338852566E-3</v>
      </c>
      <c r="I58" s="83">
        <f>I28*$N$2/SUM(BIFUbC!J2:J26)</f>
        <v>5.1264876394031961E-3</v>
      </c>
      <c r="J58" s="83">
        <f>J28*$N$2/SUM(BIFUbC!K2:K26)</f>
        <v>5.8862782294288978E-3</v>
      </c>
      <c r="K58" s="83">
        <f>K28*$N$2/SUM(BIFUbC!L2:L26)</f>
        <v>5.7447943415724944E-3</v>
      </c>
      <c r="L58" s="83">
        <f>L28*$N$2/SUM(BIFUbC!M2:M26)</f>
        <v>5.609374149196337E-3</v>
      </c>
    </row>
    <row r="61" spans="1:12" x14ac:dyDescent="0.15">
      <c r="A61" s="51" t="s">
        <v>451</v>
      </c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</row>
    <row r="62" spans="1:12" x14ac:dyDescent="0.15">
      <c r="A62" s="26" t="s">
        <v>384</v>
      </c>
      <c r="B62" s="46">
        <v>2060</v>
      </c>
      <c r="C62" s="20">
        <v>2021</v>
      </c>
      <c r="D62" s="20">
        <v>2022</v>
      </c>
      <c r="E62" s="20">
        <v>2023</v>
      </c>
      <c r="F62" s="20">
        <v>2024</v>
      </c>
      <c r="G62" s="20">
        <v>2025</v>
      </c>
      <c r="H62" s="20">
        <v>2026</v>
      </c>
      <c r="I62" s="20">
        <v>2027</v>
      </c>
      <c r="J62" s="20">
        <v>2028</v>
      </c>
      <c r="K62" s="20">
        <v>2029</v>
      </c>
      <c r="L62" s="20">
        <v>2030</v>
      </c>
    </row>
    <row r="63" spans="1:12" x14ac:dyDescent="0.15">
      <c r="A63" s="26" t="s">
        <v>99</v>
      </c>
      <c r="B63" s="58">
        <v>1</v>
      </c>
      <c r="C63" s="88">
        <f>IF(B33=0,0,C33/$B33)</f>
        <v>0</v>
      </c>
      <c r="D63" s="88">
        <f t="shared" ref="D63:I63" si="2">IF(C33=0,0,D33/$B33)</f>
        <v>0</v>
      </c>
      <c r="E63" s="88">
        <f t="shared" si="2"/>
        <v>0</v>
      </c>
      <c r="F63" s="88">
        <f t="shared" si="2"/>
        <v>0</v>
      </c>
      <c r="G63" s="88">
        <f t="shared" si="2"/>
        <v>0</v>
      </c>
      <c r="H63" s="88">
        <f t="shared" si="2"/>
        <v>0</v>
      </c>
      <c r="I63" s="88">
        <f t="shared" si="2"/>
        <v>0</v>
      </c>
      <c r="J63" s="88">
        <f t="shared" ref="J63" si="3">IF(I33=0,0,J33/$B33)</f>
        <v>0</v>
      </c>
      <c r="K63" s="88">
        <f t="shared" ref="K63" si="4">IF(J33=0,0,K33/$B33)</f>
        <v>0</v>
      </c>
      <c r="L63" s="88">
        <f t="shared" ref="L63" si="5">IF(K33=0,0,L33/$B33)</f>
        <v>0</v>
      </c>
    </row>
    <row r="64" spans="1:12" x14ac:dyDescent="0.15">
      <c r="A64" s="26" t="s">
        <v>35</v>
      </c>
      <c r="B64" s="58">
        <v>1</v>
      </c>
      <c r="C64" s="88">
        <f t="shared" ref="C64:I64" si="6">IF(B34=0,0,C34/$B34)</f>
        <v>0</v>
      </c>
      <c r="D64" s="88">
        <f t="shared" si="6"/>
        <v>0</v>
      </c>
      <c r="E64" s="88">
        <f t="shared" si="6"/>
        <v>0.14934529444228431</v>
      </c>
      <c r="F64" s="88">
        <f t="shared" si="6"/>
        <v>0.14205063368098717</v>
      </c>
      <c r="G64" s="88">
        <f t="shared" si="6"/>
        <v>0.11927681809975776</v>
      </c>
      <c r="H64" s="88">
        <f t="shared" si="6"/>
        <v>0.11737480471646101</v>
      </c>
      <c r="I64" s="88">
        <f t="shared" si="6"/>
        <v>0.11553293737427621</v>
      </c>
      <c r="J64" s="88">
        <f t="shared" ref="J64:J87" si="7">IF(I34=0,0,J34/$B34)</f>
        <v>0.1339582256166566</v>
      </c>
      <c r="K64" s="88">
        <f t="shared" ref="K64:K87" si="8">IF(J34=0,0,K34/$B34)</f>
        <v>0.13192105671100637</v>
      </c>
      <c r="L64" s="88">
        <f t="shared" ref="L64:L87" si="9">IF(K34=0,0,L34/$B34)</f>
        <v>0.12994539098698532</v>
      </c>
    </row>
    <row r="65" spans="1:12" x14ac:dyDescent="0.15">
      <c r="A65" s="26" t="s">
        <v>67</v>
      </c>
      <c r="B65" s="58">
        <v>1</v>
      </c>
      <c r="C65" s="88">
        <f t="shared" ref="C65:I65" si="10">IF(B35=0,0,C35/$B35)</f>
        <v>0.24857759506890706</v>
      </c>
      <c r="D65" s="88">
        <f t="shared" si="10"/>
        <v>0.23344254687427654</v>
      </c>
      <c r="E65" s="88">
        <f t="shared" si="10"/>
        <v>0.21258288303495163</v>
      </c>
      <c r="F65" s="88">
        <f t="shared" si="10"/>
        <v>0.2014249309251879</v>
      </c>
      <c r="G65" s="88">
        <f t="shared" si="10"/>
        <v>0.18734231610608429</v>
      </c>
      <c r="H65" s="88">
        <f t="shared" si="10"/>
        <v>0</v>
      </c>
      <c r="I65" s="88">
        <f t="shared" si="10"/>
        <v>0</v>
      </c>
      <c r="J65" s="88">
        <f t="shared" si="7"/>
        <v>0</v>
      </c>
      <c r="K65" s="88">
        <f t="shared" si="8"/>
        <v>0</v>
      </c>
      <c r="L65" s="88">
        <f t="shared" si="9"/>
        <v>0</v>
      </c>
    </row>
    <row r="66" spans="1:12" x14ac:dyDescent="0.15">
      <c r="A66" s="26" t="s">
        <v>100</v>
      </c>
      <c r="B66" s="58">
        <v>1</v>
      </c>
      <c r="C66" s="88">
        <f t="shared" ref="C66:I66" si="11">IF(B36=0,0,C36/$B36)</f>
        <v>0</v>
      </c>
      <c r="D66" s="88">
        <f t="shared" si="11"/>
        <v>0</v>
      </c>
      <c r="E66" s="88">
        <f t="shared" si="11"/>
        <v>0</v>
      </c>
      <c r="F66" s="88">
        <f t="shared" si="11"/>
        <v>0</v>
      </c>
      <c r="G66" s="88">
        <f t="shared" si="11"/>
        <v>0</v>
      </c>
      <c r="H66" s="88">
        <f t="shared" si="11"/>
        <v>0</v>
      </c>
      <c r="I66" s="88">
        <f t="shared" si="11"/>
        <v>0</v>
      </c>
      <c r="J66" s="88">
        <f t="shared" si="7"/>
        <v>0</v>
      </c>
      <c r="K66" s="88">
        <f t="shared" si="8"/>
        <v>0</v>
      </c>
      <c r="L66" s="88">
        <f t="shared" si="9"/>
        <v>0</v>
      </c>
    </row>
    <row r="67" spans="1:12" x14ac:dyDescent="0.15">
      <c r="A67" s="26" t="s">
        <v>101</v>
      </c>
      <c r="B67" s="58">
        <v>1</v>
      </c>
      <c r="C67" s="88">
        <f t="shared" ref="C67:I67" si="12">IF(B37=0,0,C37/$B37)</f>
        <v>0</v>
      </c>
      <c r="D67" s="88">
        <f t="shared" si="12"/>
        <v>0</v>
      </c>
      <c r="E67" s="88">
        <f t="shared" si="12"/>
        <v>0</v>
      </c>
      <c r="F67" s="88">
        <f t="shared" si="12"/>
        <v>0</v>
      </c>
      <c r="G67" s="88">
        <f t="shared" si="12"/>
        <v>0</v>
      </c>
      <c r="H67" s="88">
        <f t="shared" si="12"/>
        <v>0</v>
      </c>
      <c r="I67" s="88">
        <f t="shared" si="12"/>
        <v>0</v>
      </c>
      <c r="J67" s="88">
        <f t="shared" si="7"/>
        <v>0</v>
      </c>
      <c r="K67" s="88">
        <f t="shared" si="8"/>
        <v>0</v>
      </c>
      <c r="L67" s="88">
        <f t="shared" si="9"/>
        <v>0</v>
      </c>
    </row>
    <row r="68" spans="1:12" x14ac:dyDescent="0.15">
      <c r="A68" s="26" t="s">
        <v>72</v>
      </c>
      <c r="B68" s="58">
        <v>1</v>
      </c>
      <c r="C68" s="88">
        <f t="shared" ref="C68:I68" si="13">IF(B38=0,0,C38/$B38)</f>
        <v>1.1964978146942725E-2</v>
      </c>
      <c r="D68" s="88">
        <f t="shared" si="13"/>
        <v>1.9367545591387574E-2</v>
      </c>
      <c r="E68" s="88">
        <f t="shared" si="13"/>
        <v>0.16509336931438423</v>
      </c>
      <c r="F68" s="88">
        <f t="shared" si="13"/>
        <v>0.16371559517874562</v>
      </c>
      <c r="G68" s="88">
        <f t="shared" si="13"/>
        <v>0.15485975199471252</v>
      </c>
      <c r="H68" s="88">
        <f t="shared" si="13"/>
        <v>0.14134611741702582</v>
      </c>
      <c r="I68" s="88">
        <f t="shared" si="13"/>
        <v>0.13947973237392067</v>
      </c>
      <c r="J68" s="88">
        <f t="shared" si="7"/>
        <v>0.16244100712454834</v>
      </c>
      <c r="K68" s="88">
        <f t="shared" si="8"/>
        <v>0.161193063459043</v>
      </c>
      <c r="L68" s="88">
        <f t="shared" si="9"/>
        <v>0.16071006791186074</v>
      </c>
    </row>
    <row r="69" spans="1:12" x14ac:dyDescent="0.15">
      <c r="A69" s="26" t="s">
        <v>38</v>
      </c>
      <c r="B69" s="58">
        <v>1</v>
      </c>
      <c r="C69" s="88">
        <f t="shared" ref="C69:I69" si="14">IF(B39=0,0,C39/$B39)</f>
        <v>0</v>
      </c>
      <c r="D69" s="88">
        <f t="shared" si="14"/>
        <v>0</v>
      </c>
      <c r="E69" s="88">
        <f t="shared" si="14"/>
        <v>0</v>
      </c>
      <c r="F69" s="88">
        <f t="shared" si="14"/>
        <v>0</v>
      </c>
      <c r="G69" s="88">
        <f t="shared" si="14"/>
        <v>0</v>
      </c>
      <c r="H69" s="88">
        <f t="shared" si="14"/>
        <v>0</v>
      </c>
      <c r="I69" s="88">
        <f t="shared" si="14"/>
        <v>0</v>
      </c>
      <c r="J69" s="88">
        <f t="shared" si="7"/>
        <v>0</v>
      </c>
      <c r="K69" s="88">
        <f t="shared" si="8"/>
        <v>0</v>
      </c>
      <c r="L69" s="88">
        <f t="shared" si="9"/>
        <v>0</v>
      </c>
    </row>
    <row r="70" spans="1:12" x14ac:dyDescent="0.15">
      <c r="A70" s="26" t="s">
        <v>68</v>
      </c>
      <c r="B70" s="58">
        <v>1</v>
      </c>
      <c r="C70" s="88">
        <f t="shared" ref="C70:I70" si="15">IF(B40=0,0,C40/$B40)</f>
        <v>0.12184214559585667</v>
      </c>
      <c r="D70" s="88">
        <f t="shared" si="15"/>
        <v>0.11487913408279374</v>
      </c>
      <c r="E70" s="88">
        <f t="shared" si="15"/>
        <v>0.10648958878364402</v>
      </c>
      <c r="F70" s="88">
        <f t="shared" si="15"/>
        <v>0.10195870456208991</v>
      </c>
      <c r="G70" s="88">
        <f t="shared" si="15"/>
        <v>9.7653578730746607E-2</v>
      </c>
      <c r="H70" s="88">
        <f t="shared" si="15"/>
        <v>0</v>
      </c>
      <c r="I70" s="88">
        <f t="shared" si="15"/>
        <v>0</v>
      </c>
      <c r="J70" s="88">
        <f t="shared" si="7"/>
        <v>0</v>
      </c>
      <c r="K70" s="88">
        <f t="shared" si="8"/>
        <v>0</v>
      </c>
      <c r="L70" s="88">
        <f t="shared" si="9"/>
        <v>0</v>
      </c>
    </row>
    <row r="71" spans="1:12" x14ac:dyDescent="0.15">
      <c r="A71" s="26" t="s">
        <v>40</v>
      </c>
      <c r="B71" s="58">
        <v>1</v>
      </c>
      <c r="C71" s="88">
        <f t="shared" ref="C71:I71" si="16">IF(B41=0,0,C41/$B41)</f>
        <v>0</v>
      </c>
      <c r="D71" s="88">
        <f t="shared" si="16"/>
        <v>0</v>
      </c>
      <c r="E71" s="88">
        <f t="shared" si="16"/>
        <v>3.6072224825736562E-2</v>
      </c>
      <c r="F71" s="88">
        <f t="shared" si="16"/>
        <v>3.4206190799872145E-2</v>
      </c>
      <c r="G71" s="88">
        <f t="shared" si="16"/>
        <v>1.8121658134520467E-2</v>
      </c>
      <c r="H71" s="88">
        <f t="shared" si="16"/>
        <v>1.7728255570093165E-2</v>
      </c>
      <c r="I71" s="88">
        <f t="shared" si="16"/>
        <v>1.7351593464862355E-2</v>
      </c>
      <c r="J71" s="88">
        <f t="shared" si="7"/>
        <v>2.0009370648808086E-2</v>
      </c>
      <c r="K71" s="88">
        <f t="shared" si="8"/>
        <v>1.9601620133883012E-2</v>
      </c>
      <c r="L71" s="88">
        <f t="shared" si="9"/>
        <v>1.9210179576702395E-2</v>
      </c>
    </row>
    <row r="72" spans="1:12" x14ac:dyDescent="0.15">
      <c r="A72" s="26" t="s">
        <v>41</v>
      </c>
      <c r="B72" s="58">
        <v>1</v>
      </c>
      <c r="C72" s="88">
        <f t="shared" ref="C72:I72" si="17">IF(B42=0,0,C42/$B42)</f>
        <v>1.3444698193367631E-2</v>
      </c>
      <c r="D72" s="88">
        <f t="shared" si="17"/>
        <v>0.11249300560752683</v>
      </c>
      <c r="E72" s="88">
        <f t="shared" si="17"/>
        <v>0.17026624515807279</v>
      </c>
      <c r="F72" s="88">
        <f t="shared" si="17"/>
        <v>0.16015579819797621</v>
      </c>
      <c r="G72" s="88">
        <f t="shared" si="17"/>
        <v>6.9974289170761345E-2</v>
      </c>
      <c r="H72" s="88">
        <f t="shared" si="17"/>
        <v>5.792488200022048E-2</v>
      </c>
      <c r="I72" s="88">
        <f t="shared" si="17"/>
        <v>5.5945602277806511E-2</v>
      </c>
      <c r="J72" s="88">
        <f t="shared" si="7"/>
        <v>6.3725441870483082E-2</v>
      </c>
      <c r="K72" s="88">
        <f t="shared" si="8"/>
        <v>6.17176993796857E-2</v>
      </c>
      <c r="L72" s="88">
        <f t="shared" si="9"/>
        <v>5.9845735715157083E-2</v>
      </c>
    </row>
    <row r="73" spans="1:12" x14ac:dyDescent="0.15">
      <c r="A73" s="26" t="s">
        <v>42</v>
      </c>
      <c r="B73" s="58">
        <v>1</v>
      </c>
      <c r="C73" s="88">
        <f t="shared" ref="C73:I73" si="18">IF(B43=0,0,C43/$B43)</f>
        <v>0</v>
      </c>
      <c r="D73" s="88">
        <f t="shared" si="18"/>
        <v>0</v>
      </c>
      <c r="E73" s="88">
        <f t="shared" si="18"/>
        <v>0</v>
      </c>
      <c r="F73" s="88">
        <f t="shared" si="18"/>
        <v>0</v>
      </c>
      <c r="G73" s="88">
        <f t="shared" si="18"/>
        <v>0</v>
      </c>
      <c r="H73" s="88">
        <f t="shared" si="18"/>
        <v>0</v>
      </c>
      <c r="I73" s="88">
        <f t="shared" si="18"/>
        <v>0</v>
      </c>
      <c r="J73" s="88">
        <f t="shared" si="7"/>
        <v>0</v>
      </c>
      <c r="K73" s="88">
        <f t="shared" si="8"/>
        <v>0</v>
      </c>
      <c r="L73" s="88">
        <f t="shared" si="9"/>
        <v>0</v>
      </c>
    </row>
    <row r="74" spans="1:12" x14ac:dyDescent="0.15">
      <c r="A74" s="26" t="s">
        <v>43</v>
      </c>
      <c r="B74" s="58">
        <v>1</v>
      </c>
      <c r="C74" s="88">
        <f t="shared" ref="C74:I74" si="19">IF(B44=0,0,C44/$B44)</f>
        <v>0</v>
      </c>
      <c r="D74" s="88">
        <f t="shared" si="19"/>
        <v>0</v>
      </c>
      <c r="E74" s="88">
        <f t="shared" si="19"/>
        <v>0</v>
      </c>
      <c r="F74" s="88">
        <f t="shared" si="19"/>
        <v>0</v>
      </c>
      <c r="G74" s="88">
        <f t="shared" si="19"/>
        <v>0</v>
      </c>
      <c r="H74" s="88">
        <f t="shared" si="19"/>
        <v>0</v>
      </c>
      <c r="I74" s="88">
        <f t="shared" si="19"/>
        <v>0</v>
      </c>
      <c r="J74" s="88">
        <f t="shared" si="7"/>
        <v>0</v>
      </c>
      <c r="K74" s="88">
        <f t="shared" si="8"/>
        <v>0</v>
      </c>
      <c r="L74" s="88">
        <f t="shared" si="9"/>
        <v>0</v>
      </c>
    </row>
    <row r="75" spans="1:12" x14ac:dyDescent="0.15">
      <c r="A75" s="26" t="s">
        <v>56</v>
      </c>
      <c r="B75" s="58">
        <v>1</v>
      </c>
      <c r="C75" s="88">
        <f t="shared" ref="C75:I75" si="20">IF(B45=0,0,C45/$B45)</f>
        <v>2.8663665923142803E-2</v>
      </c>
      <c r="D75" s="88">
        <f t="shared" si="20"/>
        <v>2.9306640184585335E-2</v>
      </c>
      <c r="E75" s="88">
        <f t="shared" si="20"/>
        <v>6.0532362963731719E-2</v>
      </c>
      <c r="F75" s="88">
        <f t="shared" si="20"/>
        <v>5.9794144667008241E-2</v>
      </c>
      <c r="G75" s="88">
        <f t="shared" si="20"/>
        <v>5.8061365852728732E-2</v>
      </c>
      <c r="H75" s="88">
        <f t="shared" si="20"/>
        <v>3.1121057311192218E-2</v>
      </c>
      <c r="I75" s="88">
        <f t="shared" si="20"/>
        <v>3.0744274015529368E-2</v>
      </c>
      <c r="J75" s="88">
        <f t="shared" si="7"/>
        <v>3.577376444574587E-2</v>
      </c>
      <c r="K75" s="88">
        <f t="shared" si="8"/>
        <v>3.5351334457310833E-2</v>
      </c>
      <c r="L75" s="88">
        <f t="shared" si="9"/>
        <v>3.4938982734379884E-2</v>
      </c>
    </row>
    <row r="76" spans="1:12" x14ac:dyDescent="0.15">
      <c r="A76" s="26" t="s">
        <v>45</v>
      </c>
      <c r="B76" s="58">
        <v>1</v>
      </c>
      <c r="C76" s="88">
        <f t="shared" ref="C76:I76" si="21">IF(B46=0,0,C46/$B46)</f>
        <v>1.1409356629326826E-2</v>
      </c>
      <c r="D76" s="88">
        <f t="shared" si="21"/>
        <v>2.6136553855506204E-2</v>
      </c>
      <c r="E76" s="88">
        <f t="shared" si="21"/>
        <v>4.5344650139445553E-2</v>
      </c>
      <c r="F76" s="88">
        <f t="shared" si="21"/>
        <v>4.345792869495891E-2</v>
      </c>
      <c r="G76" s="88">
        <f t="shared" si="21"/>
        <v>2.8626779859337762E-2</v>
      </c>
      <c r="H76" s="88">
        <f t="shared" si="21"/>
        <v>1.8944560528148628E-2</v>
      </c>
      <c r="I76" s="88">
        <f t="shared" si="21"/>
        <v>1.8546606428394886E-2</v>
      </c>
      <c r="J76" s="88">
        <f t="shared" si="7"/>
        <v>2.1392676182938906E-2</v>
      </c>
      <c r="K76" s="88">
        <f t="shared" si="8"/>
        <v>2.0961882789690685E-2</v>
      </c>
      <c r="L76" s="88">
        <f t="shared" si="9"/>
        <v>2.0548324270499466E-2</v>
      </c>
    </row>
    <row r="77" spans="1:12" x14ac:dyDescent="0.15">
      <c r="A77" s="26" t="s">
        <v>46</v>
      </c>
      <c r="B77" s="58">
        <v>1</v>
      </c>
      <c r="C77" s="88">
        <f t="shared" ref="C77:I77" si="22">IF(B47=0,0,C47/$B47)</f>
        <v>1.1982554626763106E-2</v>
      </c>
      <c r="D77" s="88">
        <f t="shared" si="22"/>
        <v>6.9736886877001594E-2</v>
      </c>
      <c r="E77" s="88">
        <f t="shared" si="22"/>
        <v>0.14014357428270247</v>
      </c>
      <c r="F77" s="88">
        <f t="shared" si="22"/>
        <v>0.13109342302102783</v>
      </c>
      <c r="G77" s="88">
        <f t="shared" si="22"/>
        <v>7.662572617795213E-2</v>
      </c>
      <c r="H77" s="88">
        <f t="shared" si="22"/>
        <v>6.4592386883861388E-2</v>
      </c>
      <c r="I77" s="88">
        <f t="shared" si="22"/>
        <v>6.1582009077708437E-2</v>
      </c>
      <c r="J77" s="88">
        <f t="shared" si="7"/>
        <v>6.9295694790918266E-2</v>
      </c>
      <c r="K77" s="88">
        <f t="shared" si="8"/>
        <v>6.6344760935181352E-2</v>
      </c>
      <c r="L77" s="88">
        <f t="shared" si="9"/>
        <v>6.3636433078647178E-2</v>
      </c>
    </row>
    <row r="78" spans="1:12" x14ac:dyDescent="0.15">
      <c r="A78" s="26" t="s">
        <v>47</v>
      </c>
      <c r="B78" s="58">
        <v>1</v>
      </c>
      <c r="C78" s="88">
        <f t="shared" ref="C78:I78" si="23">IF(B48=0,0,C48/$B48)</f>
        <v>0</v>
      </c>
      <c r="D78" s="88">
        <f t="shared" si="23"/>
        <v>0</v>
      </c>
      <c r="E78" s="88">
        <f t="shared" si="23"/>
        <v>0</v>
      </c>
      <c r="F78" s="88">
        <f t="shared" si="23"/>
        <v>0</v>
      </c>
      <c r="G78" s="88">
        <f t="shared" si="23"/>
        <v>0</v>
      </c>
      <c r="H78" s="88">
        <f t="shared" si="23"/>
        <v>0</v>
      </c>
      <c r="I78" s="88">
        <f t="shared" si="23"/>
        <v>0</v>
      </c>
      <c r="J78" s="88">
        <f t="shared" si="7"/>
        <v>0</v>
      </c>
      <c r="K78" s="88">
        <f t="shared" si="8"/>
        <v>0</v>
      </c>
      <c r="L78" s="88">
        <f t="shared" si="9"/>
        <v>0</v>
      </c>
    </row>
    <row r="79" spans="1:12" x14ac:dyDescent="0.15">
      <c r="A79" s="26" t="s">
        <v>48</v>
      </c>
      <c r="B79" s="58">
        <v>1</v>
      </c>
      <c r="C79" s="88">
        <f t="shared" ref="C79:I79" si="24">IF(B49=0,0,C49/$B49)</f>
        <v>0</v>
      </c>
      <c r="D79" s="88">
        <f t="shared" si="24"/>
        <v>0</v>
      </c>
      <c r="E79" s="88">
        <f t="shared" si="24"/>
        <v>0</v>
      </c>
      <c r="F79" s="88">
        <f t="shared" si="24"/>
        <v>0.5401984175820681</v>
      </c>
      <c r="G79" s="88">
        <f t="shared" si="24"/>
        <v>0.50297457693178027</v>
      </c>
      <c r="H79" s="88">
        <f t="shared" si="24"/>
        <v>0.47312444147651556</v>
      </c>
      <c r="I79" s="88">
        <f t="shared" si="24"/>
        <v>0.450837353226894</v>
      </c>
      <c r="J79" s="88">
        <f t="shared" si="7"/>
        <v>0.51038570230150593</v>
      </c>
      <c r="K79" s="88">
        <f t="shared" si="8"/>
        <v>0.49289644988246573</v>
      </c>
      <c r="L79" s="88">
        <f t="shared" si="9"/>
        <v>0.47621872182275327</v>
      </c>
    </row>
    <row r="80" spans="1:12" x14ac:dyDescent="0.15">
      <c r="A80" s="26" t="s">
        <v>49</v>
      </c>
      <c r="B80" s="58">
        <v>1</v>
      </c>
      <c r="C80" s="88">
        <f t="shared" ref="C80:I80" si="25">IF(B50=0,0,C50/$B50)</f>
        <v>0</v>
      </c>
      <c r="D80" s="88">
        <f t="shared" si="25"/>
        <v>0</v>
      </c>
      <c r="E80" s="88">
        <f t="shared" si="25"/>
        <v>0</v>
      </c>
      <c r="F80" s="88">
        <f t="shared" si="25"/>
        <v>2.4026320134589301</v>
      </c>
      <c r="G80" s="88">
        <f t="shared" si="25"/>
        <v>2.2028635020046514</v>
      </c>
      <c r="H80" s="88">
        <f t="shared" si="25"/>
        <v>2.0371534279914236</v>
      </c>
      <c r="I80" s="88">
        <f t="shared" si="25"/>
        <v>1.9082487538230894</v>
      </c>
      <c r="J80" s="88">
        <f t="shared" si="7"/>
        <v>2.1261710260958968</v>
      </c>
      <c r="K80" s="88">
        <f t="shared" si="8"/>
        <v>2.025900191370094</v>
      </c>
      <c r="L80" s="88">
        <f t="shared" si="9"/>
        <v>1.9385249727663456</v>
      </c>
    </row>
    <row r="81" spans="1:12" x14ac:dyDescent="0.15">
      <c r="A81" s="26" t="s">
        <v>50</v>
      </c>
      <c r="B81" s="58">
        <v>1</v>
      </c>
      <c r="C81" s="88">
        <f t="shared" ref="C81:I81" si="26">IF(B51=0,0,C51/$B51)</f>
        <v>0</v>
      </c>
      <c r="D81" s="88">
        <f t="shared" si="26"/>
        <v>0</v>
      </c>
      <c r="E81" s="88">
        <f t="shared" si="26"/>
        <v>0</v>
      </c>
      <c r="F81" s="88">
        <f t="shared" si="26"/>
        <v>0</v>
      </c>
      <c r="G81" s="88">
        <f t="shared" si="26"/>
        <v>0</v>
      </c>
      <c r="H81" s="88">
        <f t="shared" si="26"/>
        <v>0</v>
      </c>
      <c r="I81" s="88">
        <f t="shared" si="26"/>
        <v>0</v>
      </c>
      <c r="J81" s="88">
        <f t="shared" si="7"/>
        <v>0</v>
      </c>
      <c r="K81" s="88">
        <f t="shared" si="8"/>
        <v>0</v>
      </c>
      <c r="L81" s="88">
        <f t="shared" si="9"/>
        <v>0</v>
      </c>
    </row>
    <row r="82" spans="1:12" x14ac:dyDescent="0.15">
      <c r="A82" s="26" t="s">
        <v>81</v>
      </c>
      <c r="B82" s="58">
        <v>1</v>
      </c>
      <c r="C82" s="88">
        <f t="shared" ref="C82:I82" si="27">IF(B52=0,0,C52/$B52)</f>
        <v>0</v>
      </c>
      <c r="D82" s="88">
        <f t="shared" si="27"/>
        <v>0</v>
      </c>
      <c r="E82" s="88">
        <f t="shared" si="27"/>
        <v>5.755407238272129E-2</v>
      </c>
      <c r="F82" s="88">
        <f t="shared" si="27"/>
        <v>5.416793819076799E-2</v>
      </c>
      <c r="G82" s="88">
        <f t="shared" si="27"/>
        <v>0</v>
      </c>
      <c r="H82" s="88">
        <f t="shared" si="27"/>
        <v>0</v>
      </c>
      <c r="I82" s="88">
        <f t="shared" si="27"/>
        <v>0</v>
      </c>
      <c r="J82" s="88">
        <f t="shared" si="7"/>
        <v>0</v>
      </c>
      <c r="K82" s="88">
        <f t="shared" si="8"/>
        <v>0</v>
      </c>
      <c r="L82" s="88">
        <f t="shared" si="9"/>
        <v>0</v>
      </c>
    </row>
    <row r="83" spans="1:12" x14ac:dyDescent="0.15">
      <c r="A83" s="26" t="s">
        <v>71</v>
      </c>
      <c r="B83" s="58">
        <v>1</v>
      </c>
      <c r="C83" s="88">
        <f t="shared" ref="C83:I83" si="28">IF(B53=0,0,C53/$B53)</f>
        <v>8.4221923764932163E-2</v>
      </c>
      <c r="D83" s="88">
        <f t="shared" si="28"/>
        <v>0.11932228566931211</v>
      </c>
      <c r="E83" s="88">
        <f t="shared" si="28"/>
        <v>0.11538488232588728</v>
      </c>
      <c r="F83" s="88">
        <f t="shared" si="28"/>
        <v>0.11317063513259783</v>
      </c>
      <c r="G83" s="88">
        <f t="shared" si="28"/>
        <v>7.4986162335872533E-2</v>
      </c>
      <c r="H83" s="88">
        <f t="shared" si="28"/>
        <v>0</v>
      </c>
      <c r="I83" s="88">
        <f t="shared" si="28"/>
        <v>0</v>
      </c>
      <c r="J83" s="88">
        <f t="shared" si="7"/>
        <v>0</v>
      </c>
      <c r="K83" s="88">
        <f t="shared" si="8"/>
        <v>0</v>
      </c>
      <c r="L83" s="88">
        <f t="shared" si="9"/>
        <v>0</v>
      </c>
    </row>
    <row r="84" spans="1:12" x14ac:dyDescent="0.15">
      <c r="A84" s="26" t="s">
        <v>53</v>
      </c>
      <c r="B84" s="58">
        <v>1</v>
      </c>
      <c r="C84" s="88">
        <f t="shared" ref="C84:I84" si="29">IF(B54=0,0,C54/$B54)</f>
        <v>0</v>
      </c>
      <c r="D84" s="88">
        <f t="shared" si="29"/>
        <v>0</v>
      </c>
      <c r="E84" s="88">
        <f t="shared" si="29"/>
        <v>0</v>
      </c>
      <c r="F84" s="88">
        <f t="shared" si="29"/>
        <v>0</v>
      </c>
      <c r="G84" s="88">
        <f t="shared" si="29"/>
        <v>0</v>
      </c>
      <c r="H84" s="88">
        <f t="shared" si="29"/>
        <v>0</v>
      </c>
      <c r="I84" s="88">
        <f t="shared" si="29"/>
        <v>0</v>
      </c>
      <c r="J84" s="88">
        <f t="shared" si="7"/>
        <v>0</v>
      </c>
      <c r="K84" s="88">
        <f t="shared" si="8"/>
        <v>0</v>
      </c>
      <c r="L84" s="88">
        <f t="shared" si="9"/>
        <v>0</v>
      </c>
    </row>
    <row r="85" spans="1:12" x14ac:dyDescent="0.15">
      <c r="A85" s="26" t="s">
        <v>76</v>
      </c>
      <c r="B85" s="58">
        <v>1</v>
      </c>
      <c r="C85" s="88">
        <f t="shared" ref="C85:I85" si="30">IF(B55=0,0,C55/$B55)</f>
        <v>0</v>
      </c>
      <c r="D85" s="88">
        <f t="shared" si="30"/>
        <v>0</v>
      </c>
      <c r="E85" s="88">
        <f t="shared" si="30"/>
        <v>1.6782305865333067</v>
      </c>
      <c r="F85" s="88">
        <f t="shared" si="30"/>
        <v>1.5101380864836051</v>
      </c>
      <c r="G85" s="88">
        <f t="shared" si="30"/>
        <v>0</v>
      </c>
      <c r="H85" s="88">
        <f t="shared" si="30"/>
        <v>0</v>
      </c>
      <c r="I85" s="88">
        <f t="shared" si="30"/>
        <v>0</v>
      </c>
      <c r="J85" s="88">
        <f t="shared" si="7"/>
        <v>0</v>
      </c>
      <c r="K85" s="88">
        <f t="shared" si="8"/>
        <v>0</v>
      </c>
      <c r="L85" s="88">
        <f t="shared" si="9"/>
        <v>0</v>
      </c>
    </row>
    <row r="86" spans="1:12" x14ac:dyDescent="0.15">
      <c r="A86" s="26" t="s">
        <v>83</v>
      </c>
      <c r="B86" s="58">
        <v>1</v>
      </c>
      <c r="C86" s="88">
        <f t="shared" ref="C86:I86" si="31">IF(B56=0,0,C56/$B56)</f>
        <v>0</v>
      </c>
      <c r="D86" s="88">
        <f t="shared" si="31"/>
        <v>0</v>
      </c>
      <c r="E86" s="88">
        <f t="shared" si="31"/>
        <v>1.3462880439508942</v>
      </c>
      <c r="F86" s="88">
        <f t="shared" si="31"/>
        <v>1.2432316418036546</v>
      </c>
      <c r="G86" s="88">
        <f t="shared" si="31"/>
        <v>0</v>
      </c>
      <c r="H86" s="88">
        <f t="shared" si="31"/>
        <v>0</v>
      </c>
      <c r="I86" s="88">
        <f t="shared" si="31"/>
        <v>0</v>
      </c>
      <c r="J86" s="88">
        <f t="shared" si="7"/>
        <v>0</v>
      </c>
      <c r="K86" s="88">
        <f t="shared" si="8"/>
        <v>0</v>
      </c>
      <c r="L86" s="88">
        <f t="shared" si="9"/>
        <v>0</v>
      </c>
    </row>
    <row r="87" spans="1:12" x14ac:dyDescent="0.15">
      <c r="A87" s="26" t="s">
        <v>55</v>
      </c>
      <c r="B87" s="58">
        <v>1</v>
      </c>
      <c r="C87" s="88">
        <f t="shared" ref="C87:I87" si="32">IF(B57=0,0,C57/$B57)</f>
        <v>0</v>
      </c>
      <c r="D87" s="88">
        <f t="shared" si="32"/>
        <v>0</v>
      </c>
      <c r="E87" s="88">
        <f t="shared" si="32"/>
        <v>0</v>
      </c>
      <c r="F87" s="88">
        <f t="shared" si="32"/>
        <v>0</v>
      </c>
      <c r="G87" s="88">
        <f t="shared" si="32"/>
        <v>0</v>
      </c>
      <c r="H87" s="88">
        <f t="shared" si="32"/>
        <v>0</v>
      </c>
      <c r="I87" s="88">
        <f t="shared" si="32"/>
        <v>0</v>
      </c>
      <c r="J87" s="88">
        <f t="shared" si="7"/>
        <v>0</v>
      </c>
      <c r="K87" s="88">
        <f t="shared" si="8"/>
        <v>0</v>
      </c>
      <c r="L87" s="88">
        <f t="shared" si="9"/>
        <v>0</v>
      </c>
    </row>
  </sheetData>
  <phoneticPr fontId="1" type="noConversion"/>
  <conditionalFormatting sqref="C63:L87">
    <cfRule type="cellIs" dxfId="0" priority="1" operator="equal">
      <formula>0</formula>
    </cfRule>
  </conditionalFormatting>
  <dataValidations count="1">
    <dataValidation type="decimal" operator="notEqual" allowBlank="1" showInputMessage="1" showErrorMessage="1" sqref="C63:L87" xr:uid="{B9C5D376-A460-439C-AC12-95925E78CA56}">
      <formula1>0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76BCF-F5EB-4AEC-BFD9-9851C0442918}">
  <sheetPr>
    <tabColor theme="4" tint="-0.499984740745262"/>
  </sheetPr>
  <dimension ref="A1:B26"/>
  <sheetViews>
    <sheetView workbookViewId="0">
      <selection activeCell="B2" sqref="B2"/>
    </sheetView>
  </sheetViews>
  <sheetFormatPr defaultRowHeight="14.25" x14ac:dyDescent="0.2"/>
  <cols>
    <col min="1" max="1" width="22.125" customWidth="1"/>
    <col min="2" max="2" width="11.125" customWidth="1"/>
  </cols>
  <sheetData>
    <row r="1" spans="1:2" x14ac:dyDescent="0.2">
      <c r="A1" s="55" t="s">
        <v>441</v>
      </c>
      <c r="B1" s="56" t="s">
        <v>442</v>
      </c>
    </row>
    <row r="2" spans="1:2" x14ac:dyDescent="0.2">
      <c r="A2" s="55" t="s">
        <v>34</v>
      </c>
      <c r="B2" s="57">
        <f>'Early Facility Retirement'!B33</f>
        <v>6.318800758292195E-6</v>
      </c>
    </row>
    <row r="3" spans="1:2" x14ac:dyDescent="0.2">
      <c r="A3" s="55" t="s">
        <v>35</v>
      </c>
      <c r="B3" s="57">
        <f>'Early Facility Retirement'!B34</f>
        <v>1.6479716408786146E-2</v>
      </c>
    </row>
    <row r="4" spans="1:2" x14ac:dyDescent="0.2">
      <c r="A4" s="55" t="s">
        <v>36</v>
      </c>
      <c r="B4" s="57">
        <f>'Early Facility Retirement'!B35</f>
        <v>6.2668790446549562E-6</v>
      </c>
    </row>
    <row r="5" spans="1:2" x14ac:dyDescent="0.2">
      <c r="A5" s="55" t="s">
        <v>422</v>
      </c>
      <c r="B5" s="57">
        <f>'Early Facility Retirement'!B36</f>
        <v>1.3224541571706147E-5</v>
      </c>
    </row>
    <row r="6" spans="1:2" x14ac:dyDescent="0.2">
      <c r="A6" s="55" t="s">
        <v>393</v>
      </c>
      <c r="B6" s="57">
        <f>'Early Facility Retirement'!B37</f>
        <v>3.3580741349082679E-4</v>
      </c>
    </row>
    <row r="7" spans="1:2" x14ac:dyDescent="0.2">
      <c r="A7" s="55" t="s">
        <v>37</v>
      </c>
      <c r="B7" s="57">
        <f>'Early Facility Retirement'!B38</f>
        <v>7.3632995569084161E-2</v>
      </c>
    </row>
    <row r="8" spans="1:2" x14ac:dyDescent="0.2">
      <c r="A8" s="55" t="s">
        <v>38</v>
      </c>
      <c r="B8" s="57">
        <f>'Early Facility Retirement'!B39</f>
        <v>1.1290749051460364E-5</v>
      </c>
    </row>
    <row r="9" spans="1:2" x14ac:dyDescent="0.2">
      <c r="A9" s="55" t="s">
        <v>39</v>
      </c>
      <c r="B9" s="57">
        <f>'Early Facility Retirement'!B40</f>
        <v>4.0161321442658135E-4</v>
      </c>
    </row>
    <row r="10" spans="1:2" x14ac:dyDescent="0.2">
      <c r="A10" s="55" t="s">
        <v>40</v>
      </c>
      <c r="B10" s="57">
        <f>'Early Facility Retirement'!B41</f>
        <v>0.1277875116760267</v>
      </c>
    </row>
    <row r="11" spans="1:2" x14ac:dyDescent="0.2">
      <c r="A11" s="55" t="s">
        <v>41</v>
      </c>
      <c r="B11" s="57">
        <f>'Early Facility Retirement'!B42</f>
        <v>6.677947411767636E-2</v>
      </c>
    </row>
    <row r="12" spans="1:2" x14ac:dyDescent="0.2">
      <c r="A12" s="55" t="s">
        <v>42</v>
      </c>
      <c r="B12" s="57">
        <f>'Early Facility Retirement'!B43</f>
        <v>9.7121747853742652E-6</v>
      </c>
    </row>
    <row r="13" spans="1:2" x14ac:dyDescent="0.2">
      <c r="A13" s="55" t="s">
        <v>43</v>
      </c>
      <c r="B13" s="57">
        <f>'Early Facility Retirement'!B44</f>
        <v>8.8213349861102464E-2</v>
      </c>
    </row>
    <row r="14" spans="1:2" x14ac:dyDescent="0.2">
      <c r="A14" s="55" t="s">
        <v>44</v>
      </c>
      <c r="B14" s="57">
        <f>'Early Facility Retirement'!B45</f>
        <v>0.40512255155452265</v>
      </c>
    </row>
    <row r="15" spans="1:2" x14ac:dyDescent="0.2">
      <c r="A15" s="55" t="s">
        <v>45</v>
      </c>
      <c r="B15" s="57">
        <f>'Early Facility Retirement'!B46</f>
        <v>0.23607631690774636</v>
      </c>
    </row>
    <row r="16" spans="1:2" x14ac:dyDescent="0.2">
      <c r="A16" s="55" t="s">
        <v>46</v>
      </c>
      <c r="B16" s="57">
        <f>'Early Facility Retirement'!B47</f>
        <v>6.3873489626211005E-2</v>
      </c>
    </row>
    <row r="17" spans="1:2" x14ac:dyDescent="0.2">
      <c r="A17" s="55" t="s">
        <v>47</v>
      </c>
      <c r="B17" s="57">
        <f>'Early Facility Retirement'!B48</f>
        <v>6.996600522859254E-6</v>
      </c>
    </row>
    <row r="18" spans="1:2" x14ac:dyDescent="0.2">
      <c r="A18" s="55" t="s">
        <v>48</v>
      </c>
      <c r="B18" s="57">
        <f>'Early Facility Retirement'!B49</f>
        <v>1.8547637056440126E-2</v>
      </c>
    </row>
    <row r="19" spans="1:2" x14ac:dyDescent="0.2">
      <c r="A19" s="55" t="s">
        <v>49</v>
      </c>
      <c r="B19" s="57">
        <f>'Early Facility Retirement'!B50</f>
        <v>0.1474491237148475</v>
      </c>
    </row>
    <row r="20" spans="1:2" x14ac:dyDescent="0.2">
      <c r="A20" s="55" t="s">
        <v>50</v>
      </c>
      <c r="B20" s="57">
        <f>'Early Facility Retirement'!B51</f>
        <v>6.2052544111491587E-6</v>
      </c>
    </row>
    <row r="21" spans="1:2" x14ac:dyDescent="0.2">
      <c r="A21" s="55" t="s">
        <v>51</v>
      </c>
      <c r="B21" s="57">
        <f>'Early Facility Retirement'!B52</f>
        <v>0.15842063886354035</v>
      </c>
    </row>
    <row r="22" spans="1:2" x14ac:dyDescent="0.2">
      <c r="A22" s="55" t="s">
        <v>52</v>
      </c>
      <c r="B22" s="57">
        <f>'Early Facility Retirement'!B53</f>
        <v>9.3552189939983939E-6</v>
      </c>
    </row>
    <row r="23" spans="1:2" x14ac:dyDescent="0.2">
      <c r="A23" s="55" t="s">
        <v>53</v>
      </c>
      <c r="B23" s="57">
        <f>'Early Facility Retirement'!B54</f>
        <v>0.14981568232343681</v>
      </c>
    </row>
    <row r="24" spans="1:2" x14ac:dyDescent="0.2">
      <c r="A24" s="55" t="s">
        <v>54</v>
      </c>
      <c r="B24" s="57">
        <f>'Early Facility Retirement'!B55</f>
        <v>1.5352481428458715E-6</v>
      </c>
    </row>
    <row r="25" spans="1:2" x14ac:dyDescent="0.2">
      <c r="A25" s="55" t="s">
        <v>408</v>
      </c>
      <c r="B25" s="57">
        <f>'Early Facility Retirement'!B56</f>
        <v>1.8252381584853586E-6</v>
      </c>
    </row>
    <row r="26" spans="1:2" x14ac:dyDescent="0.2">
      <c r="A26" s="55" t="s">
        <v>55</v>
      </c>
      <c r="B26" s="57">
        <f>'Early Facility Retirement'!B57</f>
        <v>5.6695038740823807E-6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2237E-A139-4339-B73D-B32CE4321C0F}">
  <sheetPr>
    <tabColor theme="4" tint="-0.499984740745262"/>
  </sheetPr>
  <dimension ref="A1:B26"/>
  <sheetViews>
    <sheetView workbookViewId="0">
      <selection activeCell="B2" sqref="B2"/>
    </sheetView>
  </sheetViews>
  <sheetFormatPr defaultRowHeight="14.25" x14ac:dyDescent="0.2"/>
  <sheetData>
    <row r="1" spans="1:2" x14ac:dyDescent="0.2">
      <c r="A1" s="55" t="s">
        <v>441</v>
      </c>
      <c r="B1" s="56" t="s">
        <v>442</v>
      </c>
    </row>
    <row r="2" spans="1:2" x14ac:dyDescent="0.2">
      <c r="A2" s="55" t="s">
        <v>34</v>
      </c>
      <c r="B2" s="57">
        <f>'Installation&amp;System Integration'!B33</f>
        <v>2.8900463684975158E-3</v>
      </c>
    </row>
    <row r="3" spans="1:2" x14ac:dyDescent="0.2">
      <c r="A3" s="55" t="s">
        <v>35</v>
      </c>
      <c r="B3" s="57">
        <f>'Installation&amp;System Integration'!B34</f>
        <v>5.861923963580048E-3</v>
      </c>
    </row>
    <row r="4" spans="1:2" x14ac:dyDescent="0.2">
      <c r="A4" s="55" t="s">
        <v>36</v>
      </c>
      <c r="B4" s="57">
        <f>'Installation&amp;System Integration'!B35</f>
        <v>3.8707396661547826E-3</v>
      </c>
    </row>
    <row r="5" spans="1:2" x14ac:dyDescent="0.2">
      <c r="A5" s="55" t="s">
        <v>422</v>
      </c>
      <c r="B5" s="57">
        <f>'Installation&amp;System Integration'!B36</f>
        <v>6.0485430394680633E-3</v>
      </c>
    </row>
    <row r="6" spans="1:2" x14ac:dyDescent="0.2">
      <c r="A6" s="55" t="s">
        <v>393</v>
      </c>
      <c r="B6" s="57">
        <f>'Installation&amp;System Integration'!B37</f>
        <v>4.0874677403214847E-3</v>
      </c>
    </row>
    <row r="7" spans="1:2" x14ac:dyDescent="0.2">
      <c r="A7" s="55" t="s">
        <v>37</v>
      </c>
      <c r="B7" s="57">
        <f>'Installation&amp;System Integration'!B38</f>
        <v>2.4625484040241202E-2</v>
      </c>
    </row>
    <row r="8" spans="1:2" x14ac:dyDescent="0.2">
      <c r="A8" s="55" t="s">
        <v>38</v>
      </c>
      <c r="B8" s="57">
        <f>'Installation&amp;System Integration'!B39</f>
        <v>5.1640793153618974E-3</v>
      </c>
    </row>
    <row r="9" spans="1:2" x14ac:dyDescent="0.2">
      <c r="A9" s="55" t="s">
        <v>39</v>
      </c>
      <c r="B9" s="57">
        <f>'Installation&amp;System Integration'!B40</f>
        <v>4.2671523275282213E-3</v>
      </c>
    </row>
    <row r="10" spans="1:2" x14ac:dyDescent="0.2">
      <c r="A10" s="55" t="s">
        <v>40</v>
      </c>
      <c r="B10" s="57">
        <f>'Installation&amp;System Integration'!B41</f>
        <v>7.0154437032124749E-3</v>
      </c>
    </row>
    <row r="11" spans="1:2" x14ac:dyDescent="0.2">
      <c r="A11" s="55" t="s">
        <v>41</v>
      </c>
      <c r="B11" s="57">
        <f>'Installation&amp;System Integration'!B42</f>
        <v>7.4506614357558731E-3</v>
      </c>
    </row>
    <row r="12" spans="1:2" x14ac:dyDescent="0.2">
      <c r="A12" s="55" t="s">
        <v>42</v>
      </c>
      <c r="B12" s="57">
        <f>'Installation&amp;System Integration'!B43</f>
        <v>4.4420826897967024E-3</v>
      </c>
    </row>
    <row r="13" spans="1:2" x14ac:dyDescent="0.2">
      <c r="A13" s="55" t="s">
        <v>43</v>
      </c>
      <c r="B13" s="57">
        <f>'Installation&amp;System Integration'!B44</f>
        <v>1.8716211884470106E-3</v>
      </c>
    </row>
    <row r="14" spans="1:2" x14ac:dyDescent="0.2">
      <c r="A14" s="55" t="s">
        <v>44</v>
      </c>
      <c r="B14" s="57">
        <f>'Installation&amp;System Integration'!B45</f>
        <v>8.2387183970508912E-3</v>
      </c>
    </row>
    <row r="15" spans="1:2" x14ac:dyDescent="0.2">
      <c r="A15" s="55" t="s">
        <v>45</v>
      </c>
      <c r="B15" s="57">
        <f>'Installation&amp;System Integration'!B46</f>
        <v>1.4678166232716734E-2</v>
      </c>
    </row>
    <row r="16" spans="1:2" x14ac:dyDescent="0.2">
      <c r="A16" s="55" t="s">
        <v>46</v>
      </c>
      <c r="B16" s="57">
        <f>'Installation&amp;System Integration'!B47</f>
        <v>4.3157029305956321E-3</v>
      </c>
    </row>
    <row r="17" spans="1:2" x14ac:dyDescent="0.2">
      <c r="A17" s="55" t="s">
        <v>47</v>
      </c>
      <c r="B17" s="57">
        <f>'Installation&amp;System Integration'!B48</f>
        <v>3.2000534130438817E-3</v>
      </c>
    </row>
    <row r="18" spans="1:2" x14ac:dyDescent="0.2">
      <c r="A18" s="55" t="s">
        <v>48</v>
      </c>
      <c r="B18" s="57">
        <f>'Installation&amp;System Integration'!B49</f>
        <v>1.4302633371795154E-3</v>
      </c>
    </row>
    <row r="19" spans="1:2" x14ac:dyDescent="0.2">
      <c r="A19" s="55" t="s">
        <v>49</v>
      </c>
      <c r="B19" s="57">
        <f>'Installation&amp;System Integration'!B50</f>
        <v>1.3363415229040772E-3</v>
      </c>
    </row>
    <row r="20" spans="1:2" x14ac:dyDescent="0.2">
      <c r="A20" s="55" t="s">
        <v>50</v>
      </c>
      <c r="B20" s="57">
        <f>'Installation&amp;System Integration'!B51</f>
        <v>2.8381133798230031E-3</v>
      </c>
    </row>
    <row r="21" spans="1:2" x14ac:dyDescent="0.2">
      <c r="A21" s="55" t="s">
        <v>51</v>
      </c>
      <c r="B21" s="57">
        <f>'Installation&amp;System Integration'!B52</f>
        <v>3.3612080807630326E-3</v>
      </c>
    </row>
    <row r="22" spans="1:2" x14ac:dyDescent="0.2">
      <c r="A22" s="55" t="s">
        <v>52</v>
      </c>
      <c r="B22" s="57">
        <f>'Installation&amp;System Integration'!B53</f>
        <v>0.10646476327981956</v>
      </c>
    </row>
    <row r="23" spans="1:2" x14ac:dyDescent="0.2">
      <c r="A23" s="55" t="s">
        <v>53</v>
      </c>
      <c r="B23" s="57">
        <f>'Installation&amp;System Integration'!B54</f>
        <v>3.1786368598369233E-3</v>
      </c>
    </row>
    <row r="24" spans="1:2" x14ac:dyDescent="0.2">
      <c r="A24" s="55" t="s">
        <v>54</v>
      </c>
      <c r="B24" s="57">
        <f>'Installation&amp;System Integration'!B55</f>
        <v>7.0928942976597421E-4</v>
      </c>
    </row>
    <row r="25" spans="1:2" x14ac:dyDescent="0.2">
      <c r="A25" s="55" t="s">
        <v>408</v>
      </c>
      <c r="B25" s="57">
        <f>'Installation&amp;System Integration'!B56</f>
        <v>8.3481393279433039E-4</v>
      </c>
    </row>
    <row r="26" spans="1:2" x14ac:dyDescent="0.2">
      <c r="A26" s="55" t="s">
        <v>55</v>
      </c>
      <c r="B26" s="57">
        <f>'Installation&amp;System Integration'!B57</f>
        <v>2.5930757606136092E-3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76449-2C18-4511-85A4-495F5AF82BDB}">
  <sheetPr>
    <tabColor theme="4" tint="-0.499984740745262"/>
  </sheetPr>
  <dimension ref="A1:B26"/>
  <sheetViews>
    <sheetView workbookViewId="0">
      <selection activeCell="B2" sqref="B2:B26"/>
    </sheetView>
  </sheetViews>
  <sheetFormatPr defaultRowHeight="14.25" x14ac:dyDescent="0.2"/>
  <sheetData>
    <row r="1" spans="1:2" x14ac:dyDescent="0.2">
      <c r="A1" s="55" t="s">
        <v>441</v>
      </c>
      <c r="B1" s="56" t="s">
        <v>442</v>
      </c>
    </row>
    <row r="2" spans="1:2" x14ac:dyDescent="0.2">
      <c r="A2" s="55" t="s">
        <v>34</v>
      </c>
      <c r="B2" s="57">
        <f>'Cogeneration&amp;Waste Heat Recover'!B33</f>
        <v>0</v>
      </c>
    </row>
    <row r="3" spans="1:2" x14ac:dyDescent="0.2">
      <c r="A3" s="55" t="s">
        <v>35</v>
      </c>
      <c r="B3" s="57">
        <f>'Cogeneration&amp;Waste Heat Recover'!B34</f>
        <v>0</v>
      </c>
    </row>
    <row r="4" spans="1:2" x14ac:dyDescent="0.2">
      <c r="A4" s="55" t="s">
        <v>36</v>
      </c>
      <c r="B4" s="57">
        <f>'Cogeneration&amp;Waste Heat Recover'!B35</f>
        <v>0</v>
      </c>
    </row>
    <row r="5" spans="1:2" x14ac:dyDescent="0.2">
      <c r="A5" s="55" t="s">
        <v>422</v>
      </c>
      <c r="B5" s="57">
        <f>'Cogeneration&amp;Waste Heat Recover'!B36</f>
        <v>0</v>
      </c>
    </row>
    <row r="6" spans="1:2" x14ac:dyDescent="0.2">
      <c r="A6" s="55" t="s">
        <v>393</v>
      </c>
      <c r="B6" s="57">
        <f>'Cogeneration&amp;Waste Heat Recover'!B37</f>
        <v>2.1872281597333058E-3</v>
      </c>
    </row>
    <row r="7" spans="1:2" x14ac:dyDescent="0.2">
      <c r="A7" s="55" t="s">
        <v>37</v>
      </c>
      <c r="B7" s="57">
        <f>'Cogeneration&amp;Waste Heat Recover'!B38</f>
        <v>3.7983259333391542E-2</v>
      </c>
    </row>
    <row r="8" spans="1:2" x14ac:dyDescent="0.2">
      <c r="A8" s="55" t="s">
        <v>38</v>
      </c>
      <c r="B8" s="57">
        <f>'Cogeneration&amp;Waste Heat Recover'!B39</f>
        <v>0</v>
      </c>
    </row>
    <row r="9" spans="1:2" x14ac:dyDescent="0.2">
      <c r="A9" s="55" t="s">
        <v>39</v>
      </c>
      <c r="B9" s="57">
        <f>'Cogeneration&amp;Waste Heat Recover'!B40</f>
        <v>2.6158437742138324E-3</v>
      </c>
    </row>
    <row r="10" spans="1:2" x14ac:dyDescent="0.2">
      <c r="A10" s="55" t="s">
        <v>40</v>
      </c>
      <c r="B10" s="57">
        <f>'Cogeneration&amp;Waste Heat Recover'!B41</f>
        <v>3.2096940856944131E-2</v>
      </c>
    </row>
    <row r="11" spans="1:2" x14ac:dyDescent="0.2">
      <c r="A11" s="55" t="s">
        <v>41</v>
      </c>
      <c r="B11" s="57">
        <f>'Cogeneration&amp;Waste Heat Recover'!B42</f>
        <v>1.4522623183509515E-2</v>
      </c>
    </row>
    <row r="12" spans="1:2" x14ac:dyDescent="0.2">
      <c r="A12" s="55" t="s">
        <v>42</v>
      </c>
      <c r="B12" s="57">
        <f>'Cogeneration&amp;Waste Heat Recover'!B43</f>
        <v>0</v>
      </c>
    </row>
    <row r="13" spans="1:2" x14ac:dyDescent="0.2">
      <c r="A13" s="55" t="s">
        <v>43</v>
      </c>
      <c r="B13" s="57">
        <f>'Cogeneration&amp;Waste Heat Recover'!B44</f>
        <v>0</v>
      </c>
    </row>
    <row r="14" spans="1:2" x14ac:dyDescent="0.2">
      <c r="A14" s="55" t="s">
        <v>44</v>
      </c>
      <c r="B14" s="57">
        <f>'Cogeneration&amp;Waste Heat Recover'!B45</f>
        <v>1.2984840607544476E-3</v>
      </c>
    </row>
    <row r="15" spans="1:2" x14ac:dyDescent="0.2">
      <c r="A15" s="55" t="s">
        <v>45</v>
      </c>
      <c r="B15" s="57">
        <f>'Cogeneration&amp;Waste Heat Recover'!B46</f>
        <v>0.12644384631021499</v>
      </c>
    </row>
    <row r="16" spans="1:2" x14ac:dyDescent="0.2">
      <c r="A16" s="55" t="s">
        <v>46</v>
      </c>
      <c r="B16" s="57">
        <f>'Cogeneration&amp;Waste Heat Recover'!B47</f>
        <v>6.4873080692078825E-4</v>
      </c>
    </row>
    <row r="17" spans="1:2" x14ac:dyDescent="0.2">
      <c r="A17" s="55" t="s">
        <v>47</v>
      </c>
      <c r="B17" s="57">
        <f>'Cogeneration&amp;Waste Heat Recover'!B48</f>
        <v>0</v>
      </c>
    </row>
    <row r="18" spans="1:2" x14ac:dyDescent="0.2">
      <c r="A18" s="55" t="s">
        <v>48</v>
      </c>
      <c r="B18" s="57">
        <f>'Cogeneration&amp;Waste Heat Recover'!B49</f>
        <v>0</v>
      </c>
    </row>
    <row r="19" spans="1:2" x14ac:dyDescent="0.2">
      <c r="A19" s="55" t="s">
        <v>49</v>
      </c>
      <c r="B19" s="57">
        <f>'Cogeneration&amp;Waste Heat Recover'!B50</f>
        <v>0</v>
      </c>
    </row>
    <row r="20" spans="1:2" x14ac:dyDescent="0.2">
      <c r="A20" s="55" t="s">
        <v>50</v>
      </c>
      <c r="B20" s="57">
        <f>'Cogeneration&amp;Waste Heat Recover'!B51</f>
        <v>0</v>
      </c>
    </row>
    <row r="21" spans="1:2" x14ac:dyDescent="0.2">
      <c r="A21" s="55" t="s">
        <v>51</v>
      </c>
      <c r="B21" s="57">
        <f>'Cogeneration&amp;Waste Heat Recover'!B52</f>
        <v>9.80301077147651E-2</v>
      </c>
    </row>
    <row r="22" spans="1:2" x14ac:dyDescent="0.2">
      <c r="A22" s="55" t="s">
        <v>52</v>
      </c>
      <c r="B22" s="57">
        <f>'Cogeneration&amp;Waste Heat Recover'!B53</f>
        <v>2.0513877627629858E-2</v>
      </c>
    </row>
    <row r="23" spans="1:2" x14ac:dyDescent="0.2">
      <c r="A23" s="55" t="s">
        <v>53</v>
      </c>
      <c r="B23" s="57">
        <f>'Cogeneration&amp;Waste Heat Recover'!B54</f>
        <v>0</v>
      </c>
    </row>
    <row r="24" spans="1:2" x14ac:dyDescent="0.2">
      <c r="A24" s="55" t="s">
        <v>54</v>
      </c>
      <c r="B24" s="57">
        <f>'Cogeneration&amp;Waste Heat Recover'!B55</f>
        <v>0</v>
      </c>
    </row>
    <row r="25" spans="1:2" x14ac:dyDescent="0.2">
      <c r="A25" s="55" t="s">
        <v>408</v>
      </c>
      <c r="B25" s="57">
        <f>'Cogeneration&amp;Waste Heat Recover'!B56</f>
        <v>3.3807519916099755E-3</v>
      </c>
    </row>
    <row r="26" spans="1:2" x14ac:dyDescent="0.2">
      <c r="A26" s="55" t="s">
        <v>55</v>
      </c>
      <c r="B26" s="57">
        <f>'Cogeneration&amp;Waste Heat Recover'!B57</f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57ED-E9BE-448B-B0B3-638D6BD1C90D}">
  <dimension ref="A1:D26"/>
  <sheetViews>
    <sheetView workbookViewId="0">
      <selection activeCell="H11" sqref="H11"/>
    </sheetView>
  </sheetViews>
  <sheetFormatPr defaultRowHeight="14.25" x14ac:dyDescent="0.2"/>
  <cols>
    <col min="2" max="2" width="8.375" customWidth="1"/>
  </cols>
  <sheetData>
    <row r="1" spans="1:4" x14ac:dyDescent="0.2">
      <c r="A1" s="55" t="s">
        <v>441</v>
      </c>
      <c r="B1" s="56" t="s">
        <v>442</v>
      </c>
    </row>
    <row r="2" spans="1:4" x14ac:dyDescent="0.2">
      <c r="A2" s="55" t="s">
        <v>34</v>
      </c>
      <c r="B2" s="56">
        <f>'Total 技术节能'!B33</f>
        <v>0</v>
      </c>
      <c r="D2">
        <f>B2*2</f>
        <v>0</v>
      </c>
    </row>
    <row r="3" spans="1:4" x14ac:dyDescent="0.2">
      <c r="A3" s="55" t="s">
        <v>35</v>
      </c>
      <c r="B3" s="56">
        <f>'Total 技术节能'!B34</f>
        <v>3.7353104910868677E-2</v>
      </c>
      <c r="D3">
        <f t="shared" ref="D3:D26" si="0">B3*2</f>
        <v>7.4706209821737354E-2</v>
      </c>
    </row>
    <row r="4" spans="1:4" x14ac:dyDescent="0.2">
      <c r="A4" s="55" t="s">
        <v>36</v>
      </c>
      <c r="B4" s="56">
        <f>'Total 技术节能'!B35</f>
        <v>0.1486591911597672</v>
      </c>
      <c r="D4">
        <f t="shared" si="0"/>
        <v>0.29731838231953439</v>
      </c>
    </row>
    <row r="5" spans="1:4" x14ac:dyDescent="0.2">
      <c r="A5" s="55" t="s">
        <v>422</v>
      </c>
      <c r="B5" s="56">
        <f>'Total 技术节能'!B36</f>
        <v>0</v>
      </c>
      <c r="D5">
        <f t="shared" si="0"/>
        <v>0</v>
      </c>
    </row>
    <row r="6" spans="1:4" x14ac:dyDescent="0.2">
      <c r="A6" s="55" t="s">
        <v>393</v>
      </c>
      <c r="B6" s="56">
        <f>'Total 技术节能'!B37</f>
        <v>0</v>
      </c>
      <c r="D6">
        <f t="shared" si="0"/>
        <v>0</v>
      </c>
    </row>
    <row r="7" spans="1:4" x14ac:dyDescent="0.2">
      <c r="A7" s="55" t="s">
        <v>37</v>
      </c>
      <c r="B7" s="56">
        <f>'Total 技术节能'!B38</f>
        <v>0.12471769241552937</v>
      </c>
      <c r="D7">
        <f t="shared" si="0"/>
        <v>0.24943538483105873</v>
      </c>
    </row>
    <row r="8" spans="1:4" x14ac:dyDescent="0.2">
      <c r="A8" s="55" t="s">
        <v>38</v>
      </c>
      <c r="B8" s="56">
        <f>'Total 技术节能'!B39</f>
        <v>0</v>
      </c>
      <c r="D8">
        <f t="shared" si="0"/>
        <v>0</v>
      </c>
    </row>
    <row r="9" spans="1:4" x14ac:dyDescent="0.2">
      <c r="A9" s="55" t="s">
        <v>39</v>
      </c>
      <c r="B9" s="56">
        <f>'Total 技术节能'!B40</f>
        <v>0.12657100405338337</v>
      </c>
      <c r="D9">
        <f t="shared" si="0"/>
        <v>0.25314200810676674</v>
      </c>
    </row>
    <row r="10" spans="1:4" x14ac:dyDescent="0.2">
      <c r="A10" s="55" t="s">
        <v>40</v>
      </c>
      <c r="B10" s="56">
        <f>'Total 技术节能'!B41</f>
        <v>0.15492841441076619</v>
      </c>
      <c r="D10">
        <f t="shared" si="0"/>
        <v>0.30985682882153237</v>
      </c>
    </row>
    <row r="11" spans="1:4" x14ac:dyDescent="0.2">
      <c r="A11" s="55" t="s">
        <v>41</v>
      </c>
      <c r="B11" s="56">
        <f>'Total 技术节能'!B42</f>
        <v>8.3793354532208569E-2</v>
      </c>
      <c r="D11">
        <f t="shared" si="0"/>
        <v>0.16758670906441714</v>
      </c>
    </row>
    <row r="12" spans="1:4" x14ac:dyDescent="0.2">
      <c r="A12" s="55" t="s">
        <v>42</v>
      </c>
      <c r="B12" s="56">
        <f>'Total 技术节能'!B43</f>
        <v>0</v>
      </c>
      <c r="D12">
        <f t="shared" si="0"/>
        <v>0</v>
      </c>
    </row>
    <row r="13" spans="1:4" x14ac:dyDescent="0.2">
      <c r="A13" s="55" t="s">
        <v>43</v>
      </c>
      <c r="B13" s="56">
        <f>'Total 技术节能'!B44</f>
        <v>0</v>
      </c>
      <c r="D13">
        <f t="shared" si="0"/>
        <v>0</v>
      </c>
    </row>
    <row r="14" spans="1:4" x14ac:dyDescent="0.2">
      <c r="A14" s="55" t="s">
        <v>44</v>
      </c>
      <c r="B14" s="56">
        <f>'Total 技术节能'!B45</f>
        <v>0.4057218970045342</v>
      </c>
      <c r="D14">
        <f t="shared" si="0"/>
        <v>0.81144379400906841</v>
      </c>
    </row>
    <row r="15" spans="1:4" x14ac:dyDescent="0.2">
      <c r="A15" s="55" t="s">
        <v>45</v>
      </c>
      <c r="B15" s="56">
        <f>'Total 技术节能'!B46</f>
        <v>0.37592761150619713</v>
      </c>
      <c r="D15">
        <f t="shared" si="0"/>
        <v>0.75185522301239427</v>
      </c>
    </row>
    <row r="16" spans="1:4" x14ac:dyDescent="0.2">
      <c r="A16" s="55" t="s">
        <v>46</v>
      </c>
      <c r="B16" s="56">
        <f>'Total 技术节能'!B47</f>
        <v>6.3748401030704685E-2</v>
      </c>
      <c r="D16">
        <f t="shared" si="0"/>
        <v>0.12749680206140937</v>
      </c>
    </row>
    <row r="17" spans="1:4" x14ac:dyDescent="0.2">
      <c r="A17" s="55" t="s">
        <v>47</v>
      </c>
      <c r="B17" s="56">
        <f>'Total 技术节能'!B48</f>
        <v>0</v>
      </c>
      <c r="D17">
        <f t="shared" si="0"/>
        <v>0</v>
      </c>
    </row>
    <row r="18" spans="1:4" x14ac:dyDescent="0.2">
      <c r="A18" s="55" t="s">
        <v>48</v>
      </c>
      <c r="B18" s="56">
        <f>'Total 技术节能'!B49</f>
        <v>1.8521351189149094E-2</v>
      </c>
      <c r="D18">
        <f t="shared" si="0"/>
        <v>3.7042702378298188E-2</v>
      </c>
    </row>
    <row r="19" spans="1:4" x14ac:dyDescent="0.2">
      <c r="A19" s="55" t="s">
        <v>49</v>
      </c>
      <c r="B19" s="56">
        <f>'Total 技术节能'!B50</f>
        <v>8.4359122643191467E-2</v>
      </c>
      <c r="D19">
        <f t="shared" si="0"/>
        <v>0.16871824528638293</v>
      </c>
    </row>
    <row r="20" spans="1:4" x14ac:dyDescent="0.2">
      <c r="A20" s="55" t="s">
        <v>50</v>
      </c>
      <c r="B20" s="56">
        <f>'Total 技术节能'!B51</f>
        <v>0</v>
      </c>
      <c r="D20">
        <f t="shared" si="0"/>
        <v>0</v>
      </c>
    </row>
    <row r="21" spans="1:4" x14ac:dyDescent="0.2">
      <c r="A21" s="55" t="s">
        <v>51</v>
      </c>
      <c r="B21" s="56">
        <f>'Total 技术节能'!B52</f>
        <v>0.12940119996413715</v>
      </c>
      <c r="D21">
        <f t="shared" si="0"/>
        <v>0.25880239992827431</v>
      </c>
    </row>
    <row r="22" spans="1:4" x14ac:dyDescent="0.2">
      <c r="A22" s="55" t="s">
        <v>52</v>
      </c>
      <c r="B22" s="56">
        <f>'Total 技术节能'!B53</f>
        <v>0.21144011283239555</v>
      </c>
      <c r="D22">
        <f t="shared" si="0"/>
        <v>0.42288022566479111</v>
      </c>
    </row>
    <row r="23" spans="1:4" x14ac:dyDescent="0.2">
      <c r="A23" s="55" t="s">
        <v>53</v>
      </c>
      <c r="B23" s="56">
        <f>'Total 技术节能'!B54</f>
        <v>0</v>
      </c>
      <c r="D23">
        <f t="shared" si="0"/>
        <v>0</v>
      </c>
    </row>
    <row r="24" spans="1:4" x14ac:dyDescent="0.2">
      <c r="A24" s="55" t="s">
        <v>54</v>
      </c>
      <c r="B24" s="56">
        <f>'Total 技术节能'!B55</f>
        <v>5.2491282444487673E-3</v>
      </c>
      <c r="D24">
        <f t="shared" si="0"/>
        <v>1.0498256488897535E-2</v>
      </c>
    </row>
    <row r="25" spans="1:4" x14ac:dyDescent="0.2">
      <c r="A25" s="55" t="s">
        <v>408</v>
      </c>
      <c r="B25" s="56">
        <f>'Total 技术节能'!B56</f>
        <v>3.3807519916099755E-3</v>
      </c>
      <c r="D25">
        <f t="shared" si="0"/>
        <v>6.7615039832199511E-3</v>
      </c>
    </row>
    <row r="26" spans="1:4" x14ac:dyDescent="0.2">
      <c r="A26" s="55" t="s">
        <v>55</v>
      </c>
      <c r="B26" s="56">
        <f>'Total 技术节能'!B57</f>
        <v>0</v>
      </c>
      <c r="D26">
        <f t="shared" si="0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About</vt:lpstr>
      <vt:lpstr>Sector &amp; Policy Match</vt:lpstr>
      <vt:lpstr>BIFUbC</vt:lpstr>
      <vt:lpstr>工业节能技术装备推荐目录</vt:lpstr>
      <vt:lpstr>用能设备节能分配</vt:lpstr>
      <vt:lpstr>Early Facility Retirement</vt:lpstr>
      <vt:lpstr>Installation&amp;System Integration</vt:lpstr>
      <vt:lpstr>Cogeneration&amp;Waste Heat Recover</vt:lpstr>
      <vt:lpstr>Improvement in Eqpt Efficiency</vt:lpstr>
      <vt:lpstr>Total 技术节能</vt:lpstr>
      <vt:lpstr>PPRiFUfERoIF</vt:lpstr>
      <vt:lpstr>PPRiFUfIIaIoE</vt:lpstr>
      <vt:lpstr>PPRiFUfICaWHR</vt:lpstr>
      <vt:lpstr>Eqpt Efficiency Standards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cjwdl</dc:creator>
  <cp:lastModifiedBy>cjwdllj@163.com</cp:lastModifiedBy>
  <dcterms:created xsi:type="dcterms:W3CDTF">2015-06-05T18:19:34Z</dcterms:created>
  <dcterms:modified xsi:type="dcterms:W3CDTF">2026-08-04T09:33:35Z</dcterms:modified>
</cp:coreProperties>
</file>