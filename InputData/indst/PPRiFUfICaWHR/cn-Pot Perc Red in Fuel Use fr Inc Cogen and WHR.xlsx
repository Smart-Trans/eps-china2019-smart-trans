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indst\PPRiFUfICaWHR\"/>
    </mc:Choice>
  </mc:AlternateContent>
  <xr:revisionPtr revIDLastSave="0" documentId="13_ncr:1_{C1A3FD21-2456-42E8-981C-96344C2CD806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About" sheetId="13" r:id="rId1"/>
    <sheet name="Sector &amp; Policy Match" sheetId="2" r:id="rId2"/>
    <sheet name="BIFUbC" sheetId="3" r:id="rId3"/>
    <sheet name="工业节能技术装备推荐目录" sheetId="1" r:id="rId4"/>
    <sheet name="用能设备节能分配" sheetId="4" r:id="rId5"/>
    <sheet name="Early Facility Retirement" sheetId="5" r:id="rId6"/>
    <sheet name="Installation&amp;System Integration" sheetId="7" r:id="rId7"/>
    <sheet name="Cogeneration&amp;Waste Heat Recover" sheetId="10" r:id="rId8"/>
    <sheet name="Improvement in Eqpt Efficiency" sheetId="11" r:id="rId9"/>
    <sheet name="PPRiFUfERoIF" sheetId="6" r:id="rId10"/>
    <sheet name="PPRiFUfIIaIoE" sheetId="9" r:id="rId11"/>
    <sheet name="PPRiFUfICaWHR" sheetId="8" r:id="rId12"/>
    <sheet name="Eqpt Efficiency Standards" sheetId="12" r:id="rId13"/>
  </sheets>
  <definedNames>
    <definedName name="_xlnm._FilterDatabase" localSheetId="3" hidden="1">工业节能技术装备推荐目录!$A$1:$M$249</definedName>
    <definedName name="_xlnm._FilterDatabase" localSheetId="4" hidden="1">用能设备节能分配!$N$1:$R$409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J111" i="4" l="1"/>
  <c r="J109" i="4"/>
  <c r="J103" i="4"/>
  <c r="J101" i="4"/>
  <c r="J95" i="4"/>
  <c r="J93" i="4"/>
  <c r="J39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4" i="4"/>
  <c r="J96" i="4"/>
  <c r="J97" i="4"/>
  <c r="J98" i="4"/>
  <c r="J99" i="4"/>
  <c r="J100" i="4"/>
  <c r="J102" i="4"/>
  <c r="J104" i="4"/>
  <c r="J105" i="4"/>
  <c r="J106" i="4"/>
  <c r="J107" i="4"/>
  <c r="J108" i="4"/>
  <c r="J110" i="4"/>
  <c r="J112" i="4"/>
  <c r="J113" i="4"/>
  <c r="J114" i="4"/>
  <c r="J115" i="4"/>
  <c r="J66" i="4"/>
  <c r="J3" i="4"/>
  <c r="J4" i="4"/>
  <c r="J5" i="4"/>
  <c r="J6" i="4"/>
  <c r="J7" i="4"/>
  <c r="J9" i="4"/>
  <c r="J10" i="4"/>
  <c r="J11" i="4"/>
  <c r="J12" i="4"/>
  <c r="J13" i="4"/>
  <c r="J14" i="4"/>
  <c r="J17" i="4"/>
  <c r="J18" i="4"/>
  <c r="J19" i="4"/>
  <c r="J20" i="4"/>
  <c r="J21" i="4"/>
  <c r="J22" i="4"/>
  <c r="J23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40" i="4"/>
  <c r="J41" i="4"/>
  <c r="J42" i="4"/>
  <c r="J43" i="4"/>
  <c r="J44" i="4"/>
  <c r="J45" i="4"/>
  <c r="J46" i="4"/>
  <c r="J47" i="4"/>
  <c r="J48" i="4"/>
  <c r="J49" i="4"/>
  <c r="J50" i="4"/>
  <c r="J52" i="4"/>
  <c r="J53" i="4"/>
  <c r="J54" i="4"/>
  <c r="J55" i="4"/>
  <c r="J56" i="4"/>
  <c r="J57" i="4"/>
  <c r="J58" i="4"/>
  <c r="J59" i="4"/>
  <c r="J60" i="4"/>
  <c r="J61" i="4"/>
  <c r="J2" i="4"/>
  <c r="K242" i="1"/>
  <c r="K241" i="1"/>
  <c r="K240" i="1"/>
  <c r="K245" i="1"/>
  <c r="K246" i="1"/>
  <c r="K244" i="1"/>
  <c r="K225" i="1"/>
  <c r="K236" i="1"/>
  <c r="K235" i="1"/>
  <c r="K234" i="1"/>
  <c r="K227" i="1"/>
  <c r="K232" i="1"/>
  <c r="K231" i="1"/>
  <c r="K230" i="1"/>
  <c r="K229" i="1"/>
  <c r="K226" i="1"/>
  <c r="K181" i="1"/>
  <c r="K180" i="1"/>
  <c r="K178" i="1"/>
  <c r="K177" i="1"/>
  <c r="K168" i="1"/>
  <c r="K174" i="1"/>
  <c r="K173" i="1"/>
  <c r="K169" i="1"/>
  <c r="K123" i="1"/>
  <c r="K124" i="1"/>
  <c r="K15" i="1"/>
  <c r="K16" i="1" l="1"/>
  <c r="J51" i="4"/>
  <c r="K102" i="1"/>
  <c r="J24" i="4"/>
  <c r="J16" i="4"/>
  <c r="J8" i="4"/>
  <c r="K2" i="4" s="1"/>
  <c r="K103" i="1"/>
  <c r="J15" i="4"/>
  <c r="J38" i="4"/>
  <c r="L130" i="1" l="1"/>
  <c r="L131" i="1"/>
  <c r="L132" i="1"/>
  <c r="L133" i="1"/>
  <c r="L134" i="1"/>
  <c r="L135" i="1"/>
  <c r="L129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5" i="1"/>
  <c r="L126" i="1"/>
  <c r="L127" i="1"/>
  <c r="L128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70" i="1"/>
  <c r="L171" i="1"/>
  <c r="L172" i="1"/>
  <c r="L175" i="1"/>
  <c r="L176" i="1"/>
  <c r="L179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8" i="1"/>
  <c r="L233" i="1"/>
  <c r="L237" i="1"/>
  <c r="L238" i="1"/>
  <c r="L239" i="1"/>
  <c r="L241" i="1"/>
  <c r="L243" i="1"/>
  <c r="L247" i="1"/>
  <c r="L248" i="1"/>
  <c r="L249" i="1"/>
  <c r="L65" i="1"/>
  <c r="D65" i="1"/>
  <c r="L3" i="1"/>
  <c r="L4" i="1"/>
  <c r="L5" i="1"/>
  <c r="L6" i="1"/>
  <c r="L7" i="1"/>
  <c r="L8" i="1"/>
  <c r="L9" i="1"/>
  <c r="L10" i="1"/>
  <c r="L11" i="1"/>
  <c r="L12" i="1"/>
  <c r="L13" i="1"/>
  <c r="L14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O307" i="4"/>
  <c r="O407" i="4" s="1"/>
  <c r="O308" i="4"/>
  <c r="O408" i="4" s="1"/>
  <c r="O309" i="4"/>
  <c r="O409" i="4" s="1"/>
  <c r="O303" i="4"/>
  <c r="O403" i="4" s="1"/>
  <c r="O304" i="4"/>
  <c r="O404" i="4" s="1"/>
  <c r="O305" i="4"/>
  <c r="O405" i="4" s="1"/>
  <c r="O299" i="4"/>
  <c r="O399" i="4" s="1"/>
  <c r="O300" i="4"/>
  <c r="O400" i="4" s="1"/>
  <c r="O301" i="4"/>
  <c r="O401" i="4" s="1"/>
  <c r="O295" i="4"/>
  <c r="O395" i="4" s="1"/>
  <c r="O296" i="4"/>
  <c r="O396" i="4" s="1"/>
  <c r="O297" i="4"/>
  <c r="O397" i="4" s="1"/>
  <c r="O291" i="4"/>
  <c r="O391" i="4" s="1"/>
  <c r="O292" i="4"/>
  <c r="O392" i="4" s="1"/>
  <c r="O293" i="4"/>
  <c r="O393" i="4" s="1"/>
  <c r="O287" i="4"/>
  <c r="O387" i="4" s="1"/>
  <c r="O288" i="4"/>
  <c r="O388" i="4" s="1"/>
  <c r="O289" i="4"/>
  <c r="O389" i="4" s="1"/>
  <c r="O283" i="4"/>
  <c r="O383" i="4" s="1"/>
  <c r="O284" i="4"/>
  <c r="O384" i="4" s="1"/>
  <c r="O285" i="4"/>
  <c r="O385" i="4" s="1"/>
  <c r="O286" i="4"/>
  <c r="O386" i="4" s="1"/>
  <c r="O279" i="4"/>
  <c r="O379" i="4" s="1"/>
  <c r="O280" i="4"/>
  <c r="O380" i="4" s="1"/>
  <c r="O281" i="4"/>
  <c r="O381" i="4" s="1"/>
  <c r="O275" i="4"/>
  <c r="O375" i="4" s="1"/>
  <c r="O276" i="4"/>
  <c r="O376" i="4" s="1"/>
  <c r="O277" i="4"/>
  <c r="O377" i="4" s="1"/>
  <c r="O271" i="4"/>
  <c r="O371" i="4" s="1"/>
  <c r="O272" i="4"/>
  <c r="O372" i="4" s="1"/>
  <c r="O273" i="4"/>
  <c r="O373" i="4" s="1"/>
  <c r="O267" i="4"/>
  <c r="O367" i="4" s="1"/>
  <c r="O268" i="4"/>
  <c r="O368" i="4" s="1"/>
  <c r="O269" i="4"/>
  <c r="O369" i="4" s="1"/>
  <c r="O263" i="4"/>
  <c r="O363" i="4" s="1"/>
  <c r="O264" i="4"/>
  <c r="O364" i="4" s="1"/>
  <c r="O265" i="4"/>
  <c r="O365" i="4" s="1"/>
  <c r="O259" i="4"/>
  <c r="O359" i="4" s="1"/>
  <c r="O260" i="4"/>
  <c r="O360" i="4" s="1"/>
  <c r="O261" i="4"/>
  <c r="O361" i="4" s="1"/>
  <c r="O255" i="4"/>
  <c r="O355" i="4" s="1"/>
  <c r="O256" i="4"/>
  <c r="O356" i="4" s="1"/>
  <c r="O257" i="4"/>
  <c r="O357" i="4" s="1"/>
  <c r="O251" i="4"/>
  <c r="O351" i="4" s="1"/>
  <c r="O252" i="4"/>
  <c r="O352" i="4" s="1"/>
  <c r="O253" i="4"/>
  <c r="O353" i="4" s="1"/>
  <c r="O247" i="4"/>
  <c r="O347" i="4" s="1"/>
  <c r="O248" i="4"/>
  <c r="O348" i="4" s="1"/>
  <c r="O249" i="4"/>
  <c r="O349" i="4" s="1"/>
  <c r="O243" i="4"/>
  <c r="O343" i="4" s="1"/>
  <c r="O244" i="4"/>
  <c r="O344" i="4" s="1"/>
  <c r="O245" i="4"/>
  <c r="O345" i="4" s="1"/>
  <c r="O239" i="4"/>
  <c r="O339" i="4" s="1"/>
  <c r="O240" i="4"/>
  <c r="O340" i="4" s="1"/>
  <c r="O241" i="4"/>
  <c r="O341" i="4" s="1"/>
  <c r="O235" i="4"/>
  <c r="O335" i="4" s="1"/>
  <c r="O236" i="4"/>
  <c r="O336" i="4" s="1"/>
  <c r="O237" i="4"/>
  <c r="O337" i="4" s="1"/>
  <c r="O231" i="4"/>
  <c r="O331" i="4" s="1"/>
  <c r="O232" i="4"/>
  <c r="O332" i="4" s="1"/>
  <c r="O233" i="4"/>
  <c r="O333" i="4" s="1"/>
  <c r="O227" i="4"/>
  <c r="O327" i="4" s="1"/>
  <c r="O228" i="4"/>
  <c r="O328" i="4" s="1"/>
  <c r="O229" i="4"/>
  <c r="O329" i="4" s="1"/>
  <c r="O223" i="4"/>
  <c r="O323" i="4" s="1"/>
  <c r="O224" i="4"/>
  <c r="O324" i="4" s="1"/>
  <c r="O225" i="4"/>
  <c r="O325" i="4" s="1"/>
  <c r="O219" i="4"/>
  <c r="O319" i="4" s="1"/>
  <c r="O220" i="4"/>
  <c r="O320" i="4" s="1"/>
  <c r="O221" i="4"/>
  <c r="O321" i="4" s="1"/>
  <c r="O215" i="4"/>
  <c r="O315" i="4" s="1"/>
  <c r="O216" i="4"/>
  <c r="O316" i="4" s="1"/>
  <c r="O217" i="4"/>
  <c r="O317" i="4" s="1"/>
  <c r="O211" i="4"/>
  <c r="O311" i="4" s="1"/>
  <c r="O212" i="4"/>
  <c r="O312" i="4" s="1"/>
  <c r="O213" i="4"/>
  <c r="O313" i="4" s="1"/>
  <c r="O306" i="4"/>
  <c r="O406" i="4" s="1"/>
  <c r="O302" i="4"/>
  <c r="O402" i="4" s="1"/>
  <c r="O298" i="4"/>
  <c r="O398" i="4" s="1"/>
  <c r="O294" i="4"/>
  <c r="O394" i="4" s="1"/>
  <c r="O290" i="4"/>
  <c r="O390" i="4" s="1"/>
  <c r="O282" i="4"/>
  <c r="O382" i="4" s="1"/>
  <c r="O278" i="4"/>
  <c r="O378" i="4" s="1"/>
  <c r="O274" i="4"/>
  <c r="O374" i="4" s="1"/>
  <c r="O270" i="4"/>
  <c r="O370" i="4" s="1"/>
  <c r="O266" i="4"/>
  <c r="O366" i="4" s="1"/>
  <c r="O262" i="4"/>
  <c r="O362" i="4" s="1"/>
  <c r="O258" i="4"/>
  <c r="O358" i="4" s="1"/>
  <c r="O254" i="4"/>
  <c r="O354" i="4" s="1"/>
  <c r="O250" i="4"/>
  <c r="O350" i="4" s="1"/>
  <c r="O246" i="4"/>
  <c r="O346" i="4" s="1"/>
  <c r="O242" i="4"/>
  <c r="O342" i="4" s="1"/>
  <c r="O238" i="4"/>
  <c r="O338" i="4" s="1"/>
  <c r="O234" i="4"/>
  <c r="O334" i="4" s="1"/>
  <c r="O230" i="4"/>
  <c r="O330" i="4" s="1"/>
  <c r="O226" i="4"/>
  <c r="O326" i="4" s="1"/>
  <c r="O222" i="4"/>
  <c r="O322" i="4" s="1"/>
  <c r="O218" i="4"/>
  <c r="O318" i="4" s="1"/>
  <c r="O214" i="4"/>
  <c r="O314" i="4" s="1"/>
  <c r="O210" i="4"/>
  <c r="O310" i="4" s="1"/>
  <c r="N207" i="4"/>
  <c r="N208" i="4"/>
  <c r="N209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194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6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46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30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1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94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7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58" i="4"/>
  <c r="N55" i="4"/>
  <c r="N56" i="4"/>
  <c r="N57" i="4"/>
  <c r="N54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26" i="4"/>
  <c r="P7" i="4"/>
  <c r="P8" i="4"/>
  <c r="P9" i="4"/>
  <c r="P6" i="4"/>
  <c r="I3" i="4"/>
  <c r="O5" i="4" s="1"/>
  <c r="I4" i="4"/>
  <c r="I5" i="4"/>
  <c r="O12" i="4" s="1"/>
  <c r="I6" i="4"/>
  <c r="I7" i="4"/>
  <c r="I8" i="4"/>
  <c r="I9" i="4"/>
  <c r="O28" i="4" s="1"/>
  <c r="I10" i="4"/>
  <c r="I11" i="4"/>
  <c r="O36" i="4" s="1"/>
  <c r="I12" i="4"/>
  <c r="O40" i="4" s="1"/>
  <c r="I13" i="4"/>
  <c r="O44" i="4" s="1"/>
  <c r="I14" i="4"/>
  <c r="I15" i="4"/>
  <c r="I16" i="4"/>
  <c r="I17" i="4"/>
  <c r="I18" i="4"/>
  <c r="I19" i="4"/>
  <c r="O60" i="4" s="1"/>
  <c r="I20" i="4"/>
  <c r="O62" i="4" s="1"/>
  <c r="I21" i="4"/>
  <c r="O67" i="4" s="1"/>
  <c r="I22" i="4"/>
  <c r="I23" i="4"/>
  <c r="I24" i="4"/>
  <c r="I25" i="4"/>
  <c r="O84" i="4" s="1"/>
  <c r="I26" i="4"/>
  <c r="I27" i="4"/>
  <c r="I28" i="4"/>
  <c r="I29" i="4"/>
  <c r="I30" i="4"/>
  <c r="I31" i="4"/>
  <c r="I32" i="4"/>
  <c r="O108" i="4" s="1"/>
  <c r="I33" i="4"/>
  <c r="I34" i="4"/>
  <c r="I35" i="4"/>
  <c r="I36" i="4"/>
  <c r="I37" i="4"/>
  <c r="O124" i="4" s="1"/>
  <c r="I38" i="4"/>
  <c r="I39" i="4"/>
  <c r="I40" i="4"/>
  <c r="O137" i="4" s="1"/>
  <c r="I41" i="4"/>
  <c r="I42" i="4"/>
  <c r="O144" i="4" s="1"/>
  <c r="I43" i="4"/>
  <c r="I44" i="4"/>
  <c r="I45" i="4"/>
  <c r="I46" i="4"/>
  <c r="I47" i="4"/>
  <c r="I48" i="4"/>
  <c r="O163" i="4" s="1"/>
  <c r="I49" i="4"/>
  <c r="O169" i="4" s="1"/>
  <c r="I50" i="4"/>
  <c r="I51" i="4"/>
  <c r="O177" i="4" s="1"/>
  <c r="I52" i="4"/>
  <c r="I53" i="4"/>
  <c r="I54" i="4"/>
  <c r="I55" i="4"/>
  <c r="I56" i="4"/>
  <c r="I57" i="4"/>
  <c r="I58" i="4"/>
  <c r="I59" i="4"/>
  <c r="I60" i="4"/>
  <c r="I61" i="4"/>
  <c r="O208" i="4" s="1"/>
  <c r="I2" i="4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D53" i="4" s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" i="1"/>
  <c r="L246" i="1"/>
  <c r="L245" i="1"/>
  <c r="L244" i="1"/>
  <c r="L225" i="1"/>
  <c r="L242" i="1"/>
  <c r="L240" i="1"/>
  <c r="L236" i="1"/>
  <c r="L235" i="1"/>
  <c r="L234" i="1"/>
  <c r="L226" i="1"/>
  <c r="L227" i="1"/>
  <c r="L232" i="1"/>
  <c r="L231" i="1"/>
  <c r="L230" i="1"/>
  <c r="L229" i="1"/>
  <c r="K24" i="7" l="1"/>
  <c r="D136" i="4"/>
  <c r="E148" i="4"/>
  <c r="D37" i="4"/>
  <c r="E28" i="4"/>
  <c r="D123" i="4"/>
  <c r="D155" i="4"/>
  <c r="D107" i="4"/>
  <c r="E43" i="4"/>
  <c r="E142" i="4"/>
  <c r="D139" i="4"/>
  <c r="D34" i="4"/>
  <c r="D154" i="4"/>
  <c r="D106" i="4"/>
  <c r="E33" i="4"/>
  <c r="E132" i="4"/>
  <c r="E143" i="4"/>
  <c r="D15" i="4"/>
  <c r="D96" i="4"/>
  <c r="E11" i="4"/>
  <c r="E126" i="4"/>
  <c r="E134" i="4"/>
  <c r="D13" i="4"/>
  <c r="D133" i="4"/>
  <c r="D74" i="4"/>
  <c r="E9" i="4"/>
  <c r="E108" i="4"/>
  <c r="E35" i="4"/>
  <c r="E84" i="4"/>
  <c r="D10" i="4"/>
  <c r="D131" i="4"/>
  <c r="D72" i="4"/>
  <c r="E167" i="4"/>
  <c r="E103" i="4"/>
  <c r="D55" i="4"/>
  <c r="D176" i="4"/>
  <c r="D130" i="4"/>
  <c r="E52" i="4"/>
  <c r="E166" i="4"/>
  <c r="E102" i="4"/>
  <c r="D48" i="4"/>
  <c r="D168" i="4"/>
  <c r="D115" i="4"/>
  <c r="E49" i="4"/>
  <c r="E156" i="4"/>
  <c r="E95" i="4"/>
  <c r="D47" i="4"/>
  <c r="D157" i="4"/>
  <c r="D114" i="4"/>
  <c r="E36" i="4"/>
  <c r="E94" i="4"/>
  <c r="D32" i="4"/>
  <c r="E51" i="4"/>
  <c r="D31" i="4"/>
  <c r="D170" i="4"/>
  <c r="D152" i="4"/>
  <c r="D112" i="4"/>
  <c r="D90" i="4"/>
  <c r="D67" i="4"/>
  <c r="E164" i="4"/>
  <c r="E119" i="4"/>
  <c r="D171" i="4"/>
  <c r="D29" i="4"/>
  <c r="D88" i="4"/>
  <c r="E152" i="4"/>
  <c r="D92" i="4"/>
  <c r="D33" i="4"/>
  <c r="E30" i="4"/>
  <c r="D93" i="4"/>
  <c r="E90" i="4"/>
  <c r="E31" i="4"/>
  <c r="D150" i="4"/>
  <c r="E91" i="4"/>
  <c r="E32" i="4"/>
  <c r="D151" i="4"/>
  <c r="D153" i="4"/>
  <c r="D30" i="4"/>
  <c r="E82" i="4"/>
  <c r="E144" i="4"/>
  <c r="D84" i="4"/>
  <c r="D25" i="4"/>
  <c r="E22" i="4"/>
  <c r="D85" i="4"/>
  <c r="D142" i="4"/>
  <c r="E24" i="4"/>
  <c r="D143" i="4"/>
  <c r="D145" i="4"/>
  <c r="D22" i="4"/>
  <c r="D147" i="4"/>
  <c r="D66" i="4"/>
  <c r="E3" i="4"/>
  <c r="E159" i="4"/>
  <c r="E118" i="4"/>
  <c r="D18" i="4"/>
  <c r="D45" i="4"/>
  <c r="D7" i="4"/>
  <c r="D146" i="4"/>
  <c r="D83" i="4"/>
  <c r="D64" i="4"/>
  <c r="E20" i="4"/>
  <c r="E180" i="4"/>
  <c r="E158" i="4"/>
  <c r="E135" i="4"/>
  <c r="E116" i="4"/>
  <c r="E69" i="4"/>
  <c r="E45" i="4"/>
  <c r="D164" i="4"/>
  <c r="D165" i="4"/>
  <c r="D42" i="4"/>
  <c r="E162" i="4"/>
  <c r="D102" i="4"/>
  <c r="D43" i="4"/>
  <c r="E163" i="4"/>
  <c r="D103" i="4"/>
  <c r="D44" i="4"/>
  <c r="E165" i="4"/>
  <c r="E42" i="4"/>
  <c r="D105" i="4"/>
  <c r="E66" i="4"/>
  <c r="E128" i="4"/>
  <c r="D68" i="4"/>
  <c r="D9" i="4"/>
  <c r="E129" i="4"/>
  <c r="E6" i="4"/>
  <c r="D69" i="4"/>
  <c r="E7" i="4"/>
  <c r="D126" i="4"/>
  <c r="D127" i="4"/>
  <c r="E67" i="4"/>
  <c r="D129" i="4"/>
  <c r="D6" i="4"/>
  <c r="D8" i="4"/>
  <c r="E44" i="4"/>
  <c r="E140" i="4"/>
  <c r="E176" i="4"/>
  <c r="D116" i="4"/>
  <c r="D57" i="4"/>
  <c r="D117" i="4"/>
  <c r="E54" i="4"/>
  <c r="E114" i="4"/>
  <c r="E55" i="4"/>
  <c r="D174" i="4"/>
  <c r="E115" i="4"/>
  <c r="E56" i="4"/>
  <c r="D175" i="4"/>
  <c r="E117" i="4"/>
  <c r="D177" i="4"/>
  <c r="D54" i="4"/>
  <c r="E112" i="4"/>
  <c r="E53" i="4"/>
  <c r="D172" i="4"/>
  <c r="D173" i="4"/>
  <c r="D50" i="4"/>
  <c r="E113" i="4"/>
  <c r="D110" i="4"/>
  <c r="D51" i="4"/>
  <c r="E171" i="4"/>
  <c r="D111" i="4"/>
  <c r="D52" i="4"/>
  <c r="E173" i="4"/>
  <c r="E50" i="4"/>
  <c r="D113" i="4"/>
  <c r="D24" i="4"/>
  <c r="D163" i="4"/>
  <c r="D128" i="4"/>
  <c r="D40" i="4"/>
  <c r="D23" i="4"/>
  <c r="D5" i="4"/>
  <c r="D162" i="4"/>
  <c r="D144" i="4"/>
  <c r="D104" i="4"/>
  <c r="D82" i="4"/>
  <c r="E60" i="4"/>
  <c r="E41" i="4"/>
  <c r="E19" i="4"/>
  <c r="E175" i="4"/>
  <c r="E111" i="4"/>
  <c r="E92" i="4"/>
  <c r="D124" i="4"/>
  <c r="D125" i="4"/>
  <c r="E62" i="4"/>
  <c r="E63" i="4"/>
  <c r="E122" i="4"/>
  <c r="D62" i="4"/>
  <c r="D3" i="4"/>
  <c r="E64" i="4"/>
  <c r="E123" i="4"/>
  <c r="D63" i="4"/>
  <c r="D4" i="4"/>
  <c r="D65" i="4"/>
  <c r="D2" i="4"/>
  <c r="D91" i="4"/>
  <c r="D149" i="4"/>
  <c r="D26" i="4"/>
  <c r="E74" i="4"/>
  <c r="E136" i="4"/>
  <c r="D76" i="4"/>
  <c r="D17" i="4"/>
  <c r="E14" i="4"/>
  <c r="D77" i="4"/>
  <c r="E15" i="4"/>
  <c r="D134" i="4"/>
  <c r="E16" i="4"/>
  <c r="D135" i="4"/>
  <c r="E76" i="4"/>
  <c r="D137" i="4"/>
  <c r="D14" i="4"/>
  <c r="D61" i="4"/>
  <c r="D21" i="4"/>
  <c r="D99" i="4"/>
  <c r="D80" i="4"/>
  <c r="E59" i="4"/>
  <c r="E174" i="4"/>
  <c r="E151" i="4"/>
  <c r="E110" i="4"/>
  <c r="E120" i="4"/>
  <c r="E61" i="4"/>
  <c r="D180" i="4"/>
  <c r="D181" i="4"/>
  <c r="D58" i="4"/>
  <c r="E121" i="4"/>
  <c r="E178" i="4"/>
  <c r="D118" i="4"/>
  <c r="D59" i="4"/>
  <c r="E179" i="4"/>
  <c r="D119" i="4"/>
  <c r="D60" i="4"/>
  <c r="E58" i="4"/>
  <c r="D121" i="4"/>
  <c r="E160" i="4"/>
  <c r="D100" i="4"/>
  <c r="D41" i="4"/>
  <c r="D101" i="4"/>
  <c r="E38" i="4"/>
  <c r="E98" i="4"/>
  <c r="E39" i="4"/>
  <c r="D158" i="4"/>
  <c r="E99" i="4"/>
  <c r="E40" i="4"/>
  <c r="D159" i="4"/>
  <c r="D161" i="4"/>
  <c r="D38" i="4"/>
  <c r="D39" i="4"/>
  <c r="D179" i="4"/>
  <c r="D160" i="4"/>
  <c r="D122" i="4"/>
  <c r="D56" i="4"/>
  <c r="D16" i="4"/>
  <c r="D178" i="4"/>
  <c r="D138" i="4"/>
  <c r="D120" i="4"/>
  <c r="D98" i="4"/>
  <c r="D75" i="4"/>
  <c r="E57" i="4"/>
  <c r="E172" i="4"/>
  <c r="E150" i="4"/>
  <c r="E127" i="4"/>
  <c r="E86" i="4"/>
  <c r="D46" i="4"/>
  <c r="D169" i="4"/>
  <c r="D97" i="4"/>
  <c r="D89" i="4"/>
  <c r="D81" i="4"/>
  <c r="D73" i="4"/>
  <c r="E34" i="4"/>
  <c r="E26" i="4"/>
  <c r="E18" i="4"/>
  <c r="E10" i="4"/>
  <c r="E157" i="4"/>
  <c r="E149" i="4"/>
  <c r="E133" i="4"/>
  <c r="E109" i="4"/>
  <c r="D36" i="4"/>
  <c r="D28" i="4"/>
  <c r="D20" i="4"/>
  <c r="D12" i="4"/>
  <c r="D167" i="4"/>
  <c r="D95" i="4"/>
  <c r="D87" i="4"/>
  <c r="D79" i="4"/>
  <c r="D71" i="4"/>
  <c r="E48" i="4"/>
  <c r="E155" i="4"/>
  <c r="E147" i="4"/>
  <c r="E139" i="4"/>
  <c r="E131" i="4"/>
  <c r="E107" i="4"/>
  <c r="E73" i="4"/>
  <c r="D35" i="4"/>
  <c r="D27" i="4"/>
  <c r="D19" i="4"/>
  <c r="D11" i="4"/>
  <c r="D166" i="4"/>
  <c r="D94" i="4"/>
  <c r="D86" i="4"/>
  <c r="D78" i="4"/>
  <c r="D70" i="4"/>
  <c r="E47" i="4"/>
  <c r="E154" i="4"/>
  <c r="E146" i="4"/>
  <c r="E138" i="4"/>
  <c r="E130" i="4"/>
  <c r="E72" i="4"/>
  <c r="E46" i="4"/>
  <c r="E169" i="4"/>
  <c r="E89" i="4"/>
  <c r="E80" i="4"/>
  <c r="E71" i="4"/>
  <c r="D141" i="4"/>
  <c r="D109" i="4"/>
  <c r="D49" i="4"/>
  <c r="D156" i="4"/>
  <c r="D148" i="4"/>
  <c r="D140" i="4"/>
  <c r="D132" i="4"/>
  <c r="D108" i="4"/>
  <c r="E37" i="4"/>
  <c r="E29" i="4"/>
  <c r="E13" i="4"/>
  <c r="E168" i="4"/>
  <c r="E96" i="4"/>
  <c r="E88" i="4"/>
  <c r="E79" i="4"/>
  <c r="E70" i="4"/>
  <c r="P11" i="4"/>
  <c r="P15" i="4" s="1"/>
  <c r="K66" i="4"/>
  <c r="K114" i="4"/>
  <c r="K98" i="4"/>
  <c r="K113" i="4"/>
  <c r="K105" i="4"/>
  <c r="K99" i="4"/>
  <c r="K112" i="4"/>
  <c r="K104" i="4"/>
  <c r="K96" i="4"/>
  <c r="K106" i="4"/>
  <c r="K111" i="4"/>
  <c r="K103" i="4"/>
  <c r="K95" i="4"/>
  <c r="K110" i="4"/>
  <c r="K102" i="4"/>
  <c r="K94" i="4"/>
  <c r="K109" i="4"/>
  <c r="K101" i="4"/>
  <c r="K93" i="4"/>
  <c r="K108" i="4"/>
  <c r="K100" i="4"/>
  <c r="K92" i="4"/>
  <c r="K91" i="4"/>
  <c r="K97" i="4"/>
  <c r="K115" i="4"/>
  <c r="K107" i="4"/>
  <c r="K85" i="4"/>
  <c r="O59" i="4"/>
  <c r="O209" i="4"/>
  <c r="O35" i="4"/>
  <c r="O176" i="4"/>
  <c r="O68" i="4"/>
  <c r="O85" i="4"/>
  <c r="O125" i="4"/>
  <c r="O132" i="4"/>
  <c r="O133" i="4"/>
  <c r="O102" i="4"/>
  <c r="O103" i="4"/>
  <c r="O104" i="4"/>
  <c r="O105" i="4"/>
  <c r="O52" i="4"/>
  <c r="O51" i="4"/>
  <c r="K77" i="4"/>
  <c r="Q1071" i="4" s="1"/>
  <c r="K69" i="4"/>
  <c r="O187" i="4"/>
  <c r="O188" i="4"/>
  <c r="O155" i="4"/>
  <c r="O127" i="4"/>
  <c r="O128" i="4"/>
  <c r="O129" i="4"/>
  <c r="O99" i="4"/>
  <c r="O100" i="4"/>
  <c r="O71" i="4"/>
  <c r="O72" i="4"/>
  <c r="O73" i="4"/>
  <c r="K84" i="4"/>
  <c r="K76" i="4"/>
  <c r="K68" i="4"/>
  <c r="O158" i="4"/>
  <c r="O159" i="4"/>
  <c r="O160" i="4"/>
  <c r="O161" i="4"/>
  <c r="O74" i="4"/>
  <c r="O77" i="4"/>
  <c r="O20" i="4"/>
  <c r="O19" i="4"/>
  <c r="O206" i="4"/>
  <c r="O207" i="4"/>
  <c r="O182" i="4"/>
  <c r="O184" i="4"/>
  <c r="O185" i="4"/>
  <c r="O150" i="4"/>
  <c r="O151" i="4"/>
  <c r="O152" i="4"/>
  <c r="O153" i="4"/>
  <c r="O122" i="4"/>
  <c r="O123" i="4"/>
  <c r="O94" i="4"/>
  <c r="O96" i="4"/>
  <c r="O97" i="4"/>
  <c r="O66" i="4"/>
  <c r="O69" i="4"/>
  <c r="O131" i="4"/>
  <c r="O198" i="4"/>
  <c r="O199" i="4"/>
  <c r="O200" i="4"/>
  <c r="O201" i="4"/>
  <c r="O175" i="4"/>
  <c r="O115" i="4"/>
  <c r="O116" i="4"/>
  <c r="O117" i="4"/>
  <c r="O91" i="4"/>
  <c r="O90" i="4"/>
  <c r="K89" i="4"/>
  <c r="Q1119" i="4" s="1"/>
  <c r="K81" i="4"/>
  <c r="P13" i="4"/>
  <c r="O58" i="4"/>
  <c r="O95" i="4"/>
  <c r="O183" i="4"/>
  <c r="O41" i="4"/>
  <c r="O39" i="4"/>
  <c r="P10" i="4"/>
  <c r="O170" i="4"/>
  <c r="O171" i="4"/>
  <c r="O172" i="4"/>
  <c r="O173" i="4"/>
  <c r="O145" i="4"/>
  <c r="O142" i="4"/>
  <c r="O111" i="4"/>
  <c r="O113" i="4"/>
  <c r="O110" i="4"/>
  <c r="O86" i="4"/>
  <c r="O87" i="4"/>
  <c r="O88" i="4"/>
  <c r="O89" i="4"/>
  <c r="O33" i="4"/>
  <c r="O32" i="4"/>
  <c r="P12" i="4"/>
  <c r="O101" i="4"/>
  <c r="O143" i="4"/>
  <c r="O189" i="4"/>
  <c r="O146" i="4"/>
  <c r="O147" i="4"/>
  <c r="O148" i="4"/>
  <c r="O149" i="4"/>
  <c r="O118" i="4"/>
  <c r="O119" i="4"/>
  <c r="O120" i="4"/>
  <c r="O121" i="4"/>
  <c r="O63" i="4"/>
  <c r="O64" i="4"/>
  <c r="O65" i="4"/>
  <c r="O8" i="4"/>
  <c r="O7" i="4"/>
  <c r="O194" i="4"/>
  <c r="O197" i="4"/>
  <c r="O166" i="4"/>
  <c r="O167" i="4"/>
  <c r="O168" i="4"/>
  <c r="O138" i="4"/>
  <c r="O139" i="4"/>
  <c r="O140" i="4"/>
  <c r="O141" i="4"/>
  <c r="O83" i="4"/>
  <c r="K87" i="4"/>
  <c r="K79" i="4"/>
  <c r="K71" i="4"/>
  <c r="O174" i="4"/>
  <c r="O157" i="4"/>
  <c r="O196" i="4"/>
  <c r="O202" i="4"/>
  <c r="O203" i="4"/>
  <c r="O204" i="4"/>
  <c r="O205" i="4"/>
  <c r="O178" i="4"/>
  <c r="O179" i="4"/>
  <c r="O180" i="4"/>
  <c r="O181" i="4"/>
  <c r="O191" i="4"/>
  <c r="O192" i="4"/>
  <c r="O193" i="4"/>
  <c r="O162" i="4"/>
  <c r="O164" i="4"/>
  <c r="O165" i="4"/>
  <c r="O134" i="4"/>
  <c r="O135" i="4"/>
  <c r="O136" i="4"/>
  <c r="O106" i="4"/>
  <c r="O109" i="4"/>
  <c r="O79" i="4"/>
  <c r="O80" i="4"/>
  <c r="O81" i="4"/>
  <c r="O78" i="4"/>
  <c r="K16" i="4"/>
  <c r="O55" i="4"/>
  <c r="O25" i="4"/>
  <c r="O23" i="4"/>
  <c r="K86" i="4"/>
  <c r="K78" i="4"/>
  <c r="K70" i="4"/>
  <c r="O31" i="4"/>
  <c r="O190" i="4"/>
  <c r="O107" i="4"/>
  <c r="O156" i="4"/>
  <c r="O195" i="4"/>
  <c r="K90" i="4"/>
  <c r="K82" i="4"/>
  <c r="K74" i="4"/>
  <c r="O4" i="4"/>
  <c r="K73" i="4"/>
  <c r="O3" i="4"/>
  <c r="K83" i="4"/>
  <c r="Q1095" i="4" s="1"/>
  <c r="K75" i="4"/>
  <c r="K67" i="4"/>
  <c r="O11" i="4"/>
  <c r="O27" i="4"/>
  <c r="O43" i="4"/>
  <c r="O2" i="4"/>
  <c r="O14" i="4"/>
  <c r="O22" i="4"/>
  <c r="O30" i="4"/>
  <c r="O38" i="4"/>
  <c r="O46" i="4"/>
  <c r="O54" i="4"/>
  <c r="O82" i="4"/>
  <c r="O114" i="4"/>
  <c r="O61" i="4"/>
  <c r="O17" i="4"/>
  <c r="O24" i="4"/>
  <c r="O49" i="4"/>
  <c r="O56" i="4"/>
  <c r="O57" i="4"/>
  <c r="K88" i="4"/>
  <c r="Q1115" i="4" s="1"/>
  <c r="K80" i="4"/>
  <c r="K72" i="4"/>
  <c r="Q1051" i="4" s="1"/>
  <c r="O16" i="4"/>
  <c r="O48" i="4"/>
  <c r="O154" i="4"/>
  <c r="O186" i="4"/>
  <c r="O15" i="4"/>
  <c r="O47" i="4"/>
  <c r="O126" i="4"/>
  <c r="O6" i="4"/>
  <c r="O10" i="4"/>
  <c r="O18" i="4"/>
  <c r="O26" i="4"/>
  <c r="O34" i="4"/>
  <c r="O42" i="4"/>
  <c r="O50" i="4"/>
  <c r="O98" i="4"/>
  <c r="O130" i="4"/>
  <c r="O76" i="4"/>
  <c r="O93" i="4"/>
  <c r="O112" i="4"/>
  <c r="O9" i="4"/>
  <c r="O13" i="4"/>
  <c r="O21" i="4"/>
  <c r="O29" i="4"/>
  <c r="O37" i="4"/>
  <c r="O45" i="4"/>
  <c r="O53" i="4"/>
  <c r="O70" i="4"/>
  <c r="O75" i="4"/>
  <c r="O92" i="4"/>
  <c r="Q1062" i="4" l="1"/>
  <c r="Q1167" i="4"/>
  <c r="R776" i="4"/>
  <c r="Q1150" i="4"/>
  <c r="Q1054" i="4"/>
  <c r="Q1055" i="4"/>
  <c r="Q629" i="4"/>
  <c r="Q731" i="4"/>
  <c r="Q1223" i="4"/>
  <c r="R619" i="4"/>
  <c r="Q1116" i="4"/>
  <c r="R741" i="4"/>
  <c r="Q1137" i="4"/>
  <c r="Q1132" i="4"/>
  <c r="Q726" i="4"/>
  <c r="Q1127" i="4"/>
  <c r="Q1074" i="4"/>
  <c r="R1106" i="4"/>
  <c r="Q1097" i="4"/>
  <c r="R684" i="4"/>
  <c r="Q1084" i="4"/>
  <c r="R1042" i="4"/>
  <c r="R1103" i="4"/>
  <c r="R744" i="4"/>
  <c r="R800" i="4"/>
  <c r="R817" i="4"/>
  <c r="R742" i="4"/>
  <c r="R696" i="4"/>
  <c r="R1146" i="4"/>
  <c r="Q1085" i="4"/>
  <c r="Q1094" i="4"/>
  <c r="Q1040" i="4"/>
  <c r="Q1106" i="4"/>
  <c r="Q1052" i="4"/>
  <c r="Q1060" i="4"/>
  <c r="Q1066" i="4"/>
  <c r="R725" i="4"/>
  <c r="R737" i="4"/>
  <c r="R691" i="4"/>
  <c r="R715" i="4"/>
  <c r="R692" i="4"/>
  <c r="R764" i="4"/>
  <c r="R627" i="4"/>
  <c r="R655" i="4"/>
  <c r="Q750" i="4"/>
  <c r="Q1184" i="4"/>
  <c r="R671" i="4"/>
  <c r="Q1204" i="4"/>
  <c r="Q1136" i="4"/>
  <c r="Q1156" i="4"/>
  <c r="R631" i="4"/>
  <c r="Q1155" i="4"/>
  <c r="R624" i="4"/>
  <c r="Q1180" i="4"/>
  <c r="Q790" i="4"/>
  <c r="Q1191" i="4"/>
  <c r="Q1179" i="4"/>
  <c r="Q1141" i="4"/>
  <c r="R1162" i="4"/>
  <c r="R675" i="4"/>
  <c r="Q1173" i="4"/>
  <c r="Q1213" i="4"/>
  <c r="Q1189" i="4"/>
  <c r="R1126" i="4"/>
  <c r="Q1205" i="4"/>
  <c r="R659" i="4"/>
  <c r="R464" i="4"/>
  <c r="R703" i="4"/>
  <c r="R643" i="4"/>
  <c r="Q1108" i="4"/>
  <c r="Q1188" i="4"/>
  <c r="Q1221" i="4"/>
  <c r="R687" i="4"/>
  <c r="Q680" i="4"/>
  <c r="R1087" i="4"/>
  <c r="Q681" i="4"/>
  <c r="Q679" i="4"/>
  <c r="Q678" i="4"/>
  <c r="R1088" i="4"/>
  <c r="R1196" i="4"/>
  <c r="Q788" i="4"/>
  <c r="Q787" i="4"/>
  <c r="R1195" i="4"/>
  <c r="Q786" i="4"/>
  <c r="R786" i="4"/>
  <c r="Q1194" i="4"/>
  <c r="R1177" i="4"/>
  <c r="R766" i="4"/>
  <c r="R1176" i="4"/>
  <c r="Q768" i="4"/>
  <c r="Q767" i="4"/>
  <c r="R1175" i="4"/>
  <c r="Q1176" i="4"/>
  <c r="Q769" i="4"/>
  <c r="Q1174" i="4"/>
  <c r="Q1177" i="4"/>
  <c r="Q808" i="4"/>
  <c r="Q807" i="4"/>
  <c r="R1215" i="4"/>
  <c r="Q809" i="4"/>
  <c r="R1217" i="4"/>
  <c r="R1216" i="4"/>
  <c r="Q806" i="4"/>
  <c r="R1214" i="4"/>
  <c r="R806" i="4"/>
  <c r="R1194" i="4"/>
  <c r="Q685" i="4"/>
  <c r="Q684" i="4"/>
  <c r="R1092" i="4"/>
  <c r="Q683" i="4"/>
  <c r="R1090" i="4"/>
  <c r="R1091" i="4"/>
  <c r="Q669" i="4"/>
  <c r="R1076" i="4"/>
  <c r="Q667" i="4"/>
  <c r="Q668" i="4"/>
  <c r="Q666" i="4"/>
  <c r="Q704" i="4"/>
  <c r="R1111" i="4"/>
  <c r="Q703" i="4"/>
  <c r="Q705" i="4"/>
  <c r="R1110" i="4"/>
  <c r="Q1083" i="4"/>
  <c r="Q1219" i="4"/>
  <c r="Q1187" i="4"/>
  <c r="Q1102" i="4"/>
  <c r="Q1070" i="4"/>
  <c r="Q1038" i="4"/>
  <c r="R708" i="4"/>
  <c r="R680" i="4"/>
  <c r="R668" i="4"/>
  <c r="R804" i="4"/>
  <c r="R772" i="4"/>
  <c r="R740" i="4"/>
  <c r="Q1112" i="4"/>
  <c r="Q1080" i="4"/>
  <c r="Q1048" i="4"/>
  <c r="Q1140" i="4"/>
  <c r="R801" i="4"/>
  <c r="R757" i="4"/>
  <c r="R777" i="4"/>
  <c r="Q873" i="4"/>
  <c r="Q1093" i="4"/>
  <c r="Q1057" i="4"/>
  <c r="Q1129" i="4"/>
  <c r="Q1185" i="4"/>
  <c r="Q1149" i="4"/>
  <c r="Q1130" i="4"/>
  <c r="R1086" i="4"/>
  <c r="R1174" i="4"/>
  <c r="Q462" i="4"/>
  <c r="Q802" i="4"/>
  <c r="Q771" i="4"/>
  <c r="R1144" i="4"/>
  <c r="R734" i="4"/>
  <c r="Q789" i="4"/>
  <c r="Q1042" i="4"/>
  <c r="R809" i="4"/>
  <c r="Q645" i="4"/>
  <c r="Q644" i="4"/>
  <c r="Q643" i="4"/>
  <c r="R1052" i="4"/>
  <c r="R1051" i="4"/>
  <c r="Q642" i="4"/>
  <c r="R1050" i="4"/>
  <c r="Q623" i="4"/>
  <c r="Q625" i="4"/>
  <c r="R1032" i="4"/>
  <c r="Q622" i="4"/>
  <c r="R1030" i="4"/>
  <c r="R1031" i="4"/>
  <c r="Q1111" i="4"/>
  <c r="Q1079" i="4"/>
  <c r="Q1047" i="4"/>
  <c r="Q1147" i="4"/>
  <c r="Q1215" i="4"/>
  <c r="H25" i="7" s="1"/>
  <c r="H55" i="7" s="1"/>
  <c r="Q1183" i="4"/>
  <c r="Q1098" i="4"/>
  <c r="Q1034" i="4"/>
  <c r="R664" i="4"/>
  <c r="R652" i="4"/>
  <c r="R768" i="4"/>
  <c r="R736" i="4"/>
  <c r="Q1076" i="4"/>
  <c r="Q1044" i="4"/>
  <c r="Q1216" i="4"/>
  <c r="Q1144" i="4"/>
  <c r="R769" i="4"/>
  <c r="R745" i="4"/>
  <c r="Q1121" i="4"/>
  <c r="Q1089" i="4"/>
  <c r="Q1053" i="4"/>
  <c r="Q1181" i="4"/>
  <c r="R1074" i="4"/>
  <c r="Q682" i="4"/>
  <c r="Q1087" i="4"/>
  <c r="I18" i="7" s="1"/>
  <c r="I48" i="7" s="1"/>
  <c r="R1212" i="4"/>
  <c r="Q715" i="4"/>
  <c r="Q717" i="4"/>
  <c r="Q716" i="4"/>
  <c r="R1124" i="4"/>
  <c r="R1123" i="4"/>
  <c r="R1122" i="4"/>
  <c r="Q714" i="4"/>
  <c r="Q699" i="4"/>
  <c r="R1108" i="4"/>
  <c r="Q701" i="4"/>
  <c r="R1107" i="4"/>
  <c r="Q698" i="4"/>
  <c r="Q661" i="4"/>
  <c r="Q659" i="4"/>
  <c r="R1067" i="4"/>
  <c r="Q660" i="4"/>
  <c r="R1066" i="4"/>
  <c r="Q784" i="4"/>
  <c r="Q783" i="4"/>
  <c r="R1191" i="4"/>
  <c r="Q785" i="4"/>
  <c r="R1193" i="4"/>
  <c r="R782" i="4"/>
  <c r="Q1190" i="4"/>
  <c r="Q1193" i="4"/>
  <c r="Q782" i="4"/>
  <c r="R1190" i="4"/>
  <c r="R1192" i="4"/>
  <c r="R1169" i="4"/>
  <c r="R758" i="4"/>
  <c r="R1168" i="4"/>
  <c r="Q761" i="4"/>
  <c r="Q760" i="4"/>
  <c r="Q759" i="4"/>
  <c r="Q1166" i="4"/>
  <c r="Q758" i="4"/>
  <c r="R1166" i="4"/>
  <c r="Q1169" i="4"/>
  <c r="Q780" i="4"/>
  <c r="Q779" i="4"/>
  <c r="R1187" i="4"/>
  <c r="Q781" i="4"/>
  <c r="R778" i="4"/>
  <c r="R1188" i="4"/>
  <c r="R1189" i="4"/>
  <c r="Q1186" i="4"/>
  <c r="Q778" i="4"/>
  <c r="R1186" i="4"/>
  <c r="Q812" i="4"/>
  <c r="Q811" i="4"/>
  <c r="R1219" i="4"/>
  <c r="Q813" i="4"/>
  <c r="R810" i="4"/>
  <c r="R1221" i="4"/>
  <c r="R1220" i="4"/>
  <c r="Q1218" i="4"/>
  <c r="Q810" i="4"/>
  <c r="R1218" i="4"/>
  <c r="R699" i="4"/>
  <c r="Q692" i="4"/>
  <c r="Q691" i="4"/>
  <c r="Q690" i="4"/>
  <c r="R1098" i="4"/>
  <c r="R1099" i="4"/>
  <c r="R1100" i="4"/>
  <c r="Q816" i="4"/>
  <c r="Q815" i="4"/>
  <c r="R1223" i="4"/>
  <c r="Q817" i="4"/>
  <c r="R1225" i="4"/>
  <c r="R814" i="4"/>
  <c r="R1224" i="4"/>
  <c r="Q1222" i="4"/>
  <c r="Q1225" i="4"/>
  <c r="Q814" i="4"/>
  <c r="R1222" i="4"/>
  <c r="R790" i="4"/>
  <c r="R1200" i="4"/>
  <c r="R1201" i="4"/>
  <c r="Q793" i="4"/>
  <c r="Q1198" i="4"/>
  <c r="Q792" i="4"/>
  <c r="Q791" i="4"/>
  <c r="R1199" i="4"/>
  <c r="R1198" i="4"/>
  <c r="Q741" i="4"/>
  <c r="R1148" i="4"/>
  <c r="R1149" i="4"/>
  <c r="R738" i="4"/>
  <c r="R1147" i="4"/>
  <c r="Q738" i="4"/>
  <c r="Q740" i="4"/>
  <c r="Q739" i="4"/>
  <c r="Q1146" i="4"/>
  <c r="Q619" i="4"/>
  <c r="R1027" i="4"/>
  <c r="Q620" i="4"/>
  <c r="Q621" i="4"/>
  <c r="R1028" i="4"/>
  <c r="R1026" i="4"/>
  <c r="Q618" i="4"/>
  <c r="R623" i="4"/>
  <c r="R683" i="4"/>
  <c r="Q1043" i="4"/>
  <c r="Q1143" i="4"/>
  <c r="Q1211" i="4"/>
  <c r="Q1030" i="4"/>
  <c r="R704" i="4"/>
  <c r="R676" i="4"/>
  <c r="R648" i="4"/>
  <c r="R640" i="4"/>
  <c r="R796" i="4"/>
  <c r="R720" i="4"/>
  <c r="Q1104" i="4"/>
  <c r="Q1072" i="4"/>
  <c r="Q1200" i="4"/>
  <c r="Q1168" i="4"/>
  <c r="Q1160" i="4"/>
  <c r="R785" i="4"/>
  <c r="R721" i="4"/>
  <c r="Q1113" i="4"/>
  <c r="Q1045" i="4"/>
  <c r="Q1217" i="4"/>
  <c r="R1054" i="4"/>
  <c r="Q702" i="4"/>
  <c r="Q766" i="4"/>
  <c r="Q700" i="4"/>
  <c r="Q1192" i="4"/>
  <c r="R873" i="4"/>
  <c r="Q870" i="4"/>
  <c r="Q463" i="4"/>
  <c r="R871" i="4"/>
  <c r="Q465" i="4"/>
  <c r="R872" i="4"/>
  <c r="R462" i="4"/>
  <c r="R870" i="4"/>
  <c r="Q464" i="4"/>
  <c r="Q713" i="4"/>
  <c r="Q711" i="4"/>
  <c r="Q712" i="4"/>
  <c r="R1120" i="4"/>
  <c r="R1119" i="4"/>
  <c r="R1035" i="4"/>
  <c r="Q627" i="4"/>
  <c r="Q628" i="4"/>
  <c r="R1036" i="4"/>
  <c r="R1034" i="4"/>
  <c r="R1104" i="4"/>
  <c r="Q695" i="4"/>
  <c r="Q696" i="4"/>
  <c r="Q697" i="4"/>
  <c r="Q694" i="4"/>
  <c r="R1102" i="4"/>
  <c r="R1137" i="4"/>
  <c r="R726" i="4"/>
  <c r="Q727" i="4"/>
  <c r="R1135" i="4"/>
  <c r="Q729" i="4"/>
  <c r="Q1134" i="4"/>
  <c r="Q728" i="4"/>
  <c r="R1134" i="4"/>
  <c r="R1136" i="4"/>
  <c r="Q1208" i="4"/>
  <c r="R798" i="4"/>
  <c r="R1208" i="4"/>
  <c r="Q800" i="4"/>
  <c r="Q799" i="4"/>
  <c r="R1207" i="4"/>
  <c r="Q801" i="4"/>
  <c r="Q1206" i="4"/>
  <c r="Q1209" i="4"/>
  <c r="R1209" i="4"/>
  <c r="Q798" i="4"/>
  <c r="R1156" i="4"/>
  <c r="Q748" i="4"/>
  <c r="Q747" i="4"/>
  <c r="Q749" i="4"/>
  <c r="R1155" i="4"/>
  <c r="R1157" i="4"/>
  <c r="R746" i="4"/>
  <c r="Q746" i="4"/>
  <c r="Q1154" i="4"/>
  <c r="R1154" i="4"/>
  <c r="R711" i="4"/>
  <c r="Q676" i="4"/>
  <c r="Q677" i="4"/>
  <c r="R1084" i="4"/>
  <c r="Q674" i="4"/>
  <c r="Q675" i="4"/>
  <c r="R1083" i="4"/>
  <c r="R1082" i="4"/>
  <c r="Q655" i="4"/>
  <c r="R1063" i="4"/>
  <c r="Q657" i="4"/>
  <c r="R1064" i="4"/>
  <c r="Q656" i="4"/>
  <c r="R1062" i="4"/>
  <c r="R695" i="4"/>
  <c r="Q1107" i="4"/>
  <c r="Q1075" i="4"/>
  <c r="Q708" i="4"/>
  <c r="R1116" i="4"/>
  <c r="Q709" i="4"/>
  <c r="R1115" i="4"/>
  <c r="Q707" i="4"/>
  <c r="Q1117" i="4"/>
  <c r="Q706" i="4"/>
  <c r="R1114" i="4"/>
  <c r="R1095" i="4"/>
  <c r="Q687" i="4"/>
  <c r="Q689" i="4"/>
  <c r="R1096" i="4"/>
  <c r="R1094" i="4"/>
  <c r="Q688" i="4"/>
  <c r="Q686" i="4"/>
  <c r="Q633" i="4"/>
  <c r="R1040" i="4"/>
  <c r="R1039" i="4"/>
  <c r="Q632" i="4"/>
  <c r="Q630" i="4"/>
  <c r="R1038" i="4"/>
  <c r="Q744" i="4"/>
  <c r="Q743" i="4"/>
  <c r="Q745" i="4"/>
  <c r="R1152" i="4"/>
  <c r="Q742" i="4"/>
  <c r="R1151" i="4"/>
  <c r="R1150" i="4"/>
  <c r="R730" i="4"/>
  <c r="R1141" i="4"/>
  <c r="R1140" i="4"/>
  <c r="Q732" i="4"/>
  <c r="R1139" i="4"/>
  <c r="Q1138" i="4"/>
  <c r="R1138" i="4"/>
  <c r="Q730" i="4"/>
  <c r="Q733" i="4"/>
  <c r="Q773" i="4"/>
  <c r="R770" i="4"/>
  <c r="R1181" i="4"/>
  <c r="Q770" i="4"/>
  <c r="R1178" i="4"/>
  <c r="R1180" i="4"/>
  <c r="Q1178" i="4"/>
  <c r="Q1224" i="4"/>
  <c r="R463" i="4"/>
  <c r="R707" i="4"/>
  <c r="R679" i="4"/>
  <c r="R667" i="4"/>
  <c r="Q1103" i="4"/>
  <c r="Q1039" i="4"/>
  <c r="Q1159" i="4"/>
  <c r="Q1207" i="4"/>
  <c r="Q1175" i="4"/>
  <c r="Q1122" i="4"/>
  <c r="Q1090" i="4"/>
  <c r="Q1058" i="4"/>
  <c r="Q1026" i="4"/>
  <c r="R656" i="4"/>
  <c r="R660" i="4"/>
  <c r="R636" i="4"/>
  <c r="R728" i="4"/>
  <c r="R792" i="4"/>
  <c r="R760" i="4"/>
  <c r="R724" i="4"/>
  <c r="Q1100" i="4"/>
  <c r="Q1068" i="4"/>
  <c r="Q1036" i="4"/>
  <c r="Q1148" i="4"/>
  <c r="R1075" i="4"/>
  <c r="R465" i="4"/>
  <c r="R797" i="4"/>
  <c r="R753" i="4"/>
  <c r="Q1125" i="4"/>
  <c r="Q1077" i="4"/>
  <c r="Q1041" i="4"/>
  <c r="Q1153" i="4"/>
  <c r="Q1162" i="4"/>
  <c r="Q654" i="4"/>
  <c r="R1167" i="4"/>
  <c r="Q624" i="4"/>
  <c r="R1197" i="4"/>
  <c r="R1043" i="4"/>
  <c r="Q637" i="4"/>
  <c r="R1044" i="4"/>
  <c r="Q636" i="4"/>
  <c r="Q634" i="4"/>
  <c r="Q635" i="4"/>
  <c r="Q1061" i="4"/>
  <c r="R1072" i="4"/>
  <c r="Q662" i="4"/>
  <c r="Q665" i="4"/>
  <c r="Q664" i="4"/>
  <c r="Q663" i="4"/>
  <c r="R1071" i="4"/>
  <c r="R1070" i="4"/>
  <c r="R1128" i="4"/>
  <c r="R1127" i="4"/>
  <c r="Q720" i="4"/>
  <c r="R718" i="4"/>
  <c r="Q721" i="4"/>
  <c r="R1129" i="4"/>
  <c r="Q719" i="4"/>
  <c r="Q718" i="4"/>
  <c r="Q1126" i="4"/>
  <c r="R1173" i="4"/>
  <c r="R762" i="4"/>
  <c r="R1172" i="4"/>
  <c r="R1171" i="4"/>
  <c r="Q764" i="4"/>
  <c r="Q763" i="4"/>
  <c r="Q765" i="4"/>
  <c r="Q1170" i="4"/>
  <c r="Q762" i="4"/>
  <c r="Q805" i="4"/>
  <c r="R1213" i="4"/>
  <c r="R802" i="4"/>
  <c r="R1210" i="4"/>
  <c r="Q804" i="4"/>
  <c r="Q803" i="4"/>
  <c r="R1211" i="4"/>
  <c r="Q1210" i="4"/>
  <c r="R639" i="4"/>
  <c r="R663" i="4"/>
  <c r="R651" i="4"/>
  <c r="Q1099" i="4"/>
  <c r="Q1067" i="4"/>
  <c r="Q1035" i="4"/>
  <c r="Q1163" i="4"/>
  <c r="Q1203" i="4"/>
  <c r="Q1139" i="4"/>
  <c r="Q1118" i="4"/>
  <c r="Q1086" i="4"/>
  <c r="R688" i="4"/>
  <c r="R644" i="4"/>
  <c r="R628" i="4"/>
  <c r="R732" i="4"/>
  <c r="R788" i="4"/>
  <c r="R756" i="4"/>
  <c r="Q872" i="4"/>
  <c r="Q1096" i="4"/>
  <c r="Q1064" i="4"/>
  <c r="Q1032" i="4"/>
  <c r="Q1164" i="4"/>
  <c r="Q1172" i="4"/>
  <c r="R765" i="4"/>
  <c r="R813" i="4"/>
  <c r="R729" i="4"/>
  <c r="Q1109" i="4"/>
  <c r="Q1073" i="4"/>
  <c r="Q1037" i="4"/>
  <c r="Q1157" i="4"/>
  <c r="Q1214" i="4"/>
  <c r="Q658" i="4"/>
  <c r="R1179" i="4"/>
  <c r="Q772" i="4"/>
  <c r="R1153" i="4"/>
  <c r="R789" i="4"/>
  <c r="R1055" i="4"/>
  <c r="Q648" i="4"/>
  <c r="Q647" i="4"/>
  <c r="Q646" i="4"/>
  <c r="Q649" i="4"/>
  <c r="R1056" i="4"/>
  <c r="R1132" i="4"/>
  <c r="R722" i="4"/>
  <c r="Q1133" i="4"/>
  <c r="Q724" i="4"/>
  <c r="R1131" i="4"/>
  <c r="Q725" i="4"/>
  <c r="Q723" i="4"/>
  <c r="R1130" i="4"/>
  <c r="R1133" i="4"/>
  <c r="Q722" i="4"/>
  <c r="R794" i="4"/>
  <c r="R1204" i="4"/>
  <c r="R1205" i="4"/>
  <c r="Q796" i="4"/>
  <c r="Q795" i="4"/>
  <c r="R1203" i="4"/>
  <c r="Q797" i="4"/>
  <c r="Q794" i="4"/>
  <c r="R1202" i="4"/>
  <c r="Q752" i="4"/>
  <c r="Q751" i="4"/>
  <c r="Q753" i="4"/>
  <c r="Q1158" i="4"/>
  <c r="R1161" i="4"/>
  <c r="R750" i="4"/>
  <c r="R1160" i="4"/>
  <c r="R1159" i="4"/>
  <c r="R1158" i="4"/>
  <c r="R647" i="4"/>
  <c r="Q871" i="4"/>
  <c r="Q1063" i="4"/>
  <c r="Q1031" i="4"/>
  <c r="Q1135" i="4"/>
  <c r="Q1199" i="4"/>
  <c r="Q1151" i="4"/>
  <c r="H9" i="7" s="1"/>
  <c r="H39" i="7" s="1"/>
  <c r="Q1114" i="4"/>
  <c r="Q1082" i="4"/>
  <c r="Q1050" i="4"/>
  <c r="R632" i="4"/>
  <c r="R620" i="4"/>
  <c r="R716" i="4"/>
  <c r="R816" i="4"/>
  <c r="R784" i="4"/>
  <c r="R752" i="4"/>
  <c r="Q1120" i="4"/>
  <c r="Q1092" i="4"/>
  <c r="Q1028" i="4"/>
  <c r="Q1212" i="4"/>
  <c r="Q1128" i="4"/>
  <c r="R805" i="4"/>
  <c r="R793" i="4"/>
  <c r="R781" i="4"/>
  <c r="R733" i="4"/>
  <c r="Q1105" i="4"/>
  <c r="Q1069" i="4"/>
  <c r="Q1033" i="4"/>
  <c r="Q1201" i="4"/>
  <c r="Q1161" i="4"/>
  <c r="Q1202" i="4"/>
  <c r="R1170" i="4"/>
  <c r="Q710" i="4"/>
  <c r="R1112" i="4"/>
  <c r="Q652" i="4"/>
  <c r="R1059" i="4"/>
  <c r="R1060" i="4"/>
  <c r="R1058" i="4"/>
  <c r="Q653" i="4"/>
  <c r="Q650" i="4"/>
  <c r="Q651" i="4"/>
  <c r="Q672" i="4"/>
  <c r="Q671" i="4"/>
  <c r="R1079" i="4"/>
  <c r="R1080" i="4"/>
  <c r="Q673" i="4"/>
  <c r="Q1081" i="4"/>
  <c r="Q670" i="4"/>
  <c r="R1078" i="4"/>
  <c r="R808" i="4"/>
  <c r="Q640" i="4"/>
  <c r="R1047" i="4"/>
  <c r="Q641" i="4"/>
  <c r="R1048" i="4"/>
  <c r="Q638" i="4"/>
  <c r="Q1049" i="4"/>
  <c r="Q639" i="4"/>
  <c r="R1046" i="4"/>
  <c r="Q756" i="4"/>
  <c r="Q755" i="4"/>
  <c r="Q754" i="4"/>
  <c r="R1164" i="4"/>
  <c r="R1163" i="4"/>
  <c r="R754" i="4"/>
  <c r="Q757" i="4"/>
  <c r="R1165" i="4"/>
  <c r="R1143" i="4"/>
  <c r="R1145" i="4"/>
  <c r="Q735" i="4"/>
  <c r="Q734" i="4"/>
  <c r="Q736" i="4"/>
  <c r="Q737" i="4"/>
  <c r="Q1145" i="4"/>
  <c r="Q1142" i="4"/>
  <c r="R1142" i="4"/>
  <c r="Q776" i="4"/>
  <c r="Q775" i="4"/>
  <c r="R1183" i="4"/>
  <c r="Q777" i="4"/>
  <c r="R1185" i="4"/>
  <c r="R1184" i="4"/>
  <c r="R774" i="4"/>
  <c r="Q774" i="4"/>
  <c r="R1182" i="4"/>
  <c r="R635" i="4"/>
  <c r="Q1123" i="4"/>
  <c r="Q1091" i="4"/>
  <c r="Q1059" i="4"/>
  <c r="Q1027" i="4"/>
  <c r="Q1171" i="4"/>
  <c r="Q1195" i="4"/>
  <c r="Q1131" i="4"/>
  <c r="Q1110" i="4"/>
  <c r="Q1078" i="4"/>
  <c r="Q1046" i="4"/>
  <c r="R672" i="4"/>
  <c r="R712" i="4"/>
  <c r="R700" i="4"/>
  <c r="R812" i="4"/>
  <c r="R780" i="4"/>
  <c r="R748" i="4"/>
  <c r="Q1124" i="4"/>
  <c r="Q1088" i="4"/>
  <c r="Q1056" i="4"/>
  <c r="Q1220" i="4"/>
  <c r="Q1196" i="4"/>
  <c r="Q1152" i="4"/>
  <c r="R773" i="4"/>
  <c r="R761" i="4"/>
  <c r="R749" i="4"/>
  <c r="Q1101" i="4"/>
  <c r="Q1065" i="4"/>
  <c r="Q1029" i="4"/>
  <c r="Q1197" i="4"/>
  <c r="Q1165" i="4"/>
  <c r="Q1182" i="4"/>
  <c r="R1118" i="4"/>
  <c r="R1206" i="4"/>
  <c r="Q626" i="4"/>
  <c r="Q631" i="4"/>
  <c r="R1068" i="4"/>
  <c r="Q693" i="4"/>
  <c r="K35" i="4"/>
  <c r="K22" i="4"/>
  <c r="K56" i="4"/>
  <c r="K40" i="4"/>
  <c r="K57" i="4"/>
  <c r="K17" i="4"/>
  <c r="K34" i="4"/>
  <c r="P17" i="4"/>
  <c r="K27" i="4"/>
  <c r="K52" i="4"/>
  <c r="K32" i="4"/>
  <c r="K55" i="4"/>
  <c r="K23" i="4"/>
  <c r="K48" i="4"/>
  <c r="K54" i="4"/>
  <c r="P16" i="4"/>
  <c r="K29" i="4"/>
  <c r="K3" i="4"/>
  <c r="R3" i="4" s="1"/>
  <c r="P14" i="4"/>
  <c r="P19" i="4"/>
  <c r="K36" i="4"/>
  <c r="K9" i="4"/>
  <c r="K10" i="4"/>
  <c r="K12" i="4"/>
  <c r="K5" i="4"/>
  <c r="Q10" i="4" s="1"/>
  <c r="K41" i="4"/>
  <c r="K11" i="4"/>
  <c r="K38" i="4"/>
  <c r="K50" i="4"/>
  <c r="K37" i="4"/>
  <c r="K7" i="4"/>
  <c r="K49" i="4"/>
  <c r="K19" i="4"/>
  <c r="K44" i="4"/>
  <c r="K26" i="4"/>
  <c r="K39" i="4"/>
  <c r="K20" i="4"/>
  <c r="K59" i="4"/>
  <c r="K60" i="4"/>
  <c r="K21" i="4"/>
  <c r="K61" i="4"/>
  <c r="K13" i="4"/>
  <c r="K6" i="4"/>
  <c r="Q15" i="4" s="1"/>
  <c r="K15" i="4"/>
  <c r="K58" i="4"/>
  <c r="K28" i="4"/>
  <c r="K31" i="4"/>
  <c r="K53" i="4"/>
  <c r="K25" i="4"/>
  <c r="K43" i="4"/>
  <c r="K30" i="4"/>
  <c r="K46" i="4"/>
  <c r="K8" i="4"/>
  <c r="K33" i="4"/>
  <c r="K51" i="4"/>
  <c r="K47" i="4"/>
  <c r="K4" i="4"/>
  <c r="Q6" i="4" s="1"/>
  <c r="K24" i="4"/>
  <c r="K14" i="4"/>
  <c r="K45" i="4"/>
  <c r="K18" i="4"/>
  <c r="K42" i="4"/>
  <c r="L181" i="1"/>
  <c r="L180" i="1"/>
  <c r="L178" i="1"/>
  <c r="L177" i="1"/>
  <c r="L174" i="1"/>
  <c r="L173" i="1"/>
  <c r="L168" i="1"/>
  <c r="L169" i="1"/>
  <c r="L124" i="1"/>
  <c r="L123" i="1"/>
  <c r="L103" i="1"/>
  <c r="L102" i="1"/>
  <c r="L16" i="1"/>
  <c r="L15" i="1"/>
  <c r="I23" i="11" l="1"/>
  <c r="I53" i="11" s="1"/>
  <c r="J23" i="11"/>
  <c r="J53" i="11" s="1"/>
  <c r="I21" i="11"/>
  <c r="I51" i="11" s="1"/>
  <c r="J21" i="11"/>
  <c r="J51" i="11" s="1"/>
  <c r="H19" i="7"/>
  <c r="H49" i="7" s="1"/>
  <c r="I19" i="7"/>
  <c r="I49" i="7" s="1"/>
  <c r="H13" i="7"/>
  <c r="H43" i="7" s="1"/>
  <c r="I13" i="7"/>
  <c r="I43" i="7" s="1"/>
  <c r="J18" i="10"/>
  <c r="J48" i="10" s="1"/>
  <c r="I18" i="10"/>
  <c r="I48" i="10" s="1"/>
  <c r="I27" i="10"/>
  <c r="I57" i="10" s="1"/>
  <c r="J27" i="10"/>
  <c r="J57" i="10" s="1"/>
  <c r="H27" i="7"/>
  <c r="H57" i="7" s="1"/>
  <c r="I27" i="7"/>
  <c r="I57" i="7" s="1"/>
  <c r="I21" i="7"/>
  <c r="I51" i="7" s="1"/>
  <c r="I25" i="11"/>
  <c r="I55" i="11" s="1"/>
  <c r="J25" i="11"/>
  <c r="J55" i="11" s="1"/>
  <c r="J25" i="10"/>
  <c r="J55" i="10" s="1"/>
  <c r="I25" i="10"/>
  <c r="I55" i="10" s="1"/>
  <c r="J9" i="10"/>
  <c r="J39" i="10" s="1"/>
  <c r="I9" i="10"/>
  <c r="I39" i="10" s="1"/>
  <c r="J23" i="10"/>
  <c r="J53" i="10" s="1"/>
  <c r="I23" i="10"/>
  <c r="I53" i="10" s="1"/>
  <c r="I13" i="11"/>
  <c r="I43" i="11" s="1"/>
  <c r="J13" i="11"/>
  <c r="J43" i="11" s="1"/>
  <c r="J13" i="10"/>
  <c r="J43" i="10" s="1"/>
  <c r="I13" i="10"/>
  <c r="I43" i="10" s="1"/>
  <c r="J9" i="11"/>
  <c r="J39" i="11" s="1"/>
  <c r="I9" i="11"/>
  <c r="I39" i="11" s="1"/>
  <c r="I9" i="7"/>
  <c r="I39" i="7" s="1"/>
  <c r="I19" i="10"/>
  <c r="I49" i="10" s="1"/>
  <c r="J19" i="10"/>
  <c r="J49" i="10" s="1"/>
  <c r="H23" i="7"/>
  <c r="H53" i="7" s="1"/>
  <c r="I23" i="7"/>
  <c r="I53" i="7" s="1"/>
  <c r="J27" i="11"/>
  <c r="J57" i="11" s="1"/>
  <c r="I27" i="11"/>
  <c r="I57" i="11" s="1"/>
  <c r="J21" i="10"/>
  <c r="J51" i="10" s="1"/>
  <c r="I21" i="10"/>
  <c r="I51" i="10" s="1"/>
  <c r="I18" i="11"/>
  <c r="I48" i="11" s="1"/>
  <c r="J18" i="11"/>
  <c r="J48" i="11" s="1"/>
  <c r="J19" i="11"/>
  <c r="J49" i="11" s="1"/>
  <c r="I19" i="11"/>
  <c r="I49" i="11" s="1"/>
  <c r="I25" i="7"/>
  <c r="I55" i="7" s="1"/>
  <c r="I25" i="5"/>
  <c r="I55" i="5" s="1"/>
  <c r="H25" i="5"/>
  <c r="H55" i="5" s="1"/>
  <c r="H27" i="5"/>
  <c r="H57" i="5" s="1"/>
  <c r="I27" i="5"/>
  <c r="I57" i="5" s="1"/>
  <c r="H18" i="7"/>
  <c r="H48" i="7" s="1"/>
  <c r="I13" i="5"/>
  <c r="I43" i="5" s="1"/>
  <c r="H13" i="5"/>
  <c r="H43" i="5" s="1"/>
  <c r="H21" i="7"/>
  <c r="H51" i="7" s="1"/>
  <c r="I18" i="5"/>
  <c r="I48" i="5" s="1"/>
  <c r="H18" i="5"/>
  <c r="H48" i="5" s="1"/>
  <c r="H21" i="5"/>
  <c r="H51" i="5" s="1"/>
  <c r="I21" i="5"/>
  <c r="I51" i="5" s="1"/>
  <c r="I19" i="5"/>
  <c r="I49" i="5" s="1"/>
  <c r="H19" i="5"/>
  <c r="H49" i="5" s="1"/>
  <c r="H9" i="5"/>
  <c r="H39" i="5" s="1"/>
  <c r="I9" i="5"/>
  <c r="I39" i="5" s="1"/>
  <c r="H23" i="5"/>
  <c r="H53" i="5" s="1"/>
  <c r="I23" i="5"/>
  <c r="I53" i="5" s="1"/>
  <c r="Q13" i="4"/>
  <c r="Q2" i="4"/>
  <c r="R15" i="4"/>
  <c r="R975" i="4"/>
  <c r="Q568" i="4"/>
  <c r="Q569" i="4"/>
  <c r="Q974" i="4"/>
  <c r="R976" i="4"/>
  <c r="R977" i="4"/>
  <c r="R566" i="4"/>
  <c r="Q566" i="4"/>
  <c r="Q977" i="4"/>
  <c r="Q975" i="4"/>
  <c r="R567" i="4"/>
  <c r="R569" i="4"/>
  <c r="R568" i="4"/>
  <c r="Q976" i="4"/>
  <c r="Q567" i="4"/>
  <c r="Q998" i="4"/>
  <c r="R590" i="4"/>
  <c r="Q590" i="4"/>
  <c r="Q592" i="4"/>
  <c r="R1000" i="4"/>
  <c r="Q591" i="4"/>
  <c r="R998" i="4"/>
  <c r="R999" i="4"/>
  <c r="Q593" i="4"/>
  <c r="R592" i="4"/>
  <c r="Q1000" i="4"/>
  <c r="Q999" i="4"/>
  <c r="R591" i="4"/>
  <c r="Q1001" i="4"/>
  <c r="R593" i="4"/>
  <c r="R882" i="4"/>
  <c r="Q885" i="4"/>
  <c r="Q884" i="4"/>
  <c r="R474" i="4"/>
  <c r="Q882" i="4"/>
  <c r="R476" i="4"/>
  <c r="Q474" i="4"/>
  <c r="R883" i="4"/>
  <c r="R884" i="4"/>
  <c r="Q475" i="4"/>
  <c r="Q883" i="4"/>
  <c r="Q476" i="4"/>
  <c r="Q477" i="4"/>
  <c r="Q575" i="4"/>
  <c r="Q576" i="4"/>
  <c r="Q577" i="4"/>
  <c r="R984" i="4"/>
  <c r="R574" i="4"/>
  <c r="Q982" i="4"/>
  <c r="Q574" i="4"/>
  <c r="R983" i="4"/>
  <c r="R982" i="4"/>
  <c r="R577" i="4"/>
  <c r="Q985" i="4"/>
  <c r="R575" i="4"/>
  <c r="Q984" i="4"/>
  <c r="R576" i="4"/>
  <c r="Q983" i="4"/>
  <c r="R854" i="4"/>
  <c r="Q857" i="4"/>
  <c r="Q856" i="4"/>
  <c r="R447" i="4"/>
  <c r="Q854" i="4"/>
  <c r="R446" i="4"/>
  <c r="Q446" i="4"/>
  <c r="Q447" i="4"/>
  <c r="Q855" i="4"/>
  <c r="Q449" i="4"/>
  <c r="Q448" i="4"/>
  <c r="R855" i="4"/>
  <c r="R449" i="4"/>
  <c r="R857" i="4"/>
  <c r="R856" i="4"/>
  <c r="Q411" i="4"/>
  <c r="R819" i="4"/>
  <c r="Q818" i="4"/>
  <c r="Q412" i="4"/>
  <c r="R410" i="4"/>
  <c r="R818" i="4"/>
  <c r="Q413" i="4"/>
  <c r="Q5" i="4"/>
  <c r="Q819" i="4"/>
  <c r="Q820" i="4"/>
  <c r="R411" i="4"/>
  <c r="Q410" i="4"/>
  <c r="Q821" i="4"/>
  <c r="R412" i="4"/>
  <c r="R981" i="4"/>
  <c r="R979" i="4"/>
  <c r="Q573" i="4"/>
  <c r="Q978" i="4"/>
  <c r="R980" i="4"/>
  <c r="R570" i="4"/>
  <c r="Q571" i="4"/>
  <c r="Q572" i="4"/>
  <c r="Q570" i="4"/>
  <c r="Q981" i="4"/>
  <c r="R572" i="4"/>
  <c r="Q979" i="4"/>
  <c r="R573" i="4"/>
  <c r="R571" i="4"/>
  <c r="Q980" i="4"/>
  <c r="R551" i="4"/>
  <c r="Q550" i="4"/>
  <c r="R552" i="4"/>
  <c r="Q961" i="4"/>
  <c r="R553" i="4"/>
  <c r="Q958" i="4"/>
  <c r="R958" i="4"/>
  <c r="Q552" i="4"/>
  <c r="Q553" i="4"/>
  <c r="Q959" i="4"/>
  <c r="R959" i="4"/>
  <c r="R961" i="4"/>
  <c r="R960" i="4"/>
  <c r="Q960" i="4"/>
  <c r="Q551" i="4"/>
  <c r="R582" i="4"/>
  <c r="Q583" i="4"/>
  <c r="Q584" i="4"/>
  <c r="Q585" i="4"/>
  <c r="R992" i="4"/>
  <c r="Q990" i="4"/>
  <c r="R990" i="4"/>
  <c r="Q993" i="4"/>
  <c r="Q582" i="4"/>
  <c r="Q991" i="4"/>
  <c r="R583" i="4"/>
  <c r="R585" i="4"/>
  <c r="R584" i="4"/>
  <c r="Q992" i="4"/>
  <c r="R991" i="4"/>
  <c r="Q513" i="4"/>
  <c r="R920" i="4"/>
  <c r="R921" i="4"/>
  <c r="R919" i="4"/>
  <c r="Q512" i="4"/>
  <c r="Q511" i="4"/>
  <c r="Q921" i="4"/>
  <c r="R510" i="4"/>
  <c r="Q510" i="4"/>
  <c r="R918" i="4"/>
  <c r="R512" i="4"/>
  <c r="Q920" i="4"/>
  <c r="Q919" i="4"/>
  <c r="R511" i="4"/>
  <c r="Q918" i="4"/>
  <c r="R612" i="4"/>
  <c r="Q1021" i="4"/>
  <c r="R613" i="4"/>
  <c r="Q610" i="4"/>
  <c r="R1018" i="4"/>
  <c r="Q1019" i="4"/>
  <c r="R611" i="4"/>
  <c r="R610" i="4"/>
  <c r="Q1020" i="4"/>
  <c r="R1020" i="4"/>
  <c r="Q1018" i="4"/>
  <c r="Q611" i="4"/>
  <c r="Q612" i="4"/>
  <c r="Q613" i="4"/>
  <c r="R1019" i="4"/>
  <c r="Q428" i="4"/>
  <c r="R426" i="4"/>
  <c r="Q429" i="4"/>
  <c r="Q427" i="4"/>
  <c r="R835" i="4"/>
  <c r="Q834" i="4"/>
  <c r="Q426" i="4"/>
  <c r="R834" i="4"/>
  <c r="Q837" i="4"/>
  <c r="R428" i="4"/>
  <c r="R427" i="4"/>
  <c r="Q836" i="4"/>
  <c r="Q835" i="4"/>
  <c r="Q848" i="4"/>
  <c r="Q849" i="4"/>
  <c r="R441" i="4"/>
  <c r="R846" i="4"/>
  <c r="Q438" i="4"/>
  <c r="R439" i="4"/>
  <c r="Q846" i="4"/>
  <c r="R438" i="4"/>
  <c r="R847" i="4"/>
  <c r="Q441" i="4"/>
  <c r="R848" i="4"/>
  <c r="R849" i="4"/>
  <c r="Q440" i="4"/>
  <c r="Q847" i="4"/>
  <c r="Q439" i="4"/>
  <c r="Q892" i="4"/>
  <c r="R484" i="4"/>
  <c r="Q893" i="4"/>
  <c r="Q891" i="4"/>
  <c r="R890" i="4"/>
  <c r="R892" i="4"/>
  <c r="Q483" i="4"/>
  <c r="R482" i="4"/>
  <c r="R891" i="4"/>
  <c r="Q890" i="4"/>
  <c r="Q484" i="4"/>
  <c r="Q485" i="4"/>
  <c r="Q482" i="4"/>
  <c r="R1010" i="4"/>
  <c r="Q1012" i="4"/>
  <c r="R604" i="4"/>
  <c r="R602" i="4"/>
  <c r="R605" i="4"/>
  <c r="Q602" i="4"/>
  <c r="R603" i="4"/>
  <c r="Q1013" i="4"/>
  <c r="Q1010" i="4"/>
  <c r="Q603" i="4"/>
  <c r="Q604" i="4"/>
  <c r="Q605" i="4"/>
  <c r="R1011" i="4"/>
  <c r="Q1011" i="4"/>
  <c r="R1012" i="4"/>
  <c r="Q12" i="4"/>
  <c r="Q3" i="4"/>
  <c r="Q8" i="4"/>
  <c r="Q9" i="4"/>
  <c r="Q900" i="4"/>
  <c r="R492" i="4"/>
  <c r="Q901" i="4"/>
  <c r="Q490" i="4"/>
  <c r="Q493" i="4"/>
  <c r="R490" i="4"/>
  <c r="R898" i="4"/>
  <c r="Q899" i="4"/>
  <c r="R899" i="4"/>
  <c r="Q898" i="4"/>
  <c r="R900" i="4"/>
  <c r="Q491" i="4"/>
  <c r="Q492" i="4"/>
  <c r="R491" i="4"/>
  <c r="Q1024" i="4"/>
  <c r="Q1025" i="4"/>
  <c r="R617" i="4"/>
  <c r="Q614" i="4"/>
  <c r="Q1022" i="4"/>
  <c r="R1022" i="4"/>
  <c r="R616" i="4"/>
  <c r="Q1023" i="4"/>
  <c r="R615" i="4"/>
  <c r="R614" i="4"/>
  <c r="R1023" i="4"/>
  <c r="R1024" i="4"/>
  <c r="Q615" i="4"/>
  <c r="Q616" i="4"/>
  <c r="Q617" i="4"/>
  <c r="Q877" i="4"/>
  <c r="Q876" i="4"/>
  <c r="R468" i="4"/>
  <c r="R466" i="4"/>
  <c r="R874" i="4"/>
  <c r="Q874" i="4"/>
  <c r="Q875" i="4"/>
  <c r="Q467" i="4"/>
  <c r="R876" i="4"/>
  <c r="Q468" i="4"/>
  <c r="Q469" i="4"/>
  <c r="R875" i="4"/>
  <c r="Q466" i="4"/>
  <c r="R418" i="4"/>
  <c r="Q421" i="4"/>
  <c r="Q419" i="4"/>
  <c r="Q826" i="4"/>
  <c r="Q418" i="4"/>
  <c r="Q420" i="4"/>
  <c r="R420" i="4"/>
  <c r="R419" i="4"/>
  <c r="R826" i="4"/>
  <c r="Q829" i="4"/>
  <c r="Q827" i="4"/>
  <c r="R827" i="4"/>
  <c r="Q828" i="4"/>
  <c r="Q14" i="4"/>
  <c r="Q597" i="4"/>
  <c r="R1004" i="4"/>
  <c r="Q595" i="4"/>
  <c r="Q596" i="4"/>
  <c r="R594" i="4"/>
  <c r="Q594" i="4"/>
  <c r="R1002" i="4"/>
  <c r="Q1002" i="4"/>
  <c r="Q1004" i="4"/>
  <c r="R595" i="4"/>
  <c r="R596" i="4"/>
  <c r="Q1003" i="4"/>
  <c r="R1003" i="4"/>
  <c r="Q1005" i="4"/>
  <c r="R597" i="4"/>
  <c r="R928" i="4"/>
  <c r="R927" i="4"/>
  <c r="Q520" i="4"/>
  <c r="R929" i="4"/>
  <c r="Q521" i="4"/>
  <c r="Q519" i="4"/>
  <c r="R518" i="4"/>
  <c r="R519" i="4"/>
  <c r="Q518" i="4"/>
  <c r="R520" i="4"/>
  <c r="R926" i="4"/>
  <c r="Q929" i="4"/>
  <c r="Q926" i="4"/>
  <c r="Q928" i="4"/>
  <c r="Q927" i="4"/>
  <c r="Q522" i="4"/>
  <c r="Q932" i="4"/>
  <c r="R522" i="4"/>
  <c r="R523" i="4"/>
  <c r="Q931" i="4"/>
  <c r="Q523" i="4"/>
  <c r="Q524" i="4"/>
  <c r="R930" i="4"/>
  <c r="Q933" i="4"/>
  <c r="Q930" i="4"/>
  <c r="Q525" i="4"/>
  <c r="R931" i="4"/>
  <c r="R932" i="4"/>
  <c r="Q1017" i="4"/>
  <c r="R609" i="4"/>
  <c r="Q606" i="4"/>
  <c r="Q1014" i="4"/>
  <c r="Q1015" i="4"/>
  <c r="Q1016" i="4"/>
  <c r="R1014" i="4"/>
  <c r="R607" i="4"/>
  <c r="R606" i="4"/>
  <c r="R608" i="4"/>
  <c r="Q607" i="4"/>
  <c r="Q608" i="4"/>
  <c r="R1016" i="4"/>
  <c r="Q609" i="4"/>
  <c r="R1015" i="4"/>
  <c r="Q530" i="4"/>
  <c r="Q941" i="4"/>
  <c r="R531" i="4"/>
  <c r="Q940" i="4"/>
  <c r="R530" i="4"/>
  <c r="Q938" i="4"/>
  <c r="R940" i="4"/>
  <c r="Q939" i="4"/>
  <c r="Q531" i="4"/>
  <c r="Q532" i="4"/>
  <c r="R938" i="4"/>
  <c r="Q533" i="4"/>
  <c r="R939" i="4"/>
  <c r="Q844" i="4"/>
  <c r="R842" i="4"/>
  <c r="Q437" i="4"/>
  <c r="Q845" i="4"/>
  <c r="Q842" i="4"/>
  <c r="R434" i="4"/>
  <c r="R437" i="4"/>
  <c r="R435" i="4"/>
  <c r="R843" i="4"/>
  <c r="R844" i="4"/>
  <c r="Q843" i="4"/>
  <c r="Q434" i="4"/>
  <c r="R845" i="4"/>
  <c r="Q435" i="4"/>
  <c r="Q436" i="4"/>
  <c r="Q952" i="4"/>
  <c r="R543" i="4"/>
  <c r="R544" i="4"/>
  <c r="Q950" i="4"/>
  <c r="Q545" i="4"/>
  <c r="R545" i="4"/>
  <c r="R950" i="4"/>
  <c r="Q953" i="4"/>
  <c r="Q542" i="4"/>
  <c r="Q951" i="4"/>
  <c r="R951" i="4"/>
  <c r="R953" i="4"/>
  <c r="R952" i="4"/>
  <c r="Q543" i="4"/>
  <c r="Q544" i="4"/>
  <c r="R7" i="4"/>
  <c r="R967" i="4"/>
  <c r="Q560" i="4"/>
  <c r="Q561" i="4"/>
  <c r="Q966" i="4"/>
  <c r="R968" i="4"/>
  <c r="R969" i="4"/>
  <c r="Q558" i="4"/>
  <c r="R561" i="4"/>
  <c r="R559" i="4"/>
  <c r="Q969" i="4"/>
  <c r="Q968" i="4"/>
  <c r="R558" i="4"/>
  <c r="Q559" i="4"/>
  <c r="R560" i="4"/>
  <c r="Q967" i="4"/>
  <c r="Q432" i="4"/>
  <c r="R430" i="4"/>
  <c r="Q431" i="4"/>
  <c r="R839" i="4"/>
  <c r="Q430" i="4"/>
  <c r="Q838" i="4"/>
  <c r="Q433" i="4"/>
  <c r="R838" i="4"/>
  <c r="Q840" i="4"/>
  <c r="Q839" i="4"/>
  <c r="Q841" i="4"/>
  <c r="R432" i="4"/>
  <c r="R431" i="4"/>
  <c r="Q881" i="4"/>
  <c r="Q878" i="4"/>
  <c r="Q880" i="4"/>
  <c r="R472" i="4"/>
  <c r="R470" i="4"/>
  <c r="R878" i="4"/>
  <c r="Q879" i="4"/>
  <c r="Q471" i="4"/>
  <c r="Q472" i="4"/>
  <c r="Q473" i="4"/>
  <c r="R879" i="4"/>
  <c r="Q470" i="4"/>
  <c r="R880" i="4"/>
  <c r="R578" i="4"/>
  <c r="Q579" i="4"/>
  <c r="Q580" i="4"/>
  <c r="R987" i="4"/>
  <c r="Q986" i="4"/>
  <c r="Q578" i="4"/>
  <c r="R986" i="4"/>
  <c r="R581" i="4"/>
  <c r="Q987" i="4"/>
  <c r="Q989" i="4"/>
  <c r="Q581" i="4"/>
  <c r="Q988" i="4"/>
  <c r="R988" i="4"/>
  <c r="R579" i="4"/>
  <c r="R580" i="4"/>
  <c r="Q937" i="4"/>
  <c r="Q934" i="4"/>
  <c r="R527" i="4"/>
  <c r="Q936" i="4"/>
  <c r="R526" i="4"/>
  <c r="Q526" i="4"/>
  <c r="Q935" i="4"/>
  <c r="Q527" i="4"/>
  <c r="Q528" i="4"/>
  <c r="R934" i="4"/>
  <c r="Q529" i="4"/>
  <c r="R935" i="4"/>
  <c r="R936" i="4"/>
  <c r="Q516" i="4"/>
  <c r="R925" i="4"/>
  <c r="Q517" i="4"/>
  <c r="Q515" i="4"/>
  <c r="Q514" i="4"/>
  <c r="R923" i="4"/>
  <c r="R924" i="4"/>
  <c r="R922" i="4"/>
  <c r="R514" i="4"/>
  <c r="R516" i="4"/>
  <c r="Q925" i="4"/>
  <c r="Q924" i="4"/>
  <c r="Q922" i="4"/>
  <c r="Q923" i="4"/>
  <c r="R515" i="4"/>
  <c r="R457" i="4"/>
  <c r="R862" i="4"/>
  <c r="Q865" i="4"/>
  <c r="Q454" i="4"/>
  <c r="Q862" i="4"/>
  <c r="R454" i="4"/>
  <c r="Q864" i="4"/>
  <c r="R864" i="4"/>
  <c r="Q863" i="4"/>
  <c r="R455" i="4"/>
  <c r="Q455" i="4"/>
  <c r="Q457" i="4"/>
  <c r="Q456" i="4"/>
  <c r="R863" i="4"/>
  <c r="R865" i="4"/>
  <c r="R971" i="4"/>
  <c r="Q564" i="4"/>
  <c r="R973" i="4"/>
  <c r="Q562" i="4"/>
  <c r="R562" i="4"/>
  <c r="R972" i="4"/>
  <c r="Q970" i="4"/>
  <c r="Q565" i="4"/>
  <c r="Q973" i="4"/>
  <c r="R563" i="4"/>
  <c r="R565" i="4"/>
  <c r="R564" i="4"/>
  <c r="Q972" i="4"/>
  <c r="Q971" i="4"/>
  <c r="Q563" i="4"/>
  <c r="Q869" i="4"/>
  <c r="Q868" i="4"/>
  <c r="R461" i="4"/>
  <c r="R866" i="4"/>
  <c r="Q866" i="4"/>
  <c r="R459" i="4"/>
  <c r="R458" i="4"/>
  <c r="Q867" i="4"/>
  <c r="R868" i="4"/>
  <c r="R869" i="4"/>
  <c r="Q459" i="4"/>
  <c r="Q461" i="4"/>
  <c r="Q460" i="4"/>
  <c r="R867" i="4"/>
  <c r="Q458" i="4"/>
  <c r="R539" i="4"/>
  <c r="Q538" i="4"/>
  <c r="Q948" i="4"/>
  <c r="R540" i="4"/>
  <c r="Q949" i="4"/>
  <c r="R541" i="4"/>
  <c r="R947" i="4"/>
  <c r="Q946" i="4"/>
  <c r="R946" i="4"/>
  <c r="Q541" i="4"/>
  <c r="Q947" i="4"/>
  <c r="R949" i="4"/>
  <c r="R948" i="4"/>
  <c r="Q539" i="4"/>
  <c r="Q540" i="4"/>
  <c r="Q944" i="4"/>
  <c r="Q534" i="4"/>
  <c r="Q945" i="4"/>
  <c r="Q942" i="4"/>
  <c r="R535" i="4"/>
  <c r="R534" i="4"/>
  <c r="R944" i="4"/>
  <c r="Q943" i="4"/>
  <c r="Q535" i="4"/>
  <c r="Q536" i="4"/>
  <c r="R942" i="4"/>
  <c r="Q537" i="4"/>
  <c r="R943" i="4"/>
  <c r="R586" i="4"/>
  <c r="Q587" i="4"/>
  <c r="Q589" i="4"/>
  <c r="R996" i="4"/>
  <c r="R994" i="4"/>
  <c r="R995" i="4"/>
  <c r="Q588" i="4"/>
  <c r="Q995" i="4"/>
  <c r="Q994" i="4"/>
  <c r="Q997" i="4"/>
  <c r="R589" i="4"/>
  <c r="R587" i="4"/>
  <c r="Q586" i="4"/>
  <c r="R588" i="4"/>
  <c r="Q996" i="4"/>
  <c r="Q601" i="4"/>
  <c r="R1008" i="4"/>
  <c r="R598" i="4"/>
  <c r="Q599" i="4"/>
  <c r="Q1009" i="4"/>
  <c r="R1007" i="4"/>
  <c r="Q598" i="4"/>
  <c r="Q600" i="4"/>
  <c r="Q1006" i="4"/>
  <c r="R1006" i="4"/>
  <c r="Q1008" i="4"/>
  <c r="Q1007" i="4"/>
  <c r="R599" i="4"/>
  <c r="R601" i="4"/>
  <c r="R600" i="4"/>
  <c r="Q11" i="4"/>
  <c r="Q896" i="4"/>
  <c r="R488" i="4"/>
  <c r="R487" i="4"/>
  <c r="Q897" i="4"/>
  <c r="Q486" i="4"/>
  <c r="Q894" i="4"/>
  <c r="R895" i="4"/>
  <c r="R894" i="4"/>
  <c r="R896" i="4"/>
  <c r="Q895" i="4"/>
  <c r="Q487" i="4"/>
  <c r="Q489" i="4"/>
  <c r="R486" i="4"/>
  <c r="Q488" i="4"/>
  <c r="Q509" i="4"/>
  <c r="R916" i="4"/>
  <c r="Q508" i="4"/>
  <c r="R915" i="4"/>
  <c r="Q506" i="4"/>
  <c r="R917" i="4"/>
  <c r="R914" i="4"/>
  <c r="Q916" i="4"/>
  <c r="Q915" i="4"/>
  <c r="R507" i="4"/>
  <c r="Q507" i="4"/>
  <c r="Q917" i="4"/>
  <c r="R508" i="4"/>
  <c r="R506" i="4"/>
  <c r="Q914" i="4"/>
  <c r="Q424" i="4"/>
  <c r="R422" i="4"/>
  <c r="Q425" i="4"/>
  <c r="R831" i="4"/>
  <c r="Q830" i="4"/>
  <c r="Q833" i="4"/>
  <c r="Q422" i="4"/>
  <c r="Q423" i="4"/>
  <c r="R424" i="4"/>
  <c r="R423" i="4"/>
  <c r="R830" i="4"/>
  <c r="Q831" i="4"/>
  <c r="Q832" i="4"/>
  <c r="Q904" i="4"/>
  <c r="R496" i="4"/>
  <c r="R495" i="4"/>
  <c r="Q905" i="4"/>
  <c r="Q902" i="4"/>
  <c r="R494" i="4"/>
  <c r="Q494" i="4"/>
  <c r="Q497" i="4"/>
  <c r="R902" i="4"/>
  <c r="Q903" i="4"/>
  <c r="R903" i="4"/>
  <c r="R904" i="4"/>
  <c r="Q495" i="4"/>
  <c r="Q496" i="4"/>
  <c r="R443" i="4"/>
  <c r="Q853" i="4"/>
  <c r="R445" i="4"/>
  <c r="R850" i="4"/>
  <c r="Q852" i="4"/>
  <c r="Q442" i="4"/>
  <c r="R442" i="4"/>
  <c r="Q445" i="4"/>
  <c r="Q444" i="4"/>
  <c r="R853" i="4"/>
  <c r="Q443" i="4"/>
  <c r="R851" i="4"/>
  <c r="R852" i="4"/>
  <c r="Q850" i="4"/>
  <c r="Q851" i="4"/>
  <c r="R912" i="4"/>
  <c r="R913" i="4"/>
  <c r="Q504" i="4"/>
  <c r="R502" i="4"/>
  <c r="R911" i="4"/>
  <c r="R910" i="4"/>
  <c r="Q503" i="4"/>
  <c r="Q502" i="4"/>
  <c r="R503" i="4"/>
  <c r="Q910" i="4"/>
  <c r="Q912" i="4"/>
  <c r="Q911" i="4"/>
  <c r="Q505" i="4"/>
  <c r="Q913" i="4"/>
  <c r="R504" i="4"/>
  <c r="Q909" i="4"/>
  <c r="Q906" i="4"/>
  <c r="Q908" i="4"/>
  <c r="R500" i="4"/>
  <c r="R499" i="4"/>
  <c r="Q907" i="4"/>
  <c r="Q500" i="4"/>
  <c r="Q499" i="4"/>
  <c r="Q501" i="4"/>
  <c r="R907" i="4"/>
  <c r="R906" i="4"/>
  <c r="R908" i="4"/>
  <c r="Q498" i="4"/>
  <c r="R498" i="4"/>
  <c r="Q888" i="4"/>
  <c r="R480" i="4"/>
  <c r="Q889" i="4"/>
  <c r="Q887" i="4"/>
  <c r="Q886" i="4"/>
  <c r="R886" i="4"/>
  <c r="R478" i="4"/>
  <c r="R888" i="4"/>
  <c r="R887" i="4"/>
  <c r="Q479" i="4"/>
  <c r="Q480" i="4"/>
  <c r="Q478" i="4"/>
  <c r="Q481" i="4"/>
  <c r="Q4" i="4"/>
  <c r="R11" i="4"/>
  <c r="Q417" i="4"/>
  <c r="Q415" i="4"/>
  <c r="R823" i="4"/>
  <c r="Q416" i="4"/>
  <c r="Q414" i="4"/>
  <c r="R414" i="4"/>
  <c r="R822" i="4"/>
  <c r="Q825" i="4"/>
  <c r="R416" i="4"/>
  <c r="Q823" i="4"/>
  <c r="Q822" i="4"/>
  <c r="Q824" i="4"/>
  <c r="R415" i="4"/>
  <c r="R453" i="4"/>
  <c r="R858" i="4"/>
  <c r="Q450" i="4"/>
  <c r="Q858" i="4"/>
  <c r="Q860" i="4"/>
  <c r="R450" i="4"/>
  <c r="Q861" i="4"/>
  <c r="R451" i="4"/>
  <c r="R860" i="4"/>
  <c r="Q451" i="4"/>
  <c r="Q453" i="4"/>
  <c r="R861" i="4"/>
  <c r="Q452" i="4"/>
  <c r="Q859" i="4"/>
  <c r="R859" i="4"/>
  <c r="Q556" i="4"/>
  <c r="Q557" i="4"/>
  <c r="Q962" i="4"/>
  <c r="R964" i="4"/>
  <c r="R965" i="4"/>
  <c r="R963" i="4"/>
  <c r="Q554" i="4"/>
  <c r="R555" i="4"/>
  <c r="R557" i="4"/>
  <c r="Q964" i="4"/>
  <c r="R556" i="4"/>
  <c r="Q555" i="4"/>
  <c r="Q963" i="4"/>
  <c r="R554" i="4"/>
  <c r="Q965" i="4"/>
  <c r="Q546" i="4"/>
  <c r="Q956" i="4"/>
  <c r="R547" i="4"/>
  <c r="Q957" i="4"/>
  <c r="R549" i="4"/>
  <c r="Q954" i="4"/>
  <c r="R548" i="4"/>
  <c r="Q549" i="4"/>
  <c r="Q548" i="4"/>
  <c r="Q955" i="4"/>
  <c r="R955" i="4"/>
  <c r="R957" i="4"/>
  <c r="R956" i="4"/>
  <c r="R954" i="4"/>
  <c r="Q547" i="4"/>
  <c r="R19" i="4"/>
  <c r="Q19" i="4"/>
  <c r="Q16" i="4"/>
  <c r="Q17" i="4"/>
  <c r="Q7" i="4"/>
  <c r="P20" i="4"/>
  <c r="P18" i="4"/>
  <c r="P23" i="4"/>
  <c r="P21" i="4"/>
  <c r="J6" i="10" l="1"/>
  <c r="J36" i="10" s="1"/>
  <c r="I6" i="10"/>
  <c r="I36" i="10" s="1"/>
  <c r="J3" i="10"/>
  <c r="I3" i="10"/>
  <c r="J12" i="10"/>
  <c r="J42" i="10" s="1"/>
  <c r="I12" i="10"/>
  <c r="I42" i="10" s="1"/>
  <c r="I15" i="11"/>
  <c r="I45" i="11" s="1"/>
  <c r="J15" i="11"/>
  <c r="J45" i="11" s="1"/>
  <c r="J14" i="10"/>
  <c r="J44" i="10" s="1"/>
  <c r="I14" i="10"/>
  <c r="I44" i="10" s="1"/>
  <c r="I10" i="7"/>
  <c r="I40" i="7" s="1"/>
  <c r="H5" i="7"/>
  <c r="H35" i="7" s="1"/>
  <c r="I5" i="7"/>
  <c r="I35" i="7" s="1"/>
  <c r="I7" i="11"/>
  <c r="I37" i="11" s="1"/>
  <c r="J7" i="11"/>
  <c r="J37" i="11" s="1"/>
  <c r="J14" i="11"/>
  <c r="J44" i="11" s="1"/>
  <c r="I14" i="11"/>
  <c r="I44" i="11" s="1"/>
  <c r="J10" i="10"/>
  <c r="J40" i="10" s="1"/>
  <c r="I10" i="10"/>
  <c r="I40" i="10" s="1"/>
  <c r="J22" i="10"/>
  <c r="J52" i="10" s="1"/>
  <c r="I22" i="10"/>
  <c r="I52" i="10" s="1"/>
  <c r="J11" i="11"/>
  <c r="J41" i="11" s="1"/>
  <c r="I11" i="11"/>
  <c r="I41" i="11" s="1"/>
  <c r="I3" i="11"/>
  <c r="J3" i="11"/>
  <c r="J20" i="10"/>
  <c r="J50" i="10" s="1"/>
  <c r="I20" i="10"/>
  <c r="I50" i="10" s="1"/>
  <c r="H12" i="7"/>
  <c r="H42" i="7" s="1"/>
  <c r="I12" i="7"/>
  <c r="I42" i="7" s="1"/>
  <c r="J15" i="10"/>
  <c r="J45" i="10" s="1"/>
  <c r="I15" i="10"/>
  <c r="I45" i="10" s="1"/>
  <c r="I7" i="7"/>
  <c r="I37" i="7" s="1"/>
  <c r="J16" i="10"/>
  <c r="J46" i="10" s="1"/>
  <c r="I16" i="10"/>
  <c r="I46" i="10" s="1"/>
  <c r="I5" i="11"/>
  <c r="I35" i="11" s="1"/>
  <c r="J5" i="11"/>
  <c r="J35" i="11" s="1"/>
  <c r="J17" i="10"/>
  <c r="J47" i="10" s="1"/>
  <c r="I17" i="10"/>
  <c r="I47" i="10" s="1"/>
  <c r="H24" i="7"/>
  <c r="H54" i="7" s="1"/>
  <c r="I24" i="7"/>
  <c r="I54" i="7" s="1"/>
  <c r="J4" i="11"/>
  <c r="J34" i="11" s="1"/>
  <c r="I4" i="11"/>
  <c r="I34" i="11" s="1"/>
  <c r="H15" i="7"/>
  <c r="H45" i="7" s="1"/>
  <c r="I15" i="7"/>
  <c r="I45" i="7" s="1"/>
  <c r="J7" i="10"/>
  <c r="J37" i="10" s="1"/>
  <c r="I7" i="10"/>
  <c r="I37" i="10" s="1"/>
  <c r="I26" i="7"/>
  <c r="I56" i="7" s="1"/>
  <c r="J17" i="11"/>
  <c r="J47" i="11" s="1"/>
  <c r="I17" i="11"/>
  <c r="I47" i="11" s="1"/>
  <c r="J12" i="11"/>
  <c r="J42" i="11" s="1"/>
  <c r="I12" i="11"/>
  <c r="I42" i="11" s="1"/>
  <c r="I8" i="11"/>
  <c r="I38" i="11" s="1"/>
  <c r="J8" i="11"/>
  <c r="J38" i="11" s="1"/>
  <c r="I6" i="11"/>
  <c r="I36" i="11" s="1"/>
  <c r="J6" i="11"/>
  <c r="J36" i="11" s="1"/>
  <c r="H14" i="7"/>
  <c r="H44" i="7" s="1"/>
  <c r="I14" i="7"/>
  <c r="I44" i="7" s="1"/>
  <c r="J26" i="10"/>
  <c r="J56" i="10" s="1"/>
  <c r="I26" i="10"/>
  <c r="I56" i="10" s="1"/>
  <c r="I16" i="7"/>
  <c r="I46" i="7" s="1"/>
  <c r="I10" i="11"/>
  <c r="I40" i="11" s="1"/>
  <c r="J10" i="11"/>
  <c r="J40" i="11" s="1"/>
  <c r="J5" i="10"/>
  <c r="J35" i="10" s="1"/>
  <c r="I5" i="10"/>
  <c r="I35" i="10" s="1"/>
  <c r="H22" i="7"/>
  <c r="H52" i="7" s="1"/>
  <c r="I22" i="7"/>
  <c r="I52" i="7" s="1"/>
  <c r="I11" i="10"/>
  <c r="I41" i="10" s="1"/>
  <c r="J11" i="10"/>
  <c r="J41" i="10" s="1"/>
  <c r="I17" i="7"/>
  <c r="I47" i="7" s="1"/>
  <c r="J8" i="10"/>
  <c r="J38" i="10" s="1"/>
  <c r="I8" i="10"/>
  <c r="I38" i="10" s="1"/>
  <c r="H4" i="7"/>
  <c r="H34" i="7" s="1"/>
  <c r="I4" i="7"/>
  <c r="I34" i="7" s="1"/>
  <c r="I16" i="11"/>
  <c r="I46" i="11" s="1"/>
  <c r="J16" i="11"/>
  <c r="J46" i="11" s="1"/>
  <c r="I11" i="7"/>
  <c r="I41" i="7" s="1"/>
  <c r="I3" i="7"/>
  <c r="I33" i="7" s="1"/>
  <c r="H3" i="7"/>
  <c r="H33" i="7" s="1"/>
  <c r="H20" i="7"/>
  <c r="H50" i="7" s="1"/>
  <c r="I20" i="7"/>
  <c r="I50" i="7" s="1"/>
  <c r="I24" i="11"/>
  <c r="I54" i="11" s="1"/>
  <c r="J24" i="11"/>
  <c r="J54" i="11" s="1"/>
  <c r="J24" i="10"/>
  <c r="J54" i="10" s="1"/>
  <c r="I24" i="10"/>
  <c r="I54" i="10" s="1"/>
  <c r="H8" i="7"/>
  <c r="H38" i="7" s="1"/>
  <c r="I8" i="7"/>
  <c r="I38" i="7" s="1"/>
  <c r="J4" i="10"/>
  <c r="J34" i="10" s="1"/>
  <c r="I4" i="10"/>
  <c r="I34" i="10" s="1"/>
  <c r="H6" i="7"/>
  <c r="H36" i="7" s="1"/>
  <c r="I6" i="7"/>
  <c r="I36" i="7" s="1"/>
  <c r="I26" i="11"/>
  <c r="I56" i="11" s="1"/>
  <c r="J26" i="11"/>
  <c r="J56" i="11" s="1"/>
  <c r="J22" i="11"/>
  <c r="J52" i="11" s="1"/>
  <c r="I22" i="11"/>
  <c r="I52" i="11" s="1"/>
  <c r="J20" i="11"/>
  <c r="J50" i="11" s="1"/>
  <c r="I20" i="11"/>
  <c r="I50" i="11" s="1"/>
  <c r="H26" i="7"/>
  <c r="H56" i="7" s="1"/>
  <c r="H16" i="5"/>
  <c r="I16" i="5"/>
  <c r="I11" i="5"/>
  <c r="H11" i="5"/>
  <c r="I20" i="5"/>
  <c r="H20" i="5"/>
  <c r="H16" i="7"/>
  <c r="H46" i="7" s="1"/>
  <c r="I5" i="5"/>
  <c r="H5" i="5"/>
  <c r="I22" i="5"/>
  <c r="H22" i="5"/>
  <c r="H17" i="7"/>
  <c r="H47" i="7" s="1"/>
  <c r="H24" i="5"/>
  <c r="I24" i="5"/>
  <c r="H8" i="5"/>
  <c r="H38" i="5" s="1"/>
  <c r="I8" i="5"/>
  <c r="I38" i="5" s="1"/>
  <c r="I6" i="5"/>
  <c r="H6" i="5"/>
  <c r="I26" i="5"/>
  <c r="I56" i="5" s="1"/>
  <c r="H26" i="5"/>
  <c r="H56" i="5" s="1"/>
  <c r="H11" i="7"/>
  <c r="H41" i="7" s="1"/>
  <c r="H7" i="5"/>
  <c r="H37" i="5" s="1"/>
  <c r="I7" i="5"/>
  <c r="I37" i="5" s="1"/>
  <c r="I3" i="5"/>
  <c r="H3" i="5"/>
  <c r="H15" i="5"/>
  <c r="I15" i="5"/>
  <c r="H14" i="5"/>
  <c r="I14" i="5"/>
  <c r="I10" i="5"/>
  <c r="I40" i="5" s="1"/>
  <c r="H10" i="5"/>
  <c r="H40" i="5" s="1"/>
  <c r="H10" i="7"/>
  <c r="H40" i="7" s="1"/>
  <c r="I17" i="5"/>
  <c r="H17" i="5"/>
  <c r="I12" i="5"/>
  <c r="I42" i="5" s="1"/>
  <c r="H12" i="5"/>
  <c r="H42" i="5" s="1"/>
  <c r="H4" i="5"/>
  <c r="I4" i="5"/>
  <c r="H7" i="7"/>
  <c r="Q21" i="4"/>
  <c r="R23" i="4"/>
  <c r="Q23" i="4"/>
  <c r="Q18" i="4"/>
  <c r="Q20" i="4"/>
  <c r="P27" i="4"/>
  <c r="P22" i="4"/>
  <c r="P25" i="4"/>
  <c r="P24" i="4"/>
  <c r="J33" i="11" l="1"/>
  <c r="J28" i="11"/>
  <c r="J58" i="11" s="1"/>
  <c r="I33" i="11"/>
  <c r="I28" i="11"/>
  <c r="I58" i="11" s="1"/>
  <c r="I33" i="10"/>
  <c r="I28" i="10"/>
  <c r="I58" i="10" s="1"/>
  <c r="J33" i="10"/>
  <c r="J28" i="10"/>
  <c r="J58" i="10" s="1"/>
  <c r="H28" i="7"/>
  <c r="H58" i="7" s="1"/>
  <c r="H37" i="7"/>
  <c r="E137" i="4"/>
  <c r="E100" i="4"/>
  <c r="E78" i="4"/>
  <c r="E106" i="4"/>
  <c r="E85" i="4"/>
  <c r="E153" i="4"/>
  <c r="E93" i="4"/>
  <c r="E104" i="4"/>
  <c r="E124" i="4"/>
  <c r="E8" i="4"/>
  <c r="E181" i="4"/>
  <c r="E25" i="4"/>
  <c r="E65" i="4"/>
  <c r="E4" i="4"/>
  <c r="R24" i="4" s="1"/>
  <c r="E125" i="4"/>
  <c r="E68" i="4"/>
  <c r="E141" i="4"/>
  <c r="E101" i="4"/>
  <c r="E77" i="4"/>
  <c r="E97" i="4"/>
  <c r="E75" i="4"/>
  <c r="E145" i="4"/>
  <c r="E2" i="4"/>
  <c r="R2" i="4" s="1"/>
  <c r="E177" i="4"/>
  <c r="E12" i="4"/>
  <c r="E105" i="4"/>
  <c r="E161" i="4"/>
  <c r="E17" i="4"/>
  <c r="E83" i="4"/>
  <c r="Q24" i="4"/>
  <c r="Q25" i="4"/>
  <c r="Q22" i="4"/>
  <c r="R27" i="4"/>
  <c r="Q27" i="4"/>
  <c r="P28" i="4"/>
  <c r="P29" i="4"/>
  <c r="P26" i="4"/>
  <c r="P31" i="4"/>
  <c r="R22" i="4" l="1"/>
  <c r="E27" i="4"/>
  <c r="R1065" i="4"/>
  <c r="R1033" i="4"/>
  <c r="R1029" i="4"/>
  <c r="R1121" i="4"/>
  <c r="R1057" i="4"/>
  <c r="R1113" i="4"/>
  <c r="R1117" i="4"/>
  <c r="R1093" i="4"/>
  <c r="R1109" i="4"/>
  <c r="R1081" i="4"/>
  <c r="R1037" i="4"/>
  <c r="R1105" i="4"/>
  <c r="R1085" i="4"/>
  <c r="R1073" i="4"/>
  <c r="R1061" i="4"/>
  <c r="R1041" i="4"/>
  <c r="R1097" i="4"/>
  <c r="R1045" i="4"/>
  <c r="R1125" i="4"/>
  <c r="R1089" i="4"/>
  <c r="R1077" i="4"/>
  <c r="R1053" i="4"/>
  <c r="R1069" i="4"/>
  <c r="R1049" i="4"/>
  <c r="R1101" i="4"/>
  <c r="R690" i="4"/>
  <c r="R626" i="4"/>
  <c r="R658" i="4"/>
  <c r="R650" i="4"/>
  <c r="R706" i="4"/>
  <c r="R678" i="4"/>
  <c r="R674" i="4"/>
  <c r="R646" i="4"/>
  <c r="R642" i="4"/>
  <c r="R638" i="4"/>
  <c r="R686" i="4"/>
  <c r="R654" i="4"/>
  <c r="R662" i="4"/>
  <c r="R670" i="4"/>
  <c r="R710" i="4"/>
  <c r="R622" i="4"/>
  <c r="R698" i="4"/>
  <c r="R694" i="4"/>
  <c r="R618" i="4"/>
  <c r="R714" i="4"/>
  <c r="R702" i="4"/>
  <c r="R666" i="4"/>
  <c r="R682" i="4"/>
  <c r="R634" i="4"/>
  <c r="R630" i="4"/>
  <c r="R513" i="4"/>
  <c r="R517" i="4"/>
  <c r="R505" i="4"/>
  <c r="R509" i="4"/>
  <c r="R521" i="4"/>
  <c r="R4" i="4"/>
  <c r="R16" i="4"/>
  <c r="R12" i="4"/>
  <c r="R8" i="4"/>
  <c r="R20" i="4"/>
  <c r="R897" i="4"/>
  <c r="R905" i="4"/>
  <c r="R901" i="4"/>
  <c r="R909" i="4"/>
  <c r="E81" i="4"/>
  <c r="R542" i="4"/>
  <c r="R538" i="4"/>
  <c r="R546" i="4"/>
  <c r="R550" i="4"/>
  <c r="E23" i="4"/>
  <c r="R481" i="4"/>
  <c r="R485" i="4"/>
  <c r="R469" i="4"/>
  <c r="R473" i="4"/>
  <c r="R477" i="4"/>
  <c r="R417" i="4"/>
  <c r="R429" i="4"/>
  <c r="R413" i="4"/>
  <c r="R421" i="4"/>
  <c r="R425" i="4"/>
  <c r="R433" i="4"/>
  <c r="R501" i="4"/>
  <c r="R493" i="4"/>
  <c r="R489" i="4"/>
  <c r="R497" i="4"/>
  <c r="E21" i="4"/>
  <c r="R524" i="4"/>
  <c r="R528" i="4"/>
  <c r="R532" i="4"/>
  <c r="R536" i="4"/>
  <c r="R452" i="4"/>
  <c r="R456" i="4"/>
  <c r="R448" i="4"/>
  <c r="R440" i="4"/>
  <c r="R436" i="4"/>
  <c r="R444" i="4"/>
  <c r="R460" i="4"/>
  <c r="R1001" i="4"/>
  <c r="R1005" i="4"/>
  <c r="R989" i="4"/>
  <c r="R985" i="4"/>
  <c r="R993" i="4"/>
  <c r="R997" i="4"/>
  <c r="R1009" i="4"/>
  <c r="R941" i="4"/>
  <c r="R937" i="4"/>
  <c r="R933" i="4"/>
  <c r="R945" i="4"/>
  <c r="R1017" i="4"/>
  <c r="R1021" i="4"/>
  <c r="R1013" i="4"/>
  <c r="R1025" i="4"/>
  <c r="R10" i="4"/>
  <c r="R6" i="4"/>
  <c r="R14" i="4"/>
  <c r="R18" i="4"/>
  <c r="R467" i="4"/>
  <c r="R479" i="4"/>
  <c r="R471" i="4"/>
  <c r="R475" i="4"/>
  <c r="R483" i="4"/>
  <c r="R537" i="4"/>
  <c r="R533" i="4"/>
  <c r="R525" i="4"/>
  <c r="R529" i="4"/>
  <c r="R821" i="4"/>
  <c r="R837" i="4"/>
  <c r="R829" i="4"/>
  <c r="R833" i="4"/>
  <c r="R841" i="4"/>
  <c r="R825" i="4"/>
  <c r="E87" i="4"/>
  <c r="E5" i="4"/>
  <c r="R893" i="4"/>
  <c r="R889" i="4"/>
  <c r="R881" i="4"/>
  <c r="R877" i="4"/>
  <c r="R885" i="4"/>
  <c r="E170" i="4"/>
  <c r="R840" i="4"/>
  <c r="R832" i="4"/>
  <c r="R824" i="4"/>
  <c r="R820" i="4"/>
  <c r="R836" i="4"/>
  <c r="R828" i="4"/>
  <c r="Q31" i="4"/>
  <c r="R31" i="4"/>
  <c r="R26" i="4"/>
  <c r="Q26" i="4"/>
  <c r="R29" i="4"/>
  <c r="Q29" i="4"/>
  <c r="Q28" i="4"/>
  <c r="R28" i="4"/>
  <c r="P35" i="4"/>
  <c r="P30" i="4"/>
  <c r="P33" i="4"/>
  <c r="P32" i="4"/>
  <c r="R9" i="4" l="1"/>
  <c r="R13" i="4"/>
  <c r="R5" i="4"/>
  <c r="R17" i="4"/>
  <c r="R21" i="4"/>
  <c r="R25" i="4"/>
  <c r="R657" i="4"/>
  <c r="R677" i="4"/>
  <c r="R669" i="4"/>
  <c r="R621" i="4"/>
  <c r="R689" i="4"/>
  <c r="R717" i="4"/>
  <c r="R673" i="4"/>
  <c r="R649" i="4"/>
  <c r="R701" i="4"/>
  <c r="R645" i="4"/>
  <c r="R641" i="4"/>
  <c r="R713" i="4"/>
  <c r="R681" i="4"/>
  <c r="R697" i="4"/>
  <c r="R709" i="4"/>
  <c r="R685" i="4"/>
  <c r="R633" i="4"/>
  <c r="R653" i="4"/>
  <c r="R661" i="4"/>
  <c r="R705" i="4"/>
  <c r="R629" i="4"/>
  <c r="R625" i="4"/>
  <c r="R665" i="4"/>
  <c r="R693" i="4"/>
  <c r="R637" i="4"/>
  <c r="R970" i="4"/>
  <c r="R962" i="4"/>
  <c r="R966" i="4"/>
  <c r="R974" i="4"/>
  <c r="R978" i="4"/>
  <c r="R759" i="4"/>
  <c r="R771" i="4"/>
  <c r="R791" i="4"/>
  <c r="R815" i="4"/>
  <c r="R731" i="4"/>
  <c r="R727" i="4"/>
  <c r="R739" i="4"/>
  <c r="R783" i="4"/>
  <c r="R735" i="4"/>
  <c r="R787" i="4"/>
  <c r="R811" i="4"/>
  <c r="R807" i="4"/>
  <c r="R747" i="4"/>
  <c r="R775" i="4"/>
  <c r="R743" i="4"/>
  <c r="R723" i="4"/>
  <c r="R763" i="4"/>
  <c r="R799" i="4"/>
  <c r="R795" i="4"/>
  <c r="R779" i="4"/>
  <c r="R767" i="4"/>
  <c r="R751" i="4"/>
  <c r="R755" i="4"/>
  <c r="R719" i="4"/>
  <c r="R803" i="4"/>
  <c r="R32" i="4"/>
  <c r="Q32" i="4"/>
  <c r="Q33" i="4"/>
  <c r="R33" i="4"/>
  <c r="R30" i="4"/>
  <c r="Q30" i="4"/>
  <c r="R35" i="4"/>
  <c r="Q35" i="4"/>
  <c r="P36" i="4"/>
  <c r="P37" i="4"/>
  <c r="P34" i="4"/>
  <c r="P39" i="4"/>
  <c r="Q39" i="4" l="1"/>
  <c r="R39" i="4"/>
  <c r="R34" i="4"/>
  <c r="Q34" i="4"/>
  <c r="R37" i="4"/>
  <c r="Q37" i="4"/>
  <c r="R36" i="4"/>
  <c r="Q36" i="4"/>
  <c r="P43" i="4"/>
  <c r="P38" i="4"/>
  <c r="P41" i="4"/>
  <c r="P40" i="4"/>
  <c r="Q38" i="4" l="1"/>
  <c r="R38" i="4"/>
  <c r="Q40" i="4"/>
  <c r="R40" i="4"/>
  <c r="R41" i="4"/>
  <c r="Q41" i="4"/>
  <c r="R43" i="4"/>
  <c r="Q43" i="4"/>
  <c r="P45" i="4"/>
  <c r="P42" i="4"/>
  <c r="P44" i="4"/>
  <c r="P47" i="4"/>
  <c r="Q44" i="4" l="1"/>
  <c r="R44" i="4"/>
  <c r="Q42" i="4"/>
  <c r="R42" i="4"/>
  <c r="R45" i="4"/>
  <c r="Q45" i="4"/>
  <c r="Q47" i="4"/>
  <c r="R47" i="4"/>
  <c r="P48" i="4"/>
  <c r="P46" i="4"/>
  <c r="P51" i="4"/>
  <c r="P49" i="4"/>
  <c r="R49" i="4" l="1"/>
  <c r="Q49" i="4"/>
  <c r="R46" i="4"/>
  <c r="Q46" i="4"/>
  <c r="Q51" i="4"/>
  <c r="R51" i="4"/>
  <c r="R48" i="4"/>
  <c r="Q48" i="4"/>
  <c r="P53" i="4"/>
  <c r="P55" i="4"/>
  <c r="P50" i="4"/>
  <c r="P52" i="4"/>
  <c r="R50" i="4" l="1"/>
  <c r="Q50" i="4"/>
  <c r="R52" i="4"/>
  <c r="Q52" i="4"/>
  <c r="Q55" i="4"/>
  <c r="R55" i="4"/>
  <c r="Q53" i="4"/>
  <c r="R53" i="4"/>
  <c r="P54" i="4"/>
  <c r="P56" i="4"/>
  <c r="P59" i="4"/>
  <c r="P57" i="4"/>
  <c r="R59" i="4" l="1"/>
  <c r="Q59" i="4"/>
  <c r="R57" i="4"/>
  <c r="Q57" i="4"/>
  <c r="R56" i="4"/>
  <c r="Q56" i="4"/>
  <c r="R54" i="4"/>
  <c r="Q54" i="4"/>
  <c r="P63" i="4"/>
  <c r="P60" i="4"/>
  <c r="P61" i="4"/>
  <c r="P58" i="4"/>
  <c r="Q61" i="4" l="1"/>
  <c r="R61" i="4"/>
  <c r="R58" i="4"/>
  <c r="Q58" i="4"/>
  <c r="R60" i="4"/>
  <c r="Q60" i="4"/>
  <c r="Q63" i="4"/>
  <c r="R63" i="4"/>
  <c r="P62" i="4"/>
  <c r="P65" i="4"/>
  <c r="P64" i="4"/>
  <c r="P67" i="4"/>
  <c r="R67" i="4" l="1"/>
  <c r="Q67" i="4"/>
  <c r="Q64" i="4"/>
  <c r="R64" i="4"/>
  <c r="Q65" i="4"/>
  <c r="R65" i="4"/>
  <c r="Q62" i="4"/>
  <c r="R62" i="4"/>
  <c r="P71" i="4"/>
  <c r="P69" i="4"/>
  <c r="P68" i="4"/>
  <c r="P66" i="4"/>
  <c r="R68" i="4" l="1"/>
  <c r="Q68" i="4"/>
  <c r="R66" i="4"/>
  <c r="Q66" i="4"/>
  <c r="Q69" i="4"/>
  <c r="R69" i="4"/>
  <c r="R71" i="4"/>
  <c r="Q71" i="4"/>
  <c r="P70" i="4"/>
  <c r="P72" i="4"/>
  <c r="P73" i="4"/>
  <c r="P75" i="4"/>
  <c r="R73" i="4" l="1"/>
  <c r="Q73" i="4"/>
  <c r="R72" i="4"/>
  <c r="Q72" i="4"/>
  <c r="R75" i="4"/>
  <c r="Q75" i="4"/>
  <c r="R70" i="4"/>
  <c r="Q70" i="4"/>
  <c r="P77" i="4"/>
  <c r="P76" i="4"/>
  <c r="P79" i="4"/>
  <c r="P74" i="4"/>
  <c r="Q79" i="4" l="1"/>
  <c r="R79" i="4"/>
  <c r="Q74" i="4"/>
  <c r="R74" i="4"/>
  <c r="Q76" i="4"/>
  <c r="R76" i="4"/>
  <c r="Q77" i="4"/>
  <c r="R77" i="4"/>
  <c r="P83" i="4"/>
  <c r="P80" i="4"/>
  <c r="P78" i="4"/>
  <c r="P81" i="4"/>
  <c r="R78" i="4" l="1"/>
  <c r="Q78" i="4"/>
  <c r="R81" i="4"/>
  <c r="Q81" i="4"/>
  <c r="Q80" i="4"/>
  <c r="R80" i="4"/>
  <c r="Q83" i="4"/>
  <c r="R83" i="4"/>
  <c r="P82" i="4"/>
  <c r="P85" i="4"/>
  <c r="P84" i="4"/>
  <c r="P87" i="4"/>
  <c r="R84" i="4" l="1"/>
  <c r="Q84" i="4"/>
  <c r="R87" i="4"/>
  <c r="Q87" i="4"/>
  <c r="R85" i="4"/>
  <c r="Q85" i="4"/>
  <c r="R82" i="4"/>
  <c r="Q82" i="4"/>
  <c r="P88" i="4"/>
  <c r="P91" i="4"/>
  <c r="P89" i="4"/>
  <c r="P86" i="4"/>
  <c r="R89" i="4" l="1"/>
  <c r="Q89" i="4"/>
  <c r="Q86" i="4"/>
  <c r="R86" i="4"/>
  <c r="Q91" i="4"/>
  <c r="R91" i="4"/>
  <c r="Q88" i="4"/>
  <c r="R88" i="4"/>
  <c r="P93" i="4"/>
  <c r="P95" i="4"/>
  <c r="P90" i="4"/>
  <c r="P92" i="4"/>
  <c r="R92" i="4" l="1"/>
  <c r="Q92" i="4"/>
  <c r="Q90" i="4"/>
  <c r="R90" i="4"/>
  <c r="Q95" i="4"/>
  <c r="R95" i="4"/>
  <c r="R93" i="4"/>
  <c r="Q93" i="4"/>
  <c r="P96" i="4"/>
  <c r="P94" i="4"/>
  <c r="P99" i="4"/>
  <c r="P97" i="4"/>
  <c r="Q97" i="4" l="1"/>
  <c r="R97" i="4"/>
  <c r="Q99" i="4"/>
  <c r="R99" i="4"/>
  <c r="Q94" i="4"/>
  <c r="R94" i="4"/>
  <c r="R96" i="4"/>
  <c r="Q96" i="4"/>
  <c r="P101" i="4"/>
  <c r="P103" i="4"/>
  <c r="P98" i="4"/>
  <c r="P100" i="4"/>
  <c r="Q100" i="4" l="1"/>
  <c r="R100" i="4"/>
  <c r="Q98" i="4"/>
  <c r="R98" i="4"/>
  <c r="R103" i="4"/>
  <c r="Q103" i="4"/>
  <c r="R101" i="4"/>
  <c r="Q101" i="4"/>
  <c r="P102" i="4"/>
  <c r="P104" i="4"/>
  <c r="P107" i="4"/>
  <c r="P105" i="4"/>
  <c r="Q105" i="4" l="1"/>
  <c r="R105" i="4"/>
  <c r="R107" i="4"/>
  <c r="Q107" i="4"/>
  <c r="Q104" i="4"/>
  <c r="R104" i="4"/>
  <c r="Q102" i="4"/>
  <c r="R102" i="4"/>
  <c r="P109" i="4"/>
  <c r="P108" i="4"/>
  <c r="P111" i="4"/>
  <c r="P106" i="4"/>
  <c r="Q106" i="4" l="1"/>
  <c r="R106" i="4"/>
  <c r="Q111" i="4"/>
  <c r="R111" i="4"/>
  <c r="Q108" i="4"/>
  <c r="R108" i="4"/>
  <c r="Q109" i="4"/>
  <c r="R109" i="4"/>
  <c r="P115" i="4"/>
  <c r="P110" i="4"/>
  <c r="P112" i="4"/>
  <c r="P113" i="4"/>
  <c r="R112" i="4" l="1"/>
  <c r="Q112" i="4"/>
  <c r="Q113" i="4"/>
  <c r="R113" i="4"/>
  <c r="R110" i="4"/>
  <c r="Q110" i="4"/>
  <c r="Q115" i="4"/>
  <c r="R115" i="4"/>
  <c r="P116" i="4"/>
  <c r="P114" i="4"/>
  <c r="P117" i="4"/>
  <c r="P119" i="4"/>
  <c r="R114" i="4" l="1"/>
  <c r="Q114" i="4"/>
  <c r="Q117" i="4"/>
  <c r="R117" i="4"/>
  <c r="Q116" i="4"/>
  <c r="R116" i="4"/>
  <c r="R119" i="4"/>
  <c r="Q119" i="4"/>
  <c r="P123" i="4"/>
  <c r="P118" i="4"/>
  <c r="P121" i="4"/>
  <c r="P120" i="4"/>
  <c r="R120" i="4" l="1"/>
  <c r="Q120" i="4"/>
  <c r="Q121" i="4"/>
  <c r="R121" i="4"/>
  <c r="Q118" i="4"/>
  <c r="R118" i="4"/>
  <c r="R123" i="4"/>
  <c r="Q123" i="4"/>
  <c r="P125" i="4"/>
  <c r="P122" i="4"/>
  <c r="P124" i="4"/>
  <c r="P127" i="4"/>
  <c r="Q127" i="4" l="1"/>
  <c r="R127" i="4"/>
  <c r="Q124" i="4"/>
  <c r="R124" i="4"/>
  <c r="Q122" i="4"/>
  <c r="R122" i="4"/>
  <c r="Q125" i="4"/>
  <c r="R125" i="4"/>
  <c r="P131" i="4"/>
  <c r="P126" i="4"/>
  <c r="P128" i="4"/>
  <c r="P129" i="4"/>
  <c r="R128" i="4" l="1"/>
  <c r="Q128" i="4"/>
  <c r="Q129" i="4"/>
  <c r="R129" i="4"/>
  <c r="Q126" i="4"/>
  <c r="R126" i="4"/>
  <c r="R131" i="4"/>
  <c r="Q131" i="4"/>
  <c r="P133" i="4"/>
  <c r="P132" i="4"/>
  <c r="P130" i="4"/>
  <c r="P135" i="4"/>
  <c r="H45" i="5" l="1"/>
  <c r="I45" i="5"/>
  <c r="Q135" i="4"/>
  <c r="R135" i="4"/>
  <c r="Q130" i="4"/>
  <c r="R130" i="4"/>
  <c r="Q132" i="4"/>
  <c r="R132" i="4"/>
  <c r="R133" i="4"/>
  <c r="Q133" i="4"/>
  <c r="P139" i="4"/>
  <c r="P134" i="4"/>
  <c r="P136" i="4"/>
  <c r="P137" i="4"/>
  <c r="R137" i="4" l="1"/>
  <c r="Q137" i="4"/>
  <c r="Q136" i="4"/>
  <c r="R136" i="4"/>
  <c r="R134" i="4"/>
  <c r="Q134" i="4"/>
  <c r="Q139" i="4"/>
  <c r="R139" i="4"/>
  <c r="P141" i="4"/>
  <c r="P140" i="4"/>
  <c r="P138" i="4"/>
  <c r="P143" i="4"/>
  <c r="H46" i="5" l="1"/>
  <c r="I46" i="5"/>
  <c r="Q143" i="4"/>
  <c r="R143" i="4"/>
  <c r="Q138" i="4"/>
  <c r="R138" i="4"/>
  <c r="Q140" i="4"/>
  <c r="R140" i="4"/>
  <c r="R141" i="4"/>
  <c r="Q141" i="4"/>
  <c r="P142" i="4"/>
  <c r="P147" i="4"/>
  <c r="P144" i="4"/>
  <c r="P145" i="4"/>
  <c r="H47" i="5" l="1"/>
  <c r="I47" i="5"/>
  <c r="Q145" i="4"/>
  <c r="R145" i="4"/>
  <c r="R144" i="4"/>
  <c r="Q144" i="4"/>
  <c r="R147" i="4"/>
  <c r="Q147" i="4"/>
  <c r="R142" i="4"/>
  <c r="Q142" i="4"/>
  <c r="P149" i="4"/>
  <c r="P148" i="4"/>
  <c r="P151" i="4"/>
  <c r="P146" i="4"/>
  <c r="I41" i="5" l="1"/>
  <c r="H41" i="5"/>
  <c r="Q146" i="4"/>
  <c r="R146" i="4"/>
  <c r="R151" i="4"/>
  <c r="Q151" i="4"/>
  <c r="Q148" i="4"/>
  <c r="R148" i="4"/>
  <c r="R149" i="4"/>
  <c r="Q149" i="4"/>
  <c r="P155" i="4"/>
  <c r="P150" i="4"/>
  <c r="P152" i="4"/>
  <c r="P153" i="4"/>
  <c r="H54" i="5" l="1"/>
  <c r="I54" i="5"/>
  <c r="Q152" i="4"/>
  <c r="R152" i="4"/>
  <c r="R153" i="4"/>
  <c r="Q153" i="4"/>
  <c r="R150" i="4"/>
  <c r="Q150" i="4"/>
  <c r="R155" i="4"/>
  <c r="Q155" i="4"/>
  <c r="P157" i="4"/>
  <c r="P154" i="4"/>
  <c r="P156" i="4"/>
  <c r="P159" i="4"/>
  <c r="I44" i="5" l="1"/>
  <c r="H44" i="5"/>
  <c r="Q159" i="4"/>
  <c r="R159" i="4"/>
  <c r="Q156" i="4"/>
  <c r="R156" i="4"/>
  <c r="Q154" i="4"/>
  <c r="R154" i="4"/>
  <c r="R157" i="4"/>
  <c r="Q157" i="4"/>
  <c r="P163" i="4"/>
  <c r="P158" i="4"/>
  <c r="P160" i="4"/>
  <c r="P161" i="4"/>
  <c r="R161" i="4" l="1"/>
  <c r="Q161" i="4"/>
  <c r="Q158" i="4"/>
  <c r="R158" i="4"/>
  <c r="Q160" i="4"/>
  <c r="R160" i="4"/>
  <c r="Q163" i="4"/>
  <c r="R163" i="4"/>
  <c r="P165" i="4"/>
  <c r="P162" i="4"/>
  <c r="P164" i="4"/>
  <c r="P167" i="4"/>
  <c r="I50" i="5" l="1"/>
  <c r="H50" i="5"/>
  <c r="R167" i="4"/>
  <c r="Q167" i="4"/>
  <c r="Q164" i="4"/>
  <c r="R164" i="4"/>
  <c r="R162" i="4"/>
  <c r="Q162" i="4"/>
  <c r="R165" i="4"/>
  <c r="Q165" i="4"/>
  <c r="P171" i="4"/>
  <c r="P166" i="4"/>
  <c r="P168" i="4"/>
  <c r="P169" i="4"/>
  <c r="I52" i="5" l="1"/>
  <c r="H52" i="5"/>
  <c r="Q168" i="4"/>
  <c r="R168" i="4"/>
  <c r="R169" i="4"/>
  <c r="Q169" i="4"/>
  <c r="R166" i="4"/>
  <c r="Q166" i="4"/>
  <c r="R171" i="4"/>
  <c r="Q171" i="4"/>
  <c r="P173" i="4"/>
  <c r="P170" i="4"/>
  <c r="P172" i="4"/>
  <c r="P175" i="4"/>
  <c r="R172" i="4" l="1"/>
  <c r="Q172" i="4"/>
  <c r="R175" i="4"/>
  <c r="Q175" i="4"/>
  <c r="Q170" i="4"/>
  <c r="R170" i="4"/>
  <c r="Q173" i="4"/>
  <c r="R173" i="4"/>
  <c r="P179" i="4"/>
  <c r="P174" i="4"/>
  <c r="P176" i="4"/>
  <c r="P177" i="4"/>
  <c r="H33" i="5" l="1"/>
  <c r="I33" i="5"/>
  <c r="I34" i="5"/>
  <c r="H34" i="5"/>
  <c r="R177" i="4"/>
  <c r="Q177" i="4"/>
  <c r="Q174" i="4"/>
  <c r="R174" i="4"/>
  <c r="Q176" i="4"/>
  <c r="R176" i="4"/>
  <c r="Q179" i="4"/>
  <c r="R179" i="4"/>
  <c r="P181" i="4"/>
  <c r="P180" i="4"/>
  <c r="P178" i="4"/>
  <c r="P183" i="4"/>
  <c r="I35" i="5" l="1"/>
  <c r="H35" i="5"/>
  <c r="Q180" i="4"/>
  <c r="R180" i="4"/>
  <c r="R183" i="4"/>
  <c r="Q183" i="4"/>
  <c r="Q178" i="4"/>
  <c r="R178" i="4"/>
  <c r="R181" i="4"/>
  <c r="Q181" i="4"/>
  <c r="P187" i="4"/>
  <c r="P182" i="4"/>
  <c r="P184" i="4"/>
  <c r="P185" i="4"/>
  <c r="H36" i="5" l="1"/>
  <c r="I36" i="5"/>
  <c r="R182" i="4"/>
  <c r="Q182" i="4"/>
  <c r="R184" i="4"/>
  <c r="Q184" i="4"/>
  <c r="R187" i="4"/>
  <c r="Q187" i="4"/>
  <c r="Q185" i="4"/>
  <c r="R185" i="4"/>
  <c r="P189" i="4"/>
  <c r="P186" i="4"/>
  <c r="P188" i="4"/>
  <c r="P191" i="4"/>
  <c r="H28" i="5" l="1"/>
  <c r="H58" i="5" s="1"/>
  <c r="I28" i="5"/>
  <c r="I58" i="5" s="1"/>
  <c r="R186" i="4"/>
  <c r="Q186" i="4"/>
  <c r="R188" i="4"/>
  <c r="Q188" i="4"/>
  <c r="Q189" i="4"/>
  <c r="R189" i="4"/>
  <c r="Q191" i="4"/>
  <c r="R191" i="4"/>
  <c r="P195" i="4"/>
  <c r="P190" i="4"/>
  <c r="P192" i="4"/>
  <c r="P193" i="4"/>
  <c r="R193" i="4" l="1"/>
  <c r="Q193" i="4"/>
  <c r="Q192" i="4"/>
  <c r="R192" i="4"/>
  <c r="R190" i="4"/>
  <c r="Q190" i="4"/>
  <c r="R195" i="4"/>
  <c r="Q195" i="4"/>
  <c r="P197" i="4"/>
  <c r="P196" i="4"/>
  <c r="P194" i="4"/>
  <c r="P199" i="4"/>
  <c r="R199" i="4" l="1"/>
  <c r="Q199" i="4"/>
  <c r="R194" i="4"/>
  <c r="Q194" i="4"/>
  <c r="Q196" i="4"/>
  <c r="R196" i="4"/>
  <c r="R197" i="4"/>
  <c r="Q197" i="4"/>
  <c r="P203" i="4"/>
  <c r="P200" i="4"/>
  <c r="P198" i="4"/>
  <c r="P201" i="4"/>
  <c r="Q198" i="4" l="1"/>
  <c r="R198" i="4"/>
  <c r="R201" i="4"/>
  <c r="Q201" i="4"/>
  <c r="Q200" i="4"/>
  <c r="R200" i="4"/>
  <c r="Q203" i="4"/>
  <c r="R203" i="4"/>
  <c r="P205" i="4"/>
  <c r="P202" i="4"/>
  <c r="P204" i="4"/>
  <c r="P207" i="4"/>
  <c r="Q204" i="4" l="1"/>
  <c r="R204" i="4"/>
  <c r="R202" i="4"/>
  <c r="Q202" i="4"/>
  <c r="R207" i="4"/>
  <c r="Q207" i="4"/>
  <c r="R205" i="4"/>
  <c r="Q205" i="4"/>
  <c r="P211" i="4"/>
  <c r="P206" i="4"/>
  <c r="P208" i="4"/>
  <c r="P209" i="4"/>
  <c r="R208" i="4" l="1"/>
  <c r="Q208" i="4"/>
  <c r="R209" i="4"/>
  <c r="Q209" i="4"/>
  <c r="R206" i="4"/>
  <c r="Q206" i="4"/>
  <c r="R211" i="4"/>
  <c r="Q211" i="4"/>
  <c r="P213" i="4"/>
  <c r="P210" i="4"/>
  <c r="P212" i="4"/>
  <c r="P215" i="4"/>
  <c r="R215" i="4" l="1"/>
  <c r="Q215" i="4"/>
  <c r="Q212" i="4"/>
  <c r="R212" i="4"/>
  <c r="Q210" i="4"/>
  <c r="R210" i="4"/>
  <c r="R213" i="4"/>
  <c r="Q213" i="4"/>
  <c r="P219" i="4"/>
  <c r="P214" i="4"/>
  <c r="P216" i="4"/>
  <c r="P217" i="4"/>
  <c r="R217" i="4" l="1"/>
  <c r="Q217" i="4"/>
  <c r="R216" i="4"/>
  <c r="Q216" i="4"/>
  <c r="R214" i="4"/>
  <c r="Q214" i="4"/>
  <c r="R219" i="4"/>
  <c r="Q219" i="4"/>
  <c r="P221" i="4"/>
  <c r="P220" i="4"/>
  <c r="P218" i="4"/>
  <c r="P223" i="4"/>
  <c r="Q223" i="4" l="1"/>
  <c r="R223" i="4"/>
  <c r="Q218" i="4"/>
  <c r="R218" i="4"/>
  <c r="Q220" i="4"/>
  <c r="R220" i="4"/>
  <c r="R221" i="4"/>
  <c r="Q221" i="4"/>
  <c r="P227" i="4"/>
  <c r="P224" i="4"/>
  <c r="P222" i="4"/>
  <c r="P225" i="4"/>
  <c r="R225" i="4" l="1"/>
  <c r="Q225" i="4"/>
  <c r="R224" i="4"/>
  <c r="Q224" i="4"/>
  <c r="Q222" i="4"/>
  <c r="R222" i="4"/>
  <c r="R227" i="4"/>
  <c r="Q227" i="4"/>
  <c r="P229" i="4"/>
  <c r="P228" i="4"/>
  <c r="P226" i="4"/>
  <c r="P231" i="4"/>
  <c r="R231" i="4" l="1"/>
  <c r="Q231" i="4"/>
  <c r="Q228" i="4"/>
  <c r="R228" i="4"/>
  <c r="Q226" i="4"/>
  <c r="R226" i="4"/>
  <c r="R229" i="4"/>
  <c r="Q229" i="4"/>
  <c r="P235" i="4"/>
  <c r="P230" i="4"/>
  <c r="P232" i="4"/>
  <c r="P233" i="4"/>
  <c r="R233" i="4" l="1"/>
  <c r="Q233" i="4"/>
  <c r="R230" i="4"/>
  <c r="Q230" i="4"/>
  <c r="R235" i="4"/>
  <c r="Q235" i="4"/>
  <c r="R232" i="4"/>
  <c r="Q232" i="4"/>
  <c r="P237" i="4"/>
  <c r="P236" i="4"/>
  <c r="P234" i="4"/>
  <c r="P239" i="4"/>
  <c r="Q239" i="4" l="1"/>
  <c r="R239" i="4"/>
  <c r="R234" i="4"/>
  <c r="Q234" i="4"/>
  <c r="Q236" i="4"/>
  <c r="R236" i="4"/>
  <c r="R237" i="4"/>
  <c r="Q237" i="4"/>
  <c r="P243" i="4"/>
  <c r="P240" i="4"/>
  <c r="P238" i="4"/>
  <c r="P241" i="4"/>
  <c r="R240" i="4" l="1"/>
  <c r="Q240" i="4"/>
  <c r="R243" i="4"/>
  <c r="Q243" i="4"/>
  <c r="R241" i="4"/>
  <c r="Q241" i="4"/>
  <c r="Q238" i="4"/>
  <c r="R238" i="4"/>
  <c r="P245" i="4"/>
  <c r="P242" i="4"/>
  <c r="P244" i="4"/>
  <c r="P247" i="4"/>
  <c r="R247" i="4" l="1"/>
  <c r="Q247" i="4"/>
  <c r="Q244" i="4"/>
  <c r="R244" i="4"/>
  <c r="Q242" i="4"/>
  <c r="R242" i="4"/>
  <c r="R245" i="4"/>
  <c r="Q245" i="4"/>
  <c r="P251" i="4"/>
  <c r="P246" i="4"/>
  <c r="P248" i="4"/>
  <c r="P249" i="4"/>
  <c r="R251" i="4" l="1"/>
  <c r="Q251" i="4"/>
  <c r="R249" i="4"/>
  <c r="Q249" i="4"/>
  <c r="R248" i="4"/>
  <c r="Q248" i="4"/>
  <c r="R246" i="4"/>
  <c r="Q246" i="4"/>
  <c r="P253" i="4"/>
  <c r="P252" i="4"/>
  <c r="P250" i="4"/>
  <c r="P255" i="4"/>
  <c r="Q255" i="4" l="1"/>
  <c r="R255" i="4"/>
  <c r="R250" i="4"/>
  <c r="Q250" i="4"/>
  <c r="Q252" i="4"/>
  <c r="R252" i="4"/>
  <c r="R253" i="4"/>
  <c r="Q253" i="4"/>
  <c r="P259" i="4"/>
  <c r="P256" i="4"/>
  <c r="P254" i="4"/>
  <c r="P257" i="4"/>
  <c r="R259" i="4" l="1"/>
  <c r="Q259" i="4"/>
  <c r="Q254" i="4"/>
  <c r="R254" i="4"/>
  <c r="R257" i="4"/>
  <c r="Q257" i="4"/>
  <c r="R256" i="4"/>
  <c r="Q256" i="4"/>
  <c r="P261" i="4"/>
  <c r="P258" i="4"/>
  <c r="P260" i="4"/>
  <c r="P263" i="4"/>
  <c r="R261" i="4" l="1"/>
  <c r="Q261" i="4"/>
  <c r="Q263" i="4"/>
  <c r="R263" i="4"/>
  <c r="Q260" i="4"/>
  <c r="R260" i="4"/>
  <c r="Q258" i="4"/>
  <c r="R258" i="4"/>
  <c r="P267" i="4"/>
  <c r="P264" i="4"/>
  <c r="P262" i="4"/>
  <c r="P265" i="4"/>
  <c r="R265" i="4" l="1"/>
  <c r="Q265" i="4"/>
  <c r="R267" i="4"/>
  <c r="Q267" i="4"/>
  <c r="R262" i="4"/>
  <c r="Q262" i="4"/>
  <c r="R264" i="4"/>
  <c r="Q264" i="4"/>
  <c r="P269" i="4"/>
  <c r="P266" i="4"/>
  <c r="P268" i="4"/>
  <c r="P271" i="4"/>
  <c r="R269" i="4" l="1"/>
  <c r="Q269" i="4"/>
  <c r="R271" i="4"/>
  <c r="Q271" i="4"/>
  <c r="Q268" i="4"/>
  <c r="R268" i="4"/>
  <c r="R266" i="4"/>
  <c r="Q266" i="4"/>
  <c r="P275" i="4"/>
  <c r="P272" i="4"/>
  <c r="P270" i="4"/>
  <c r="P273" i="4"/>
  <c r="R272" i="4" l="1"/>
  <c r="Q272" i="4"/>
  <c r="R273" i="4"/>
  <c r="Q273" i="4"/>
  <c r="R270" i="4"/>
  <c r="Q270" i="4"/>
  <c r="R275" i="4"/>
  <c r="Q275" i="4"/>
  <c r="P274" i="4"/>
  <c r="P279" i="4"/>
  <c r="P277" i="4"/>
  <c r="P276" i="4"/>
  <c r="R279" i="4" l="1"/>
  <c r="Q279" i="4"/>
  <c r="Q274" i="4"/>
  <c r="R274" i="4"/>
  <c r="Q276" i="4"/>
  <c r="R276" i="4"/>
  <c r="R277" i="4"/>
  <c r="Q277" i="4"/>
  <c r="P280" i="4"/>
  <c r="P281" i="4"/>
  <c r="P283" i="4"/>
  <c r="P278" i="4"/>
  <c r="R278" i="4" l="1"/>
  <c r="Q278" i="4"/>
  <c r="R283" i="4"/>
  <c r="Q283" i="4"/>
  <c r="R281" i="4"/>
  <c r="Q281" i="4"/>
  <c r="R280" i="4"/>
  <c r="Q280" i="4"/>
  <c r="P284" i="4"/>
  <c r="P287" i="4"/>
  <c r="P282" i="4"/>
  <c r="P285" i="4"/>
  <c r="R285" i="4" l="1"/>
  <c r="Q285" i="4"/>
  <c r="Q282" i="4"/>
  <c r="R282" i="4"/>
  <c r="Q287" i="4"/>
  <c r="R287" i="4"/>
  <c r="Q284" i="4"/>
  <c r="R284" i="4"/>
  <c r="P289" i="4"/>
  <c r="P291" i="4"/>
  <c r="P286" i="4"/>
  <c r="P288" i="4"/>
  <c r="R288" i="4" l="1"/>
  <c r="Q288" i="4"/>
  <c r="Q286" i="4"/>
  <c r="R286" i="4"/>
  <c r="R291" i="4"/>
  <c r="Q291" i="4"/>
  <c r="R289" i="4"/>
  <c r="Q289" i="4"/>
  <c r="P292" i="4"/>
  <c r="P290" i="4"/>
  <c r="P295" i="4"/>
  <c r="P293" i="4"/>
  <c r="Q292" i="4" l="1"/>
  <c r="R292" i="4"/>
  <c r="R293" i="4"/>
  <c r="Q293" i="4"/>
  <c r="R295" i="4"/>
  <c r="Q295" i="4"/>
  <c r="Q290" i="4"/>
  <c r="R290" i="4"/>
  <c r="P299" i="4"/>
  <c r="P296" i="4"/>
  <c r="P297" i="4"/>
  <c r="P294" i="4"/>
  <c r="R294" i="4" l="1"/>
  <c r="Q294" i="4"/>
  <c r="R297" i="4"/>
  <c r="Q297" i="4"/>
  <c r="R296" i="4"/>
  <c r="Q296" i="4"/>
  <c r="R299" i="4"/>
  <c r="Q299" i="4"/>
  <c r="P298" i="4"/>
  <c r="P301" i="4"/>
  <c r="P300" i="4"/>
  <c r="P303" i="4"/>
  <c r="Q303" i="4" l="1"/>
  <c r="R303" i="4"/>
  <c r="Q300" i="4"/>
  <c r="R300" i="4"/>
  <c r="R301" i="4"/>
  <c r="Q301" i="4"/>
  <c r="R298" i="4"/>
  <c r="Q298" i="4"/>
  <c r="P304" i="4"/>
  <c r="P307" i="4"/>
  <c r="P305" i="4"/>
  <c r="P302" i="4"/>
  <c r="Q302" i="4" l="1"/>
  <c r="R302" i="4"/>
  <c r="R305" i="4"/>
  <c r="Q305" i="4"/>
  <c r="R307" i="4"/>
  <c r="Q307" i="4"/>
  <c r="R304" i="4"/>
  <c r="Q304" i="4"/>
  <c r="P306" i="4"/>
  <c r="P309" i="4"/>
  <c r="P311" i="4"/>
  <c r="P308" i="4"/>
  <c r="B3" i="7" l="1"/>
  <c r="B33" i="7" s="1"/>
  <c r="Q308" i="4"/>
  <c r="R308" i="4"/>
  <c r="R311" i="4"/>
  <c r="Q311" i="4"/>
  <c r="R309" i="4"/>
  <c r="Q309" i="4"/>
  <c r="Q306" i="4"/>
  <c r="R306" i="4"/>
  <c r="P312" i="4"/>
  <c r="P315" i="4"/>
  <c r="P313" i="4"/>
  <c r="P310" i="4"/>
  <c r="I63" i="7" l="1"/>
  <c r="H63" i="7"/>
  <c r="C3" i="7"/>
  <c r="C33" i="7" s="1"/>
  <c r="C63" i="7" s="1"/>
  <c r="I28" i="7"/>
  <c r="I58" i="7" s="1"/>
  <c r="E3" i="7"/>
  <c r="E33" i="7" s="1"/>
  <c r="E63" i="7" s="1"/>
  <c r="D3" i="7"/>
  <c r="D33" i="7" s="1"/>
  <c r="D63" i="7" s="1"/>
  <c r="G3" i="7"/>
  <c r="G33" i="7" s="1"/>
  <c r="G63" i="7" s="1"/>
  <c r="F3" i="7"/>
  <c r="F33" i="7" s="1"/>
  <c r="F63" i="7" s="1"/>
  <c r="B2" i="9"/>
  <c r="R313" i="4"/>
  <c r="C3" i="11" s="1"/>
  <c r="C33" i="11" s="1"/>
  <c r="Q313" i="4"/>
  <c r="R310" i="4"/>
  <c r="Q310" i="4"/>
  <c r="R315" i="4"/>
  <c r="Q315" i="4"/>
  <c r="R312" i="4"/>
  <c r="C3" i="10" s="1"/>
  <c r="C33" i="10" s="1"/>
  <c r="Q312" i="4"/>
  <c r="P314" i="4"/>
  <c r="P317" i="4"/>
  <c r="P319" i="4"/>
  <c r="P316" i="4"/>
  <c r="J63" i="11" l="1"/>
  <c r="I63" i="11"/>
  <c r="J63" i="10"/>
  <c r="I63" i="10"/>
  <c r="E3" i="11"/>
  <c r="H3" i="11"/>
  <c r="B3" i="11"/>
  <c r="D3" i="11"/>
  <c r="G3" i="11"/>
  <c r="F3" i="11"/>
  <c r="F3" i="10"/>
  <c r="E3" i="10"/>
  <c r="D3" i="10"/>
  <c r="B3" i="10"/>
  <c r="H3" i="10"/>
  <c r="G3" i="10"/>
  <c r="F3" i="5"/>
  <c r="F33" i="5" s="1"/>
  <c r="E3" i="5"/>
  <c r="E33" i="5" s="1"/>
  <c r="G3" i="5"/>
  <c r="C3" i="5"/>
  <c r="D3" i="5"/>
  <c r="D33" i="5" s="1"/>
  <c r="B2" i="12"/>
  <c r="B33" i="10"/>
  <c r="B33" i="11"/>
  <c r="B2" i="8"/>
  <c r="B4" i="7"/>
  <c r="B34" i="7" s="1"/>
  <c r="R317" i="4"/>
  <c r="C4" i="11" s="1"/>
  <c r="Q317" i="4"/>
  <c r="R314" i="4"/>
  <c r="Q314" i="4"/>
  <c r="Q316" i="4"/>
  <c r="R316" i="4"/>
  <c r="C4" i="10" s="1"/>
  <c r="Q319" i="4"/>
  <c r="R319" i="4"/>
  <c r="B5" i="7" s="1"/>
  <c r="P320" i="4"/>
  <c r="P323" i="4"/>
  <c r="P321" i="4"/>
  <c r="P318" i="4"/>
  <c r="G33" i="10" l="1"/>
  <c r="G63" i="10" s="1"/>
  <c r="D33" i="11"/>
  <c r="D63" i="11" s="1"/>
  <c r="C34" i="11"/>
  <c r="H33" i="10"/>
  <c r="H63" i="10" s="1"/>
  <c r="B3" i="8"/>
  <c r="C34" i="10"/>
  <c r="B4" i="10"/>
  <c r="B34" i="10" s="1"/>
  <c r="E4" i="10"/>
  <c r="E34" i="10" s="1"/>
  <c r="E64" i="10" s="1"/>
  <c r="D4" i="10"/>
  <c r="D34" i="10" s="1"/>
  <c r="D64" i="10" s="1"/>
  <c r="H4" i="10"/>
  <c r="H34" i="10" s="1"/>
  <c r="H64" i="10" s="1"/>
  <c r="G4" i="10"/>
  <c r="G34" i="10" s="1"/>
  <c r="G64" i="10" s="1"/>
  <c r="F4" i="10"/>
  <c r="F34" i="10" s="1"/>
  <c r="F64" i="10" s="1"/>
  <c r="H33" i="11"/>
  <c r="H63" i="11" s="1"/>
  <c r="D33" i="10"/>
  <c r="D63" i="10" s="1"/>
  <c r="E33" i="11"/>
  <c r="E63" i="11" s="1"/>
  <c r="B4" i="11"/>
  <c r="B34" i="11" s="1"/>
  <c r="B64" i="11" s="1"/>
  <c r="F4" i="11"/>
  <c r="F34" i="11" s="1"/>
  <c r="F64" i="11" s="1"/>
  <c r="G4" i="11"/>
  <c r="G34" i="11" s="1"/>
  <c r="G64" i="11" s="1"/>
  <c r="H4" i="11"/>
  <c r="H34" i="11" s="1"/>
  <c r="H64" i="11" s="1"/>
  <c r="E4" i="11"/>
  <c r="E34" i="11" s="1"/>
  <c r="E64" i="11" s="1"/>
  <c r="D4" i="11"/>
  <c r="D34" i="11" s="1"/>
  <c r="D64" i="11" s="1"/>
  <c r="E33" i="10"/>
  <c r="E63" i="10" s="1"/>
  <c r="F33" i="10"/>
  <c r="F63" i="10" s="1"/>
  <c r="F33" i="11"/>
  <c r="F63" i="11" s="1"/>
  <c r="G33" i="11"/>
  <c r="G63" i="11" s="1"/>
  <c r="I64" i="7"/>
  <c r="H64" i="7"/>
  <c r="B35" i="7"/>
  <c r="B4" i="9" s="1"/>
  <c r="F5" i="7"/>
  <c r="F35" i="7" s="1"/>
  <c r="F65" i="7" s="1"/>
  <c r="E5" i="7"/>
  <c r="E35" i="7" s="1"/>
  <c r="E65" i="7" s="1"/>
  <c r="D5" i="7"/>
  <c r="D35" i="7" s="1"/>
  <c r="D65" i="7" s="1"/>
  <c r="C5" i="7"/>
  <c r="C35" i="7" s="1"/>
  <c r="G5" i="7"/>
  <c r="G35" i="7" s="1"/>
  <c r="C33" i="5"/>
  <c r="G33" i="5"/>
  <c r="B63" i="10"/>
  <c r="B63" i="11"/>
  <c r="B3" i="9"/>
  <c r="B64" i="10"/>
  <c r="R320" i="4"/>
  <c r="C5" i="10" s="1"/>
  <c r="Q320" i="4"/>
  <c r="R323" i="4"/>
  <c r="B6" i="7" s="1"/>
  <c r="Q323" i="4"/>
  <c r="Q318" i="4"/>
  <c r="R318" i="4"/>
  <c r="R321" i="4"/>
  <c r="C5" i="11" s="1"/>
  <c r="Q321" i="4"/>
  <c r="P322" i="4"/>
  <c r="P325" i="4"/>
  <c r="P327" i="4"/>
  <c r="P324" i="4"/>
  <c r="B5" i="10" l="1"/>
  <c r="B35" i="10" s="1"/>
  <c r="F5" i="10"/>
  <c r="E5" i="10"/>
  <c r="D5" i="10"/>
  <c r="D35" i="10" s="1"/>
  <c r="D65" i="10" s="1"/>
  <c r="H5" i="10"/>
  <c r="H35" i="10" s="1"/>
  <c r="H65" i="10" s="1"/>
  <c r="G5" i="10"/>
  <c r="G35" i="10" s="1"/>
  <c r="G65" i="10" s="1"/>
  <c r="B4" i="8"/>
  <c r="C35" i="10"/>
  <c r="I64" i="11"/>
  <c r="J64" i="11"/>
  <c r="B5" i="11"/>
  <c r="B35" i="11" s="1"/>
  <c r="E5" i="11"/>
  <c r="E35" i="11" s="1"/>
  <c r="E65" i="11" s="1"/>
  <c r="D5" i="11"/>
  <c r="D35" i="11" s="1"/>
  <c r="H5" i="11"/>
  <c r="H35" i="11" s="1"/>
  <c r="H65" i="11" s="1"/>
  <c r="G5" i="11"/>
  <c r="G35" i="11" s="1"/>
  <c r="G65" i="11" s="1"/>
  <c r="F5" i="11"/>
  <c r="F35" i="11" s="1"/>
  <c r="G65" i="7"/>
  <c r="B3" i="12"/>
  <c r="B4" i="12"/>
  <c r="C35" i="11"/>
  <c r="C65" i="7"/>
  <c r="J64" i="10"/>
  <c r="I64" i="10"/>
  <c r="B5" i="9"/>
  <c r="B36" i="7"/>
  <c r="I65" i="7"/>
  <c r="H65" i="7"/>
  <c r="F6" i="7"/>
  <c r="F36" i="7" s="1"/>
  <c r="F66" i="7" s="1"/>
  <c r="D6" i="7"/>
  <c r="D36" i="7" s="1"/>
  <c r="D66" i="7" s="1"/>
  <c r="C6" i="7"/>
  <c r="C36" i="7" s="1"/>
  <c r="C66" i="7" s="1"/>
  <c r="E6" i="7"/>
  <c r="E36" i="7" s="1"/>
  <c r="E66" i="7" s="1"/>
  <c r="G6" i="7"/>
  <c r="G36" i="7" s="1"/>
  <c r="G66" i="7" s="1"/>
  <c r="G5" i="5"/>
  <c r="G35" i="5" s="1"/>
  <c r="C5" i="5"/>
  <c r="C35" i="5" s="1"/>
  <c r="E5" i="5"/>
  <c r="E35" i="5" s="1"/>
  <c r="F5" i="5"/>
  <c r="F35" i="5" s="1"/>
  <c r="D5" i="5"/>
  <c r="D35" i="5" s="1"/>
  <c r="B65" i="10"/>
  <c r="B65" i="11"/>
  <c r="R325" i="4"/>
  <c r="C6" i="11" s="1"/>
  <c r="Q325" i="4"/>
  <c r="Q322" i="4"/>
  <c r="R322" i="4"/>
  <c r="Q327" i="4"/>
  <c r="R327" i="4"/>
  <c r="Q324" i="4"/>
  <c r="R324" i="4"/>
  <c r="C6" i="10" s="1"/>
  <c r="P328" i="4"/>
  <c r="P331" i="4"/>
  <c r="P329" i="4"/>
  <c r="P326" i="4"/>
  <c r="C36" i="10" l="1"/>
  <c r="B6" i="10"/>
  <c r="B36" i="10" s="1"/>
  <c r="E6" i="10"/>
  <c r="E36" i="10" s="1"/>
  <c r="E66" i="10" s="1"/>
  <c r="D6" i="10"/>
  <c r="H6" i="10"/>
  <c r="H36" i="10" s="1"/>
  <c r="H66" i="10" s="1"/>
  <c r="G6" i="10"/>
  <c r="F6" i="10"/>
  <c r="F36" i="10" s="1"/>
  <c r="F66" i="10" s="1"/>
  <c r="I65" i="11"/>
  <c r="J65" i="11"/>
  <c r="D65" i="11"/>
  <c r="E35" i="10"/>
  <c r="E65" i="10" s="1"/>
  <c r="F35" i="10"/>
  <c r="F65" i="10" s="1"/>
  <c r="C36" i="11"/>
  <c r="B6" i="11"/>
  <c r="B36" i="11" s="1"/>
  <c r="D6" i="11"/>
  <c r="D36" i="11" s="1"/>
  <c r="D66" i="11" s="1"/>
  <c r="H6" i="11"/>
  <c r="H36" i="11" s="1"/>
  <c r="H66" i="11" s="1"/>
  <c r="G6" i="11"/>
  <c r="F6" i="11"/>
  <c r="F36" i="11" s="1"/>
  <c r="F66" i="11" s="1"/>
  <c r="E6" i="11"/>
  <c r="E36" i="11" s="1"/>
  <c r="E66" i="11" s="1"/>
  <c r="F65" i="11"/>
  <c r="I65" i="10"/>
  <c r="J65" i="10"/>
  <c r="I66" i="7"/>
  <c r="H66" i="7"/>
  <c r="D6" i="5"/>
  <c r="D36" i="5" s="1"/>
  <c r="G6" i="5"/>
  <c r="G36" i="5" s="1"/>
  <c r="E6" i="5"/>
  <c r="E36" i="5" s="1"/>
  <c r="C6" i="5"/>
  <c r="C36" i="5" s="1"/>
  <c r="F6" i="5"/>
  <c r="F36" i="5" s="1"/>
  <c r="B66" i="10"/>
  <c r="B66" i="11"/>
  <c r="R326" i="4"/>
  <c r="Q326" i="4"/>
  <c r="R331" i="4"/>
  <c r="Q331" i="4"/>
  <c r="R329" i="4"/>
  <c r="Q329" i="4"/>
  <c r="R328" i="4"/>
  <c r="Q328" i="4"/>
  <c r="P330" i="4"/>
  <c r="P333" i="4"/>
  <c r="P335" i="4"/>
  <c r="P332" i="4"/>
  <c r="G36" i="10" l="1"/>
  <c r="G66" i="10" s="1"/>
  <c r="D36" i="10"/>
  <c r="D66" i="10" s="1"/>
  <c r="J66" i="11"/>
  <c r="I66" i="11"/>
  <c r="J66" i="10"/>
  <c r="I66" i="10"/>
  <c r="G36" i="11"/>
  <c r="G66" i="11" s="1"/>
  <c r="B5" i="12"/>
  <c r="B5" i="8"/>
  <c r="R330" i="4"/>
  <c r="Q330" i="4"/>
  <c r="Q332" i="4"/>
  <c r="R332" i="4"/>
  <c r="R335" i="4"/>
  <c r="B9" i="7" s="1"/>
  <c r="Q335" i="4"/>
  <c r="R333" i="4"/>
  <c r="Q333" i="4"/>
  <c r="P336" i="4"/>
  <c r="P339" i="4"/>
  <c r="P337" i="4"/>
  <c r="P334" i="4"/>
  <c r="B39" i="7" l="1"/>
  <c r="G9" i="7"/>
  <c r="G39" i="7" s="1"/>
  <c r="G69" i="7" s="1"/>
  <c r="D9" i="7"/>
  <c r="D39" i="7" s="1"/>
  <c r="D69" i="7" s="1"/>
  <c r="C9" i="7"/>
  <c r="C39" i="7" s="1"/>
  <c r="C69" i="7" s="1"/>
  <c r="E9" i="7"/>
  <c r="E39" i="7" s="1"/>
  <c r="E69" i="7" s="1"/>
  <c r="F9" i="7"/>
  <c r="F39" i="7" s="1"/>
  <c r="F69" i="7" s="1"/>
  <c r="R334" i="4"/>
  <c r="B9" i="5" s="1"/>
  <c r="B39" i="5" s="1"/>
  <c r="Q334" i="4"/>
  <c r="R337" i="4"/>
  <c r="C9" i="11" s="1"/>
  <c r="Q337" i="4"/>
  <c r="R339" i="4"/>
  <c r="Q339" i="4"/>
  <c r="R336" i="4"/>
  <c r="C9" i="10" s="1"/>
  <c r="Q336" i="4"/>
  <c r="P338" i="4"/>
  <c r="P343" i="4"/>
  <c r="P341" i="4"/>
  <c r="P340" i="4"/>
  <c r="B10" i="7" s="1"/>
  <c r="B9" i="11" l="1"/>
  <c r="B39" i="11" s="1"/>
  <c r="F9" i="11"/>
  <c r="F39" i="11" s="1"/>
  <c r="F69" i="11" s="1"/>
  <c r="H9" i="11"/>
  <c r="H39" i="11" s="1"/>
  <c r="E9" i="11"/>
  <c r="E39" i="11" s="1"/>
  <c r="D9" i="11"/>
  <c r="D39" i="11" s="1"/>
  <c r="G9" i="11"/>
  <c r="G39" i="11" s="1"/>
  <c r="G69" i="11" s="1"/>
  <c r="G9" i="10"/>
  <c r="G39" i="10" s="1"/>
  <c r="G69" i="10" s="1"/>
  <c r="F9" i="10"/>
  <c r="F39" i="10" s="1"/>
  <c r="F69" i="10" s="1"/>
  <c r="E9" i="10"/>
  <c r="E39" i="10" s="1"/>
  <c r="E69" i="10" s="1"/>
  <c r="D9" i="10"/>
  <c r="D39" i="10" s="1"/>
  <c r="D69" i="10" s="1"/>
  <c r="H9" i="10"/>
  <c r="H39" i="10" s="1"/>
  <c r="H69" i="10" s="1"/>
  <c r="B9" i="10"/>
  <c r="B39" i="10" s="1"/>
  <c r="B69" i="10" s="1"/>
  <c r="C39" i="10"/>
  <c r="C39" i="11"/>
  <c r="I69" i="7"/>
  <c r="H69" i="7"/>
  <c r="B9" i="9"/>
  <c r="B40" i="7"/>
  <c r="B8" i="9"/>
  <c r="I69" i="5"/>
  <c r="H69" i="5"/>
  <c r="F9" i="5"/>
  <c r="F39" i="5" s="1"/>
  <c r="F69" i="5" s="1"/>
  <c r="E9" i="5"/>
  <c r="E39" i="5" s="1"/>
  <c r="E69" i="5" s="1"/>
  <c r="D9" i="5"/>
  <c r="D39" i="5" s="1"/>
  <c r="D69" i="5" s="1"/>
  <c r="G9" i="5"/>
  <c r="G39" i="5" s="1"/>
  <c r="G69" i="5" s="1"/>
  <c r="C9" i="5"/>
  <c r="C39" i="5" s="1"/>
  <c r="C69" i="5" s="1"/>
  <c r="Q340" i="4"/>
  <c r="R340" i="4"/>
  <c r="C10" i="10" s="1"/>
  <c r="R341" i="4"/>
  <c r="C10" i="11" s="1"/>
  <c r="Q341" i="4"/>
  <c r="R343" i="4"/>
  <c r="Q343" i="4"/>
  <c r="Q338" i="4"/>
  <c r="R338" i="4"/>
  <c r="P344" i="4"/>
  <c r="P345" i="4"/>
  <c r="P347" i="4"/>
  <c r="P342" i="4"/>
  <c r="C40" i="10" l="1"/>
  <c r="C40" i="11"/>
  <c r="I69" i="11"/>
  <c r="J69" i="11"/>
  <c r="B10" i="10"/>
  <c r="B40" i="10" s="1"/>
  <c r="B70" i="10" s="1"/>
  <c r="E10" i="10"/>
  <c r="E40" i="10" s="1"/>
  <c r="E70" i="10" s="1"/>
  <c r="H10" i="10"/>
  <c r="H40" i="10" s="1"/>
  <c r="H70" i="10" s="1"/>
  <c r="G10" i="10"/>
  <c r="G40" i="10" s="1"/>
  <c r="G70" i="10" s="1"/>
  <c r="D10" i="10"/>
  <c r="D40" i="10" s="1"/>
  <c r="D70" i="10" s="1"/>
  <c r="F10" i="10"/>
  <c r="F40" i="10" s="1"/>
  <c r="F70" i="10" s="1"/>
  <c r="B8" i="12"/>
  <c r="I69" i="10"/>
  <c r="J69" i="10"/>
  <c r="B69" i="11"/>
  <c r="B8" i="8"/>
  <c r="D69" i="11"/>
  <c r="E69" i="11"/>
  <c r="H69" i="11"/>
  <c r="B10" i="11"/>
  <c r="B40" i="11" s="1"/>
  <c r="D10" i="11"/>
  <c r="D40" i="11" s="1"/>
  <c r="D70" i="11" s="1"/>
  <c r="G10" i="11"/>
  <c r="G40" i="11" s="1"/>
  <c r="G70" i="11" s="1"/>
  <c r="F10" i="11"/>
  <c r="F40" i="11" s="1"/>
  <c r="F70" i="11" s="1"/>
  <c r="E10" i="11"/>
  <c r="E40" i="11" s="1"/>
  <c r="E70" i="11" s="1"/>
  <c r="H10" i="11"/>
  <c r="H40" i="11" s="1"/>
  <c r="H70" i="11" s="1"/>
  <c r="I70" i="7"/>
  <c r="H70" i="7"/>
  <c r="B70" i="11"/>
  <c r="B8" i="6"/>
  <c r="R344" i="4"/>
  <c r="Q344" i="4"/>
  <c r="R342" i="4"/>
  <c r="Q342" i="4"/>
  <c r="R347" i="4"/>
  <c r="Q347" i="4"/>
  <c r="R345" i="4"/>
  <c r="Q345" i="4"/>
  <c r="P351" i="4"/>
  <c r="P346" i="4"/>
  <c r="P349" i="4"/>
  <c r="P348" i="4"/>
  <c r="I70" i="11" l="1"/>
  <c r="J70" i="11"/>
  <c r="B9" i="12"/>
  <c r="I70" i="10"/>
  <c r="J70" i="10"/>
  <c r="B9" i="8"/>
  <c r="Q348" i="4"/>
  <c r="R348" i="4"/>
  <c r="R349" i="4"/>
  <c r="Q349" i="4"/>
  <c r="Q346" i="4"/>
  <c r="R346" i="4"/>
  <c r="Q351" i="4"/>
  <c r="R351" i="4"/>
  <c r="B13" i="7" s="1"/>
  <c r="P352" i="4"/>
  <c r="P353" i="4"/>
  <c r="P350" i="4"/>
  <c r="P355" i="4"/>
  <c r="B43" i="7" l="1"/>
  <c r="F13" i="7"/>
  <c r="F43" i="7" s="1"/>
  <c r="F73" i="7" s="1"/>
  <c r="E13" i="7"/>
  <c r="E43" i="7" s="1"/>
  <c r="E73" i="7" s="1"/>
  <c r="C13" i="7"/>
  <c r="C43" i="7" s="1"/>
  <c r="C73" i="7" s="1"/>
  <c r="D13" i="7"/>
  <c r="D43" i="7" s="1"/>
  <c r="D73" i="7" s="1"/>
  <c r="G13" i="7"/>
  <c r="G43" i="7" s="1"/>
  <c r="G73" i="7" s="1"/>
  <c r="R355" i="4"/>
  <c r="Q355" i="4"/>
  <c r="Q350" i="4"/>
  <c r="R350" i="4"/>
  <c r="B13" i="5" s="1"/>
  <c r="B43" i="5" s="1"/>
  <c r="R353" i="4"/>
  <c r="C13" i="11" s="1"/>
  <c r="Q353" i="4"/>
  <c r="R352" i="4"/>
  <c r="C13" i="10" s="1"/>
  <c r="Q352" i="4"/>
  <c r="P359" i="4"/>
  <c r="P357" i="4"/>
  <c r="P354" i="4"/>
  <c r="P356" i="4"/>
  <c r="B14" i="7" s="1"/>
  <c r="C43" i="10" l="1"/>
  <c r="C43" i="11"/>
  <c r="B13" i="10"/>
  <c r="B43" i="10" s="1"/>
  <c r="F13" i="10"/>
  <c r="F43" i="10" s="1"/>
  <c r="F73" i="10" s="1"/>
  <c r="E13" i="10"/>
  <c r="E43" i="10" s="1"/>
  <c r="E73" i="10" s="1"/>
  <c r="D13" i="10"/>
  <c r="D43" i="10" s="1"/>
  <c r="D73" i="10" s="1"/>
  <c r="H13" i="10"/>
  <c r="H43" i="10" s="1"/>
  <c r="H73" i="10" s="1"/>
  <c r="G13" i="10"/>
  <c r="G43" i="10" s="1"/>
  <c r="G73" i="10" s="1"/>
  <c r="B13" i="11"/>
  <c r="B43" i="11" s="1"/>
  <c r="H13" i="11"/>
  <c r="H43" i="11" s="1"/>
  <c r="H73" i="11" s="1"/>
  <c r="G13" i="11"/>
  <c r="G43" i="11" s="1"/>
  <c r="G73" i="11" s="1"/>
  <c r="F13" i="11"/>
  <c r="F43" i="11" s="1"/>
  <c r="F73" i="11" s="1"/>
  <c r="E13" i="11"/>
  <c r="E43" i="11" s="1"/>
  <c r="E73" i="11" s="1"/>
  <c r="D13" i="11"/>
  <c r="D43" i="11" s="1"/>
  <c r="D73" i="11" s="1"/>
  <c r="I73" i="7"/>
  <c r="H73" i="7"/>
  <c r="B44" i="7"/>
  <c r="B13" i="9" s="1"/>
  <c r="B12" i="9"/>
  <c r="I73" i="5"/>
  <c r="H73" i="5"/>
  <c r="D14" i="7"/>
  <c r="D44" i="7" s="1"/>
  <c r="D74" i="7" s="1"/>
  <c r="E14" i="7"/>
  <c r="E44" i="7" s="1"/>
  <c r="E74" i="7" s="1"/>
  <c r="G14" i="7"/>
  <c r="G44" i="7" s="1"/>
  <c r="G74" i="7" s="1"/>
  <c r="F14" i="7"/>
  <c r="F44" i="7" s="1"/>
  <c r="F74" i="7" s="1"/>
  <c r="C14" i="7"/>
  <c r="C44" i="7" s="1"/>
  <c r="C74" i="7" s="1"/>
  <c r="D13" i="5"/>
  <c r="D43" i="5" s="1"/>
  <c r="D73" i="5" s="1"/>
  <c r="G13" i="5"/>
  <c r="G43" i="5" s="1"/>
  <c r="G73" i="5" s="1"/>
  <c r="C13" i="5"/>
  <c r="C43" i="5" s="1"/>
  <c r="C73" i="5" s="1"/>
  <c r="F13" i="5"/>
  <c r="F43" i="5" s="1"/>
  <c r="F73" i="5" s="1"/>
  <c r="E13" i="5"/>
  <c r="E43" i="5" s="1"/>
  <c r="E73" i="5" s="1"/>
  <c r="B73" i="11"/>
  <c r="B73" i="10"/>
  <c r="Q356" i="4"/>
  <c r="R356" i="4"/>
  <c r="C14" i="10" s="1"/>
  <c r="Q354" i="4"/>
  <c r="R354" i="4"/>
  <c r="R357" i="4"/>
  <c r="C14" i="11" s="1"/>
  <c r="Q357" i="4"/>
  <c r="R359" i="4"/>
  <c r="Q359" i="4"/>
  <c r="P360" i="4"/>
  <c r="P358" i="4"/>
  <c r="P361" i="4"/>
  <c r="P363" i="4"/>
  <c r="B14" i="11" l="1"/>
  <c r="B44" i="11" s="1"/>
  <c r="E14" i="11"/>
  <c r="E44" i="11" s="1"/>
  <c r="E74" i="11" s="1"/>
  <c r="G14" i="11"/>
  <c r="G44" i="11" s="1"/>
  <c r="G74" i="11" s="1"/>
  <c r="F14" i="11"/>
  <c r="F44" i="11" s="1"/>
  <c r="F74" i="11" s="1"/>
  <c r="D14" i="11"/>
  <c r="D44" i="11" s="1"/>
  <c r="D74" i="11" s="1"/>
  <c r="H14" i="11"/>
  <c r="H44" i="11" s="1"/>
  <c r="H74" i="11" s="1"/>
  <c r="B13" i="12"/>
  <c r="C44" i="11"/>
  <c r="B15" i="7"/>
  <c r="B45" i="7" s="1"/>
  <c r="B14" i="10"/>
  <c r="B44" i="10" s="1"/>
  <c r="D14" i="10"/>
  <c r="D44" i="10" s="1"/>
  <c r="D74" i="10" s="1"/>
  <c r="H14" i="10"/>
  <c r="H44" i="10" s="1"/>
  <c r="H74" i="10" s="1"/>
  <c r="G14" i="10"/>
  <c r="G44" i="10" s="1"/>
  <c r="G74" i="10" s="1"/>
  <c r="F14" i="10"/>
  <c r="F44" i="10" s="1"/>
  <c r="F74" i="10" s="1"/>
  <c r="E14" i="10"/>
  <c r="E44" i="10" s="1"/>
  <c r="J73" i="11"/>
  <c r="I73" i="11"/>
  <c r="C44" i="10"/>
  <c r="B13" i="8" s="1"/>
  <c r="B12" i="12"/>
  <c r="J73" i="10"/>
  <c r="I73" i="10"/>
  <c r="B12" i="8"/>
  <c r="I74" i="7"/>
  <c r="H74" i="7"/>
  <c r="F15" i="7"/>
  <c r="F45" i="7" s="1"/>
  <c r="D15" i="7"/>
  <c r="D45" i="7" s="1"/>
  <c r="C15" i="7"/>
  <c r="C45" i="7" s="1"/>
  <c r="E15" i="7"/>
  <c r="E45" i="7" s="1"/>
  <c r="G15" i="7"/>
  <c r="G45" i="7" s="1"/>
  <c r="D14" i="5"/>
  <c r="D44" i="5" s="1"/>
  <c r="G14" i="5"/>
  <c r="G44" i="5" s="1"/>
  <c r="E14" i="5"/>
  <c r="E44" i="5" s="1"/>
  <c r="F14" i="5"/>
  <c r="F44" i="5" s="1"/>
  <c r="C14" i="5"/>
  <c r="C44" i="5" s="1"/>
  <c r="B74" i="10"/>
  <c r="C15" i="11"/>
  <c r="B74" i="11"/>
  <c r="B12" i="6"/>
  <c r="R363" i="4"/>
  <c r="Q363" i="4"/>
  <c r="R361" i="4"/>
  <c r="Q361" i="4"/>
  <c r="R360" i="4"/>
  <c r="C15" i="10" s="1"/>
  <c r="Q360" i="4"/>
  <c r="R358" i="4"/>
  <c r="Q358" i="4"/>
  <c r="P367" i="4"/>
  <c r="P365" i="4"/>
  <c r="P362" i="4"/>
  <c r="P364" i="4"/>
  <c r="B15" i="11" l="1"/>
  <c r="B45" i="11" s="1"/>
  <c r="E15" i="11"/>
  <c r="E45" i="11" s="1"/>
  <c r="H15" i="11"/>
  <c r="H45" i="11" s="1"/>
  <c r="G15" i="11"/>
  <c r="G45" i="11" s="1"/>
  <c r="D15" i="11"/>
  <c r="D45" i="11" s="1"/>
  <c r="F15" i="11"/>
  <c r="F45" i="11" s="1"/>
  <c r="I74" i="11"/>
  <c r="J74" i="11"/>
  <c r="B15" i="10"/>
  <c r="B45" i="10" s="1"/>
  <c r="H15" i="10"/>
  <c r="H45" i="10" s="1"/>
  <c r="H75" i="10" s="1"/>
  <c r="G15" i="10"/>
  <c r="G45" i="10" s="1"/>
  <c r="G75" i="10" s="1"/>
  <c r="F15" i="10"/>
  <c r="F45" i="10" s="1"/>
  <c r="F75" i="10" s="1"/>
  <c r="E15" i="10"/>
  <c r="E45" i="10" s="1"/>
  <c r="D15" i="10"/>
  <c r="D45" i="10" s="1"/>
  <c r="D75" i="10" s="1"/>
  <c r="G75" i="7"/>
  <c r="E74" i="10"/>
  <c r="E75" i="7"/>
  <c r="C45" i="10"/>
  <c r="C75" i="7"/>
  <c r="C45" i="11"/>
  <c r="F75" i="7"/>
  <c r="J74" i="10"/>
  <c r="I74" i="10"/>
  <c r="D75" i="7"/>
  <c r="I75" i="7"/>
  <c r="H75" i="7"/>
  <c r="B14" i="9"/>
  <c r="D15" i="5"/>
  <c r="D45" i="5" s="1"/>
  <c r="C15" i="5"/>
  <c r="C45" i="5" s="1"/>
  <c r="F15" i="5"/>
  <c r="F45" i="5" s="1"/>
  <c r="E15" i="5"/>
  <c r="E45" i="5" s="1"/>
  <c r="G15" i="5"/>
  <c r="G45" i="5" s="1"/>
  <c r="B75" i="11"/>
  <c r="B75" i="10"/>
  <c r="Q364" i="4"/>
  <c r="R364" i="4"/>
  <c r="R362" i="4"/>
  <c r="Q362" i="4"/>
  <c r="R365" i="4"/>
  <c r="Q365" i="4"/>
  <c r="Q367" i="4"/>
  <c r="R367" i="4"/>
  <c r="P368" i="4"/>
  <c r="P366" i="4"/>
  <c r="P369" i="4"/>
  <c r="P371" i="4"/>
  <c r="I75" i="10" l="1"/>
  <c r="J75" i="10"/>
  <c r="F75" i="11"/>
  <c r="J75" i="11"/>
  <c r="I75" i="11"/>
  <c r="B14" i="12"/>
  <c r="E75" i="10"/>
  <c r="D75" i="11"/>
  <c r="G75" i="11"/>
  <c r="H75" i="11"/>
  <c r="E75" i="11"/>
  <c r="B14" i="8"/>
  <c r="B18" i="7"/>
  <c r="R371" i="4"/>
  <c r="Q371" i="4"/>
  <c r="R369" i="4"/>
  <c r="Q369" i="4"/>
  <c r="Q366" i="4"/>
  <c r="R366" i="4"/>
  <c r="R368" i="4"/>
  <c r="Q368" i="4"/>
  <c r="P375" i="4"/>
  <c r="P373" i="4"/>
  <c r="P370" i="4"/>
  <c r="P372" i="4"/>
  <c r="B48" i="7" l="1"/>
  <c r="C18" i="7"/>
  <c r="C48" i="7" s="1"/>
  <c r="C78" i="7" s="1"/>
  <c r="D18" i="7"/>
  <c r="D48" i="7" s="1"/>
  <c r="D78" i="7" s="1"/>
  <c r="G18" i="7"/>
  <c r="G48" i="7" s="1"/>
  <c r="G78" i="7" s="1"/>
  <c r="F18" i="7"/>
  <c r="F48" i="7" s="1"/>
  <c r="F78" i="7" s="1"/>
  <c r="E18" i="7"/>
  <c r="E48" i="7" s="1"/>
  <c r="E78" i="7" s="1"/>
  <c r="Q372" i="4"/>
  <c r="R372" i="4"/>
  <c r="C18" i="10" s="1"/>
  <c r="Q370" i="4"/>
  <c r="R370" i="4"/>
  <c r="B18" i="5" s="1"/>
  <c r="B48" i="5" s="1"/>
  <c r="R373" i="4"/>
  <c r="C18" i="11" s="1"/>
  <c r="Q373" i="4"/>
  <c r="R375" i="4"/>
  <c r="Q375" i="4"/>
  <c r="P376" i="4"/>
  <c r="P374" i="4"/>
  <c r="P377" i="4"/>
  <c r="P379" i="4"/>
  <c r="C48" i="10" l="1"/>
  <c r="C48" i="11"/>
  <c r="B18" i="10"/>
  <c r="B48" i="10" s="1"/>
  <c r="E18" i="10"/>
  <c r="E48" i="10" s="1"/>
  <c r="E78" i="10" s="1"/>
  <c r="D18" i="10"/>
  <c r="D48" i="10" s="1"/>
  <c r="D78" i="10" s="1"/>
  <c r="H18" i="10"/>
  <c r="H48" i="10" s="1"/>
  <c r="H78" i="10" s="1"/>
  <c r="G18" i="10"/>
  <c r="G48" i="10" s="1"/>
  <c r="G78" i="10" s="1"/>
  <c r="F18" i="10"/>
  <c r="F48" i="10" s="1"/>
  <c r="F78" i="10" s="1"/>
  <c r="B18" i="11"/>
  <c r="B48" i="11" s="1"/>
  <c r="G18" i="11"/>
  <c r="G48" i="11" s="1"/>
  <c r="G78" i="11" s="1"/>
  <c r="F18" i="11"/>
  <c r="F48" i="11" s="1"/>
  <c r="F78" i="11" s="1"/>
  <c r="H18" i="11"/>
  <c r="H48" i="11" s="1"/>
  <c r="H78" i="11" s="1"/>
  <c r="D18" i="11"/>
  <c r="D48" i="11" s="1"/>
  <c r="D78" i="11" s="1"/>
  <c r="E18" i="11"/>
  <c r="E48" i="11" s="1"/>
  <c r="E78" i="11" s="1"/>
  <c r="I78" i="7"/>
  <c r="H78" i="7"/>
  <c r="B17" i="9"/>
  <c r="E18" i="5"/>
  <c r="E48" i="5" s="1"/>
  <c r="E78" i="5" s="1"/>
  <c r="D18" i="5"/>
  <c r="D48" i="5" s="1"/>
  <c r="D78" i="5" s="1"/>
  <c r="F18" i="5"/>
  <c r="F48" i="5" s="1"/>
  <c r="F78" i="5" s="1"/>
  <c r="C18" i="5"/>
  <c r="C48" i="5" s="1"/>
  <c r="C78" i="5" s="1"/>
  <c r="G18" i="5"/>
  <c r="G48" i="5" s="1"/>
  <c r="G78" i="5" s="1"/>
  <c r="G19" i="7"/>
  <c r="G49" i="7" s="1"/>
  <c r="C19" i="7"/>
  <c r="C49" i="7" s="1"/>
  <c r="F19" i="7"/>
  <c r="F49" i="7" s="1"/>
  <c r="E19" i="7"/>
  <c r="E49" i="7" s="1"/>
  <c r="D19" i="7"/>
  <c r="D49" i="7" s="1"/>
  <c r="H78" i="5"/>
  <c r="I78" i="5"/>
  <c r="B19" i="7"/>
  <c r="B78" i="11"/>
  <c r="B78" i="10"/>
  <c r="R379" i="4"/>
  <c r="B20" i="7" s="1"/>
  <c r="Q379" i="4"/>
  <c r="R377" i="4"/>
  <c r="C19" i="11" s="1"/>
  <c r="Q377" i="4"/>
  <c r="R374" i="4"/>
  <c r="B19" i="5" s="1"/>
  <c r="B49" i="5" s="1"/>
  <c r="Q374" i="4"/>
  <c r="R376" i="4"/>
  <c r="C19" i="10" s="1"/>
  <c r="Q376" i="4"/>
  <c r="P381" i="4"/>
  <c r="P383" i="4"/>
  <c r="P378" i="4"/>
  <c r="P380" i="4"/>
  <c r="B19" i="11" l="1"/>
  <c r="B49" i="11" s="1"/>
  <c r="H19" i="11"/>
  <c r="H49" i="11" s="1"/>
  <c r="H79" i="11" s="1"/>
  <c r="G19" i="11"/>
  <c r="G49" i="11" s="1"/>
  <c r="G79" i="11" s="1"/>
  <c r="F19" i="11"/>
  <c r="F49" i="11" s="1"/>
  <c r="F79" i="11" s="1"/>
  <c r="E19" i="11"/>
  <c r="E49" i="11" s="1"/>
  <c r="E79" i="11" s="1"/>
  <c r="D19" i="11"/>
  <c r="D49" i="11" s="1"/>
  <c r="D79" i="11" s="1"/>
  <c r="B18" i="12"/>
  <c r="C49" i="11"/>
  <c r="I78" i="11"/>
  <c r="J78" i="11"/>
  <c r="H19" i="10"/>
  <c r="H49" i="10" s="1"/>
  <c r="H79" i="10" s="1"/>
  <c r="G19" i="10"/>
  <c r="G49" i="10" s="1"/>
  <c r="G79" i="10" s="1"/>
  <c r="F19" i="10"/>
  <c r="F49" i="10" s="1"/>
  <c r="F79" i="10" s="1"/>
  <c r="E19" i="10"/>
  <c r="E49" i="10" s="1"/>
  <c r="D19" i="10"/>
  <c r="D49" i="10" s="1"/>
  <c r="B19" i="10"/>
  <c r="B49" i="10" s="1"/>
  <c r="B17" i="12"/>
  <c r="C49" i="10"/>
  <c r="I78" i="10"/>
  <c r="J78" i="10"/>
  <c r="B17" i="8"/>
  <c r="B18" i="9"/>
  <c r="B49" i="7"/>
  <c r="D79" i="7" s="1"/>
  <c r="F79" i="7"/>
  <c r="B50" i="7"/>
  <c r="C79" i="7"/>
  <c r="G79" i="7"/>
  <c r="G20" i="7"/>
  <c r="G50" i="7" s="1"/>
  <c r="G80" i="7" s="1"/>
  <c r="D20" i="7"/>
  <c r="D50" i="7" s="1"/>
  <c r="C20" i="7"/>
  <c r="C50" i="7" s="1"/>
  <c r="E20" i="7"/>
  <c r="E50" i="7" s="1"/>
  <c r="F20" i="7"/>
  <c r="F50" i="7" s="1"/>
  <c r="F80" i="7" s="1"/>
  <c r="F19" i="5"/>
  <c r="F49" i="5" s="1"/>
  <c r="F79" i="5" s="1"/>
  <c r="G19" i="5"/>
  <c r="G49" i="5" s="1"/>
  <c r="G79" i="5" s="1"/>
  <c r="E19" i="5"/>
  <c r="E49" i="5" s="1"/>
  <c r="E79" i="5" s="1"/>
  <c r="C19" i="5"/>
  <c r="C49" i="5" s="1"/>
  <c r="C79" i="5" s="1"/>
  <c r="D19" i="5"/>
  <c r="D49" i="5" s="1"/>
  <c r="D79" i="5" s="1"/>
  <c r="I79" i="5"/>
  <c r="H79" i="5"/>
  <c r="B79" i="11"/>
  <c r="B79" i="10"/>
  <c r="B17" i="6"/>
  <c r="R378" i="4"/>
  <c r="Q378" i="4"/>
  <c r="Q380" i="4"/>
  <c r="R380" i="4"/>
  <c r="C20" i="10" s="1"/>
  <c r="Q383" i="4"/>
  <c r="R383" i="4"/>
  <c r="R381" i="4"/>
  <c r="C20" i="11" s="1"/>
  <c r="Q381" i="4"/>
  <c r="P384" i="4"/>
  <c r="P382" i="4"/>
  <c r="P387" i="4"/>
  <c r="P385" i="4"/>
  <c r="I79" i="10" l="1"/>
  <c r="J79" i="10"/>
  <c r="C50" i="10"/>
  <c r="C80" i="7"/>
  <c r="J79" i="11"/>
  <c r="I79" i="11"/>
  <c r="B20" i="10"/>
  <c r="B50" i="10" s="1"/>
  <c r="E20" i="10"/>
  <c r="E50" i="10" s="1"/>
  <c r="E80" i="10" s="1"/>
  <c r="D20" i="10"/>
  <c r="D50" i="10" s="1"/>
  <c r="D80" i="10" s="1"/>
  <c r="H20" i="10"/>
  <c r="H50" i="10" s="1"/>
  <c r="H80" i="10" s="1"/>
  <c r="G20" i="10"/>
  <c r="G50" i="10" s="1"/>
  <c r="G80" i="10" s="1"/>
  <c r="F20" i="10"/>
  <c r="F50" i="10" s="1"/>
  <c r="F80" i="10" s="1"/>
  <c r="D80" i="7"/>
  <c r="D79" i="10"/>
  <c r="E79" i="10"/>
  <c r="B20" i="11"/>
  <c r="B50" i="11" s="1"/>
  <c r="F20" i="11"/>
  <c r="F50" i="11" s="1"/>
  <c r="F80" i="11" s="1"/>
  <c r="E20" i="11"/>
  <c r="E50" i="11" s="1"/>
  <c r="E80" i="11" s="1"/>
  <c r="G20" i="11"/>
  <c r="G50" i="11" s="1"/>
  <c r="G80" i="11" s="1"/>
  <c r="H20" i="11"/>
  <c r="H50" i="11" s="1"/>
  <c r="H80" i="11" s="1"/>
  <c r="D20" i="11"/>
  <c r="D50" i="11" s="1"/>
  <c r="B18" i="8"/>
  <c r="C50" i="11"/>
  <c r="E80" i="7"/>
  <c r="E79" i="7"/>
  <c r="I80" i="7"/>
  <c r="H80" i="7"/>
  <c r="B19" i="9"/>
  <c r="I79" i="7"/>
  <c r="H79" i="7"/>
  <c r="F21" i="7"/>
  <c r="F51" i="7" s="1"/>
  <c r="F81" i="7" s="1"/>
  <c r="E21" i="7"/>
  <c r="E51" i="7" s="1"/>
  <c r="E81" i="7" s="1"/>
  <c r="D21" i="7"/>
  <c r="D51" i="7" s="1"/>
  <c r="D81" i="7" s="1"/>
  <c r="C21" i="7"/>
  <c r="C51" i="7" s="1"/>
  <c r="C81" i="7" s="1"/>
  <c r="G21" i="7"/>
  <c r="G51" i="7" s="1"/>
  <c r="G81" i="7" s="1"/>
  <c r="E20" i="5"/>
  <c r="E50" i="5" s="1"/>
  <c r="C20" i="5"/>
  <c r="C50" i="5" s="1"/>
  <c r="G20" i="5"/>
  <c r="G50" i="5" s="1"/>
  <c r="F20" i="5"/>
  <c r="F50" i="5" s="1"/>
  <c r="D20" i="5"/>
  <c r="D50" i="5" s="1"/>
  <c r="B18" i="6"/>
  <c r="B80" i="10"/>
  <c r="B80" i="11"/>
  <c r="B21" i="7"/>
  <c r="B51" i="7" s="1"/>
  <c r="R385" i="4"/>
  <c r="C21" i="11" s="1"/>
  <c r="Q385" i="4"/>
  <c r="R387" i="4"/>
  <c r="Q387" i="4"/>
  <c r="Q382" i="4"/>
  <c r="R382" i="4"/>
  <c r="B21" i="5" s="1"/>
  <c r="B51" i="5" s="1"/>
  <c r="Q384" i="4"/>
  <c r="R384" i="4"/>
  <c r="C21" i="10" s="1"/>
  <c r="P389" i="4"/>
  <c r="P386" i="4"/>
  <c r="P391" i="4"/>
  <c r="P388" i="4"/>
  <c r="J80" i="11" l="1"/>
  <c r="I80" i="11"/>
  <c r="B19" i="12"/>
  <c r="B21" i="11"/>
  <c r="B51" i="11" s="1"/>
  <c r="E21" i="11"/>
  <c r="E51" i="11" s="1"/>
  <c r="E81" i="11" s="1"/>
  <c r="D21" i="11"/>
  <c r="D51" i="11" s="1"/>
  <c r="D81" i="11" s="1"/>
  <c r="H21" i="11"/>
  <c r="H51" i="11" s="1"/>
  <c r="H81" i="11" s="1"/>
  <c r="G21" i="11"/>
  <c r="G51" i="11" s="1"/>
  <c r="G81" i="11" s="1"/>
  <c r="F21" i="11"/>
  <c r="F51" i="11" s="1"/>
  <c r="F81" i="11" s="1"/>
  <c r="B20" i="12"/>
  <c r="C51" i="11"/>
  <c r="C51" i="10"/>
  <c r="D80" i="11"/>
  <c r="B21" i="10"/>
  <c r="B51" i="10" s="1"/>
  <c r="D21" i="10"/>
  <c r="D51" i="10" s="1"/>
  <c r="D81" i="10" s="1"/>
  <c r="H21" i="10"/>
  <c r="H51" i="10" s="1"/>
  <c r="H81" i="10" s="1"/>
  <c r="G21" i="10"/>
  <c r="G51" i="10" s="1"/>
  <c r="G81" i="10" s="1"/>
  <c r="F21" i="10"/>
  <c r="F51" i="10" s="1"/>
  <c r="F81" i="10" s="1"/>
  <c r="E21" i="10"/>
  <c r="E51" i="10" s="1"/>
  <c r="E81" i="10" s="1"/>
  <c r="I80" i="10"/>
  <c r="J80" i="10"/>
  <c r="B19" i="8"/>
  <c r="I81" i="7"/>
  <c r="H81" i="7"/>
  <c r="D22" i="7"/>
  <c r="D52" i="7" s="1"/>
  <c r="C22" i="7"/>
  <c r="C52" i="7" s="1"/>
  <c r="E22" i="7"/>
  <c r="E52" i="7" s="1"/>
  <c r="G22" i="7"/>
  <c r="G52" i="7" s="1"/>
  <c r="F22" i="7"/>
  <c r="F52" i="7" s="1"/>
  <c r="H81" i="5"/>
  <c r="I81" i="5"/>
  <c r="C21" i="5"/>
  <c r="C51" i="5" s="1"/>
  <c r="C81" i="5" s="1"/>
  <c r="F21" i="5"/>
  <c r="F51" i="5" s="1"/>
  <c r="F81" i="5" s="1"/>
  <c r="D21" i="5"/>
  <c r="D51" i="5" s="1"/>
  <c r="D81" i="5" s="1"/>
  <c r="E21" i="5"/>
  <c r="E51" i="5" s="1"/>
  <c r="E81" i="5" s="1"/>
  <c r="G21" i="5"/>
  <c r="G51" i="5" s="1"/>
  <c r="G81" i="5" s="1"/>
  <c r="B22" i="7"/>
  <c r="B20" i="9"/>
  <c r="B81" i="11"/>
  <c r="B81" i="10"/>
  <c r="Q388" i="4"/>
  <c r="R388" i="4"/>
  <c r="C22" i="10" s="1"/>
  <c r="Q391" i="4"/>
  <c r="R391" i="4"/>
  <c r="B23" i="7" s="1"/>
  <c r="R386" i="4"/>
  <c r="Q386" i="4"/>
  <c r="R389" i="4"/>
  <c r="C22" i="11" s="1"/>
  <c r="Q389" i="4"/>
  <c r="P392" i="4"/>
  <c r="P395" i="4"/>
  <c r="P390" i="4"/>
  <c r="P393" i="4"/>
  <c r="C52" i="10" l="1"/>
  <c r="B22" i="10"/>
  <c r="B52" i="10" s="1"/>
  <c r="G22" i="10"/>
  <c r="G52" i="10" s="1"/>
  <c r="G82" i="10" s="1"/>
  <c r="F22" i="10"/>
  <c r="F52" i="10" s="1"/>
  <c r="F82" i="10" s="1"/>
  <c r="E22" i="10"/>
  <c r="E52" i="10" s="1"/>
  <c r="E82" i="10" s="1"/>
  <c r="D22" i="10"/>
  <c r="D52" i="10" s="1"/>
  <c r="D82" i="10" s="1"/>
  <c r="H22" i="10"/>
  <c r="H52" i="10" s="1"/>
  <c r="H82" i="10" s="1"/>
  <c r="C52" i="11"/>
  <c r="I81" i="10"/>
  <c r="J81" i="10"/>
  <c r="B20" i="8"/>
  <c r="J81" i="11"/>
  <c r="I81" i="11"/>
  <c r="B22" i="11"/>
  <c r="B52" i="11" s="1"/>
  <c r="B82" i="11" s="1"/>
  <c r="G22" i="11"/>
  <c r="G52" i="11" s="1"/>
  <c r="G82" i="11" s="1"/>
  <c r="F22" i="11"/>
  <c r="F52" i="11" s="1"/>
  <c r="F82" i="11" s="1"/>
  <c r="E22" i="11"/>
  <c r="E52" i="11" s="1"/>
  <c r="E82" i="11" s="1"/>
  <c r="H22" i="11"/>
  <c r="H52" i="11" s="1"/>
  <c r="H82" i="11" s="1"/>
  <c r="D22" i="11"/>
  <c r="D52" i="11" s="1"/>
  <c r="D82" i="11" s="1"/>
  <c r="B52" i="7"/>
  <c r="B53" i="7"/>
  <c r="C82" i="7"/>
  <c r="D82" i="7"/>
  <c r="G82" i="7"/>
  <c r="G23" i="7"/>
  <c r="G53" i="7" s="1"/>
  <c r="G83" i="7" s="1"/>
  <c r="F23" i="7"/>
  <c r="F53" i="7" s="1"/>
  <c r="F83" i="7" s="1"/>
  <c r="E23" i="7"/>
  <c r="E53" i="7" s="1"/>
  <c r="E83" i="7" s="1"/>
  <c r="C23" i="7"/>
  <c r="C53" i="7" s="1"/>
  <c r="C83" i="7" s="1"/>
  <c r="D23" i="7"/>
  <c r="D53" i="7" s="1"/>
  <c r="D83" i="7" s="1"/>
  <c r="C22" i="5"/>
  <c r="C52" i="5" s="1"/>
  <c r="D22" i="5"/>
  <c r="D52" i="5" s="1"/>
  <c r="F22" i="5"/>
  <c r="F52" i="5" s="1"/>
  <c r="G22" i="5"/>
  <c r="G52" i="5" s="1"/>
  <c r="E22" i="5"/>
  <c r="E52" i="5" s="1"/>
  <c r="B82" i="10"/>
  <c r="B20" i="6"/>
  <c r="Q392" i="4"/>
  <c r="R392" i="4"/>
  <c r="C23" i="10" s="1"/>
  <c r="R393" i="4"/>
  <c r="C23" i="11" s="1"/>
  <c r="Q393" i="4"/>
  <c r="R390" i="4"/>
  <c r="Q390" i="4"/>
  <c r="R395" i="4"/>
  <c r="B24" i="7" s="1"/>
  <c r="Q395" i="4"/>
  <c r="P397" i="4"/>
  <c r="P394" i="4"/>
  <c r="P399" i="4"/>
  <c r="P396" i="4"/>
  <c r="C53" i="11" l="1"/>
  <c r="C53" i="10"/>
  <c r="B23" i="10"/>
  <c r="B53" i="10" s="1"/>
  <c r="H23" i="10"/>
  <c r="H53" i="10" s="1"/>
  <c r="H83" i="10" s="1"/>
  <c r="G23" i="10"/>
  <c r="G53" i="10" s="1"/>
  <c r="G83" i="10" s="1"/>
  <c r="F23" i="10"/>
  <c r="F53" i="10" s="1"/>
  <c r="F83" i="10" s="1"/>
  <c r="E23" i="10"/>
  <c r="E53" i="10" s="1"/>
  <c r="E83" i="10" s="1"/>
  <c r="D23" i="10"/>
  <c r="D53" i="10" s="1"/>
  <c r="D83" i="10" s="1"/>
  <c r="I82" i="11"/>
  <c r="J82" i="11"/>
  <c r="I82" i="10"/>
  <c r="J82" i="10"/>
  <c r="B23" i="11"/>
  <c r="B53" i="11" s="1"/>
  <c r="B83" i="11" s="1"/>
  <c r="D23" i="11"/>
  <c r="D53" i="11" s="1"/>
  <c r="D83" i="11" s="1"/>
  <c r="E23" i="11"/>
  <c r="E53" i="11" s="1"/>
  <c r="E83" i="11" s="1"/>
  <c r="H23" i="11"/>
  <c r="H53" i="11" s="1"/>
  <c r="H83" i="11" s="1"/>
  <c r="G23" i="11"/>
  <c r="G53" i="11" s="1"/>
  <c r="G83" i="11" s="1"/>
  <c r="F23" i="11"/>
  <c r="F53" i="11" s="1"/>
  <c r="F83" i="11" s="1"/>
  <c r="B21" i="12"/>
  <c r="B21" i="8"/>
  <c r="I83" i="7"/>
  <c r="H83" i="7"/>
  <c r="B23" i="9"/>
  <c r="B54" i="7"/>
  <c r="B22" i="9"/>
  <c r="I82" i="7"/>
  <c r="H82" i="7"/>
  <c r="B21" i="9"/>
  <c r="E82" i="7"/>
  <c r="F82" i="7"/>
  <c r="L24" i="7"/>
  <c r="F24" i="7"/>
  <c r="F54" i="7" s="1"/>
  <c r="F84" i="7" s="1"/>
  <c r="E24" i="7"/>
  <c r="E54" i="7" s="1"/>
  <c r="E84" i="7" s="1"/>
  <c r="D24" i="7"/>
  <c r="D54" i="7" s="1"/>
  <c r="D84" i="7" s="1"/>
  <c r="C24" i="7"/>
  <c r="C54" i="7" s="1"/>
  <c r="G24" i="7"/>
  <c r="G54" i="7" s="1"/>
  <c r="G84" i="7" s="1"/>
  <c r="E23" i="5"/>
  <c r="E53" i="5" s="1"/>
  <c r="C23" i="5"/>
  <c r="C53" i="5" s="1"/>
  <c r="D23" i="5"/>
  <c r="D53" i="5" s="1"/>
  <c r="F23" i="5"/>
  <c r="F53" i="5" s="1"/>
  <c r="G23" i="5"/>
  <c r="G53" i="5" s="1"/>
  <c r="B83" i="10"/>
  <c r="Q396" i="4"/>
  <c r="R396" i="4"/>
  <c r="C24" i="10" s="1"/>
  <c r="R399" i="4"/>
  <c r="Q399" i="4"/>
  <c r="Q394" i="4"/>
  <c r="R394" i="4"/>
  <c r="R397" i="4"/>
  <c r="C24" i="11" s="1"/>
  <c r="Q397" i="4"/>
  <c r="P400" i="4"/>
  <c r="P398" i="4"/>
  <c r="P403" i="4"/>
  <c r="P401" i="4"/>
  <c r="C54" i="10" l="1"/>
  <c r="B24" i="10"/>
  <c r="B54" i="10" s="1"/>
  <c r="F24" i="10"/>
  <c r="F54" i="10" s="1"/>
  <c r="F84" i="10" s="1"/>
  <c r="E24" i="10"/>
  <c r="E54" i="10" s="1"/>
  <c r="E84" i="10" s="1"/>
  <c r="D24" i="10"/>
  <c r="D54" i="10" s="1"/>
  <c r="D84" i="10" s="1"/>
  <c r="H24" i="10"/>
  <c r="H54" i="10" s="1"/>
  <c r="H84" i="10" s="1"/>
  <c r="G24" i="10"/>
  <c r="G54" i="10" s="1"/>
  <c r="G84" i="10" s="1"/>
  <c r="B24" i="11"/>
  <c r="B54" i="11" s="1"/>
  <c r="G24" i="11"/>
  <c r="G54" i="11" s="1"/>
  <c r="G84" i="11" s="1"/>
  <c r="H24" i="11"/>
  <c r="H54" i="11" s="1"/>
  <c r="H84" i="11" s="1"/>
  <c r="F24" i="11"/>
  <c r="F54" i="11" s="1"/>
  <c r="F84" i="11" s="1"/>
  <c r="D24" i="11"/>
  <c r="D54" i="11" s="1"/>
  <c r="D84" i="11" s="1"/>
  <c r="E24" i="11"/>
  <c r="E54" i="11" s="1"/>
  <c r="E84" i="11" s="1"/>
  <c r="C84" i="7"/>
  <c r="B23" i="12"/>
  <c r="C54" i="11"/>
  <c r="I83" i="10"/>
  <c r="J83" i="10"/>
  <c r="B22" i="8"/>
  <c r="I83" i="11"/>
  <c r="J83" i="11"/>
  <c r="B22" i="12"/>
  <c r="I84" i="7"/>
  <c r="H84" i="7"/>
  <c r="F25" i="7"/>
  <c r="F55" i="7" s="1"/>
  <c r="G25" i="7"/>
  <c r="G55" i="7" s="1"/>
  <c r="D25" i="7"/>
  <c r="D55" i="7" s="1"/>
  <c r="D85" i="7" s="1"/>
  <c r="C25" i="7"/>
  <c r="C55" i="7" s="1"/>
  <c r="E25" i="7"/>
  <c r="E55" i="7" s="1"/>
  <c r="E85" i="7" s="1"/>
  <c r="F24" i="5"/>
  <c r="F54" i="5" s="1"/>
  <c r="D24" i="5"/>
  <c r="D54" i="5" s="1"/>
  <c r="C24" i="5"/>
  <c r="C54" i="5" s="1"/>
  <c r="G24" i="5"/>
  <c r="G54" i="5" s="1"/>
  <c r="E24" i="5"/>
  <c r="E54" i="5" s="1"/>
  <c r="B84" i="10"/>
  <c r="B84" i="11"/>
  <c r="B25" i="7"/>
  <c r="B55" i="7" s="1"/>
  <c r="R401" i="4"/>
  <c r="C25" i="11" s="1"/>
  <c r="Q401" i="4"/>
  <c r="R403" i="4"/>
  <c r="Q403" i="4"/>
  <c r="Q398" i="4"/>
  <c r="R398" i="4"/>
  <c r="B25" i="5" s="1"/>
  <c r="B55" i="5" s="1"/>
  <c r="Q400" i="4"/>
  <c r="R400" i="4"/>
  <c r="C25" i="10" s="1"/>
  <c r="P405" i="4"/>
  <c r="P407" i="4"/>
  <c r="P402" i="4"/>
  <c r="P404" i="4"/>
  <c r="B25" i="11" l="1"/>
  <c r="B55" i="11" s="1"/>
  <c r="E25" i="11"/>
  <c r="E55" i="11" s="1"/>
  <c r="E85" i="11" s="1"/>
  <c r="D25" i="11"/>
  <c r="D55" i="11" s="1"/>
  <c r="D85" i="11" s="1"/>
  <c r="G25" i="11"/>
  <c r="G55" i="11" s="1"/>
  <c r="G85" i="11" s="1"/>
  <c r="H25" i="11"/>
  <c r="H55" i="11" s="1"/>
  <c r="H85" i="11" s="1"/>
  <c r="F25" i="11"/>
  <c r="F55" i="11" s="1"/>
  <c r="F85" i="11" s="1"/>
  <c r="B24" i="12"/>
  <c r="C55" i="11"/>
  <c r="C55" i="10"/>
  <c r="B25" i="10"/>
  <c r="B55" i="10" s="1"/>
  <c r="D25" i="10"/>
  <c r="D55" i="10" s="1"/>
  <c r="D85" i="10" s="1"/>
  <c r="H25" i="10"/>
  <c r="H55" i="10" s="1"/>
  <c r="H85" i="10" s="1"/>
  <c r="F25" i="10"/>
  <c r="F55" i="10" s="1"/>
  <c r="F85" i="10" s="1"/>
  <c r="G25" i="10"/>
  <c r="G55" i="10" s="1"/>
  <c r="G85" i="10" s="1"/>
  <c r="E25" i="10"/>
  <c r="E55" i="10" s="1"/>
  <c r="E85" i="10" s="1"/>
  <c r="G85" i="7"/>
  <c r="I84" i="10"/>
  <c r="J84" i="10"/>
  <c r="F85" i="7"/>
  <c r="I84" i="11"/>
  <c r="J84" i="11"/>
  <c r="B23" i="8"/>
  <c r="I85" i="7"/>
  <c r="H85" i="7"/>
  <c r="C85" i="7"/>
  <c r="H85" i="5"/>
  <c r="I85" i="5"/>
  <c r="D25" i="5"/>
  <c r="D55" i="5" s="1"/>
  <c r="D85" i="5" s="1"/>
  <c r="G25" i="5"/>
  <c r="G55" i="5" s="1"/>
  <c r="G85" i="5" s="1"/>
  <c r="C25" i="5"/>
  <c r="C55" i="5" s="1"/>
  <c r="C85" i="5" s="1"/>
  <c r="F25" i="5"/>
  <c r="F55" i="5" s="1"/>
  <c r="F85" i="5" s="1"/>
  <c r="E25" i="5"/>
  <c r="E55" i="5" s="1"/>
  <c r="E85" i="5" s="1"/>
  <c r="C26" i="7"/>
  <c r="C56" i="7" s="1"/>
  <c r="G26" i="7"/>
  <c r="G56" i="7" s="1"/>
  <c r="F26" i="7"/>
  <c r="F56" i="7" s="1"/>
  <c r="D26" i="7"/>
  <c r="D56" i="7" s="1"/>
  <c r="E26" i="7"/>
  <c r="E56" i="7" s="1"/>
  <c r="B24" i="9"/>
  <c r="B85" i="10"/>
  <c r="B26" i="7"/>
  <c r="B85" i="11"/>
  <c r="B16" i="7"/>
  <c r="B17" i="7"/>
  <c r="B11" i="7"/>
  <c r="B12" i="7"/>
  <c r="B7" i="7"/>
  <c r="B37" i="7" s="1"/>
  <c r="B8" i="7"/>
  <c r="Q404" i="4"/>
  <c r="R404" i="4"/>
  <c r="C26" i="10" s="1"/>
  <c r="R402" i="4"/>
  <c r="Q402" i="4"/>
  <c r="R407" i="4"/>
  <c r="Q407" i="4"/>
  <c r="R405" i="4"/>
  <c r="C26" i="11" s="1"/>
  <c r="Q405" i="4"/>
  <c r="P406" i="4"/>
  <c r="P408" i="4"/>
  <c r="P409" i="4"/>
  <c r="B26" i="11" l="1"/>
  <c r="B56" i="11" s="1"/>
  <c r="F26" i="11"/>
  <c r="F56" i="11" s="1"/>
  <c r="H26" i="11"/>
  <c r="H56" i="11" s="1"/>
  <c r="D26" i="11"/>
  <c r="D56" i="11" s="1"/>
  <c r="E26" i="11"/>
  <c r="E56" i="11" s="1"/>
  <c r="G26" i="11"/>
  <c r="G56" i="11" s="1"/>
  <c r="G86" i="11" s="1"/>
  <c r="J85" i="11"/>
  <c r="I85" i="11"/>
  <c r="C56" i="11"/>
  <c r="B25" i="8"/>
  <c r="C56" i="10"/>
  <c r="J85" i="10"/>
  <c r="I85" i="10"/>
  <c r="B26" i="10"/>
  <c r="B56" i="10" s="1"/>
  <c r="E26" i="10"/>
  <c r="E56" i="10" s="1"/>
  <c r="E86" i="10" s="1"/>
  <c r="H26" i="10"/>
  <c r="H56" i="10" s="1"/>
  <c r="H86" i="10" s="1"/>
  <c r="G26" i="10"/>
  <c r="G56" i="10" s="1"/>
  <c r="G86" i="10" s="1"/>
  <c r="D26" i="10"/>
  <c r="D56" i="10" s="1"/>
  <c r="D86" i="10" s="1"/>
  <c r="F26" i="10"/>
  <c r="F56" i="10" s="1"/>
  <c r="F86" i="10" s="1"/>
  <c r="B24" i="8"/>
  <c r="B41" i="7"/>
  <c r="B56" i="7"/>
  <c r="F86" i="7" s="1"/>
  <c r="I67" i="7"/>
  <c r="H67" i="7"/>
  <c r="B42" i="7"/>
  <c r="B11" i="9" s="1"/>
  <c r="B46" i="7"/>
  <c r="B15" i="9" s="1"/>
  <c r="C86" i="7"/>
  <c r="B47" i="7"/>
  <c r="B16" i="9" s="1"/>
  <c r="B38" i="7"/>
  <c r="C27" i="7"/>
  <c r="C57" i="7" s="1"/>
  <c r="F27" i="7"/>
  <c r="F57" i="7" s="1"/>
  <c r="G27" i="7"/>
  <c r="G57" i="7" s="1"/>
  <c r="E27" i="7"/>
  <c r="E57" i="7" s="1"/>
  <c r="D27" i="7"/>
  <c r="D57" i="7" s="1"/>
  <c r="F26" i="5"/>
  <c r="F56" i="5" s="1"/>
  <c r="G26" i="5"/>
  <c r="G56" i="5" s="1"/>
  <c r="C26" i="5"/>
  <c r="C56" i="5" s="1"/>
  <c r="D26" i="5"/>
  <c r="D56" i="5" s="1"/>
  <c r="E26" i="5"/>
  <c r="E56" i="5" s="1"/>
  <c r="B6" i="9"/>
  <c r="B27" i="7"/>
  <c r="B86" i="10"/>
  <c r="B86" i="11"/>
  <c r="B16" i="11"/>
  <c r="B46" i="11" s="1"/>
  <c r="C16" i="11"/>
  <c r="B17" i="11"/>
  <c r="B47" i="11" s="1"/>
  <c r="C17" i="11"/>
  <c r="C11" i="11"/>
  <c r="B11" i="11"/>
  <c r="B41" i="11" s="1"/>
  <c r="B12" i="11"/>
  <c r="B42" i="11" s="1"/>
  <c r="C12" i="11"/>
  <c r="C7" i="11"/>
  <c r="C37" i="11" s="1"/>
  <c r="B7" i="11"/>
  <c r="C8" i="11"/>
  <c r="B8" i="11"/>
  <c r="B38" i="11" s="1"/>
  <c r="B24" i="6"/>
  <c r="B16" i="10"/>
  <c r="B46" i="10" s="1"/>
  <c r="C16" i="10"/>
  <c r="C17" i="10"/>
  <c r="B17" i="10"/>
  <c r="B47" i="10" s="1"/>
  <c r="C11" i="10"/>
  <c r="B11" i="10"/>
  <c r="B41" i="10" s="1"/>
  <c r="B12" i="10"/>
  <c r="B42" i="10" s="1"/>
  <c r="C12" i="10"/>
  <c r="B7" i="10"/>
  <c r="C7" i="10"/>
  <c r="C37" i="10" s="1"/>
  <c r="B8" i="10"/>
  <c r="B38" i="10" s="1"/>
  <c r="C8" i="10"/>
  <c r="Q409" i="4"/>
  <c r="R409" i="4"/>
  <c r="R408" i="4"/>
  <c r="C27" i="10" s="1"/>
  <c r="Q408" i="4"/>
  <c r="R406" i="4"/>
  <c r="B27" i="5" s="1"/>
  <c r="B57" i="5" s="1"/>
  <c r="Q406" i="4"/>
  <c r="B25" i="9" l="1"/>
  <c r="C42" i="10"/>
  <c r="B10" i="12"/>
  <c r="C41" i="11"/>
  <c r="C46" i="10"/>
  <c r="B16" i="12"/>
  <c r="C47" i="11"/>
  <c r="E86" i="11"/>
  <c r="G86" i="7"/>
  <c r="I86" i="10"/>
  <c r="J86" i="10"/>
  <c r="D86" i="11"/>
  <c r="J67" i="10"/>
  <c r="I67" i="10"/>
  <c r="B27" i="10"/>
  <c r="B57" i="10" s="1"/>
  <c r="E27" i="10"/>
  <c r="E57" i="10" s="1"/>
  <c r="D27" i="10"/>
  <c r="D57" i="10" s="1"/>
  <c r="H27" i="10"/>
  <c r="H57" i="10" s="1"/>
  <c r="G27" i="10"/>
  <c r="G57" i="10" s="1"/>
  <c r="F27" i="10"/>
  <c r="F57" i="10" s="1"/>
  <c r="B7" i="12"/>
  <c r="C38" i="11"/>
  <c r="D16" i="11"/>
  <c r="D46" i="11" s="1"/>
  <c r="D16" i="10"/>
  <c r="D46" i="10" s="1"/>
  <c r="D76" i="10" s="1"/>
  <c r="F16" i="11"/>
  <c r="F46" i="11" s="1"/>
  <c r="H16" i="10"/>
  <c r="H46" i="10" s="1"/>
  <c r="H76" i="10" s="1"/>
  <c r="E16" i="11"/>
  <c r="E46" i="11" s="1"/>
  <c r="H16" i="11"/>
  <c r="H46" i="11" s="1"/>
  <c r="G16" i="11"/>
  <c r="G46" i="11" s="1"/>
  <c r="F16" i="10"/>
  <c r="F46" i="10" s="1"/>
  <c r="F76" i="10" s="1"/>
  <c r="E16" i="10"/>
  <c r="E46" i="10" s="1"/>
  <c r="E76" i="10" s="1"/>
  <c r="G16" i="10"/>
  <c r="G46" i="10" s="1"/>
  <c r="G76" i="10" s="1"/>
  <c r="F11" i="11"/>
  <c r="F41" i="11" s="1"/>
  <c r="F71" i="11" s="1"/>
  <c r="G11" i="10"/>
  <c r="G41" i="10" s="1"/>
  <c r="H11" i="11"/>
  <c r="H41" i="11" s="1"/>
  <c r="H71" i="11" s="1"/>
  <c r="F11" i="10"/>
  <c r="F41" i="10" s="1"/>
  <c r="G11" i="11"/>
  <c r="G41" i="11" s="1"/>
  <c r="G71" i="11" s="1"/>
  <c r="E11" i="11"/>
  <c r="E41" i="11" s="1"/>
  <c r="E71" i="11" s="1"/>
  <c r="D11" i="11"/>
  <c r="D41" i="11" s="1"/>
  <c r="D71" i="11" s="1"/>
  <c r="D11" i="10"/>
  <c r="D41" i="10" s="1"/>
  <c r="H11" i="10"/>
  <c r="H41" i="10" s="1"/>
  <c r="E11" i="10"/>
  <c r="E41" i="10" s="1"/>
  <c r="G17" i="10"/>
  <c r="G47" i="10" s="1"/>
  <c r="E17" i="11"/>
  <c r="E47" i="11" s="1"/>
  <c r="E77" i="11" s="1"/>
  <c r="F17" i="10"/>
  <c r="F47" i="10" s="1"/>
  <c r="D17" i="11"/>
  <c r="D47" i="11" s="1"/>
  <c r="D77" i="11" s="1"/>
  <c r="D17" i="10"/>
  <c r="D47" i="10" s="1"/>
  <c r="H17" i="10"/>
  <c r="H47" i="10" s="1"/>
  <c r="E17" i="10"/>
  <c r="E47" i="10" s="1"/>
  <c r="G17" i="11"/>
  <c r="G47" i="11" s="1"/>
  <c r="G77" i="11" s="1"/>
  <c r="F17" i="11"/>
  <c r="F47" i="11" s="1"/>
  <c r="F77" i="11" s="1"/>
  <c r="H17" i="11"/>
  <c r="H47" i="11" s="1"/>
  <c r="H77" i="11" s="1"/>
  <c r="F12" i="10"/>
  <c r="F42" i="10" s="1"/>
  <c r="F72" i="10" s="1"/>
  <c r="E12" i="11"/>
  <c r="E42" i="11" s="1"/>
  <c r="E12" i="10"/>
  <c r="E42" i="10" s="1"/>
  <c r="E72" i="10" s="1"/>
  <c r="D12" i="11"/>
  <c r="D42" i="11" s="1"/>
  <c r="G12" i="10"/>
  <c r="G42" i="10" s="1"/>
  <c r="G72" i="10" s="1"/>
  <c r="D12" i="10"/>
  <c r="D42" i="10" s="1"/>
  <c r="D72" i="10" s="1"/>
  <c r="H12" i="10"/>
  <c r="H42" i="10" s="1"/>
  <c r="H72" i="10" s="1"/>
  <c r="G12" i="11"/>
  <c r="G42" i="11" s="1"/>
  <c r="H12" i="11"/>
  <c r="H42" i="11" s="1"/>
  <c r="F12" i="11"/>
  <c r="F42" i="11" s="1"/>
  <c r="H7" i="11"/>
  <c r="D7" i="10"/>
  <c r="G7" i="11"/>
  <c r="G7" i="10"/>
  <c r="F7" i="11"/>
  <c r="E7" i="11"/>
  <c r="D7" i="11"/>
  <c r="H7" i="10"/>
  <c r="E7" i="10"/>
  <c r="F7" i="10"/>
  <c r="G8" i="10"/>
  <c r="G38" i="10" s="1"/>
  <c r="G68" i="10" s="1"/>
  <c r="E8" i="11"/>
  <c r="E38" i="11" s="1"/>
  <c r="E68" i="11" s="1"/>
  <c r="E8" i="10"/>
  <c r="E38" i="10" s="1"/>
  <c r="E68" i="10" s="1"/>
  <c r="D8" i="11"/>
  <c r="D38" i="11" s="1"/>
  <c r="D68" i="11" s="1"/>
  <c r="D8" i="10"/>
  <c r="D38" i="10" s="1"/>
  <c r="D68" i="10" s="1"/>
  <c r="H8" i="10"/>
  <c r="H38" i="10" s="1"/>
  <c r="F8" i="10"/>
  <c r="F38" i="10" s="1"/>
  <c r="G8" i="11"/>
  <c r="G38" i="11" s="1"/>
  <c r="G68" i="11" s="1"/>
  <c r="H8" i="11"/>
  <c r="H38" i="11" s="1"/>
  <c r="H68" i="11" s="1"/>
  <c r="F8" i="11"/>
  <c r="F38" i="11" s="1"/>
  <c r="F68" i="11" s="1"/>
  <c r="F27" i="11"/>
  <c r="F57" i="11" s="1"/>
  <c r="E27" i="11"/>
  <c r="E57" i="11" s="1"/>
  <c r="D27" i="11"/>
  <c r="D57" i="11" s="1"/>
  <c r="H27" i="11"/>
  <c r="H57" i="11" s="1"/>
  <c r="G27" i="11"/>
  <c r="G57" i="11" s="1"/>
  <c r="C41" i="10"/>
  <c r="C46" i="11"/>
  <c r="D86" i="7"/>
  <c r="H86" i="11"/>
  <c r="B7" i="8"/>
  <c r="C38" i="10"/>
  <c r="I67" i="11"/>
  <c r="J67" i="11"/>
  <c r="J86" i="11"/>
  <c r="I86" i="11"/>
  <c r="F86" i="11"/>
  <c r="B26" i="8"/>
  <c r="C57" i="10"/>
  <c r="B16" i="8"/>
  <c r="C47" i="10"/>
  <c r="B11" i="12"/>
  <c r="C42" i="11"/>
  <c r="B25" i="12"/>
  <c r="I72" i="7"/>
  <c r="H72" i="7"/>
  <c r="I86" i="7"/>
  <c r="H86" i="7"/>
  <c r="I76" i="7"/>
  <c r="H76" i="7"/>
  <c r="I68" i="7"/>
  <c r="H68" i="7"/>
  <c r="B7" i="9"/>
  <c r="I71" i="7"/>
  <c r="H71" i="7"/>
  <c r="B57" i="7"/>
  <c r="C87" i="7" s="1"/>
  <c r="I77" i="7"/>
  <c r="H77" i="7"/>
  <c r="E86" i="7"/>
  <c r="B10" i="9"/>
  <c r="E12" i="7"/>
  <c r="E42" i="7" s="1"/>
  <c r="E72" i="7" s="1"/>
  <c r="G12" i="7"/>
  <c r="G42" i="7" s="1"/>
  <c r="G72" i="7" s="1"/>
  <c r="F12" i="7"/>
  <c r="F42" i="7" s="1"/>
  <c r="F72" i="7" s="1"/>
  <c r="C12" i="7"/>
  <c r="C42" i="7" s="1"/>
  <c r="C72" i="7" s="1"/>
  <c r="D12" i="7"/>
  <c r="D42" i="7" s="1"/>
  <c r="D72" i="7" s="1"/>
  <c r="C16" i="7"/>
  <c r="C46" i="7" s="1"/>
  <c r="C76" i="7" s="1"/>
  <c r="F16" i="7"/>
  <c r="F46" i="7" s="1"/>
  <c r="F76" i="7" s="1"/>
  <c r="C12" i="5"/>
  <c r="C42" i="5" s="1"/>
  <c r="E16" i="7"/>
  <c r="E46" i="7" s="1"/>
  <c r="E76" i="7" s="1"/>
  <c r="D16" i="7"/>
  <c r="D46" i="7" s="1"/>
  <c r="D76" i="7" s="1"/>
  <c r="G16" i="7"/>
  <c r="G46" i="7" s="1"/>
  <c r="G76" i="7" s="1"/>
  <c r="G12" i="5"/>
  <c r="G42" i="5" s="1"/>
  <c r="F12" i="5"/>
  <c r="F42" i="5" s="1"/>
  <c r="E12" i="5"/>
  <c r="E42" i="5" s="1"/>
  <c r="D12" i="5"/>
  <c r="D42" i="5" s="1"/>
  <c r="E16" i="5"/>
  <c r="D11" i="7"/>
  <c r="D41" i="7" s="1"/>
  <c r="D71" i="7" s="1"/>
  <c r="F16" i="5"/>
  <c r="E11" i="7"/>
  <c r="E41" i="7" s="1"/>
  <c r="E71" i="7" s="1"/>
  <c r="D16" i="5"/>
  <c r="C16" i="5"/>
  <c r="C46" i="5" s="1"/>
  <c r="G16" i="5"/>
  <c r="G46" i="5" s="1"/>
  <c r="G11" i="7"/>
  <c r="G41" i="7" s="1"/>
  <c r="G71" i="7" s="1"/>
  <c r="C11" i="7"/>
  <c r="C41" i="7" s="1"/>
  <c r="C71" i="7" s="1"/>
  <c r="F11" i="7"/>
  <c r="F41" i="7" s="1"/>
  <c r="F71" i="7" s="1"/>
  <c r="F11" i="5"/>
  <c r="G11" i="5"/>
  <c r="G41" i="5" s="1"/>
  <c r="C11" i="5"/>
  <c r="C41" i="5" s="1"/>
  <c r="E11" i="5"/>
  <c r="D11" i="5"/>
  <c r="D41" i="5" s="1"/>
  <c r="F17" i="7"/>
  <c r="F47" i="7" s="1"/>
  <c r="F77" i="7" s="1"/>
  <c r="G17" i="7"/>
  <c r="G47" i="7" s="1"/>
  <c r="G77" i="7" s="1"/>
  <c r="D17" i="7"/>
  <c r="D47" i="7" s="1"/>
  <c r="D77" i="7" s="1"/>
  <c r="C17" i="7"/>
  <c r="C47" i="7" s="1"/>
  <c r="C77" i="7" s="1"/>
  <c r="E17" i="7"/>
  <c r="E47" i="7" s="1"/>
  <c r="E77" i="7" s="1"/>
  <c r="G17" i="5"/>
  <c r="G47" i="5" s="1"/>
  <c r="C17" i="5"/>
  <c r="C47" i="5" s="1"/>
  <c r="F17" i="5"/>
  <c r="F47" i="5" s="1"/>
  <c r="E17" i="5"/>
  <c r="E47" i="5" s="1"/>
  <c r="D17" i="5"/>
  <c r="D47" i="5" s="1"/>
  <c r="D7" i="7"/>
  <c r="D37" i="7" s="1"/>
  <c r="D67" i="7" s="1"/>
  <c r="E7" i="7"/>
  <c r="E37" i="7" s="1"/>
  <c r="E67" i="7" s="1"/>
  <c r="F7" i="7"/>
  <c r="F37" i="7" s="1"/>
  <c r="F67" i="7" s="1"/>
  <c r="G7" i="7"/>
  <c r="G37" i="7" s="1"/>
  <c r="G67" i="7" s="1"/>
  <c r="C7" i="7"/>
  <c r="C37" i="7" s="1"/>
  <c r="C67" i="7" s="1"/>
  <c r="D7" i="5"/>
  <c r="D37" i="5" s="1"/>
  <c r="E8" i="7"/>
  <c r="E38" i="7" s="1"/>
  <c r="E68" i="7" s="1"/>
  <c r="G7" i="5"/>
  <c r="G37" i="5" s="1"/>
  <c r="C7" i="5"/>
  <c r="C37" i="5" s="1"/>
  <c r="D8" i="7"/>
  <c r="D38" i="7" s="1"/>
  <c r="D68" i="7" s="1"/>
  <c r="E7" i="5"/>
  <c r="E37" i="5" s="1"/>
  <c r="F8" i="7"/>
  <c r="F38" i="7" s="1"/>
  <c r="F68" i="7" s="1"/>
  <c r="F7" i="5"/>
  <c r="F37" i="5" s="1"/>
  <c r="C8" i="7"/>
  <c r="C38" i="7" s="1"/>
  <c r="C68" i="7" s="1"/>
  <c r="G8" i="7"/>
  <c r="G38" i="7" s="1"/>
  <c r="G68" i="7" s="1"/>
  <c r="G8" i="5"/>
  <c r="G38" i="5" s="1"/>
  <c r="E8" i="5"/>
  <c r="E38" i="5" s="1"/>
  <c r="C8" i="5"/>
  <c r="C38" i="5" s="1"/>
  <c r="F8" i="5"/>
  <c r="F38" i="5" s="1"/>
  <c r="D8" i="5"/>
  <c r="D38" i="5" s="1"/>
  <c r="E4" i="7"/>
  <c r="E34" i="7" s="1"/>
  <c r="E64" i="7" s="1"/>
  <c r="F4" i="7"/>
  <c r="F34" i="7" s="1"/>
  <c r="F64" i="7" s="1"/>
  <c r="C4" i="7"/>
  <c r="C34" i="7" s="1"/>
  <c r="C64" i="7" s="1"/>
  <c r="G4" i="7"/>
  <c r="G34" i="7" s="1"/>
  <c r="G64" i="7" s="1"/>
  <c r="D4" i="7"/>
  <c r="D34" i="7" s="1"/>
  <c r="D64" i="7" s="1"/>
  <c r="C4" i="5"/>
  <c r="G4" i="5"/>
  <c r="F4" i="5"/>
  <c r="F34" i="5" s="1"/>
  <c r="D4" i="5"/>
  <c r="D34" i="5" s="1"/>
  <c r="E4" i="5"/>
  <c r="E34" i="5" s="1"/>
  <c r="E64" i="5" s="1"/>
  <c r="C10" i="7"/>
  <c r="C40" i="7" s="1"/>
  <c r="C70" i="7" s="1"/>
  <c r="G10" i="7"/>
  <c r="G40" i="7" s="1"/>
  <c r="G70" i="7" s="1"/>
  <c r="F10" i="7"/>
  <c r="F40" i="7" s="1"/>
  <c r="F70" i="7" s="1"/>
  <c r="D10" i="7"/>
  <c r="D40" i="7" s="1"/>
  <c r="D70" i="7" s="1"/>
  <c r="E10" i="7"/>
  <c r="E40" i="7" s="1"/>
  <c r="E70" i="7" s="1"/>
  <c r="G10" i="5"/>
  <c r="G40" i="5" s="1"/>
  <c r="F10" i="5"/>
  <c r="F40" i="5" s="1"/>
  <c r="D10" i="5"/>
  <c r="D40" i="5" s="1"/>
  <c r="E10" i="5"/>
  <c r="E40" i="5" s="1"/>
  <c r="C10" i="5"/>
  <c r="C40" i="5" s="1"/>
  <c r="F27" i="5"/>
  <c r="F57" i="5" s="1"/>
  <c r="F87" i="5" s="1"/>
  <c r="G27" i="5"/>
  <c r="G57" i="5" s="1"/>
  <c r="G87" i="5" s="1"/>
  <c r="E27" i="5"/>
  <c r="E57" i="5" s="1"/>
  <c r="E87" i="5" s="1"/>
  <c r="C27" i="5"/>
  <c r="C57" i="5" s="1"/>
  <c r="C87" i="5" s="1"/>
  <c r="D27" i="5"/>
  <c r="D57" i="5" s="1"/>
  <c r="D87" i="5" s="1"/>
  <c r="H87" i="5"/>
  <c r="I87" i="5"/>
  <c r="B27" i="11"/>
  <c r="B57" i="11" s="1"/>
  <c r="F46" i="5"/>
  <c r="E46" i="5"/>
  <c r="C27" i="11"/>
  <c r="B4" i="5"/>
  <c r="B34" i="5" s="1"/>
  <c r="B6" i="8"/>
  <c r="C28" i="10"/>
  <c r="C58" i="10" s="1"/>
  <c r="B37" i="11"/>
  <c r="B6" i="12"/>
  <c r="B28" i="7"/>
  <c r="B58" i="7" s="1"/>
  <c r="B37" i="10"/>
  <c r="B28" i="10"/>
  <c r="B58" i="10" s="1"/>
  <c r="B87" i="10"/>
  <c r="B71" i="11"/>
  <c r="B77" i="10"/>
  <c r="B77" i="11"/>
  <c r="B76" i="10"/>
  <c r="B76" i="11"/>
  <c r="B71" i="10"/>
  <c r="B72" i="11"/>
  <c r="B68" i="10"/>
  <c r="B68" i="11"/>
  <c r="B72" i="10"/>
  <c r="B26" i="6"/>
  <c r="B12" i="5"/>
  <c r="B42" i="5" s="1"/>
  <c r="B16" i="5"/>
  <c r="B46" i="5" s="1"/>
  <c r="B8" i="5"/>
  <c r="B38" i="5" s="1"/>
  <c r="B7" i="5"/>
  <c r="B37" i="5" s="1"/>
  <c r="B17" i="5"/>
  <c r="B47" i="5" s="1"/>
  <c r="B11" i="5"/>
  <c r="B41" i="5" s="1"/>
  <c r="B10" i="5"/>
  <c r="B40" i="5" s="1"/>
  <c r="B26" i="5"/>
  <c r="B56" i="5" s="1"/>
  <c r="B3" i="5"/>
  <c r="B33" i="5" s="1"/>
  <c r="B5" i="5"/>
  <c r="B35" i="5" s="1"/>
  <c r="B6" i="5"/>
  <c r="B36" i="5" s="1"/>
  <c r="B14" i="5"/>
  <c r="B44" i="5" s="1"/>
  <c r="B15" i="5"/>
  <c r="B45" i="5" s="1"/>
  <c r="B20" i="5"/>
  <c r="B50" i="5" s="1"/>
  <c r="B22" i="5"/>
  <c r="B52" i="5" s="1"/>
  <c r="B23" i="5"/>
  <c r="B53" i="5" s="1"/>
  <c r="B24" i="5"/>
  <c r="B54" i="5" s="1"/>
  <c r="D87" i="11" l="1"/>
  <c r="D37" i="11"/>
  <c r="D67" i="11" s="1"/>
  <c r="D28" i="11"/>
  <c r="D58" i="11" s="1"/>
  <c r="H72" i="11"/>
  <c r="F77" i="10"/>
  <c r="G76" i="11"/>
  <c r="E87" i="11"/>
  <c r="E37" i="11"/>
  <c r="E67" i="11" s="1"/>
  <c r="E28" i="11"/>
  <c r="E58" i="11" s="1"/>
  <c r="G72" i="11"/>
  <c r="F71" i="10"/>
  <c r="H76" i="11"/>
  <c r="F87" i="10"/>
  <c r="I76" i="10"/>
  <c r="J76" i="10"/>
  <c r="I76" i="11"/>
  <c r="J76" i="11"/>
  <c r="F37" i="11"/>
  <c r="F67" i="11" s="1"/>
  <c r="F28" i="11"/>
  <c r="F58" i="11" s="1"/>
  <c r="G77" i="10"/>
  <c r="E76" i="11"/>
  <c r="G87" i="10"/>
  <c r="B15" i="8"/>
  <c r="D70" i="5"/>
  <c r="I72" i="11"/>
  <c r="J72" i="11"/>
  <c r="B15" i="12"/>
  <c r="G37" i="10"/>
  <c r="G67" i="10" s="1"/>
  <c r="G28" i="10"/>
  <c r="G58" i="10" s="1"/>
  <c r="E71" i="10"/>
  <c r="G71" i="10"/>
  <c r="H87" i="10"/>
  <c r="J71" i="11"/>
  <c r="I71" i="11"/>
  <c r="J71" i="10"/>
  <c r="I71" i="10"/>
  <c r="G37" i="11"/>
  <c r="G67" i="11" s="1"/>
  <c r="G28" i="11"/>
  <c r="G58" i="11" s="1"/>
  <c r="E77" i="10"/>
  <c r="H71" i="10"/>
  <c r="F76" i="11"/>
  <c r="D87" i="10"/>
  <c r="E87" i="7"/>
  <c r="I77" i="10"/>
  <c r="J77" i="10"/>
  <c r="B10" i="8"/>
  <c r="F37" i="10"/>
  <c r="F67" i="10" s="1"/>
  <c r="F28" i="10"/>
  <c r="F58" i="10" s="1"/>
  <c r="D37" i="10"/>
  <c r="D67" i="10" s="1"/>
  <c r="D28" i="10"/>
  <c r="D58" i="10" s="1"/>
  <c r="D72" i="11"/>
  <c r="H77" i="10"/>
  <c r="D71" i="10"/>
  <c r="E87" i="10"/>
  <c r="B88" i="10"/>
  <c r="J72" i="10"/>
  <c r="I72" i="10"/>
  <c r="B26" i="12"/>
  <c r="C57" i="11"/>
  <c r="J68" i="10"/>
  <c r="I68" i="10"/>
  <c r="G87" i="11"/>
  <c r="F68" i="10"/>
  <c r="E37" i="10"/>
  <c r="E67" i="10" s="1"/>
  <c r="E28" i="10"/>
  <c r="E58" i="10" s="1"/>
  <c r="H37" i="11"/>
  <c r="H67" i="11" s="1"/>
  <c r="H28" i="11"/>
  <c r="H58" i="11" s="1"/>
  <c r="D77" i="10"/>
  <c r="D76" i="11"/>
  <c r="B11" i="8"/>
  <c r="J87" i="10"/>
  <c r="I87" i="10"/>
  <c r="H68" i="10"/>
  <c r="H37" i="10"/>
  <c r="H67" i="10" s="1"/>
  <c r="H28" i="10"/>
  <c r="H58" i="10" s="1"/>
  <c r="F72" i="11"/>
  <c r="E72" i="11"/>
  <c r="J68" i="11"/>
  <c r="I68" i="11"/>
  <c r="J77" i="11"/>
  <c r="I77" i="11"/>
  <c r="B28" i="11"/>
  <c r="B58" i="11" s="1"/>
  <c r="B67" i="10"/>
  <c r="G87" i="7"/>
  <c r="I87" i="7"/>
  <c r="H87" i="7"/>
  <c r="F87" i="7"/>
  <c r="B26" i="9"/>
  <c r="D87" i="7"/>
  <c r="I86" i="5"/>
  <c r="H86" i="5"/>
  <c r="C70" i="5"/>
  <c r="I75" i="5"/>
  <c r="H75" i="5"/>
  <c r="G75" i="5"/>
  <c r="E75" i="5"/>
  <c r="F75" i="5"/>
  <c r="C75" i="5"/>
  <c r="D75" i="5"/>
  <c r="I77" i="5"/>
  <c r="H77" i="5"/>
  <c r="E70" i="5"/>
  <c r="C28" i="7"/>
  <c r="C58" i="7" s="1"/>
  <c r="G68" i="5"/>
  <c r="G67" i="5"/>
  <c r="D77" i="5"/>
  <c r="C72" i="5"/>
  <c r="F28" i="7"/>
  <c r="F58" i="7" s="1"/>
  <c r="E77" i="5"/>
  <c r="D72" i="5"/>
  <c r="H68" i="5"/>
  <c r="I68" i="5"/>
  <c r="F70" i="5"/>
  <c r="D64" i="5"/>
  <c r="E28" i="7"/>
  <c r="E58" i="7" s="1"/>
  <c r="D67" i="5"/>
  <c r="F77" i="5"/>
  <c r="D71" i="5"/>
  <c r="G76" i="5"/>
  <c r="E72" i="5"/>
  <c r="I67" i="5"/>
  <c r="H67" i="5"/>
  <c r="I66" i="5"/>
  <c r="H66" i="5"/>
  <c r="F66" i="5"/>
  <c r="C66" i="5"/>
  <c r="E66" i="5"/>
  <c r="G66" i="5"/>
  <c r="D66" i="5"/>
  <c r="I76" i="5"/>
  <c r="H76" i="5"/>
  <c r="D86" i="5"/>
  <c r="G70" i="5"/>
  <c r="F64" i="5"/>
  <c r="F67" i="5"/>
  <c r="C77" i="5"/>
  <c r="C76" i="5"/>
  <c r="F72" i="5"/>
  <c r="I65" i="5"/>
  <c r="H65" i="5"/>
  <c r="G65" i="5"/>
  <c r="F65" i="5"/>
  <c r="E65" i="5"/>
  <c r="C65" i="5"/>
  <c r="D65" i="5"/>
  <c r="H84" i="5"/>
  <c r="I84" i="5"/>
  <c r="G84" i="5"/>
  <c r="D84" i="5"/>
  <c r="C84" i="5"/>
  <c r="F84" i="5"/>
  <c r="E84" i="5"/>
  <c r="I63" i="5"/>
  <c r="H63" i="5"/>
  <c r="E63" i="5"/>
  <c r="F63" i="5"/>
  <c r="D63" i="5"/>
  <c r="G63" i="5"/>
  <c r="C63" i="5"/>
  <c r="H72" i="5"/>
  <c r="I72" i="5"/>
  <c r="I64" i="5"/>
  <c r="H64" i="5"/>
  <c r="E86" i="5"/>
  <c r="F86" i="5"/>
  <c r="G34" i="5"/>
  <c r="G64" i="5" s="1"/>
  <c r="G28" i="5"/>
  <c r="G58" i="5" s="1"/>
  <c r="D68" i="5"/>
  <c r="G77" i="5"/>
  <c r="C71" i="5"/>
  <c r="G72" i="5"/>
  <c r="H83" i="5"/>
  <c r="I83" i="5"/>
  <c r="G83" i="5"/>
  <c r="F83" i="5"/>
  <c r="C83" i="5"/>
  <c r="D83" i="5"/>
  <c r="E83" i="5"/>
  <c r="C34" i="5"/>
  <c r="C64" i="5" s="1"/>
  <c r="C28" i="5"/>
  <c r="C58" i="5" s="1"/>
  <c r="C88" i="5" s="1"/>
  <c r="F68" i="5"/>
  <c r="E67" i="5"/>
  <c r="G71" i="5"/>
  <c r="H74" i="5"/>
  <c r="I74" i="5"/>
  <c r="G74" i="5"/>
  <c r="F74" i="5"/>
  <c r="C74" i="5"/>
  <c r="D74" i="5"/>
  <c r="E74" i="5"/>
  <c r="G86" i="5"/>
  <c r="I82" i="5"/>
  <c r="H82" i="5"/>
  <c r="E82" i="5"/>
  <c r="D82" i="5"/>
  <c r="G82" i="5"/>
  <c r="C82" i="5"/>
  <c r="F82" i="5"/>
  <c r="H70" i="5"/>
  <c r="I70" i="5"/>
  <c r="E76" i="5"/>
  <c r="C86" i="5"/>
  <c r="D28" i="7"/>
  <c r="D58" i="7" s="1"/>
  <c r="C68" i="5"/>
  <c r="H80" i="5"/>
  <c r="I80" i="5"/>
  <c r="C80" i="5"/>
  <c r="D80" i="5"/>
  <c r="F80" i="5"/>
  <c r="G80" i="5"/>
  <c r="E80" i="5"/>
  <c r="I71" i="5"/>
  <c r="H71" i="5"/>
  <c r="F76" i="5"/>
  <c r="G28" i="7"/>
  <c r="G58" i="7" s="1"/>
  <c r="E68" i="5"/>
  <c r="C67" i="5"/>
  <c r="F41" i="5"/>
  <c r="F71" i="5" s="1"/>
  <c r="F28" i="5"/>
  <c r="F58" i="5" s="1"/>
  <c r="F88" i="5" s="1"/>
  <c r="E41" i="5"/>
  <c r="E71" i="5" s="1"/>
  <c r="E28" i="5"/>
  <c r="E58" i="5" s="1"/>
  <c r="E88" i="5" s="1"/>
  <c r="D46" i="5"/>
  <c r="D76" i="5" s="1"/>
  <c r="D28" i="5"/>
  <c r="D58" i="5" s="1"/>
  <c r="B87" i="11"/>
  <c r="B67" i="11"/>
  <c r="C28" i="11"/>
  <c r="C58" i="11" s="1"/>
  <c r="B28" i="5"/>
  <c r="B58" i="5" s="1"/>
  <c r="J87" i="11" l="1"/>
  <c r="I87" i="11"/>
  <c r="H87" i="11"/>
  <c r="F87" i="11"/>
  <c r="D88" i="5"/>
  <c r="G88" i="5"/>
  <c r="I88" i="5"/>
  <c r="H88" i="5"/>
  <c r="B13" i="6"/>
  <c r="B5" i="6"/>
  <c r="B2" i="6"/>
  <c r="B16" i="6"/>
  <c r="B23" i="6"/>
  <c r="B21" i="6"/>
  <c r="B4" i="6"/>
  <c r="B7" i="6"/>
  <c r="B10" i="6"/>
  <c r="B11" i="6"/>
  <c r="B14" i="6"/>
  <c r="B25" i="6"/>
  <c r="B6" i="6"/>
  <c r="B22" i="6"/>
  <c r="B9" i="6"/>
  <c r="B3" i="6"/>
  <c r="B19" i="6"/>
  <c r="B15" i="6"/>
</calcChain>
</file>

<file path=xl/sharedStrings.xml><?xml version="1.0" encoding="utf-8"?>
<sst xmlns="http://schemas.openxmlformats.org/spreadsheetml/2006/main" count="4820" uniqueCount="460">
  <si>
    <t>建材</t>
    <phoneticPr fontId="1" type="noConversion"/>
  </si>
  <si>
    <t>钢铁</t>
    <phoneticPr fontId="1" type="noConversion"/>
  </si>
  <si>
    <t>化工</t>
    <phoneticPr fontId="1" type="noConversion"/>
  </si>
  <si>
    <t>电力、热力生产</t>
    <phoneticPr fontId="1" type="noConversion"/>
  </si>
  <si>
    <t>石化</t>
    <phoneticPr fontId="1" type="noConversion"/>
  </si>
  <si>
    <t>燃气生产和供应业</t>
    <phoneticPr fontId="1" type="noConversion"/>
  </si>
  <si>
    <t>煤炭开采</t>
    <phoneticPr fontId="1" type="noConversion"/>
  </si>
  <si>
    <t>智慧能源管控系统</t>
    <phoneticPr fontId="1" type="noConversion"/>
  </si>
  <si>
    <t>余热余压利用</t>
    <phoneticPr fontId="1" type="noConversion"/>
  </si>
  <si>
    <t>有色金属</t>
    <phoneticPr fontId="1" type="noConversion"/>
  </si>
  <si>
    <t>重点用能设备及系统节能</t>
    <phoneticPr fontId="1" type="noConversion"/>
  </si>
  <si>
    <t>适用范围</t>
    <phoneticPr fontId="1" type="noConversion"/>
  </si>
  <si>
    <t>流程工业节能</t>
    <phoneticPr fontId="1" type="noConversion"/>
  </si>
  <si>
    <t>工业循环水</t>
    <phoneticPr fontId="1" type="noConversion"/>
  </si>
  <si>
    <t>油气开采</t>
    <phoneticPr fontId="1" type="noConversion"/>
  </si>
  <si>
    <t>造纸</t>
    <phoneticPr fontId="1" type="noConversion"/>
  </si>
  <si>
    <t>能源信息化</t>
    <phoneticPr fontId="1" type="noConversion"/>
  </si>
  <si>
    <t>能源系统</t>
    <phoneticPr fontId="1" type="noConversion"/>
  </si>
  <si>
    <t>空调系统</t>
    <phoneticPr fontId="1" type="noConversion"/>
  </si>
  <si>
    <t>户外照明</t>
    <phoneticPr fontId="1" type="noConversion"/>
  </si>
  <si>
    <t>风机系统</t>
    <phoneticPr fontId="1" type="noConversion"/>
  </si>
  <si>
    <t>热泵系统</t>
    <phoneticPr fontId="1" type="noConversion"/>
  </si>
  <si>
    <t>汽轮机</t>
    <phoneticPr fontId="1" type="noConversion"/>
  </si>
  <si>
    <t>船舶内燃机</t>
    <phoneticPr fontId="1" type="noConversion"/>
  </si>
  <si>
    <t>冷却塔</t>
    <phoneticPr fontId="1" type="noConversion"/>
  </si>
  <si>
    <t>化石能源清洁高效利用</t>
    <phoneticPr fontId="1" type="noConversion"/>
  </si>
  <si>
    <t>可再生能源高效利用</t>
    <phoneticPr fontId="1" type="noConversion"/>
  </si>
  <si>
    <t>&lt;5%</t>
  </si>
  <si>
    <t>&lt;1%</t>
  </si>
  <si>
    <t>节能技术适用范围</t>
    <phoneticPr fontId="1" type="noConversion"/>
  </si>
  <si>
    <t>EPS行业</t>
    <phoneticPr fontId="1" type="noConversion"/>
  </si>
  <si>
    <t>节能技术类型</t>
    <phoneticPr fontId="1" type="noConversion"/>
  </si>
  <si>
    <t>EPS政策</t>
    <phoneticPr fontId="1" type="noConversion"/>
  </si>
  <si>
    <t>Unit:BTU</t>
  </si>
  <si>
    <t>agriculture and forestry 01T03</t>
  </si>
  <si>
    <t>coal mining 05</t>
  </si>
  <si>
    <t>oil and gas extraction 06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</si>
  <si>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</si>
  <si>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</si>
  <si>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</si>
  <si>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</si>
  <si>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</si>
  <si>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</si>
  <si>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</si>
  <si>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</si>
  <si>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</si>
  <si>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</si>
  <si>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</si>
  <si>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</si>
  <si>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</si>
  <si>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</si>
  <si>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</si>
  <si>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</si>
  <si>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</si>
  <si>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</si>
  <si>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construction 41T43</t>
  </si>
  <si>
    <t>cement and other nonmetallic minerals 239</t>
    <phoneticPr fontId="1" type="noConversion"/>
  </si>
  <si>
    <t>工业锅炉</t>
    <phoneticPr fontId="1" type="noConversion"/>
  </si>
  <si>
    <t>重点用能设备</t>
    <phoneticPr fontId="1" type="noConversion"/>
  </si>
  <si>
    <t>纺织</t>
    <phoneticPr fontId="1" type="noConversion"/>
  </si>
  <si>
    <t>食品</t>
    <phoneticPr fontId="1" type="noConversion"/>
  </si>
  <si>
    <t>微型燃气轮机</t>
    <phoneticPr fontId="1" type="noConversion"/>
  </si>
  <si>
    <t>压缩空气系统</t>
    <phoneticPr fontId="1" type="noConversion"/>
  </si>
  <si>
    <t>电动机系统</t>
    <phoneticPr fontId="1" type="noConversion"/>
  </si>
  <si>
    <r>
      <t>EPS</t>
    </r>
    <r>
      <rPr>
        <b/>
        <sz val="11"/>
        <color theme="1"/>
        <rFont val="宋体"/>
        <family val="3"/>
        <charset val="134"/>
      </rPr>
      <t>行业</t>
    </r>
    <phoneticPr fontId="1" type="noConversion"/>
  </si>
  <si>
    <t>全部行业</t>
    <phoneticPr fontId="1" type="noConversion"/>
  </si>
  <si>
    <t>不计入工业</t>
    <phoneticPr fontId="1" type="noConversion"/>
  </si>
  <si>
    <t>oil and gas extraction 06</t>
    <phoneticPr fontId="1" type="noConversion"/>
  </si>
  <si>
    <t>pulp paper and printing 17T18</t>
    <phoneticPr fontId="1" type="noConversion"/>
  </si>
  <si>
    <t>船舶</t>
    <phoneticPr fontId="1" type="noConversion"/>
  </si>
  <si>
    <t>Bldgs</t>
    <phoneticPr fontId="1" type="noConversion"/>
  </si>
  <si>
    <t>nonroad vehicles 30</t>
    <phoneticPr fontId="1" type="noConversion"/>
  </si>
  <si>
    <t>textiles apparel and leather 13T15</t>
    <phoneticPr fontId="1" type="noConversion"/>
  </si>
  <si>
    <t>bldgs</t>
    <phoneticPr fontId="1" type="noConversion"/>
  </si>
  <si>
    <t>trans</t>
    <phoneticPr fontId="1" type="noConversion"/>
  </si>
  <si>
    <t>废弃物处理</t>
    <phoneticPr fontId="1" type="noConversion"/>
  </si>
  <si>
    <t>energy pipelines and gas processing 352T353</t>
    <phoneticPr fontId="1" type="noConversion"/>
  </si>
  <si>
    <t>轨道交通</t>
    <phoneticPr fontId="1" type="noConversion"/>
  </si>
  <si>
    <t>工业炉窑</t>
    <phoneticPr fontId="1" type="noConversion"/>
  </si>
  <si>
    <t>汽车制造</t>
    <phoneticPr fontId="1" type="noConversion"/>
  </si>
  <si>
    <t>非道路交通制造</t>
    <phoneticPr fontId="1" type="noConversion"/>
  </si>
  <si>
    <t>road vehicles 29</t>
    <phoneticPr fontId="1" type="noConversion"/>
  </si>
  <si>
    <t>除尘器</t>
    <phoneticPr fontId="1" type="noConversion"/>
  </si>
  <si>
    <t>water and waste 36T39</t>
    <phoneticPr fontId="1" type="noConversion"/>
  </si>
  <si>
    <t>机械行业</t>
  </si>
  <si>
    <t>机械行业</t>
    <phoneticPr fontId="1" type="noConversion"/>
  </si>
  <si>
    <t>通用设备</t>
    <phoneticPr fontId="1" type="noConversion"/>
  </si>
  <si>
    <t>专用设备</t>
    <phoneticPr fontId="1" type="noConversion"/>
  </si>
  <si>
    <t>仪器仪表</t>
    <phoneticPr fontId="1" type="noConversion"/>
  </si>
  <si>
    <t>电气机械</t>
    <phoneticPr fontId="1" type="noConversion"/>
  </si>
  <si>
    <t>电子设备</t>
    <phoneticPr fontId="1" type="noConversion"/>
  </si>
  <si>
    <t>glass and glass products 231</t>
    <phoneticPr fontId="1" type="noConversion"/>
  </si>
  <si>
    <t>other manufacturing 31T33</t>
    <phoneticPr fontId="1" type="noConversion"/>
  </si>
  <si>
    <t>computers and electronics 27</t>
    <phoneticPr fontId="1" type="noConversion"/>
  </si>
  <si>
    <t>computers and electronics 26</t>
    <phoneticPr fontId="1" type="noConversion"/>
  </si>
  <si>
    <t>appliances and electrical equipment 27</t>
    <phoneticPr fontId="1" type="noConversion"/>
  </si>
  <si>
    <t>工业水泵</t>
    <phoneticPr fontId="1" type="noConversion"/>
  </si>
  <si>
    <t>农业</t>
    <phoneticPr fontId="1" type="noConversion"/>
  </si>
  <si>
    <t>其他采矿</t>
    <phoneticPr fontId="1" type="noConversion"/>
  </si>
  <si>
    <t>agriculture and forestry 01T03</t>
    <phoneticPr fontId="1" type="noConversion"/>
  </si>
  <si>
    <t>other mining and quarrying 07T08</t>
    <phoneticPr fontId="1" type="noConversion"/>
  </si>
  <si>
    <t>food beverage and tobacco 10T12</t>
    <phoneticPr fontId="1" type="noConversion"/>
  </si>
  <si>
    <t>Cogeneration and Waste Heat Recovery</t>
    <phoneticPr fontId="1" type="noConversion"/>
  </si>
  <si>
    <t>Early Facility Retirement</t>
    <phoneticPr fontId="1" type="noConversion"/>
  </si>
  <si>
    <t>Installation and System Integration</t>
    <phoneticPr fontId="1" type="noConversion"/>
  </si>
  <si>
    <t>Improvement in Eqpt Efficiency Standards</t>
    <phoneticPr fontId="1" type="noConversion"/>
  </si>
  <si>
    <r>
      <rPr>
        <b/>
        <sz val="11"/>
        <color theme="1"/>
        <rFont val="宋体"/>
        <family val="3"/>
        <charset val="134"/>
      </rPr>
      <t>发布时间</t>
    </r>
    <phoneticPr fontId="1" type="noConversion"/>
  </si>
  <si>
    <r>
      <rPr>
        <b/>
        <sz val="11"/>
        <color theme="1"/>
        <rFont val="宋体"/>
        <family val="3"/>
        <charset val="134"/>
      </rPr>
      <t>技术名称</t>
    </r>
    <phoneticPr fontId="1" type="noConversion"/>
  </si>
  <si>
    <r>
      <rPr>
        <b/>
        <sz val="11"/>
        <color theme="1"/>
        <rFont val="宋体"/>
        <family val="3"/>
        <charset val="134"/>
      </rPr>
      <t>适用范围</t>
    </r>
    <phoneticPr fontId="1" type="noConversion"/>
  </si>
  <si>
    <r>
      <rPr>
        <b/>
        <sz val="11"/>
        <color theme="1"/>
        <rFont val="宋体"/>
        <family val="3"/>
        <charset val="134"/>
      </rPr>
      <t>技术类型</t>
    </r>
    <phoneticPr fontId="1" type="noConversion"/>
  </si>
  <si>
    <r>
      <t>EPS</t>
    </r>
    <r>
      <rPr>
        <b/>
        <sz val="11"/>
        <color theme="1"/>
        <rFont val="宋体"/>
        <family val="3"/>
        <charset val="134"/>
      </rPr>
      <t>政策</t>
    </r>
    <phoneticPr fontId="1" type="noConversion"/>
  </si>
  <si>
    <r>
      <rPr>
        <sz val="11"/>
        <color theme="1"/>
        <rFont val="宋体"/>
        <family val="3"/>
        <charset val="134"/>
      </rPr>
      <t>外循环生料立磨技术</t>
    </r>
  </si>
  <si>
    <r>
      <rPr>
        <sz val="11"/>
        <color theme="1"/>
        <rFont val="宋体"/>
        <family val="3"/>
        <charset val="134"/>
      </rPr>
      <t>建材</t>
    </r>
    <phoneticPr fontId="1" type="noConversion"/>
  </si>
  <si>
    <r>
      <rPr>
        <sz val="11"/>
        <color theme="1"/>
        <rFont val="宋体"/>
        <family val="3"/>
        <charset val="134"/>
      </rPr>
      <t>流程工业节能</t>
    </r>
    <phoneticPr fontId="1" type="noConversion"/>
  </si>
  <si>
    <r>
      <rPr>
        <sz val="11"/>
        <color theme="1"/>
        <rFont val="宋体"/>
        <family val="3"/>
        <charset val="134"/>
      </rPr>
      <t>钢渣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矿渣辊压机终粉磨系统</t>
    </r>
  </si>
  <si>
    <r>
      <rPr>
        <sz val="11"/>
        <color theme="1"/>
        <rFont val="宋体"/>
        <family val="3"/>
        <charset val="134"/>
      </rPr>
      <t>陶瓷原料连续制浆系统</t>
    </r>
  </si>
  <si>
    <r>
      <rPr>
        <sz val="11"/>
        <color theme="1"/>
        <rFont val="宋体"/>
        <family val="3"/>
        <charset val="134"/>
      </rPr>
      <t>带中段辊破的列进式冷却机</t>
    </r>
  </si>
  <si>
    <r>
      <rPr>
        <sz val="11"/>
        <color theme="1"/>
        <rFont val="宋体"/>
        <family val="3"/>
        <charset val="134"/>
      </rPr>
      <t>卧式玻璃直线四边砂轮式磨边技术</t>
    </r>
  </si>
  <si>
    <r>
      <rPr>
        <sz val="11"/>
        <color theme="1"/>
        <rFont val="宋体"/>
        <family val="3"/>
        <charset val="134"/>
      </rPr>
      <t>宽粒级磁铁矿湿式弱磁预选分级磨矿技术</t>
    </r>
  </si>
  <si>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</si>
  <si>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新型水泥熟料冷却技术及装备</t>
    </r>
  </si>
  <si>
    <r>
      <rPr>
        <sz val="11"/>
        <color theme="1"/>
        <rFont val="宋体"/>
        <family val="3"/>
        <charset val="134"/>
      </rPr>
      <t>高能效长寿化双膛立式石灰窑装备及控制技术</t>
    </r>
  </si>
  <si>
    <r>
      <rPr>
        <sz val="11"/>
        <color theme="1"/>
        <rFont val="宋体"/>
        <family val="3"/>
        <charset val="134"/>
      </rPr>
      <t>机械磨损陶瓷合金自动修复技术</t>
    </r>
  </si>
  <si>
    <r>
      <rPr>
        <sz val="11"/>
        <color theme="1"/>
        <rFont val="宋体"/>
        <family val="3"/>
        <charset val="134"/>
      </rPr>
      <t>焦炉加热优化控制及管理技术</t>
    </r>
  </si>
  <si>
    <r>
      <rPr>
        <sz val="11"/>
        <color theme="1"/>
        <rFont val="宋体"/>
        <family val="3"/>
        <charset val="134"/>
      </rPr>
      <t>升膜多效蒸发技术</t>
    </r>
  </si>
  <si>
    <r>
      <rPr>
        <sz val="11"/>
        <color theme="1"/>
        <rFont val="宋体"/>
        <family val="3"/>
        <charset val="134"/>
      </rPr>
      <t>化工</t>
    </r>
    <phoneticPr fontId="1" type="noConversion"/>
  </si>
  <si>
    <r>
      <rPr>
        <sz val="11"/>
        <color theme="1"/>
        <rFont val="宋体"/>
        <family val="3"/>
        <charset val="134"/>
      </rPr>
      <t>利用高热值危险废弃物替代水泥窑燃料综合技术</t>
    </r>
  </si>
  <si>
    <r>
      <rPr>
        <sz val="11"/>
        <color theme="1"/>
        <rFont val="宋体"/>
        <family val="3"/>
        <charset val="134"/>
      </rPr>
      <t>钢渣立磨终粉磨技术</t>
    </r>
  </si>
  <si>
    <r>
      <rPr>
        <sz val="11"/>
        <color theme="1"/>
        <rFont val="宋体"/>
        <family val="3"/>
        <charset val="134"/>
      </rPr>
      <t>建材</t>
    </r>
    <r>
      <rPr>
        <sz val="11"/>
        <color theme="1"/>
        <rFont val="Times New Roman"/>
        <family val="1"/>
      </rPr>
      <t>\</t>
    </r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</si>
  <si>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炉窑烟气节能降耗一体化技术</t>
    </r>
  </si>
  <si>
    <r>
      <rPr>
        <sz val="11"/>
        <color theme="1"/>
        <rFont val="宋体"/>
        <family val="3"/>
        <charset val="134"/>
      </rPr>
      <t>工业锅炉</t>
    </r>
    <phoneticPr fontId="1" type="noConversion"/>
  </si>
  <si>
    <r>
      <rPr>
        <sz val="11"/>
        <color theme="1"/>
        <rFont val="宋体"/>
        <family val="3"/>
        <charset val="134"/>
      </rPr>
      <t>低导热多层复合莫来石砖</t>
    </r>
  </si>
  <si>
    <r>
      <rPr>
        <sz val="11"/>
        <color theme="1"/>
        <rFont val="宋体"/>
        <family val="3"/>
        <charset val="134"/>
      </rPr>
      <t>大型清洁高效水煤浆气化技术</t>
    </r>
  </si>
  <si>
    <r>
      <rPr>
        <sz val="11"/>
        <color theme="1"/>
        <rFont val="宋体"/>
        <family val="3"/>
        <charset val="134"/>
      </rPr>
      <t>铜冶炼领域汽电双驱同轴压缩机组</t>
    </r>
    <r>
      <rPr>
        <sz val="11"/>
        <color theme="1"/>
        <rFont val="Times New Roman"/>
        <family val="1"/>
      </rPr>
      <t>(MCRT)</t>
    </r>
    <r>
      <rPr>
        <sz val="11"/>
        <color theme="1"/>
        <rFont val="宋体"/>
        <family val="3"/>
        <charset val="134"/>
      </rPr>
      <t>技术</t>
    </r>
  </si>
  <si>
    <r>
      <rPr>
        <sz val="11"/>
        <color theme="1"/>
        <rFont val="宋体"/>
        <family val="3"/>
        <charset val="134"/>
      </rPr>
      <t>有色金属</t>
    </r>
    <phoneticPr fontId="1" type="noConversion"/>
  </si>
  <si>
    <r>
      <rPr>
        <sz val="11"/>
        <color theme="1"/>
        <rFont val="宋体"/>
        <family val="3"/>
        <charset val="134"/>
      </rPr>
      <t>汽轮驱动高炉鼓风机与电动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发电机同轴机组技术</t>
    </r>
  </si>
  <si>
    <r>
      <rPr>
        <sz val="11"/>
        <color theme="1"/>
        <rFont val="宋体"/>
        <family val="3"/>
        <charset val="134"/>
      </rPr>
      <t>锅炉烟气深度冷却技术</t>
    </r>
  </si>
  <si>
    <r>
      <rPr>
        <sz val="11"/>
        <color theme="1"/>
        <rFont val="宋体"/>
        <family val="3"/>
        <charset val="134"/>
      </rPr>
      <t>余热余压利用</t>
    </r>
    <phoneticPr fontId="1" type="noConversion"/>
  </si>
  <si>
    <r>
      <rPr>
        <sz val="11"/>
        <color theme="1"/>
        <rFont val="宋体"/>
        <family val="3"/>
        <charset val="134"/>
      </rPr>
      <t>工业循环水余压能量闭环回收利用技术</t>
    </r>
  </si>
  <si>
    <r>
      <rPr>
        <sz val="11"/>
        <color theme="1"/>
        <rFont val="宋体"/>
        <family val="3"/>
        <charset val="134"/>
      </rPr>
      <t>工业循环水</t>
    </r>
    <phoneticPr fontId="1" type="noConversion"/>
  </si>
  <si>
    <r>
      <rPr>
        <sz val="11"/>
        <color theme="1"/>
        <rFont val="宋体"/>
        <family val="3"/>
        <charset val="134"/>
      </rPr>
      <t>微型燃气轮机能源梯级利用节能技术</t>
    </r>
  </si>
  <si>
    <r>
      <rPr>
        <sz val="11"/>
        <color theme="1"/>
        <rFont val="宋体"/>
        <family val="3"/>
        <charset val="134"/>
      </rPr>
      <t>微型燃气轮机</t>
    </r>
    <phoneticPr fontId="1" type="noConversion"/>
  </si>
  <si>
    <r>
      <rPr>
        <sz val="11"/>
        <color theme="1"/>
        <rFont val="宋体"/>
        <family val="3"/>
        <charset val="134"/>
      </rPr>
      <t>工业燃煤机组烟气低品位余热回收利用技术</t>
    </r>
  </si>
  <si>
    <r>
      <rPr>
        <sz val="11"/>
        <color theme="1"/>
        <rFont val="宋体"/>
        <family val="3"/>
        <charset val="134"/>
      </rPr>
      <t>电力、热力生产</t>
    </r>
    <phoneticPr fontId="1" type="noConversion"/>
  </si>
  <si>
    <r>
      <rPr>
        <sz val="11"/>
        <color theme="1"/>
        <rFont val="宋体"/>
        <family val="3"/>
        <charset val="134"/>
      </rPr>
      <t>电厂用低压驱动热泵技术</t>
    </r>
  </si>
  <si>
    <r>
      <rPr>
        <sz val="11"/>
        <color theme="1"/>
        <rFont val="宋体"/>
        <family val="3"/>
        <charset val="134"/>
      </rPr>
      <t>旋转电磁制热技术</t>
    </r>
  </si>
  <si>
    <r>
      <rPr>
        <sz val="11"/>
        <color theme="1"/>
        <rFont val="宋体"/>
        <family val="3"/>
        <charset val="134"/>
      </rPr>
      <t>重点用能设备及系统节能</t>
    </r>
    <phoneticPr fontId="1" type="noConversion"/>
  </si>
  <si>
    <r>
      <rPr>
        <sz val="11"/>
        <color theme="1"/>
        <rFont val="宋体"/>
        <family val="3"/>
        <charset val="134"/>
      </rPr>
      <t>多模式节能型低露点干燥技术</t>
    </r>
  </si>
  <si>
    <r>
      <rPr>
        <sz val="11"/>
        <color theme="1"/>
        <rFont val="宋体"/>
        <family val="3"/>
        <charset val="134"/>
      </rPr>
      <t>压缩空气系统</t>
    </r>
    <phoneticPr fontId="1" type="noConversion"/>
  </si>
  <si>
    <r>
      <rPr>
        <sz val="11"/>
        <color theme="1"/>
        <rFont val="宋体"/>
        <family val="3"/>
        <charset val="134"/>
      </rPr>
      <t>异步电机永磁化改造技术</t>
    </r>
  </si>
  <si>
    <r>
      <rPr>
        <sz val="11"/>
        <color theme="1"/>
        <rFont val="宋体"/>
        <family val="3"/>
        <charset val="134"/>
      </rPr>
      <t>电动机系统</t>
    </r>
    <phoneticPr fontId="1" type="noConversion"/>
  </si>
  <si>
    <r>
      <rPr>
        <sz val="11"/>
        <color theme="1"/>
        <rFont val="宋体"/>
        <family val="3"/>
        <charset val="134"/>
      </rPr>
      <t>特制电机技术</t>
    </r>
  </si>
  <si>
    <r>
      <rPr>
        <sz val="11"/>
        <color theme="1"/>
        <rFont val="宋体"/>
        <family val="3"/>
        <charset val="134"/>
      </rPr>
      <t>中央空调热水锅炉</t>
    </r>
  </si>
  <si>
    <r>
      <rPr>
        <sz val="11"/>
        <color theme="1"/>
        <rFont val="宋体"/>
        <family val="3"/>
        <charset val="134"/>
      </rPr>
      <t>空调系统</t>
    </r>
    <phoneticPr fontId="1" type="noConversion"/>
  </si>
  <si>
    <r>
      <rPr>
        <sz val="11"/>
        <color theme="1"/>
        <rFont val="宋体"/>
        <family val="3"/>
        <charset val="134"/>
      </rPr>
      <t>电缸驱动游梁式抽油机技术</t>
    </r>
  </si>
  <si>
    <r>
      <rPr>
        <sz val="11"/>
        <color theme="1"/>
        <rFont val="宋体"/>
        <family val="3"/>
        <charset val="134"/>
      </rPr>
      <t>油气开采</t>
    </r>
    <phoneticPr fontId="1" type="noConversion"/>
  </si>
  <si>
    <r>
      <rPr>
        <sz val="11"/>
        <color theme="1"/>
        <rFont val="宋体"/>
        <family val="3"/>
        <charset val="134"/>
      </rPr>
      <t>智能磁悬浮透平真空泵综合节能技术</t>
    </r>
  </si>
  <si>
    <r>
      <rPr>
        <sz val="11"/>
        <color theme="1"/>
        <rFont val="宋体"/>
        <family val="3"/>
        <charset val="134"/>
      </rPr>
      <t>造纸</t>
    </r>
    <phoneticPr fontId="1" type="noConversion"/>
  </si>
  <si>
    <r>
      <rPr>
        <sz val="11"/>
        <color theme="1"/>
        <rFont val="宋体"/>
        <family val="3"/>
        <charset val="134"/>
      </rPr>
      <t>超大型</t>
    </r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段蓄热式高速燃烧技术</t>
    </r>
  </si>
  <si>
    <r>
      <rPr>
        <sz val="11"/>
        <color theme="1"/>
        <rFont val="宋体"/>
        <family val="3"/>
        <charset val="134"/>
      </rPr>
      <t>卧式油冷型永磁调速器技术</t>
    </r>
  </si>
  <si>
    <r>
      <rPr>
        <sz val="11"/>
        <color theme="1"/>
        <rFont val="宋体"/>
        <family val="3"/>
        <charset val="134"/>
      </rPr>
      <t>电极锅炉设计技术开发及制造</t>
    </r>
  </si>
  <si>
    <r>
      <rPr>
        <sz val="11"/>
        <color theme="1"/>
        <rFont val="宋体"/>
        <family val="3"/>
        <charset val="134"/>
      </rPr>
      <t>汽轮机变工况运行改造节能技术</t>
    </r>
  </si>
  <si>
    <r>
      <rPr>
        <sz val="11"/>
        <color theme="1"/>
        <rFont val="宋体"/>
        <family val="3"/>
        <charset val="134"/>
      </rPr>
      <t>循环水系统节能技术</t>
    </r>
  </si>
  <si>
    <r>
      <rPr>
        <sz val="11"/>
        <color theme="1"/>
        <rFont val="宋体"/>
        <family val="3"/>
        <charset val="134"/>
      </rPr>
      <t>燃煤锅炉智能调载趋零积灰趋零结露深度节能技术</t>
    </r>
  </si>
  <si>
    <r>
      <rPr>
        <sz val="11"/>
        <color theme="1"/>
        <rFont val="宋体"/>
        <family val="3"/>
        <charset val="134"/>
      </rPr>
      <t>低温空气源热泵供热技术</t>
    </r>
  </si>
  <si>
    <r>
      <rPr>
        <sz val="11"/>
        <color theme="1"/>
        <rFont val="宋体"/>
        <family val="3"/>
        <charset val="134"/>
      </rPr>
      <t>园区型新能源微电网节能技术</t>
    </r>
  </si>
  <si>
    <r>
      <rPr>
        <sz val="11"/>
        <color theme="1"/>
        <rFont val="宋体"/>
        <family val="3"/>
        <charset val="134"/>
      </rPr>
      <t>能源信息化</t>
    </r>
    <phoneticPr fontId="1" type="noConversion"/>
  </si>
  <si>
    <r>
      <rPr>
        <sz val="11"/>
        <color theme="1"/>
        <rFont val="宋体"/>
        <family val="3"/>
        <charset val="134"/>
      </rPr>
      <t>基于大数据的船舶企业智慧能源管控信息系统</t>
    </r>
  </si>
  <si>
    <r>
      <rPr>
        <sz val="11"/>
        <color theme="1"/>
        <rFont val="宋体"/>
        <family val="3"/>
        <charset val="134"/>
      </rPr>
      <t>船舶</t>
    </r>
    <phoneticPr fontId="1" type="noConversion"/>
  </si>
  <si>
    <r>
      <rPr>
        <sz val="11"/>
        <color theme="1"/>
        <rFont val="宋体"/>
        <family val="3"/>
        <charset val="134"/>
      </rPr>
      <t>能效分析管理与诊断优化节能技术</t>
    </r>
  </si>
  <si>
    <r>
      <rPr>
        <sz val="11"/>
        <color theme="1"/>
        <rFont val="宋体"/>
        <family val="3"/>
        <charset val="134"/>
      </rPr>
      <t>能源系统</t>
    </r>
    <phoneticPr fontId="1" type="noConversion"/>
  </si>
  <si>
    <r>
      <rPr>
        <sz val="11"/>
        <color theme="1"/>
        <rFont val="宋体"/>
        <family val="3"/>
        <charset val="134"/>
      </rPr>
      <t>工业企业综合能源管控平台</t>
    </r>
  </si>
  <si>
    <r>
      <rPr>
        <sz val="11"/>
        <color theme="1"/>
        <rFont val="宋体"/>
        <family val="3"/>
        <charset val="134"/>
      </rPr>
      <t>中央空调节能优化管理控制系统</t>
    </r>
  </si>
  <si>
    <r>
      <rPr>
        <sz val="11"/>
        <color theme="1"/>
        <rFont val="宋体"/>
        <family val="3"/>
        <charset val="134"/>
      </rPr>
      <t>工厂动力设备新型故障诊断及能源管理技术</t>
    </r>
  </si>
  <si>
    <r>
      <rPr>
        <sz val="11"/>
        <color theme="1"/>
        <rFont val="宋体"/>
        <family val="3"/>
        <charset val="134"/>
      </rPr>
      <t>能源消耗在线监测智慧管理平台</t>
    </r>
  </si>
  <si>
    <r>
      <rPr>
        <sz val="11"/>
        <color theme="1"/>
        <rFont val="宋体"/>
        <family val="3"/>
        <charset val="134"/>
      </rPr>
      <t>钢铁企业智慧能源管控系统</t>
    </r>
  </si>
  <si>
    <r>
      <rPr>
        <sz val="11"/>
        <color theme="1"/>
        <rFont val="宋体"/>
        <family val="3"/>
        <charset val="134"/>
      </rPr>
      <t>园区多能互补微网系统技术</t>
    </r>
  </si>
  <si>
    <r>
      <rPr>
        <sz val="11"/>
        <color theme="1"/>
        <rFont val="宋体"/>
        <family val="3"/>
        <charset val="134"/>
      </rPr>
      <t>能耗数据采集及能效分析关键技术</t>
    </r>
  </si>
  <si>
    <r>
      <rPr>
        <sz val="11"/>
        <color theme="1"/>
        <rFont val="宋体"/>
        <family val="3"/>
        <charset val="134"/>
      </rPr>
      <t>企业能源可视化管理系统</t>
    </r>
  </si>
  <si>
    <r>
      <rPr>
        <sz val="11"/>
        <color theme="1"/>
        <rFont val="宋体"/>
        <family val="3"/>
        <charset val="134"/>
      </rPr>
      <t>基于工业互联网钢铁企业智慧能源管控系统</t>
    </r>
  </si>
  <si>
    <r>
      <rPr>
        <sz val="11"/>
        <color theme="1"/>
        <rFont val="宋体"/>
        <family val="3"/>
        <charset val="134"/>
      </rPr>
      <t>磁悬浮中央空调机房节能改造技术</t>
    </r>
  </si>
  <si>
    <r>
      <rPr>
        <sz val="11"/>
        <color theme="1"/>
        <rFont val="宋体"/>
        <family val="3"/>
        <charset val="134"/>
      </rPr>
      <t>退役电池梯次利用储能系统</t>
    </r>
  </si>
  <si>
    <r>
      <rPr>
        <sz val="11"/>
        <color theme="1"/>
        <rFont val="宋体"/>
        <family val="3"/>
        <charset val="134"/>
      </rPr>
      <t>铜包铝芯节能环保电力电缆</t>
    </r>
  </si>
  <si>
    <r>
      <rPr>
        <sz val="11"/>
        <color theme="1"/>
        <rFont val="宋体"/>
        <family val="3"/>
        <charset val="134"/>
      </rPr>
      <t>高效节能等离子织物前处理技术</t>
    </r>
  </si>
  <si>
    <r>
      <rPr>
        <sz val="11"/>
        <color theme="1"/>
        <rFont val="宋体"/>
        <family val="3"/>
        <charset val="134"/>
      </rPr>
      <t>纺织</t>
    </r>
    <phoneticPr fontId="1" type="noConversion"/>
  </si>
  <si>
    <r>
      <rPr>
        <sz val="11"/>
        <color theme="1"/>
        <rFont val="宋体"/>
        <family val="3"/>
        <charset val="134"/>
      </rPr>
      <t>介孔绝热材料节能技术及应用</t>
    </r>
  </si>
  <si>
    <r>
      <rPr>
        <sz val="11"/>
        <color theme="1"/>
        <rFont val="宋体"/>
        <family val="3"/>
        <charset val="134"/>
      </rPr>
      <t>双源热泵废热梯级利用技术</t>
    </r>
  </si>
  <si>
    <r>
      <rPr>
        <sz val="11"/>
        <color theme="1"/>
        <rFont val="宋体"/>
        <family val="3"/>
        <charset val="134"/>
      </rPr>
      <t>新钠灯照明节能技术</t>
    </r>
  </si>
  <si>
    <r>
      <rPr>
        <sz val="11"/>
        <color theme="1"/>
        <rFont val="宋体"/>
        <family val="3"/>
        <charset val="134"/>
      </rPr>
      <t>户外照明</t>
    </r>
    <phoneticPr fontId="1" type="noConversion"/>
  </si>
  <si>
    <r>
      <rPr>
        <sz val="11"/>
        <color theme="1"/>
        <rFont val="宋体"/>
        <family val="3"/>
        <charset val="134"/>
      </rPr>
      <t>城轨永磁牵引系统</t>
    </r>
  </si>
  <si>
    <r>
      <rPr>
        <sz val="11"/>
        <color theme="1"/>
        <rFont val="宋体"/>
        <family val="3"/>
        <charset val="134"/>
      </rPr>
      <t>轨道交通</t>
    </r>
    <phoneticPr fontId="1" type="noConversion"/>
  </si>
  <si>
    <r>
      <rPr>
        <sz val="11"/>
        <color theme="1"/>
        <rFont val="宋体"/>
        <family val="3"/>
        <charset val="134"/>
      </rPr>
      <t>地铁再生制动能量回馈关键技术与应用</t>
    </r>
  </si>
  <si>
    <r>
      <rPr>
        <sz val="11"/>
        <color theme="1"/>
        <rFont val="宋体"/>
        <family val="3"/>
        <charset val="134"/>
      </rPr>
      <t>板管蒸发冷却式空调制冷技术</t>
    </r>
  </si>
  <si>
    <r>
      <rPr>
        <sz val="11"/>
        <color theme="1"/>
        <rFont val="宋体"/>
        <family val="3"/>
        <charset val="134"/>
      </rPr>
      <t>转臂式液密封环冷机</t>
    </r>
    <phoneticPr fontId="1" type="noConversion"/>
  </si>
  <si>
    <r>
      <t>DP</t>
    </r>
    <r>
      <rPr>
        <sz val="11"/>
        <color theme="1"/>
        <rFont val="宋体"/>
        <family val="3"/>
        <charset val="134"/>
      </rPr>
      <t>系列废钢预热连续加料输送成套设备</t>
    </r>
  </si>
  <si>
    <r>
      <rPr>
        <sz val="11"/>
        <color theme="1"/>
        <rFont val="宋体"/>
        <family val="3"/>
        <charset val="134"/>
      </rPr>
      <t>≤</t>
    </r>
    <r>
      <rPr>
        <sz val="11"/>
        <color theme="1"/>
        <rFont val="Times New Roman"/>
        <family val="1"/>
      </rPr>
      <t>1%</t>
    </r>
  </si>
  <si>
    <r>
      <t>600kA</t>
    </r>
    <r>
      <rPr>
        <sz val="11"/>
        <color theme="1"/>
        <rFont val="宋体"/>
        <family val="3"/>
        <charset val="134"/>
      </rPr>
      <t>级超大容量铝电解槽技术</t>
    </r>
  </si>
  <si>
    <r>
      <rPr>
        <sz val="11"/>
        <color theme="1"/>
        <rFont val="宋体"/>
        <family val="3"/>
        <charset val="134"/>
      </rPr>
      <t>铝电解槽智能打壳系统</t>
    </r>
  </si>
  <si>
    <r>
      <rPr>
        <sz val="11"/>
        <color theme="1"/>
        <rFont val="宋体"/>
        <family val="3"/>
        <charset val="134"/>
      </rPr>
      <t>建筑陶瓷新型多层干燥器与宽体辊道窑成套节能技术装备</t>
    </r>
  </si>
  <si>
    <r>
      <rPr>
        <sz val="11"/>
        <color theme="1"/>
        <rFont val="宋体"/>
        <family val="3"/>
        <charset val="134"/>
      </rPr>
      <t>水泥窑用系列低导热莫来石砖</t>
    </r>
  </si>
  <si>
    <r>
      <rPr>
        <sz val="11"/>
        <color theme="1"/>
        <rFont val="宋体"/>
        <family val="3"/>
        <charset val="134"/>
      </rPr>
      <t>三效溶剂回收节能蒸馏技术</t>
    </r>
  </si>
  <si>
    <r>
      <rPr>
        <sz val="11"/>
        <color theme="1"/>
        <rFont val="宋体"/>
        <family val="3"/>
        <charset val="134"/>
      </rPr>
      <t>用于制取优级糠醛的节能蒸馏技术</t>
    </r>
  </si>
  <si>
    <r>
      <rPr>
        <sz val="11"/>
        <color theme="1"/>
        <rFont val="宋体"/>
        <family val="3"/>
        <charset val="134"/>
      </rPr>
      <t>无水酒精回收塔节能装置的研发技术</t>
    </r>
  </si>
  <si>
    <r>
      <rPr>
        <sz val="11"/>
        <color theme="1"/>
        <rFont val="宋体"/>
        <family val="3"/>
        <charset val="134"/>
      </rPr>
      <t>硫酸铜三效混流真空蒸发技术</t>
    </r>
  </si>
  <si>
    <r>
      <rPr>
        <sz val="11"/>
        <color theme="1"/>
        <rFont val="宋体"/>
        <family val="3"/>
        <charset val="134"/>
      </rPr>
      <t>模块化梯级回热式清洁燃煤气化技术（</t>
    </r>
    <r>
      <rPr>
        <sz val="11"/>
        <color theme="1"/>
        <rFont val="Times New Roman"/>
        <family val="1"/>
      </rPr>
      <t>MCREG)</t>
    </r>
  </si>
  <si>
    <r>
      <rPr>
        <sz val="11"/>
        <color theme="1"/>
        <rFont val="宋体"/>
        <family val="3"/>
        <charset val="134"/>
      </rPr>
      <t>石化</t>
    </r>
    <phoneticPr fontId="1" type="noConversion"/>
  </si>
  <si>
    <r>
      <rPr>
        <sz val="11"/>
        <color theme="1"/>
        <rFont val="宋体"/>
        <family val="3"/>
        <charset val="134"/>
      </rPr>
      <t>自支撑纵向流无折流板管壳式换热器</t>
    </r>
  </si>
  <si>
    <r>
      <rPr>
        <sz val="11"/>
        <color theme="1"/>
        <rFont val="宋体"/>
        <family val="3"/>
        <charset val="134"/>
      </rPr>
      <t>新型三维整体隐形翅片管换热器</t>
    </r>
  </si>
  <si>
    <r>
      <rPr>
        <sz val="11"/>
        <color theme="1"/>
        <rFont val="宋体"/>
        <family val="3"/>
        <charset val="134"/>
      </rPr>
      <t>高效节能熔炼技术</t>
    </r>
  </si>
  <si>
    <r>
      <rPr>
        <sz val="11"/>
        <color theme="1"/>
        <rFont val="宋体"/>
        <family val="3"/>
        <charset val="134"/>
      </rPr>
      <t>石墨烯机油添加剂</t>
    </r>
  </si>
  <si>
    <r>
      <rPr>
        <sz val="11"/>
        <color theme="1"/>
        <rFont val="宋体"/>
        <family val="3"/>
        <charset val="134"/>
      </rPr>
      <t>改性活性炭吸附、贫油吸收组合油气回收工艺技术</t>
    </r>
  </si>
  <si>
    <r>
      <t>36</t>
    </r>
    <r>
      <rPr>
        <sz val="11"/>
        <color theme="1"/>
        <rFont val="宋体"/>
        <family val="3"/>
        <charset val="134"/>
      </rPr>
      <t>万吨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年高效宽工况硝酸四合一机组技术</t>
    </r>
  </si>
  <si>
    <r>
      <rPr>
        <sz val="11"/>
        <color theme="1"/>
        <rFont val="宋体"/>
        <family val="3"/>
        <charset val="134"/>
      </rPr>
      <t>流程工艺风机及系统管网优化节能技术</t>
    </r>
  </si>
  <si>
    <r>
      <rPr>
        <sz val="11"/>
        <color theme="1"/>
        <rFont val="宋体"/>
        <family val="3"/>
        <charset val="134"/>
      </rPr>
      <t>风机系统</t>
    </r>
    <phoneticPr fontId="1" type="noConversion"/>
  </si>
  <si>
    <r>
      <rPr>
        <sz val="11"/>
        <color theme="1"/>
        <rFont val="宋体"/>
        <family val="3"/>
        <charset val="134"/>
      </rPr>
      <t>工业用永磁辅助磁阻同步电机技术</t>
    </r>
  </si>
  <si>
    <r>
      <rPr>
        <sz val="11"/>
        <color theme="1"/>
        <rFont val="宋体"/>
        <family val="3"/>
        <charset val="134"/>
      </rPr>
      <t>特大型高炉鼓风高效节能装置技术</t>
    </r>
  </si>
  <si>
    <r>
      <rPr>
        <sz val="11"/>
        <color theme="1"/>
        <rFont val="宋体"/>
        <family val="3"/>
        <charset val="134"/>
      </rPr>
      <t>高效低碳微通道换热器技术</t>
    </r>
  </si>
  <si>
    <r>
      <rPr>
        <sz val="11"/>
        <color theme="1"/>
        <rFont val="宋体"/>
        <family val="3"/>
        <charset val="134"/>
      </rPr>
      <t>等离子体点火及稳燃技术</t>
    </r>
  </si>
  <si>
    <r>
      <rPr>
        <sz val="11"/>
        <color theme="1"/>
        <rFont val="宋体"/>
        <family val="3"/>
        <charset val="134"/>
      </rPr>
      <t>高效动压气悬浮离心压缩机关键技术</t>
    </r>
  </si>
  <si>
    <r>
      <rPr>
        <sz val="11"/>
        <color theme="1"/>
        <rFont val="宋体"/>
        <family val="3"/>
        <charset val="134"/>
      </rPr>
      <t>跨临界</t>
    </r>
    <r>
      <rPr>
        <sz val="11"/>
        <color theme="1"/>
        <rFont val="Times New Roman"/>
        <family val="1"/>
      </rPr>
      <t>CO2</t>
    </r>
    <r>
      <rPr>
        <sz val="11"/>
        <color theme="1"/>
        <rFont val="宋体"/>
        <family val="3"/>
        <charset val="134"/>
      </rPr>
      <t>热泵的并行复合循环关键技术</t>
    </r>
  </si>
  <si>
    <r>
      <rPr>
        <sz val="11"/>
        <color theme="1"/>
        <rFont val="宋体"/>
        <family val="3"/>
        <charset val="134"/>
      </rPr>
      <t>热泵系统</t>
    </r>
    <phoneticPr fontId="1" type="noConversion"/>
  </si>
  <si>
    <r>
      <rPr>
        <sz val="11"/>
        <color theme="1"/>
        <rFont val="宋体"/>
        <family val="3"/>
        <charset val="134"/>
      </rPr>
      <t>节能高效多级小焓降冲动式汽轮机</t>
    </r>
  </si>
  <si>
    <r>
      <rPr>
        <sz val="11"/>
        <color theme="1"/>
        <rFont val="宋体"/>
        <family val="3"/>
        <charset val="134"/>
      </rPr>
      <t>汽轮机</t>
    </r>
    <phoneticPr fontId="1" type="noConversion"/>
  </si>
  <si>
    <r>
      <rPr>
        <sz val="11"/>
        <color theme="1"/>
        <rFont val="宋体"/>
        <family val="3"/>
        <charset val="134"/>
      </rPr>
      <t>有机郎肯循环（</t>
    </r>
    <r>
      <rPr>
        <sz val="11"/>
        <color theme="1"/>
        <rFont val="Times New Roman"/>
        <family val="1"/>
      </rPr>
      <t>ORC</t>
    </r>
    <r>
      <rPr>
        <sz val="11"/>
        <color theme="1"/>
        <rFont val="宋体"/>
        <family val="3"/>
        <charset val="134"/>
      </rPr>
      <t>）发电技术</t>
    </r>
  </si>
  <si>
    <r>
      <rPr>
        <sz val="11"/>
        <color theme="1"/>
        <rFont val="宋体"/>
        <family val="3"/>
        <charset val="134"/>
      </rPr>
      <t>开关磁阻电机驱动系统</t>
    </r>
  </si>
  <si>
    <r>
      <rPr>
        <sz val="11"/>
        <color theme="1"/>
        <rFont val="宋体"/>
        <family val="3"/>
        <charset val="134"/>
      </rPr>
      <t>纯方波永磁无刷电机及驱动器节能技术</t>
    </r>
  </si>
  <si>
    <r>
      <rPr>
        <sz val="11"/>
        <color theme="1"/>
        <rFont val="宋体"/>
        <family val="3"/>
        <charset val="134"/>
      </rPr>
      <t>先导式气力物料运输系统</t>
    </r>
  </si>
  <si>
    <r>
      <rPr>
        <sz val="11"/>
        <color theme="1"/>
        <rFont val="宋体"/>
        <family val="3"/>
        <charset val="134"/>
      </rPr>
      <t>燃气生产和供应业</t>
    </r>
    <phoneticPr fontId="1" type="noConversion"/>
  </si>
  <si>
    <r>
      <rPr>
        <sz val="11"/>
        <color theme="1"/>
        <rFont val="宋体"/>
        <family val="3"/>
        <charset val="134"/>
      </rPr>
      <t>永磁电机内装式矿井提升机</t>
    </r>
  </si>
  <si>
    <r>
      <rPr>
        <sz val="11"/>
        <color theme="1"/>
        <rFont val="宋体"/>
        <family val="3"/>
        <charset val="134"/>
      </rPr>
      <t>煤炭开采</t>
    </r>
    <phoneticPr fontId="1" type="noConversion"/>
  </si>
  <si>
    <r>
      <rPr>
        <sz val="11"/>
        <color theme="1"/>
        <rFont val="宋体"/>
        <family val="3"/>
        <charset val="134"/>
      </rPr>
      <t>卧式油冷型永磁调速器</t>
    </r>
    <phoneticPr fontId="1" type="noConversion"/>
  </si>
  <si>
    <r>
      <rPr>
        <sz val="11"/>
        <color theme="1"/>
        <rFont val="宋体"/>
        <family val="3"/>
        <charset val="134"/>
      </rPr>
      <t>新型热源塔热泵系统</t>
    </r>
  </si>
  <si>
    <r>
      <rPr>
        <sz val="11"/>
        <color theme="1"/>
        <rFont val="宋体"/>
        <family val="3"/>
        <charset val="134"/>
      </rPr>
      <t>永磁伺服电机节能动力系统</t>
    </r>
  </si>
  <si>
    <r>
      <rPr>
        <sz val="11"/>
        <color theme="1"/>
        <rFont val="宋体"/>
        <family val="3"/>
        <charset val="134"/>
      </rPr>
      <t>柴油机电力测功系统电力回馈技术</t>
    </r>
  </si>
  <si>
    <r>
      <rPr>
        <sz val="11"/>
        <color theme="1"/>
        <rFont val="宋体"/>
        <family val="3"/>
        <charset val="134"/>
      </rPr>
      <t>船舶内燃机</t>
    </r>
    <phoneticPr fontId="1" type="noConversion"/>
  </si>
  <si>
    <r>
      <rPr>
        <sz val="11"/>
        <color theme="1"/>
        <rFont val="宋体"/>
        <family val="3"/>
        <charset val="134"/>
      </rPr>
      <t>全预混冷凝燃气热水锅炉</t>
    </r>
  </si>
  <si>
    <r>
      <rPr>
        <sz val="11"/>
        <color theme="1"/>
        <rFont val="宋体"/>
        <family val="3"/>
        <charset val="134"/>
      </rPr>
      <t>大型制冷机组高效节能环境模拟和检测技术</t>
    </r>
  </si>
  <si>
    <r>
      <rPr>
        <sz val="11"/>
        <color theme="1"/>
        <rFont val="宋体"/>
        <family val="3"/>
        <charset val="134"/>
      </rPr>
      <t>黑体强化辐射传热节能技术</t>
    </r>
  </si>
  <si>
    <r>
      <rPr>
        <sz val="11"/>
        <color theme="1"/>
        <rFont val="宋体"/>
        <family val="3"/>
        <charset val="134"/>
      </rPr>
      <t>工业炉窑</t>
    </r>
    <phoneticPr fontId="1" type="noConversion"/>
  </si>
  <si>
    <r>
      <rPr>
        <sz val="11"/>
        <color theme="1"/>
        <rFont val="宋体"/>
        <family val="3"/>
        <charset val="134"/>
      </rPr>
      <t>基于水力空化的汽车涂装车间低温脱脂节能技术</t>
    </r>
  </si>
  <si>
    <r>
      <rPr>
        <sz val="11"/>
        <color theme="1"/>
        <rFont val="宋体"/>
        <family val="3"/>
        <charset val="134"/>
      </rPr>
      <t>汽车制造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非道路交通</t>
    </r>
    <phoneticPr fontId="1" type="noConversion"/>
  </si>
  <si>
    <r>
      <rPr>
        <sz val="11"/>
        <color theme="1"/>
        <rFont val="宋体"/>
        <family val="3"/>
        <charset val="134"/>
      </rPr>
      <t>汽车制造</t>
    </r>
    <phoneticPr fontId="1" type="noConversion"/>
  </si>
  <si>
    <r>
      <rPr>
        <sz val="11"/>
        <color theme="1"/>
        <rFont val="宋体"/>
        <family val="3"/>
        <charset val="134"/>
      </rPr>
      <t>非道路交通制造</t>
    </r>
    <phoneticPr fontId="1" type="noConversion"/>
  </si>
  <si>
    <r>
      <rPr>
        <sz val="11"/>
        <color theme="1"/>
        <rFont val="宋体"/>
        <family val="3"/>
        <charset val="134"/>
      </rPr>
      <t>高电压大功率成套固体电蓄热炉</t>
    </r>
  </si>
  <si>
    <r>
      <rPr>
        <sz val="11"/>
        <color theme="1"/>
        <rFont val="宋体"/>
        <family val="3"/>
        <charset val="134"/>
      </rPr>
      <t>可再生能源高效利用</t>
    </r>
    <phoneticPr fontId="1" type="noConversion"/>
  </si>
  <si>
    <r>
      <rPr>
        <sz val="11"/>
        <color theme="1"/>
        <rFont val="宋体"/>
        <family val="3"/>
        <charset val="134"/>
      </rPr>
      <t>基于飞轮储能的发电机功率补偿及节能技术</t>
    </r>
  </si>
  <si>
    <r>
      <rPr>
        <sz val="11"/>
        <color theme="1"/>
        <rFont val="宋体"/>
        <family val="3"/>
        <charset val="134"/>
      </rPr>
      <t>用户侧分布式智慧储能关键技术</t>
    </r>
  </si>
  <si>
    <r>
      <rPr>
        <sz val="11"/>
        <color theme="1"/>
        <rFont val="宋体"/>
        <family val="3"/>
        <charset val="134"/>
      </rPr>
      <t>分时实现变频调速及电能质量治理技术</t>
    </r>
  </si>
  <si>
    <r>
      <rPr>
        <sz val="11"/>
        <color theme="1"/>
        <rFont val="宋体"/>
        <family val="3"/>
        <charset val="134"/>
      </rPr>
      <t>面向新能源接入的高效电能质量治理装置</t>
    </r>
  </si>
  <si>
    <r>
      <rPr>
        <sz val="11"/>
        <color theme="1"/>
        <rFont val="宋体"/>
        <family val="3"/>
        <charset val="134"/>
      </rPr>
      <t>电除尘器新型节能高频高压供电及控制技术</t>
    </r>
  </si>
  <si>
    <r>
      <rPr>
        <sz val="11"/>
        <color theme="1"/>
        <rFont val="宋体"/>
        <family val="3"/>
        <charset val="134"/>
      </rPr>
      <t>除尘器</t>
    </r>
    <phoneticPr fontId="1" type="noConversion"/>
  </si>
  <si>
    <r>
      <rPr>
        <sz val="11"/>
        <color theme="1"/>
        <rFont val="宋体"/>
        <family val="3"/>
        <charset val="134"/>
      </rPr>
      <t>成品油管网智慧用能决策系统</t>
    </r>
  </si>
  <si>
    <r>
      <rPr>
        <sz val="11"/>
        <color theme="1"/>
        <rFont val="宋体"/>
        <family val="3"/>
        <charset val="134"/>
      </rPr>
      <t>智慧能源管控系统</t>
    </r>
    <phoneticPr fontId="1" type="noConversion"/>
  </si>
  <si>
    <r>
      <rPr>
        <sz val="11"/>
        <color theme="1"/>
        <rFont val="宋体"/>
        <family val="3"/>
        <charset val="134"/>
      </rPr>
      <t>基于边缘计算的流程工业智能优化控制技术</t>
    </r>
  </si>
  <si>
    <r>
      <rPr>
        <sz val="11"/>
        <color theme="1"/>
        <rFont val="宋体"/>
        <family val="3"/>
        <charset val="134"/>
      </rPr>
      <t>中小型冷库制冷机组的智能热氟融霜节能技术</t>
    </r>
  </si>
  <si>
    <r>
      <rPr>
        <sz val="11"/>
        <color theme="1"/>
        <rFont val="宋体"/>
        <family val="3"/>
        <charset val="134"/>
      </rPr>
      <t>直流母线群控供电系统</t>
    </r>
  </si>
  <si>
    <r>
      <rPr>
        <sz val="11"/>
        <color theme="1"/>
        <rFont val="宋体"/>
        <family val="3"/>
        <charset val="134"/>
      </rPr>
      <t>能源化工企业智慧工厂</t>
    </r>
    <r>
      <rPr>
        <sz val="11"/>
        <color theme="1"/>
        <rFont val="Times New Roman"/>
        <family val="1"/>
      </rPr>
      <t>“123”</t>
    </r>
    <r>
      <rPr>
        <sz val="11"/>
        <color theme="1"/>
        <rFont val="宋体"/>
        <family val="3"/>
        <charset val="134"/>
      </rPr>
      <t>体系冷源数字化节能技术</t>
    </r>
  </si>
  <si>
    <r>
      <rPr>
        <sz val="11"/>
        <color theme="1"/>
        <rFont val="宋体"/>
        <family val="3"/>
        <charset val="134"/>
      </rPr>
      <t>区域综合能源管控系统</t>
    </r>
  </si>
  <si>
    <r>
      <rPr>
        <sz val="11"/>
        <color theme="1"/>
        <rFont val="宋体"/>
        <family val="3"/>
        <charset val="134"/>
      </rPr>
      <t>智慧能源能效管控系统</t>
    </r>
  </si>
  <si>
    <r>
      <t>EcoSave</t>
    </r>
    <r>
      <rPr>
        <sz val="11"/>
        <color theme="1"/>
        <rFont val="宋体"/>
        <family val="3"/>
        <charset val="134"/>
      </rPr>
      <t>空压站智慧无损节能系统</t>
    </r>
  </si>
  <si>
    <r>
      <rPr>
        <sz val="11"/>
        <color theme="1"/>
        <rFont val="宋体"/>
        <family val="3"/>
        <charset val="134"/>
      </rPr>
      <t>基于</t>
    </r>
    <r>
      <rPr>
        <sz val="11"/>
        <color theme="1"/>
        <rFont val="Times New Roman"/>
        <family val="1"/>
      </rPr>
      <t>APC</t>
    </r>
    <r>
      <rPr>
        <sz val="11"/>
        <color theme="1"/>
        <rFont val="宋体"/>
        <family val="3"/>
        <charset val="134"/>
      </rPr>
      <t>中央空调智控节能技术</t>
    </r>
  </si>
  <si>
    <r>
      <rPr>
        <sz val="11"/>
        <color theme="1"/>
        <rFont val="宋体"/>
        <family val="3"/>
        <charset val="134"/>
      </rPr>
      <t>智慧热岛</t>
    </r>
    <r>
      <rPr>
        <sz val="11"/>
        <color theme="1"/>
        <rFont val="Times New Roman"/>
        <family val="1"/>
      </rPr>
      <t>—</t>
    </r>
    <r>
      <rPr>
        <sz val="11"/>
        <color theme="1"/>
        <rFont val="宋体"/>
        <family val="3"/>
        <charset val="134"/>
      </rPr>
      <t>余热利用技术</t>
    </r>
  </si>
  <si>
    <r>
      <t>iSave</t>
    </r>
    <r>
      <rPr>
        <sz val="11"/>
        <color theme="1"/>
        <rFont val="宋体"/>
        <family val="3"/>
        <charset val="134"/>
      </rPr>
      <t>中央空调</t>
    </r>
    <r>
      <rPr>
        <sz val="11"/>
        <color theme="1"/>
        <rFont val="Times New Roman"/>
        <family val="1"/>
      </rPr>
      <t>AI</t>
    </r>
    <r>
      <rPr>
        <sz val="11"/>
        <color theme="1"/>
        <rFont val="宋体"/>
        <family val="3"/>
        <charset val="134"/>
      </rPr>
      <t>节能控制系统</t>
    </r>
  </si>
  <si>
    <r>
      <rPr>
        <sz val="11"/>
        <color theme="1"/>
        <rFont val="宋体"/>
        <family val="3"/>
        <charset val="134"/>
      </rPr>
      <t>一种组合式互联网节能型智慧空压站的集成设计及智能控制系统</t>
    </r>
  </si>
  <si>
    <r>
      <rPr>
        <sz val="11"/>
        <color theme="1"/>
        <rFont val="宋体"/>
        <family val="3"/>
        <charset val="134"/>
      </rPr>
      <t>自回热精馏节能技术</t>
    </r>
  </si>
  <si>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</si>
  <si>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rgb="FF000000"/>
        <rFont val="宋体"/>
        <family val="3"/>
        <charset val="134"/>
      </rPr>
      <t>升温型工业余热利用技术</t>
    </r>
  </si>
  <si>
    <r>
      <rPr>
        <sz val="11"/>
        <color rgb="FF000000"/>
        <rFont val="宋体"/>
        <family val="3"/>
        <charset val="134"/>
      </rPr>
      <t>基于热能梯级利用的热电联产低位能供热技术</t>
    </r>
  </si>
  <si>
    <r>
      <rPr>
        <sz val="11"/>
        <color rgb="FF000000"/>
        <rFont val="宋体"/>
        <family val="3"/>
        <charset val="134"/>
      </rPr>
      <t>大腔体高温真空电热氮化烧结系统及余热利用技术</t>
    </r>
  </si>
  <si>
    <r>
      <rPr>
        <sz val="11"/>
        <color theme="1"/>
        <rFont val="宋体"/>
        <family val="3"/>
        <charset val="134"/>
      </rPr>
      <t>污泥耦合发电技术</t>
    </r>
  </si>
  <si>
    <r>
      <rPr>
        <sz val="11"/>
        <color theme="1"/>
        <rFont val="宋体"/>
        <family val="3"/>
        <charset val="134"/>
      </rPr>
      <t>废弃物处理</t>
    </r>
    <phoneticPr fontId="1" type="noConversion"/>
  </si>
  <si>
    <r>
      <rPr>
        <sz val="11"/>
        <color theme="1"/>
        <rFont val="宋体"/>
        <family val="3"/>
        <charset val="134"/>
      </rPr>
      <t>汽车轮毂生产线余热高效回收利用关键技术与应用</t>
    </r>
  </si>
  <si>
    <r>
      <rPr>
        <sz val="11"/>
        <color rgb="FF000000"/>
        <rFont val="宋体"/>
        <family val="3"/>
        <charset val="134"/>
      </rPr>
      <t>锅炉烟气余热深度利用技术</t>
    </r>
  </si>
  <si>
    <r>
      <rPr>
        <sz val="11"/>
        <color rgb="FF000000"/>
        <rFont val="宋体"/>
        <family val="3"/>
        <charset val="134"/>
      </rPr>
      <t>工业用复叠式热功转换制热技术</t>
    </r>
  </si>
  <si>
    <r>
      <rPr>
        <sz val="11"/>
        <color rgb="FF000000"/>
        <rFont val="宋体"/>
        <family val="3"/>
        <charset val="134"/>
      </rPr>
      <t>工业企业能源节能降耗及余能再利用技术</t>
    </r>
  </si>
  <si>
    <r>
      <rPr>
        <sz val="11"/>
        <color rgb="FF000000"/>
        <rFont val="宋体"/>
        <family val="3"/>
        <charset val="134"/>
      </rPr>
      <t>智能全闭式蒸汽冷凝水回收系统</t>
    </r>
  </si>
  <si>
    <r>
      <rPr>
        <sz val="11"/>
        <color rgb="FF000000"/>
        <rFont val="宋体"/>
        <family val="3"/>
        <charset val="134"/>
      </rPr>
      <t>船用柴油机余热利用发电系统</t>
    </r>
  </si>
  <si>
    <r>
      <rPr>
        <sz val="11"/>
        <color rgb="FF000000"/>
        <rFont val="宋体"/>
        <family val="3"/>
        <charset val="134"/>
      </rPr>
      <t>配套于大型催化裂化装置补燃式余热锅炉</t>
    </r>
  </si>
  <si>
    <r>
      <rPr>
        <sz val="11"/>
        <color theme="1"/>
        <rFont val="宋体"/>
        <family val="3"/>
        <charset val="134"/>
      </rPr>
      <t>大型转炉洁净钢高效绿色冶炼技术</t>
    </r>
  </si>
  <si>
    <r>
      <rPr>
        <sz val="11"/>
        <color theme="1"/>
        <rFont val="宋体"/>
        <family val="3"/>
        <charset val="134"/>
      </rPr>
      <t>特大型高效节能高炉煤气余压回收透平发电装置</t>
    </r>
  </si>
  <si>
    <r>
      <rPr>
        <sz val="11"/>
        <color theme="1"/>
        <rFont val="宋体"/>
        <family val="3"/>
        <charset val="134"/>
      </rPr>
      <t>氟塑钢新材料低温烟气深度余热回收技术</t>
    </r>
  </si>
  <si>
    <r>
      <rPr>
        <sz val="11"/>
        <color theme="1"/>
        <rFont val="宋体"/>
        <family val="3"/>
        <charset val="134"/>
      </rPr>
      <t>工业余热梯级综合利用技术</t>
    </r>
  </si>
  <si>
    <r>
      <rPr>
        <sz val="11"/>
        <color theme="1"/>
        <rFont val="宋体"/>
        <family val="3"/>
        <charset val="134"/>
      </rPr>
      <t>钢铁行业减污折叠滤筒节能技术</t>
    </r>
  </si>
  <si>
    <r>
      <rPr>
        <sz val="11"/>
        <color theme="1"/>
        <rFont val="宋体"/>
        <family val="3"/>
        <charset val="134"/>
      </rPr>
      <t>多孔介质燃烧技术</t>
    </r>
  </si>
  <si>
    <r>
      <rPr>
        <sz val="11"/>
        <color theme="1"/>
        <rFont val="宋体"/>
        <family val="3"/>
        <charset val="134"/>
      </rPr>
      <t>多功能烧结鼓风环式冷却机</t>
    </r>
  </si>
  <si>
    <r>
      <rPr>
        <sz val="11"/>
        <color theme="1"/>
        <rFont val="宋体"/>
        <family val="3"/>
        <charset val="134"/>
      </rPr>
      <t>熔渣干法粒化及余热回收工艺装备技术</t>
    </r>
  </si>
  <si>
    <r>
      <rPr>
        <sz val="11"/>
        <color theme="1"/>
        <rFont val="宋体"/>
        <family val="3"/>
        <charset val="134"/>
      </rPr>
      <t>棒线材高效低成本控轧控冷技术</t>
    </r>
  </si>
  <si>
    <r>
      <rPr>
        <sz val="11"/>
        <color theme="1"/>
        <rFont val="宋体"/>
        <family val="3"/>
        <charset val="134"/>
      </rPr>
      <t>冶金工业电机系统节能控制技术</t>
    </r>
  </si>
  <si>
    <r>
      <rPr>
        <sz val="11"/>
        <color theme="1"/>
        <rFont val="宋体"/>
        <family val="3"/>
        <charset val="134"/>
      </rPr>
      <t>一种焦炉上升管荒煤气余热回收技术</t>
    </r>
  </si>
  <si>
    <r>
      <rPr>
        <sz val="11"/>
        <color theme="1"/>
        <rFont val="宋体"/>
        <family val="3"/>
        <charset val="134"/>
      </rPr>
      <t>清洁型焦炉高效余热发电技术</t>
    </r>
  </si>
  <si>
    <r>
      <rPr>
        <sz val="11"/>
        <color theme="1"/>
        <rFont val="宋体"/>
        <family val="3"/>
        <charset val="134"/>
      </rPr>
      <t>新型长寿命激光闪速氧化膜热轧辊</t>
    </r>
  </si>
  <si>
    <r>
      <t>H</t>
    </r>
    <r>
      <rPr>
        <sz val="11"/>
        <color theme="1"/>
        <rFont val="宋体"/>
        <family val="3"/>
        <charset val="134"/>
      </rPr>
      <t>型鳍片管式高效换热技术</t>
    </r>
  </si>
  <si>
    <r>
      <rPr>
        <sz val="11"/>
        <color theme="1"/>
        <rFont val="宋体"/>
        <family val="3"/>
        <charset val="134"/>
      </rPr>
      <t>侧顶吹双炉连续炼铜技术</t>
    </r>
  </si>
  <si>
    <r>
      <t>380A/m2</t>
    </r>
    <r>
      <rPr>
        <sz val="11"/>
        <color theme="1"/>
        <rFont val="宋体"/>
        <family val="3"/>
        <charset val="134"/>
      </rPr>
      <t>电流密度电解铜应用技术及装备</t>
    </r>
  </si>
  <si>
    <r>
      <rPr>
        <sz val="11"/>
        <color theme="1"/>
        <rFont val="宋体"/>
        <family val="3"/>
        <charset val="134"/>
      </rPr>
      <t>玻璃熔窑用红外高辐射节能涂料</t>
    </r>
  </si>
  <si>
    <r>
      <rPr>
        <sz val="11"/>
        <color theme="1"/>
        <rFont val="宋体"/>
        <family val="3"/>
        <charset val="134"/>
      </rPr>
      <t>一种隧道漫反射光学节能材料</t>
    </r>
  </si>
  <si>
    <r>
      <rPr>
        <sz val="11"/>
        <color theme="1"/>
        <rFont val="宋体"/>
        <family val="3"/>
        <charset val="134"/>
      </rPr>
      <t>新型梯度复合保温技术</t>
    </r>
  </si>
  <si>
    <r>
      <rPr>
        <sz val="11"/>
        <color theme="1"/>
        <rFont val="宋体"/>
        <family val="3"/>
        <charset val="134"/>
      </rPr>
      <t>陶瓷集成制粉新工艺技术</t>
    </r>
  </si>
  <si>
    <r>
      <rPr>
        <sz val="11"/>
        <color theme="1"/>
        <rFont val="宋体"/>
        <family val="3"/>
        <charset val="134"/>
      </rPr>
      <t>混烧石灰竖窑及配套超低温烟气处理技术</t>
    </r>
  </si>
  <si>
    <r>
      <rPr>
        <sz val="11"/>
        <color theme="1"/>
        <rFont val="宋体"/>
        <family val="3"/>
        <charset val="134"/>
      </rPr>
      <t>水泥生料助磨剂技术</t>
    </r>
  </si>
  <si>
    <r>
      <rPr>
        <sz val="11"/>
        <color theme="1"/>
        <rFont val="宋体"/>
        <family val="3"/>
        <charset val="134"/>
      </rPr>
      <t>瀑落式回转窑制备陶粒轻骨料技术</t>
    </r>
  </si>
  <si>
    <r>
      <rPr>
        <sz val="11"/>
        <color theme="1"/>
        <rFont val="宋体"/>
        <family val="3"/>
        <charset val="134"/>
      </rPr>
      <t>抛釉砖用陶瓷干法制粉生产工艺及装备</t>
    </r>
  </si>
  <si>
    <r>
      <rPr>
        <sz val="11"/>
        <color theme="1"/>
        <rFont val="宋体"/>
        <family val="3"/>
        <charset val="134"/>
      </rPr>
      <t>高强度低密度页岩气用压裂陶粒支撑剂及制备节能技术</t>
    </r>
    <phoneticPr fontId="1" type="noConversion"/>
  </si>
  <si>
    <r>
      <rPr>
        <sz val="11"/>
        <color theme="1"/>
        <rFont val="宋体"/>
        <family val="3"/>
        <charset val="134"/>
      </rPr>
      <t>节能型低氮燃烧器</t>
    </r>
  </si>
  <si>
    <r>
      <rPr>
        <sz val="11"/>
        <color theme="1"/>
        <rFont val="宋体"/>
        <family val="3"/>
        <charset val="134"/>
      </rPr>
      <t>乙烯裂解炉节能技术</t>
    </r>
  </si>
  <si>
    <r>
      <rPr>
        <sz val="11"/>
        <color theme="1"/>
        <rFont val="宋体"/>
        <family val="3"/>
        <charset val="134"/>
      </rPr>
      <t>半水</t>
    </r>
    <r>
      <rPr>
        <sz val="11"/>
        <color theme="1"/>
        <rFont val="Times New Roman"/>
        <family val="1"/>
      </rPr>
      <t>-</t>
    </r>
    <r>
      <rPr>
        <sz val="11"/>
        <color theme="1"/>
        <rFont val="宋体"/>
        <family val="3"/>
        <charset val="134"/>
      </rPr>
      <t>二水湿法磷酸技术</t>
    </r>
  </si>
  <si>
    <r>
      <rPr>
        <sz val="11"/>
        <color theme="1"/>
        <rFont val="宋体"/>
        <family val="3"/>
        <charset val="134"/>
      </rPr>
      <t>等温变换技术</t>
    </r>
  </si>
  <si>
    <r>
      <rPr>
        <sz val="11"/>
        <color theme="1"/>
        <rFont val="宋体"/>
        <family val="3"/>
        <charset val="134"/>
      </rPr>
      <t>低品位热驱动多元复合工质制冷技术及装备</t>
    </r>
    <phoneticPr fontId="1" type="noConversion"/>
  </si>
  <si>
    <r>
      <rPr>
        <sz val="11"/>
        <color theme="1"/>
        <rFont val="宋体"/>
        <family val="3"/>
        <charset val="134"/>
      </rPr>
      <t>新型高抗腐蚀双金属复合节能技术</t>
    </r>
  </si>
  <si>
    <r>
      <rPr>
        <sz val="11"/>
        <color theme="1"/>
        <rFont val="宋体"/>
        <family val="3"/>
        <charset val="134"/>
      </rPr>
      <t>蒸汽锅炉节能装置</t>
    </r>
  </si>
  <si>
    <r>
      <rPr>
        <sz val="11"/>
        <color theme="1"/>
        <rFont val="宋体"/>
        <family val="3"/>
        <charset val="134"/>
      </rPr>
      <t>炼油加热炉</t>
    </r>
    <r>
      <rPr>
        <sz val="11"/>
        <color theme="1"/>
        <rFont val="Times New Roman"/>
        <family val="1"/>
      </rPr>
      <t>95+</t>
    </r>
    <r>
      <rPr>
        <sz val="11"/>
        <color theme="1"/>
        <rFont val="宋体"/>
        <family val="3"/>
        <charset val="134"/>
      </rPr>
      <t>技术</t>
    </r>
  </si>
  <si>
    <r>
      <rPr>
        <sz val="11"/>
        <color theme="1"/>
        <rFont val="宋体"/>
        <family val="3"/>
        <charset val="134"/>
      </rPr>
      <t>煤化工气化黑水余热回收技术</t>
    </r>
  </si>
  <si>
    <r>
      <rPr>
        <sz val="11"/>
        <color theme="1"/>
        <rFont val="宋体"/>
        <family val="3"/>
        <charset val="134"/>
      </rPr>
      <t>高效控温绕管型反应器技术</t>
    </r>
  </si>
  <si>
    <r>
      <rPr>
        <sz val="11"/>
        <color theme="1"/>
        <rFont val="宋体"/>
        <family val="3"/>
        <charset val="134"/>
      </rPr>
      <t>高效智能炭素焙烧技术及成套设备</t>
    </r>
  </si>
  <si>
    <r>
      <rPr>
        <sz val="11"/>
        <color theme="1"/>
        <rFont val="宋体"/>
        <family val="3"/>
        <charset val="134"/>
      </rPr>
      <t>基于三维管自支撑纵向流蒸发器蒸发浓缩系统技术</t>
    </r>
  </si>
  <si>
    <r>
      <rPr>
        <sz val="11"/>
        <color theme="1"/>
        <rFont val="宋体"/>
        <family val="3"/>
        <charset val="134"/>
      </rPr>
      <t>高效节能蒸发式凝汽技术</t>
    </r>
  </si>
  <si>
    <r>
      <rPr>
        <sz val="11"/>
        <color theme="1"/>
        <rFont val="宋体"/>
        <family val="3"/>
        <charset val="134"/>
      </rPr>
      <t>无油螺杆水蒸气增压技术</t>
    </r>
  </si>
  <si>
    <r>
      <rPr>
        <sz val="11"/>
        <color theme="1"/>
        <rFont val="宋体"/>
        <family val="3"/>
        <charset val="134"/>
      </rPr>
      <t>机械行业</t>
    </r>
    <phoneticPr fontId="1" type="noConversion"/>
  </si>
  <si>
    <r>
      <rPr>
        <sz val="11"/>
        <color theme="1"/>
        <rFont val="宋体"/>
        <family val="3"/>
        <charset val="134"/>
      </rPr>
      <t>低排放柔和燃烧技术</t>
    </r>
  </si>
  <si>
    <r>
      <rPr>
        <sz val="11"/>
        <color theme="1"/>
        <rFont val="宋体"/>
        <family val="3"/>
        <charset val="134"/>
      </rPr>
      <t>脉冲燃气吹灰装置</t>
    </r>
  </si>
  <si>
    <r>
      <rPr>
        <sz val="11"/>
        <color theme="1"/>
        <rFont val="宋体"/>
        <family val="3"/>
        <charset val="134"/>
      </rPr>
      <t>无机矿物质全绝缘浇注母线产品节能技术</t>
    </r>
  </si>
  <si>
    <r>
      <rPr>
        <sz val="11"/>
        <color theme="1"/>
        <rFont val="宋体"/>
        <family val="3"/>
        <charset val="134"/>
      </rPr>
      <t>配电网用节能环保型铝合金电力金具</t>
    </r>
  </si>
  <si>
    <r>
      <t>2160Mpa</t>
    </r>
    <r>
      <rPr>
        <sz val="11"/>
        <color theme="1"/>
        <rFont val="宋体"/>
        <family val="3"/>
        <charset val="134"/>
      </rPr>
      <t>级超高强度钢丝用线材在线盐浴热处理装备及工艺</t>
    </r>
  </si>
  <si>
    <r>
      <rPr>
        <sz val="11"/>
        <color theme="1"/>
        <rFont val="宋体"/>
        <family val="3"/>
        <charset val="134"/>
      </rPr>
      <t>工业加热炉炉内强化热辐射节能技术</t>
    </r>
  </si>
  <si>
    <r>
      <rPr>
        <sz val="11"/>
        <color theme="1"/>
        <rFont val="宋体"/>
        <family val="3"/>
        <charset val="134"/>
      </rPr>
      <t>新型智能轨道电动机车技术</t>
    </r>
  </si>
  <si>
    <r>
      <rPr>
        <sz val="11"/>
        <color theme="1"/>
        <rFont val="宋体"/>
        <family val="3"/>
        <charset val="134"/>
      </rPr>
      <t>自卸车全电驱动技术</t>
    </r>
  </si>
  <si>
    <r>
      <rPr>
        <sz val="11"/>
        <color theme="1"/>
        <rFont val="宋体"/>
        <family val="3"/>
        <charset val="134"/>
      </rPr>
      <t>电熔法大产能宽幅岩棉生产线成套技术</t>
    </r>
  </si>
  <si>
    <r>
      <rPr>
        <sz val="11"/>
        <color theme="1"/>
        <rFont val="宋体"/>
        <family val="3"/>
        <charset val="134"/>
      </rPr>
      <t>超大产能三元材料烧结节能装备</t>
    </r>
  </si>
  <si>
    <r>
      <rPr>
        <sz val="11"/>
        <color theme="1"/>
        <rFont val="宋体"/>
        <family val="3"/>
        <charset val="134"/>
      </rPr>
      <t>电子设备</t>
    </r>
    <phoneticPr fontId="1" type="noConversion"/>
  </si>
  <si>
    <r>
      <rPr>
        <sz val="11"/>
        <color theme="1"/>
        <rFont val="宋体"/>
        <family val="3"/>
        <charset val="134"/>
      </rPr>
      <t>超高速激光熔覆技术</t>
    </r>
  </si>
  <si>
    <r>
      <t>3D</t>
    </r>
    <r>
      <rPr>
        <sz val="11"/>
        <color theme="1"/>
        <rFont val="宋体"/>
        <family val="3"/>
        <charset val="134"/>
      </rPr>
      <t>光学压差转写技术</t>
    </r>
  </si>
  <si>
    <r>
      <rPr>
        <sz val="11"/>
        <color theme="1"/>
        <rFont val="宋体"/>
        <family val="3"/>
        <charset val="134"/>
      </rPr>
      <t>带增压电路的特高光效</t>
    </r>
    <r>
      <rPr>
        <sz val="11"/>
        <color theme="1"/>
        <rFont val="Times New Roman"/>
        <family val="1"/>
      </rPr>
      <t>LED</t>
    </r>
    <r>
      <rPr>
        <sz val="11"/>
        <color theme="1"/>
        <rFont val="宋体"/>
        <family val="3"/>
        <charset val="134"/>
      </rPr>
      <t>灯管技术</t>
    </r>
  </si>
  <si>
    <r>
      <rPr>
        <sz val="11"/>
        <color theme="1"/>
        <rFont val="宋体"/>
        <family val="3"/>
        <charset val="134"/>
      </rPr>
      <t>光伏电子材料高纯晶硅工艺技术</t>
    </r>
  </si>
  <si>
    <r>
      <rPr>
        <sz val="11"/>
        <color theme="1"/>
        <rFont val="宋体"/>
        <family val="3"/>
        <charset val="134"/>
      </rPr>
      <t>电气机械</t>
    </r>
    <phoneticPr fontId="1" type="noConversion"/>
  </si>
  <si>
    <r>
      <rPr>
        <sz val="11"/>
        <color theme="1"/>
        <rFont val="宋体"/>
        <family val="3"/>
        <charset val="134"/>
      </rPr>
      <t>超薄柔性铜铟镓硒太阳能电池一体化发电节能技术</t>
    </r>
  </si>
  <si>
    <r>
      <rPr>
        <sz val="11"/>
        <color theme="1"/>
        <rFont val="宋体"/>
        <family val="3"/>
        <charset val="134"/>
      </rPr>
      <t>真空集热蓄热型太阳能复合空气能供热技术</t>
    </r>
  </si>
  <si>
    <r>
      <rPr>
        <sz val="11"/>
        <color theme="1"/>
        <rFont val="宋体"/>
        <family val="3"/>
        <charset val="134"/>
      </rPr>
      <t>太阳能异聚态热利用系统</t>
    </r>
  </si>
  <si>
    <r>
      <rPr>
        <sz val="11"/>
        <color theme="1"/>
        <rFont val="宋体"/>
        <family val="3"/>
        <charset val="134"/>
      </rPr>
      <t>蓄能泵高效节能技术</t>
    </r>
  </si>
  <si>
    <r>
      <rPr>
        <sz val="11"/>
        <color theme="1"/>
        <rFont val="宋体"/>
        <family val="3"/>
        <charset val="134"/>
      </rPr>
      <t>高效能固体储热技术</t>
    </r>
  </si>
  <si>
    <r>
      <rPr>
        <sz val="11"/>
        <color theme="1"/>
        <rFont val="宋体"/>
        <family val="3"/>
        <charset val="134"/>
      </rPr>
      <t>基于超级电容的重力再生电能就地存储再利用节能系统</t>
    </r>
  </si>
  <si>
    <r>
      <rPr>
        <sz val="11"/>
        <color theme="1"/>
        <rFont val="宋体"/>
        <family val="3"/>
        <charset val="134"/>
      </rPr>
      <t>钛酸锂功率型高效储能系统</t>
    </r>
  </si>
  <si>
    <r>
      <rPr>
        <sz val="11"/>
        <color theme="1"/>
        <rFont val="宋体"/>
        <family val="3"/>
        <charset val="134"/>
      </rPr>
      <t>飞轮储能技术</t>
    </r>
  </si>
  <si>
    <r>
      <rPr>
        <sz val="11"/>
        <color theme="1"/>
        <rFont val="宋体"/>
        <family val="3"/>
        <charset val="134"/>
      </rPr>
      <t>压缩空气储能发电透平技术</t>
    </r>
  </si>
  <si>
    <r>
      <rPr>
        <sz val="11"/>
        <color theme="1"/>
        <rFont val="宋体"/>
        <family val="3"/>
        <charset val="134"/>
      </rPr>
      <t>陶瓷复合相变储热技术</t>
    </r>
  </si>
  <si>
    <r>
      <rPr>
        <sz val="11"/>
        <color theme="1"/>
        <rFont val="宋体"/>
        <family val="3"/>
        <charset val="134"/>
      </rPr>
      <t>钢铁企业电网智能管控技术</t>
    </r>
  </si>
  <si>
    <r>
      <rPr>
        <sz val="11"/>
        <color theme="1"/>
        <rFont val="宋体"/>
        <family val="3"/>
        <charset val="134"/>
      </rPr>
      <t>磁悬浮变频离心式中央空调技术</t>
    </r>
  </si>
  <si>
    <r>
      <rPr>
        <sz val="11"/>
        <color theme="1"/>
        <rFont val="宋体"/>
        <family val="3"/>
        <charset val="134"/>
      </rPr>
      <t>磁悬浮离心鼓风机节能技术</t>
    </r>
  </si>
  <si>
    <r>
      <rPr>
        <sz val="11"/>
        <color theme="1"/>
        <rFont val="宋体"/>
        <family val="3"/>
        <charset val="134"/>
      </rPr>
      <t>快速换相开关三相不平衡治理技术</t>
    </r>
  </si>
  <si>
    <r>
      <rPr>
        <sz val="11"/>
        <color theme="1"/>
        <rFont val="宋体"/>
        <family val="3"/>
        <charset val="134"/>
      </rPr>
      <t>新型锅炉烟风耦合回转式空预器节能技术</t>
    </r>
  </si>
  <si>
    <r>
      <rPr>
        <sz val="11"/>
        <color theme="1"/>
        <rFont val="宋体"/>
        <family val="3"/>
        <charset val="134"/>
      </rPr>
      <t>燃煤工业锅炉深度节能技术</t>
    </r>
  </si>
  <si>
    <r>
      <rPr>
        <sz val="11"/>
        <color theme="1"/>
        <rFont val="宋体"/>
        <family val="3"/>
        <charset val="134"/>
      </rPr>
      <t>基于吸收式热泵循环的锅炉低品位烟气余热深度回收技术</t>
    </r>
  </si>
  <si>
    <r>
      <rPr>
        <sz val="11"/>
        <color theme="1"/>
        <rFont val="宋体"/>
        <family val="3"/>
        <charset val="134"/>
      </rPr>
      <t>炉窑燃烧工艺优化节能技术</t>
    </r>
  </si>
  <si>
    <r>
      <rPr>
        <sz val="11"/>
        <color theme="1"/>
        <rFont val="宋体"/>
        <family val="3"/>
        <charset val="134"/>
      </rPr>
      <t>高性能低压变频器</t>
    </r>
  </si>
  <si>
    <r>
      <rPr>
        <sz val="11"/>
        <color theme="1"/>
        <rFont val="宋体"/>
        <family val="3"/>
        <charset val="134"/>
      </rPr>
      <t>绕组式永磁耦合调速器技术</t>
    </r>
  </si>
  <si>
    <r>
      <rPr>
        <sz val="11"/>
        <color theme="1"/>
        <rFont val="宋体"/>
        <family val="3"/>
        <charset val="134"/>
      </rPr>
      <t>基于智能控制的水泵群控系统技术</t>
    </r>
  </si>
  <si>
    <r>
      <rPr>
        <sz val="11"/>
        <color theme="1"/>
        <rFont val="宋体"/>
        <family val="3"/>
        <charset val="134"/>
      </rPr>
      <t>工业水泵</t>
    </r>
    <phoneticPr fontId="1" type="noConversion"/>
  </si>
  <si>
    <r>
      <rPr>
        <sz val="11"/>
        <color theme="1"/>
        <rFont val="宋体"/>
        <family val="3"/>
        <charset val="134"/>
      </rPr>
      <t>新型开关磁阻调速电机系统</t>
    </r>
  </si>
  <si>
    <r>
      <rPr>
        <sz val="11"/>
        <color theme="1"/>
        <rFont val="宋体"/>
        <family val="3"/>
        <charset val="134"/>
      </rPr>
      <t>压缩空气系统节能技术</t>
    </r>
  </si>
  <si>
    <r>
      <rPr>
        <sz val="11"/>
        <color theme="1"/>
        <rFont val="宋体"/>
        <family val="3"/>
        <charset val="134"/>
      </rPr>
      <t>低温低压蒸汽喷射真空（泵）系统</t>
    </r>
  </si>
  <si>
    <r>
      <rPr>
        <sz val="11"/>
        <color theme="1"/>
        <rFont val="宋体"/>
        <family val="3"/>
        <charset val="134"/>
      </rPr>
      <t>一种基于螺杆膨胀机的余热利用技术</t>
    </r>
  </si>
  <si>
    <r>
      <rPr>
        <sz val="11"/>
        <color theme="1"/>
        <rFont val="宋体"/>
        <family val="3"/>
        <charset val="134"/>
      </rPr>
      <t>闭式冷却塔变频控制节能技术</t>
    </r>
  </si>
  <si>
    <r>
      <rPr>
        <sz val="11"/>
        <color theme="1"/>
        <rFont val="宋体"/>
        <family val="3"/>
        <charset val="134"/>
      </rPr>
      <t>冷却塔</t>
    </r>
    <phoneticPr fontId="1" type="noConversion"/>
  </si>
  <si>
    <r>
      <rPr>
        <sz val="11"/>
        <color theme="1"/>
        <rFont val="宋体"/>
        <family val="3"/>
        <charset val="134"/>
      </rPr>
      <t>卧式油冷型永磁调速节能技术</t>
    </r>
  </si>
  <si>
    <r>
      <rPr>
        <sz val="11"/>
        <color theme="1"/>
        <rFont val="宋体"/>
        <family val="3"/>
        <charset val="134"/>
      </rPr>
      <t>自调型能量回收技术</t>
    </r>
  </si>
  <si>
    <r>
      <rPr>
        <sz val="11"/>
        <color theme="1"/>
        <rFont val="宋体"/>
        <family val="3"/>
        <charset val="134"/>
      </rPr>
      <t>石化化工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钢铁</t>
    </r>
    <phoneticPr fontId="1" type="noConversion"/>
  </si>
  <si>
    <r>
      <rPr>
        <sz val="11"/>
        <color theme="1"/>
        <rFont val="宋体"/>
        <family val="3"/>
        <charset val="134"/>
      </rPr>
      <t>低热值煤气高效发电技术</t>
    </r>
  </si>
  <si>
    <r>
      <rPr>
        <sz val="11"/>
        <color theme="1"/>
        <rFont val="宋体"/>
        <family val="3"/>
        <charset val="134"/>
      </rPr>
      <t>钢铁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有色金属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</si>
  <si>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化石能源清洁高效利用</t>
    </r>
    <phoneticPr fontId="1" type="noConversion"/>
  </si>
  <si>
    <r>
      <rPr>
        <sz val="11"/>
        <color theme="1"/>
        <rFont val="宋体"/>
        <family val="3"/>
        <charset val="134"/>
      </rPr>
      <t>卧式循环流化床燃烧成套技术</t>
    </r>
  </si>
  <si>
    <r>
      <rPr>
        <sz val="11"/>
        <color theme="1"/>
        <rFont val="宋体"/>
        <family val="3"/>
        <charset val="134"/>
      </rPr>
      <t>钢铁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</si>
  <si>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低氮燃气辐射供热节能技术</t>
    </r>
  </si>
  <si>
    <r>
      <rPr>
        <sz val="11"/>
        <color theme="1"/>
        <rFont val="宋体"/>
        <family val="3"/>
        <charset val="134"/>
      </rPr>
      <t>智能化矿物干法深度分选技术</t>
    </r>
  </si>
  <si>
    <r>
      <rPr>
        <sz val="11"/>
        <color theme="1"/>
        <rFont val="宋体"/>
        <family val="3"/>
        <charset val="134"/>
      </rPr>
      <t>多孔介质无焰超焓燃烧系统</t>
    </r>
  </si>
  <si>
    <r>
      <rPr>
        <sz val="11"/>
        <color theme="1"/>
        <rFont val="宋体"/>
        <family val="3"/>
        <charset val="134"/>
      </rPr>
      <t>有色金属</t>
    </r>
    <r>
      <rPr>
        <sz val="11"/>
        <color theme="1"/>
        <rFont val="Times New Roman"/>
        <family val="1"/>
      </rPr>
      <t>/</t>
    </r>
    <r>
      <rPr>
        <sz val="11"/>
        <color theme="1"/>
        <rFont val="宋体"/>
        <family val="3"/>
        <charset val="134"/>
      </rPr>
      <t>石化化工</t>
    </r>
    <phoneticPr fontId="1" type="noConversion"/>
  </si>
  <si>
    <r>
      <rPr>
        <sz val="11"/>
        <color theme="1"/>
        <rFont val="宋体"/>
        <family val="3"/>
        <charset val="134"/>
      </rPr>
      <t>高效节能低氮燃烧技术</t>
    </r>
  </si>
  <si>
    <r>
      <rPr>
        <sz val="11"/>
        <color theme="1"/>
        <rFont val="宋体"/>
        <family val="3"/>
        <charset val="134"/>
      </rPr>
      <t>有机固废绿色高效裂解节能技术及装备</t>
    </r>
  </si>
  <si>
    <r>
      <rPr>
        <sz val="11"/>
        <color theme="1"/>
        <rFont val="宋体"/>
        <family val="3"/>
        <charset val="134"/>
      </rPr>
      <t>燃煤电厂污泥干化焚烧处置集成技术</t>
    </r>
  </si>
  <si>
    <r>
      <rPr>
        <sz val="11"/>
        <color theme="1"/>
        <rFont val="宋体"/>
        <family val="3"/>
        <charset val="134"/>
      </rPr>
      <t>垃圾焚烧余热高效回收利用技术</t>
    </r>
  </si>
  <si>
    <r>
      <rPr>
        <sz val="11"/>
        <color theme="1"/>
        <rFont val="宋体"/>
        <family val="3"/>
        <charset val="134"/>
      </rPr>
      <t>压缩空气系</t>
    </r>
    <r>
      <rPr>
        <sz val="11"/>
        <color theme="1"/>
        <rFont val="Times New Roman"/>
        <family val="3"/>
      </rPr>
      <t>统</t>
    </r>
    <phoneticPr fontId="1" type="noConversion"/>
  </si>
  <si>
    <t>推广
起始年</t>
    <phoneticPr fontId="1" type="noConversion"/>
  </si>
  <si>
    <r>
      <rPr>
        <b/>
        <sz val="11"/>
        <color theme="1"/>
        <rFont val="宋体"/>
        <family val="3"/>
        <charset val="134"/>
      </rPr>
      <t xml:space="preserve">推广
</t>
    </r>
    <r>
      <rPr>
        <b/>
        <sz val="11"/>
        <color theme="1"/>
        <rFont val="宋体"/>
        <family val="1"/>
        <charset val="134"/>
      </rPr>
      <t>结束年</t>
    </r>
    <phoneticPr fontId="1" type="noConversion"/>
  </si>
  <si>
    <t>目前
推广比例</t>
    <phoneticPr fontId="1" type="noConversion"/>
  </si>
  <si>
    <t>推广期
实现比例</t>
    <phoneticPr fontId="1" type="noConversion"/>
  </si>
  <si>
    <t>推广100%
实现的年份</t>
    <phoneticPr fontId="1" type="noConversion"/>
  </si>
  <si>
    <t>unit:万tce</t>
    <phoneticPr fontId="1" type="noConversion"/>
  </si>
  <si>
    <t>工业锅炉</t>
  </si>
  <si>
    <t>电力、热力生产</t>
  </si>
  <si>
    <t>石化</t>
  </si>
  <si>
    <t>化工</t>
  </si>
  <si>
    <t>钢铁</t>
  </si>
  <si>
    <t>纺织</t>
  </si>
  <si>
    <t>造纸</t>
  </si>
  <si>
    <t>食品</t>
  </si>
  <si>
    <t>food beverage and tobacco 10T12</t>
  </si>
  <si>
    <t>工业循环水</t>
  </si>
  <si>
    <t>有色金属</t>
  </si>
  <si>
    <t>微型燃气轮机</t>
  </si>
  <si>
    <t>非道路交通制造</t>
  </si>
  <si>
    <t>压缩空气系统</t>
  </si>
  <si>
    <t>电动机系统</t>
  </si>
  <si>
    <t>全部行业</t>
  </si>
  <si>
    <t>空调系统</t>
  </si>
  <si>
    <t>不计入工业</t>
  </si>
  <si>
    <t>能源系统</t>
  </si>
  <si>
    <t>风机系统</t>
  </si>
  <si>
    <t>煤炭开采</t>
  </si>
  <si>
    <t>汽轮机</t>
  </si>
  <si>
    <t>废弃物处理</t>
  </si>
  <si>
    <t>water and waste 36T39</t>
  </si>
  <si>
    <t>工业炉窑</t>
  </si>
  <si>
    <t>建材</t>
  </si>
  <si>
    <t>除尘器</t>
  </si>
  <si>
    <t>通用设备</t>
  </si>
  <si>
    <t>专用设备</t>
  </si>
  <si>
    <t>仪器仪表</t>
  </si>
  <si>
    <t>computers and electronics 27</t>
  </si>
  <si>
    <t>电气机械</t>
  </si>
  <si>
    <t>汽车制造</t>
  </si>
  <si>
    <t>工业水泵</t>
  </si>
  <si>
    <t>农业</t>
  </si>
  <si>
    <t>油气开采</t>
  </si>
  <si>
    <t>其他采矿</t>
  </si>
  <si>
    <t>other mining and quarrying 07T08</t>
  </si>
  <si>
    <t>冷却塔</t>
  </si>
  <si>
    <t>BIFUbC 2022</t>
    <phoneticPr fontId="1" type="noConversion"/>
  </si>
  <si>
    <t>占比</t>
    <phoneticPr fontId="1" type="noConversion"/>
  </si>
  <si>
    <t>计入bldgs</t>
    <phoneticPr fontId="1" type="noConversion"/>
  </si>
  <si>
    <t>Early Facility Retirement</t>
  </si>
  <si>
    <t>发布时间</t>
    <phoneticPr fontId="1" type="noConversion"/>
  </si>
  <si>
    <t>Installation and System Integration</t>
  </si>
  <si>
    <t>Cogeneration and Waste Heat Recovery</t>
  </si>
  <si>
    <t>Improvement in Eqpt Efficiency Standards</t>
  </si>
  <si>
    <r>
      <rPr>
        <b/>
        <sz val="11"/>
        <color theme="1"/>
        <rFont val="宋体"/>
        <family val="3"/>
        <charset val="134"/>
      </rPr>
      <t xml:space="preserve">推广期的节能能力
</t>
    </r>
    <r>
      <rPr>
        <b/>
        <sz val="11"/>
        <color theme="1"/>
        <rFont val="Times New Roman"/>
        <family val="1"/>
      </rPr>
      <t>(</t>
    </r>
    <r>
      <rPr>
        <b/>
        <sz val="11"/>
        <color theme="1"/>
        <rFont val="宋体"/>
        <family val="3"/>
        <charset val="134"/>
      </rPr>
      <t>万</t>
    </r>
    <r>
      <rPr>
        <b/>
        <sz val="11"/>
        <color theme="1"/>
        <rFont val="Times New Roman"/>
        <family val="1"/>
      </rPr>
      <t>tce/a)</t>
    </r>
    <phoneticPr fontId="1" type="noConversion"/>
  </si>
  <si>
    <t>100%推广的节能能力
(万tce/a)</t>
    <phoneticPr fontId="1" type="noConversion"/>
  </si>
  <si>
    <t>高温工业窑炉红外节能涂料技术</t>
    <phoneticPr fontId="1" type="noConversion"/>
  </si>
  <si>
    <r>
      <t>≤</t>
    </r>
    <r>
      <rPr>
        <sz val="11"/>
        <color theme="1"/>
        <rFont val="Times New Roman"/>
        <family val="1"/>
      </rPr>
      <t>1%</t>
    </r>
    <phoneticPr fontId="1" type="noConversion"/>
  </si>
  <si>
    <t>&lt;1%</t>
    <phoneticPr fontId="1" type="noConversion"/>
  </si>
  <si>
    <r>
      <rPr>
        <b/>
        <sz val="10"/>
        <color theme="1"/>
        <rFont val="宋体"/>
        <family val="3"/>
        <charset val="134"/>
      </rPr>
      <t xml:space="preserve">推广期的节能能力
</t>
    </r>
    <r>
      <rPr>
        <b/>
        <sz val="10"/>
        <color theme="1"/>
        <rFont val="Times New Roman"/>
        <family val="1"/>
      </rPr>
      <t>(</t>
    </r>
    <r>
      <rPr>
        <b/>
        <sz val="10"/>
        <color theme="1"/>
        <rFont val="宋体"/>
        <family val="3"/>
        <charset val="134"/>
      </rPr>
      <t>万</t>
    </r>
    <r>
      <rPr>
        <b/>
        <sz val="10"/>
        <color theme="1"/>
        <rFont val="Times New Roman"/>
        <family val="1"/>
      </rPr>
      <t>tce/a)</t>
    </r>
    <phoneticPr fontId="1" type="noConversion"/>
  </si>
  <si>
    <t>100%实现</t>
    <phoneticPr fontId="1" type="noConversion"/>
  </si>
  <si>
    <t>节能量</t>
    <phoneticPr fontId="1" type="noConversion"/>
  </si>
  <si>
    <t>政策时间表</t>
    <phoneticPr fontId="1" type="noConversion"/>
  </si>
  <si>
    <t>BTU/万tce</t>
    <phoneticPr fontId="1" type="noConversion"/>
  </si>
  <si>
    <t>Unit: dimensionless</t>
  </si>
  <si>
    <t>Perc Fuel Use Reduction</t>
  </si>
  <si>
    <t>节能百分比</t>
    <phoneticPr fontId="1" type="noConversion"/>
  </si>
  <si>
    <t>合计</t>
    <phoneticPr fontId="1" type="noConversion"/>
  </si>
  <si>
    <t>工业</t>
    <phoneticPr fontId="1" type="noConversion"/>
  </si>
  <si>
    <t>PPRiFUfERoIF Potential Perc Reduction in Fuel Use from Early Retirement of Inefficient Facilities</t>
    <phoneticPr fontId="22" type="noConversion"/>
  </si>
  <si>
    <t>PPRiFUfIIaIoE Potential Perc Reduction in Fuel Use from Improved Installation and Integration of Eqpt</t>
    <phoneticPr fontId="22" type="noConversion"/>
  </si>
  <si>
    <t>PPRiFUfICaWHR Potential Perc Reduction in Fuel Use from Increased Cogen and Waste Heat Recovery</t>
    <phoneticPr fontId="22" type="noConversion"/>
  </si>
  <si>
    <t>Source:</t>
  </si>
  <si>
    <t>Notes:</t>
  </si>
  <si>
    <t>时间表</t>
    <phoneticPr fontId="1" type="noConversion"/>
  </si>
  <si>
    <t>Energy saving potential of key technologies in some key industries</t>
    <phoneticPr fontId="1" type="noConversion"/>
  </si>
  <si>
    <r>
      <rPr>
        <sz val="10"/>
        <color rgb="FF000000"/>
        <rFont val="Times New Roman"/>
        <family val="1"/>
      </rPr>
      <t xml:space="preserve">Ministry of  Industry and Information Technology of the People's Republic of China </t>
    </r>
    <r>
      <rPr>
        <sz val="10"/>
        <color rgb="FF000000"/>
        <rFont val="宋体"/>
        <family val="1"/>
        <charset val="134"/>
      </rPr>
      <t>中华人民共和国工业和信息化部</t>
    </r>
    <r>
      <rPr>
        <sz val="10"/>
        <color rgb="FF000000"/>
        <rFont val="等线 Light"/>
        <family val="3"/>
        <charset val="134"/>
        <scheme val="major"/>
      </rPr>
      <t xml:space="preserve"> </t>
    </r>
    <phoneticPr fontId="22" type="noConversion"/>
  </si>
  <si>
    <t>National Recommended Catalogue of Industrial Energy Conservation Technologies 2020 2021 2022</t>
    <phoneticPr fontId="1" type="noConversion"/>
  </si>
  <si>
    <t>国家工业节能技术推荐目录 2020 2021 2022</t>
    <phoneticPr fontId="22" type="noConversion"/>
  </si>
  <si>
    <t>https://wap.miit.gov.cn/zwgk/zcwj/wjfb/gg/art/2020/art_e0190e6c3c404e54a7958e863d68d6a2.html</t>
    <phoneticPr fontId="1" type="noConversion"/>
  </si>
  <si>
    <r>
      <rPr>
        <u/>
        <sz val="10"/>
        <color theme="10"/>
        <rFont val="等线"/>
        <family val="2"/>
      </rPr>
      <t>中华人民共和国工业和信息化部公告</t>
    </r>
    <r>
      <rPr>
        <u/>
        <sz val="10"/>
        <color theme="10"/>
        <rFont val="Times New Roman"/>
        <family val="1"/>
      </rPr>
      <t>2021</t>
    </r>
    <r>
      <rPr>
        <u/>
        <sz val="10"/>
        <color theme="10"/>
        <rFont val="等线"/>
        <family val="2"/>
      </rPr>
      <t>年</t>
    </r>
    <r>
      <rPr>
        <u/>
        <sz val="10"/>
        <color theme="10"/>
        <rFont val="Times New Roman"/>
        <family val="1"/>
      </rPr>
      <t xml:space="preserve"> </t>
    </r>
    <r>
      <rPr>
        <u/>
        <sz val="10"/>
        <color theme="10"/>
        <rFont val="等线"/>
        <family val="2"/>
      </rPr>
      <t>第</t>
    </r>
    <r>
      <rPr>
        <u/>
        <sz val="10"/>
        <color theme="10"/>
        <rFont val="Times New Roman"/>
        <family val="1"/>
      </rPr>
      <t>30</t>
    </r>
    <r>
      <rPr>
        <u/>
        <sz val="10"/>
        <color theme="10"/>
        <rFont val="等线"/>
        <family val="2"/>
      </rPr>
      <t>号</t>
    </r>
    <phoneticPr fontId="1" type="noConversion"/>
  </si>
  <si>
    <r>
      <rPr>
        <u/>
        <sz val="10"/>
        <color theme="10"/>
        <rFont val="等线"/>
        <family val="2"/>
      </rPr>
      <t>《国家工业和信息化领域节能技术装备推荐目录（</t>
    </r>
    <r>
      <rPr>
        <u/>
        <sz val="10"/>
        <color theme="10"/>
        <rFont val="Times New Roman"/>
        <family val="1"/>
      </rPr>
      <t>2022</t>
    </r>
    <r>
      <rPr>
        <u/>
        <sz val="10"/>
        <color theme="10"/>
        <rFont val="等线"/>
        <family val="2"/>
      </rPr>
      <t>年版）》（中华人民共和国工业和信息化部公告</t>
    </r>
    <r>
      <rPr>
        <u/>
        <sz val="10"/>
        <color theme="10"/>
        <rFont val="Times New Roman"/>
        <family val="1"/>
      </rPr>
      <t>2022</t>
    </r>
    <r>
      <rPr>
        <u/>
        <sz val="10"/>
        <color theme="10"/>
        <rFont val="等线"/>
        <family val="2"/>
      </rPr>
      <t>年第</t>
    </r>
    <r>
      <rPr>
        <u/>
        <sz val="10"/>
        <color theme="10"/>
        <rFont val="Times New Roman"/>
        <family val="1"/>
      </rPr>
      <t>29</t>
    </r>
    <r>
      <rPr>
        <u/>
        <sz val="10"/>
        <color theme="10"/>
        <rFont val="等线"/>
        <family val="2"/>
      </rPr>
      <t>号）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</si>
</sst>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0_);[Red]\(0.00\)"/>
    <numFmt numFmtId="178" formatCode="0_);[Red]\(0\)"/>
    <numFmt numFmtId="179" formatCode="0.0%"/>
    <numFmt numFmtId="180" formatCode="0.00000_);[Red]\(0.00000\)"/>
    <numFmt numFmtId="181" formatCode="0.000%"/>
    <numFmt numFmtId="182" formatCode="0.000000_);[Red]\(0.000000\)"/>
  </numFmts>
  <fonts count="3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1"/>
      <charset val="134"/>
    </font>
    <font>
      <b/>
      <sz val="11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0"/>
      <color theme="1"/>
      <name val="等线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rgb="FF000000"/>
      <name val="Times New Roman"/>
      <family val="1"/>
    </font>
    <font>
      <sz val="11"/>
      <color theme="1"/>
      <name val="Times New Roman"/>
      <family val="3"/>
    </font>
    <font>
      <sz val="11"/>
      <color theme="1"/>
      <name val="Times New Roman"/>
      <family val="3"/>
      <charset val="134"/>
    </font>
    <font>
      <b/>
      <sz val="11"/>
      <color theme="1"/>
      <name val="Times New Roman"/>
      <family val="3"/>
      <charset val="134"/>
    </font>
    <font>
      <b/>
      <sz val="10"/>
      <color theme="1"/>
      <name val="Times New Roman"/>
      <family val="3"/>
      <charset val="134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z val="10"/>
      <color theme="1"/>
      <name val="等线 Light"/>
      <family val="3"/>
      <charset val="134"/>
      <scheme val="major"/>
    </font>
    <font>
      <sz val="9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9"/>
      <name val="宋体"/>
      <family val="3"/>
      <charset val="134"/>
    </font>
    <font>
      <sz val="10"/>
      <color rgb="FF000000"/>
      <name val="Times New Roman"/>
      <family val="1"/>
      <charset val="134"/>
    </font>
    <font>
      <sz val="10"/>
      <color rgb="FF000000"/>
      <name val="Times New Roman"/>
      <family val="1"/>
    </font>
    <font>
      <sz val="10"/>
      <color rgb="FF000000"/>
      <name val="等线 Light"/>
      <family val="3"/>
      <charset val="134"/>
      <scheme val="major"/>
    </font>
    <font>
      <u/>
      <sz val="10"/>
      <color theme="10"/>
      <name val="Times New Roman"/>
      <family val="1"/>
    </font>
    <font>
      <sz val="10"/>
      <color rgb="FF000000"/>
      <name val="宋体"/>
      <family val="1"/>
      <charset val="134"/>
    </font>
    <font>
      <sz val="11"/>
      <color rgb="FF000000"/>
      <name val="Segoe UI"/>
      <family val="2"/>
    </font>
    <font>
      <u/>
      <sz val="10"/>
      <color theme="10"/>
      <name val="等线"/>
      <family val="2"/>
    </font>
    <font>
      <u/>
      <sz val="10"/>
      <color theme="1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9" fontId="2" fillId="0" borderId="0" xfId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9" fontId="2" fillId="2" borderId="0" xfId="1" applyFont="1" applyFill="1" applyAlignment="1">
      <alignment horizontal="center"/>
    </xf>
    <xf numFmtId="176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8" fillId="0" borderId="0" xfId="0" applyFont="1"/>
    <xf numFmtId="0" fontId="4" fillId="0" borderId="0" xfId="0" applyFont="1" applyAlignment="1">
      <alignment horizontal="left"/>
    </xf>
    <xf numFmtId="177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178" fontId="2" fillId="2" borderId="0" xfId="0" applyNumberFormat="1" applyFont="1" applyFill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10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0" borderId="1" xfId="0" applyFont="1" applyBorder="1"/>
    <xf numFmtId="0" fontId="10" fillId="2" borderId="1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1" fillId="0" borderId="0" xfId="0" applyFont="1"/>
    <xf numFmtId="0" fontId="2" fillId="0" borderId="0" xfId="0" quotePrefix="1" applyFont="1" applyAlignment="1">
      <alignment horizontal="center"/>
    </xf>
    <xf numFmtId="0" fontId="13" fillId="0" borderId="0" xfId="0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2" borderId="0" xfId="1" applyNumberFormat="1" applyFont="1" applyFill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/>
    </xf>
    <xf numFmtId="0" fontId="18" fillId="0" borderId="1" xfId="0" applyFont="1" applyBorder="1"/>
    <xf numFmtId="0" fontId="10" fillId="2" borderId="1" xfId="0" applyFont="1" applyFill="1" applyBorder="1"/>
    <xf numFmtId="0" fontId="18" fillId="2" borderId="1" xfId="0" applyFont="1" applyFill="1" applyBorder="1"/>
    <xf numFmtId="11" fontId="10" fillId="0" borderId="1" xfId="0" applyNumberFormat="1" applyFont="1" applyBorder="1" applyAlignment="1">
      <alignment horizontal="center"/>
    </xf>
    <xf numFmtId="179" fontId="10" fillId="0" borderId="1" xfId="1" applyNumberFormat="1" applyFont="1" applyBorder="1" applyAlignment="1">
      <alignment horizontal="center"/>
    </xf>
    <xf numFmtId="0" fontId="8" fillId="2" borderId="1" xfId="0" applyFont="1" applyFill="1" applyBorder="1"/>
    <xf numFmtId="0" fontId="10" fillId="0" borderId="1" xfId="0" applyFont="1" applyBorder="1" applyAlignment="1">
      <alignment horizontal="center"/>
    </xf>
    <xf numFmtId="178" fontId="10" fillId="0" borderId="1" xfId="0" applyNumberFormat="1" applyFont="1" applyBorder="1" applyAlignment="1">
      <alignment horizontal="center"/>
    </xf>
    <xf numFmtId="0" fontId="10" fillId="3" borderId="1" xfId="0" applyFont="1" applyFill="1" applyBorder="1"/>
    <xf numFmtId="0" fontId="18" fillId="3" borderId="1" xfId="0" applyFont="1" applyFill="1" applyBorder="1"/>
    <xf numFmtId="0" fontId="10" fillId="0" borderId="1" xfId="0" applyFont="1" applyBorder="1" applyAlignment="1">
      <alignment horizontal="center" wrapText="1"/>
    </xf>
    <xf numFmtId="1" fontId="10" fillId="0" borderId="1" xfId="0" applyNumberFormat="1" applyFont="1" applyBorder="1" applyAlignment="1">
      <alignment horizontal="center"/>
    </xf>
    <xf numFmtId="0" fontId="10" fillId="3" borderId="0" xfId="0" applyFont="1" applyFill="1"/>
    <xf numFmtId="1" fontId="10" fillId="0" borderId="0" xfId="0" applyNumberFormat="1" applyFont="1"/>
    <xf numFmtId="178" fontId="2" fillId="0" borderId="0" xfId="1" applyNumberFormat="1" applyFont="1" applyAlignment="1">
      <alignment horizontal="center"/>
    </xf>
    <xf numFmtId="9" fontId="12" fillId="0" borderId="0" xfId="1" applyFont="1" applyAlignment="1">
      <alignment horizontal="center"/>
    </xf>
    <xf numFmtId="0" fontId="19" fillId="0" borderId="0" xfId="0" applyFont="1" applyAlignment="1">
      <alignment vertical="center"/>
    </xf>
    <xf numFmtId="0" fontId="20" fillId="0" borderId="0" xfId="0" applyFont="1"/>
    <xf numFmtId="180" fontId="20" fillId="0" borderId="0" xfId="0" applyNumberFormat="1" applyFont="1"/>
    <xf numFmtId="177" fontId="10" fillId="0" borderId="1" xfId="1" applyNumberFormat="1" applyFont="1" applyBorder="1" applyAlignment="1">
      <alignment horizontal="center"/>
    </xf>
    <xf numFmtId="181" fontId="10" fillId="0" borderId="1" xfId="1" applyNumberFormat="1" applyFont="1" applyBorder="1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4" borderId="3" xfId="0" applyFont="1" applyFill="1" applyBorder="1"/>
    <xf numFmtId="178" fontId="10" fillId="4" borderId="3" xfId="0" applyNumberFormat="1" applyFont="1" applyFill="1" applyBorder="1"/>
    <xf numFmtId="177" fontId="10" fillId="0" borderId="4" xfId="1" applyNumberFormat="1" applyFont="1" applyBorder="1" applyAlignment="1">
      <alignment horizontal="center"/>
    </xf>
    <xf numFmtId="182" fontId="10" fillId="4" borderId="3" xfId="1" applyNumberFormat="1" applyFont="1" applyFill="1" applyBorder="1" applyAlignment="1"/>
    <xf numFmtId="181" fontId="10" fillId="0" borderId="0" xfId="1" applyNumberFormat="1" applyFont="1" applyAlignment="1"/>
    <xf numFmtId="10" fontId="10" fillId="4" borderId="3" xfId="0" applyNumberFormat="1" applyFont="1" applyFill="1" applyBorder="1"/>
    <xf numFmtId="0" fontId="21" fillId="0" borderId="0" xfId="0" applyFont="1"/>
    <xf numFmtId="0" fontId="0" fillId="0" borderId="0" xfId="0" applyAlignment="1">
      <alignment horizontal="left" vertical="top"/>
    </xf>
    <xf numFmtId="0" fontId="11" fillId="5" borderId="0" xfId="0" applyFont="1" applyFill="1"/>
    <xf numFmtId="0" fontId="23" fillId="0" borderId="0" xfId="0" applyFont="1" applyAlignment="1">
      <alignment horizontal="left" vertical="top"/>
    </xf>
    <xf numFmtId="0" fontId="25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1" fontId="10" fillId="0" borderId="0" xfId="0" applyNumberFormat="1" applyFont="1" applyAlignment="1">
      <alignment horizontal="center"/>
    </xf>
    <xf numFmtId="178" fontId="10" fillId="4" borderId="0" xfId="0" applyNumberFormat="1" applyFont="1" applyFill="1"/>
    <xf numFmtId="181" fontId="10" fillId="0" borderId="0" xfId="1" applyNumberFormat="1" applyFont="1" applyBorder="1" applyAlignment="1">
      <alignment horizontal="center"/>
    </xf>
    <xf numFmtId="177" fontId="10" fillId="0" borderId="0" xfId="1" applyNumberFormat="1" applyFont="1" applyBorder="1" applyAlignment="1">
      <alignment horizontal="center"/>
    </xf>
    <xf numFmtId="0" fontId="10" fillId="4" borderId="0" xfId="0" applyFont="1" applyFill="1"/>
    <xf numFmtId="0" fontId="8" fillId="0" borderId="0" xfId="0" applyFont="1" applyAlignment="1">
      <alignment vertical="center"/>
    </xf>
    <xf numFmtId="11" fontId="8" fillId="0" borderId="0" xfId="0" applyNumberFormat="1" applyFont="1" applyAlignment="1">
      <alignment vertical="center"/>
    </xf>
    <xf numFmtId="179" fontId="10" fillId="0" borderId="0" xfId="1" applyNumberFormat="1" applyFont="1" applyBorder="1" applyAlignment="1">
      <alignment horizontal="center"/>
    </xf>
    <xf numFmtId="179" fontId="10" fillId="4" borderId="3" xfId="1" applyNumberFormat="1" applyFont="1" applyFill="1" applyBorder="1" applyAlignment="1"/>
    <xf numFmtId="179" fontId="10" fillId="4" borderId="0" xfId="1" applyNumberFormat="1" applyFont="1" applyFill="1" applyBorder="1" applyAlignment="1"/>
    <xf numFmtId="2" fontId="10" fillId="4" borderId="0" xfId="0" applyNumberFormat="1" applyFont="1" applyFill="1"/>
    <xf numFmtId="0" fontId="26" fillId="0" borderId="0" xfId="2"/>
    <xf numFmtId="0" fontId="30" fillId="0" borderId="0" xfId="2" applyFont="1"/>
    <xf numFmtId="182" fontId="10" fillId="4" borderId="0" xfId="1" applyNumberFormat="1" applyFont="1" applyFill="1" applyBorder="1" applyAlignment="1"/>
  </cellXfs>
  <cellStyles count="3">
    <cellStyle name="百分比" xfId="1" builtinId="5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iit.gov.cn/jgsj/jns/wjfb/art/2022/art_d293af44ea69438a9b4f989d01d4288b.html" TargetMode="External"/><Relationship Id="rId2" Type="http://schemas.openxmlformats.org/officeDocument/2006/relationships/hyperlink" Target="https://wap.miit.gov.cn/zwgk/zcwj/wjfb/gg/art/2021/art_722250e2d62b49c5963d325477234d98.html" TargetMode="External"/><Relationship Id="rId1" Type="http://schemas.openxmlformats.org/officeDocument/2006/relationships/hyperlink" Target="https://wap.miit.gov.cn/zwgk/zcwj/wjfb/gg/art/2020/art_e0190e6c3c404e54a7958e863d68d6a2.html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EBD5-E95B-48D1-8F98-3FF2DE9E700A}">
  <dimension ref="A1:F21"/>
  <sheetViews>
    <sheetView workbookViewId="0">
      <selection activeCell="B24" sqref="B24"/>
    </sheetView>
  </sheetViews>
  <sheetFormatPr defaultRowHeight="14.25" x14ac:dyDescent="0.2"/>
  <cols>
    <col min="1" max="1" width="9" style="70"/>
    <col min="2" max="2" width="86.875" style="70" customWidth="1"/>
    <col min="3" max="6" width="9" style="70"/>
  </cols>
  <sheetData>
    <row r="1" spans="1:2" x14ac:dyDescent="0.2">
      <c r="A1" s="69" t="s">
        <v>447</v>
      </c>
    </row>
    <row r="2" spans="1:2" x14ac:dyDescent="0.2">
      <c r="A2" s="69" t="s">
        <v>448</v>
      </c>
    </row>
    <row r="3" spans="1:2" x14ac:dyDescent="0.2">
      <c r="A3" s="69" t="s">
        <v>449</v>
      </c>
    </row>
    <row r="4" spans="1:2" x14ac:dyDescent="0.2">
      <c r="A4" s="69"/>
    </row>
    <row r="5" spans="1:2" ht="15" x14ac:dyDescent="0.25">
      <c r="A5" s="31"/>
    </row>
    <row r="6" spans="1:2" ht="15" x14ac:dyDescent="0.25">
      <c r="A6" s="69" t="s">
        <v>450</v>
      </c>
      <c r="B6" s="71" t="s">
        <v>453</v>
      </c>
    </row>
    <row r="7" spans="1:2" ht="15" x14ac:dyDescent="0.25">
      <c r="A7" s="31"/>
      <c r="B7" s="72" t="s">
        <v>454</v>
      </c>
    </row>
    <row r="8" spans="1:2" ht="15" x14ac:dyDescent="0.25">
      <c r="A8" s="31"/>
      <c r="B8" s="72" t="s">
        <v>455</v>
      </c>
    </row>
    <row r="9" spans="1:2" ht="15" x14ac:dyDescent="0.25">
      <c r="A9" s="31"/>
      <c r="B9" s="73" t="s">
        <v>456</v>
      </c>
    </row>
    <row r="10" spans="1:2" ht="15" x14ac:dyDescent="0.25">
      <c r="A10" s="31"/>
      <c r="B10" s="86" t="s">
        <v>457</v>
      </c>
    </row>
    <row r="11" spans="1:2" ht="15" x14ac:dyDescent="0.25">
      <c r="A11" s="31"/>
      <c r="B11" s="87" t="s">
        <v>458</v>
      </c>
    </row>
    <row r="12" spans="1:2" ht="15" x14ac:dyDescent="0.25">
      <c r="A12" s="31"/>
      <c r="B12" s="86" t="s">
        <v>459</v>
      </c>
    </row>
    <row r="13" spans="1:2" ht="15" x14ac:dyDescent="0.25">
      <c r="A13" s="31"/>
      <c r="B13" s="86"/>
    </row>
    <row r="14" spans="1:2" x14ac:dyDescent="0.2">
      <c r="A14" s="69" t="s">
        <v>451</v>
      </c>
    </row>
    <row r="15" spans="1:2" ht="15" x14ac:dyDescent="0.25">
      <c r="A15" s="31"/>
    </row>
    <row r="16" spans="1:2" ht="15" x14ac:dyDescent="0.25">
      <c r="A16" s="31"/>
    </row>
    <row r="17" spans="1:1" ht="15" x14ac:dyDescent="0.25">
      <c r="A17" s="31"/>
    </row>
    <row r="18" spans="1:1" ht="15" x14ac:dyDescent="0.25">
      <c r="A18" s="31"/>
    </row>
    <row r="19" spans="1:1" ht="15" x14ac:dyDescent="0.25">
      <c r="A19" s="31"/>
    </row>
    <row r="21" spans="1:1" ht="16.5" x14ac:dyDescent="0.2">
      <c r="A21" s="74"/>
    </row>
  </sheetData>
  <phoneticPr fontId="1" type="noConversion"/>
  <hyperlinks>
    <hyperlink ref="B10" r:id="rId1" xr:uid="{9D776312-A885-4E20-8AB2-213701E359C5}"/>
    <hyperlink ref="B11" r:id="rId2" display="https://wap.miit.gov.cn/zwgk/zcwj/wjfb/gg/art/2021/art_722250e2d62b49c5963d325477234d98.html" xr:uid="{F5F3F87A-03AE-462E-8C69-9B06FBCDEBB3}"/>
    <hyperlink ref="B12" r:id="rId3" display="https://www.miit.gov.cn/jgsj/jns/wjfb/art/2022/art_d293af44ea69438a9b4f989d01d4288b.html" xr:uid="{AFEB7B44-B384-4F74-985B-043E5F6636BF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F38F-AD05-45F8-8335-72AB371FE321}">
  <dimension ref="A1:H64"/>
  <sheetViews>
    <sheetView workbookViewId="0">
      <selection activeCell="C30" sqref="C30"/>
    </sheetView>
  </sheetViews>
  <sheetFormatPr defaultColWidth="9" defaultRowHeight="13.5" x14ac:dyDescent="0.15"/>
  <cols>
    <col min="1" max="1" width="18.75" style="20" customWidth="1"/>
    <col min="2" max="2" width="38.375" style="20" customWidth="1"/>
    <col min="3" max="3" width="10.875" style="8" customWidth="1"/>
    <col min="4" max="4" width="18.75" style="8" customWidth="1"/>
    <col min="5" max="5" width="16.125" style="5" customWidth="1"/>
    <col min="6" max="6" width="9" style="5"/>
    <col min="7" max="7" width="22.25" style="5" customWidth="1"/>
    <col min="8" max="8" width="36.625" style="5" customWidth="1"/>
    <col min="9" max="16384" width="9" style="5"/>
  </cols>
  <sheetData>
    <row r="1" spans="1:8" x14ac:dyDescent="0.15">
      <c r="A1" s="19" t="s">
        <v>29</v>
      </c>
      <c r="B1" s="19" t="s">
        <v>30</v>
      </c>
      <c r="D1" s="22" t="s">
        <v>58</v>
      </c>
      <c r="E1" s="22" t="s">
        <v>11</v>
      </c>
      <c r="G1" s="19" t="s">
        <v>31</v>
      </c>
      <c r="H1" s="19" t="s">
        <v>32</v>
      </c>
    </row>
    <row r="2" spans="1:8" ht="14.25" x14ac:dyDescent="0.2">
      <c r="A2" s="24" t="s">
        <v>6</v>
      </c>
      <c r="B2" s="25" t="s">
        <v>35</v>
      </c>
      <c r="D2" s="24" t="s">
        <v>57</v>
      </c>
      <c r="E2" s="24" t="s">
        <v>3</v>
      </c>
      <c r="G2" s="26" t="s">
        <v>12</v>
      </c>
      <c r="H2" s="26" t="s">
        <v>103</v>
      </c>
    </row>
    <row r="3" spans="1:8" ht="14.25" x14ac:dyDescent="0.2">
      <c r="A3" s="24" t="s">
        <v>14</v>
      </c>
      <c r="B3" s="25" t="s">
        <v>36</v>
      </c>
      <c r="D3" s="24" t="s">
        <v>57</v>
      </c>
      <c r="E3" s="24" t="s">
        <v>4</v>
      </c>
      <c r="G3" s="26" t="s">
        <v>10</v>
      </c>
      <c r="H3" s="26" t="s">
        <v>105</v>
      </c>
    </row>
    <row r="4" spans="1:8" ht="14.25" x14ac:dyDescent="0.2">
      <c r="A4" s="24" t="s">
        <v>98</v>
      </c>
      <c r="B4" s="25" t="s">
        <v>100</v>
      </c>
      <c r="D4" s="24" t="s">
        <v>57</v>
      </c>
      <c r="E4" s="24" t="s">
        <v>2</v>
      </c>
      <c r="G4" s="26" t="s">
        <v>16</v>
      </c>
      <c r="H4" s="26" t="s">
        <v>104</v>
      </c>
    </row>
    <row r="5" spans="1:8" ht="14.25" x14ac:dyDescent="0.2">
      <c r="A5" s="26" t="s">
        <v>60</v>
      </c>
      <c r="B5" s="25" t="s">
        <v>101</v>
      </c>
      <c r="D5" s="24" t="s">
        <v>57</v>
      </c>
      <c r="E5" s="24" t="s">
        <v>1</v>
      </c>
      <c r="G5" s="26" t="s">
        <v>26</v>
      </c>
      <c r="H5" s="26" t="s">
        <v>103</v>
      </c>
    </row>
    <row r="6" spans="1:8" ht="14.25" x14ac:dyDescent="0.2">
      <c r="A6" s="24" t="s">
        <v>15</v>
      </c>
      <c r="B6" s="25" t="s">
        <v>39</v>
      </c>
      <c r="D6" s="24" t="s">
        <v>57</v>
      </c>
      <c r="E6" s="24" t="s">
        <v>59</v>
      </c>
      <c r="G6" s="26" t="s">
        <v>25</v>
      </c>
      <c r="H6" s="26" t="s">
        <v>103</v>
      </c>
    </row>
    <row r="7" spans="1:8" ht="14.25" x14ac:dyDescent="0.2">
      <c r="A7" s="24" t="s">
        <v>59</v>
      </c>
      <c r="B7" s="25" t="s">
        <v>37</v>
      </c>
      <c r="D7" s="24" t="s">
        <v>57</v>
      </c>
      <c r="E7" s="24" t="s">
        <v>15</v>
      </c>
      <c r="G7" s="26" t="s">
        <v>7</v>
      </c>
      <c r="H7" s="26" t="s">
        <v>104</v>
      </c>
    </row>
    <row r="8" spans="1:8" ht="14.25" x14ac:dyDescent="0.2">
      <c r="A8" s="24" t="s">
        <v>0</v>
      </c>
      <c r="B8" s="25" t="s">
        <v>44</v>
      </c>
      <c r="D8" s="24" t="s">
        <v>57</v>
      </c>
      <c r="E8" s="24" t="s">
        <v>60</v>
      </c>
      <c r="G8" s="26" t="s">
        <v>8</v>
      </c>
      <c r="H8" s="26" t="s">
        <v>102</v>
      </c>
    </row>
    <row r="9" spans="1:8" ht="14.25" x14ac:dyDescent="0.2">
      <c r="A9" s="24" t="s">
        <v>1</v>
      </c>
      <c r="B9" s="25" t="s">
        <v>45</v>
      </c>
      <c r="D9" s="24" t="s">
        <v>13</v>
      </c>
      <c r="E9" s="24" t="s">
        <v>4</v>
      </c>
    </row>
    <row r="10" spans="1:8" ht="14.25" x14ac:dyDescent="0.2">
      <c r="A10" s="24" t="s">
        <v>4</v>
      </c>
      <c r="B10" s="25" t="s">
        <v>40</v>
      </c>
      <c r="D10" s="24" t="s">
        <v>13</v>
      </c>
      <c r="E10" s="24" t="s">
        <v>2</v>
      </c>
    </row>
    <row r="11" spans="1:8" ht="14.25" x14ac:dyDescent="0.2">
      <c r="A11" s="24" t="s">
        <v>2</v>
      </c>
      <c r="B11" s="25" t="s">
        <v>41</v>
      </c>
      <c r="D11" s="24" t="s">
        <v>13</v>
      </c>
      <c r="E11" s="24" t="s">
        <v>1</v>
      </c>
    </row>
    <row r="12" spans="1:8" ht="14.25" x14ac:dyDescent="0.2">
      <c r="A12" s="24" t="s">
        <v>9</v>
      </c>
      <c r="B12" s="25" t="s">
        <v>46</v>
      </c>
      <c r="D12" s="24" t="s">
        <v>13</v>
      </c>
      <c r="E12" s="24" t="s">
        <v>9</v>
      </c>
    </row>
    <row r="13" spans="1:8" ht="14.25" x14ac:dyDescent="0.2">
      <c r="A13" s="24" t="s">
        <v>79</v>
      </c>
      <c r="B13" s="25" t="s">
        <v>51</v>
      </c>
      <c r="D13" s="24" t="s">
        <v>13</v>
      </c>
      <c r="E13" s="24" t="s">
        <v>15</v>
      </c>
    </row>
    <row r="14" spans="1:8" ht="14.25" x14ac:dyDescent="0.2">
      <c r="A14" s="24" t="s">
        <v>80</v>
      </c>
      <c r="B14" s="25" t="s">
        <v>52</v>
      </c>
      <c r="D14" s="24" t="s">
        <v>13</v>
      </c>
      <c r="E14" s="24" t="s">
        <v>59</v>
      </c>
    </row>
    <row r="15" spans="1:8" ht="14.25" x14ac:dyDescent="0.2">
      <c r="A15" s="24" t="s">
        <v>69</v>
      </c>
      <c r="B15" s="25" t="s">
        <v>52</v>
      </c>
      <c r="D15" s="24" t="s">
        <v>13</v>
      </c>
      <c r="E15" s="24" t="s">
        <v>60</v>
      </c>
    </row>
    <row r="16" spans="1:8" ht="14.25" x14ac:dyDescent="0.2">
      <c r="A16" s="24" t="s">
        <v>5</v>
      </c>
      <c r="B16" s="25" t="s">
        <v>54</v>
      </c>
      <c r="D16" s="24" t="s">
        <v>61</v>
      </c>
      <c r="E16" s="24" t="s">
        <v>80</v>
      </c>
    </row>
    <row r="17" spans="1:5" ht="14.25" x14ac:dyDescent="0.2">
      <c r="A17" s="24" t="s">
        <v>75</v>
      </c>
      <c r="B17" s="25" t="s">
        <v>83</v>
      </c>
      <c r="D17" s="24" t="s">
        <v>61</v>
      </c>
      <c r="E17" s="24" t="s">
        <v>3</v>
      </c>
    </row>
    <row r="18" spans="1:5" ht="14.25" x14ac:dyDescent="0.2">
      <c r="A18" s="24" t="s">
        <v>89</v>
      </c>
      <c r="B18" s="25" t="s">
        <v>95</v>
      </c>
      <c r="D18" s="24" t="s">
        <v>62</v>
      </c>
      <c r="E18" s="24" t="s">
        <v>3</v>
      </c>
    </row>
    <row r="19" spans="1:5" ht="14.25" x14ac:dyDescent="0.2">
      <c r="A19" s="24" t="s">
        <v>90</v>
      </c>
      <c r="B19" s="25" t="s">
        <v>94</v>
      </c>
      <c r="D19" s="24" t="s">
        <v>62</v>
      </c>
      <c r="E19" s="24" t="s">
        <v>59</v>
      </c>
    </row>
    <row r="20" spans="1:5" ht="14.25" x14ac:dyDescent="0.2">
      <c r="A20" s="24" t="s">
        <v>88</v>
      </c>
      <c r="B20" s="25" t="s">
        <v>93</v>
      </c>
      <c r="D20" s="24" t="s">
        <v>62</v>
      </c>
      <c r="E20" s="24" t="s">
        <v>60</v>
      </c>
    </row>
    <row r="21" spans="1:5" ht="14.25" x14ac:dyDescent="0.2">
      <c r="A21" s="24" t="s">
        <v>86</v>
      </c>
      <c r="B21" s="25" t="s">
        <v>92</v>
      </c>
      <c r="D21" s="24" t="s">
        <v>62</v>
      </c>
      <c r="E21" s="24" t="s">
        <v>2</v>
      </c>
    </row>
    <row r="22" spans="1:5" ht="14.25" x14ac:dyDescent="0.2">
      <c r="A22" s="24" t="s">
        <v>87</v>
      </c>
      <c r="B22" s="25" t="s">
        <v>91</v>
      </c>
      <c r="D22" s="24" t="s">
        <v>62</v>
      </c>
      <c r="E22" s="24" t="s">
        <v>1</v>
      </c>
    </row>
    <row r="23" spans="1:5" ht="14.25" x14ac:dyDescent="0.2">
      <c r="A23" s="24" t="s">
        <v>97</v>
      </c>
      <c r="B23" s="25" t="s">
        <v>34</v>
      </c>
      <c r="D23" s="24" t="s">
        <v>62</v>
      </c>
      <c r="E23" s="24" t="s">
        <v>9</v>
      </c>
    </row>
    <row r="24" spans="1:5" x14ac:dyDescent="0.15">
      <c r="A24" s="24" t="s">
        <v>3</v>
      </c>
      <c r="B24" s="24" t="s">
        <v>3</v>
      </c>
      <c r="D24" s="27" t="s">
        <v>63</v>
      </c>
      <c r="E24" s="27" t="s">
        <v>65</v>
      </c>
    </row>
    <row r="25" spans="1:5" x14ac:dyDescent="0.15">
      <c r="A25" s="24" t="s">
        <v>57</v>
      </c>
      <c r="B25" s="24" t="s">
        <v>57</v>
      </c>
      <c r="D25" s="27" t="s">
        <v>18</v>
      </c>
      <c r="E25" s="27" t="s">
        <v>66</v>
      </c>
    </row>
    <row r="26" spans="1:5" x14ac:dyDescent="0.15">
      <c r="A26" s="24" t="s">
        <v>13</v>
      </c>
      <c r="B26" s="24" t="s">
        <v>13</v>
      </c>
      <c r="D26" s="27" t="s">
        <v>17</v>
      </c>
      <c r="E26" s="27" t="s">
        <v>65</v>
      </c>
    </row>
    <row r="27" spans="1:5" x14ac:dyDescent="0.15">
      <c r="A27" s="24" t="s">
        <v>61</v>
      </c>
      <c r="B27" s="24" t="s">
        <v>61</v>
      </c>
      <c r="D27" s="24" t="s">
        <v>20</v>
      </c>
      <c r="E27" s="24" t="s">
        <v>6</v>
      </c>
    </row>
    <row r="28" spans="1:5" x14ac:dyDescent="0.15">
      <c r="A28" s="24" t="s">
        <v>62</v>
      </c>
      <c r="B28" s="24" t="s">
        <v>62</v>
      </c>
      <c r="D28" s="24" t="s">
        <v>20</v>
      </c>
      <c r="E28" s="24" t="s">
        <v>4</v>
      </c>
    </row>
    <row r="29" spans="1:5" x14ac:dyDescent="0.15">
      <c r="A29" s="24" t="s">
        <v>63</v>
      </c>
      <c r="B29" s="24" t="s">
        <v>63</v>
      </c>
      <c r="D29" s="24" t="s">
        <v>20</v>
      </c>
      <c r="E29" s="24" t="s">
        <v>2</v>
      </c>
    </row>
    <row r="30" spans="1:5" x14ac:dyDescent="0.15">
      <c r="A30" s="24" t="s">
        <v>18</v>
      </c>
      <c r="B30" s="24" t="s">
        <v>18</v>
      </c>
      <c r="D30" s="24" t="s">
        <v>20</v>
      </c>
      <c r="E30" s="24" t="s">
        <v>1</v>
      </c>
    </row>
    <row r="31" spans="1:5" x14ac:dyDescent="0.15">
      <c r="A31" s="24" t="s">
        <v>17</v>
      </c>
      <c r="B31" s="24" t="s">
        <v>17</v>
      </c>
      <c r="D31" s="24" t="s">
        <v>20</v>
      </c>
      <c r="E31" s="24" t="s">
        <v>3</v>
      </c>
    </row>
    <row r="32" spans="1:5" x14ac:dyDescent="0.15">
      <c r="A32" s="24" t="s">
        <v>20</v>
      </c>
      <c r="B32" s="24" t="s">
        <v>20</v>
      </c>
      <c r="D32" s="24" t="s">
        <v>22</v>
      </c>
      <c r="E32" s="24" t="s">
        <v>4</v>
      </c>
    </row>
    <row r="33" spans="1:5" x14ac:dyDescent="0.15">
      <c r="A33" s="24" t="s">
        <v>22</v>
      </c>
      <c r="B33" s="24" t="s">
        <v>22</v>
      </c>
      <c r="D33" s="24" t="s">
        <v>22</v>
      </c>
      <c r="E33" s="24" t="s">
        <v>1</v>
      </c>
    </row>
    <row r="34" spans="1:5" x14ac:dyDescent="0.15">
      <c r="A34" s="24" t="s">
        <v>78</v>
      </c>
      <c r="B34" s="24" t="s">
        <v>78</v>
      </c>
      <c r="D34" s="24" t="s">
        <v>22</v>
      </c>
      <c r="E34" s="24" t="s">
        <v>9</v>
      </c>
    </row>
    <row r="35" spans="1:5" x14ac:dyDescent="0.15">
      <c r="A35" s="24" t="s">
        <v>21</v>
      </c>
      <c r="B35" s="24" t="s">
        <v>73</v>
      </c>
      <c r="D35" s="24" t="s">
        <v>22</v>
      </c>
      <c r="E35" s="24" t="s">
        <v>15</v>
      </c>
    </row>
    <row r="36" spans="1:5" x14ac:dyDescent="0.15">
      <c r="A36" s="24" t="s">
        <v>19</v>
      </c>
      <c r="B36" s="24" t="s">
        <v>73</v>
      </c>
      <c r="D36" s="24" t="s">
        <v>22</v>
      </c>
      <c r="E36" s="24" t="s">
        <v>3</v>
      </c>
    </row>
    <row r="37" spans="1:5" x14ac:dyDescent="0.15">
      <c r="A37" s="24" t="s">
        <v>77</v>
      </c>
      <c r="B37" s="24" t="s">
        <v>74</v>
      </c>
      <c r="D37" s="24" t="s">
        <v>22</v>
      </c>
      <c r="E37" s="24" t="s">
        <v>75</v>
      </c>
    </row>
    <row r="38" spans="1:5" x14ac:dyDescent="0.15">
      <c r="A38" s="24" t="s">
        <v>23</v>
      </c>
      <c r="B38" s="24" t="s">
        <v>74</v>
      </c>
      <c r="D38" s="24" t="s">
        <v>78</v>
      </c>
      <c r="E38" s="24" t="s">
        <v>1</v>
      </c>
    </row>
    <row r="39" spans="1:5" x14ac:dyDescent="0.15">
      <c r="A39" s="24" t="s">
        <v>82</v>
      </c>
      <c r="B39" s="24" t="s">
        <v>82</v>
      </c>
      <c r="D39" s="24" t="s">
        <v>78</v>
      </c>
      <c r="E39" s="24" t="s">
        <v>4</v>
      </c>
    </row>
    <row r="40" spans="1:5" x14ac:dyDescent="0.15">
      <c r="A40" s="24" t="s">
        <v>85</v>
      </c>
      <c r="B40" s="24" t="s">
        <v>85</v>
      </c>
      <c r="D40" s="24" t="s">
        <v>78</v>
      </c>
      <c r="E40" s="24" t="s">
        <v>9</v>
      </c>
    </row>
    <row r="41" spans="1:5" x14ac:dyDescent="0.15">
      <c r="A41" s="24" t="s">
        <v>24</v>
      </c>
      <c r="B41" s="24" t="s">
        <v>24</v>
      </c>
      <c r="D41" s="24" t="s">
        <v>78</v>
      </c>
      <c r="E41" s="24" t="s">
        <v>0</v>
      </c>
    </row>
    <row r="42" spans="1:5" x14ac:dyDescent="0.15">
      <c r="A42" s="24" t="s">
        <v>96</v>
      </c>
      <c r="B42" s="24" t="s">
        <v>96</v>
      </c>
      <c r="D42" s="24" t="s">
        <v>82</v>
      </c>
      <c r="E42" s="24" t="s">
        <v>6</v>
      </c>
    </row>
    <row r="43" spans="1:5" x14ac:dyDescent="0.15">
      <c r="D43" s="24" t="s">
        <v>82</v>
      </c>
      <c r="E43" s="24" t="s">
        <v>1</v>
      </c>
    </row>
    <row r="44" spans="1:5" x14ac:dyDescent="0.15">
      <c r="D44" s="24" t="s">
        <v>82</v>
      </c>
      <c r="E44" s="24" t="s">
        <v>9</v>
      </c>
    </row>
    <row r="45" spans="1:5" x14ac:dyDescent="0.15">
      <c r="D45" s="24" t="s">
        <v>82</v>
      </c>
      <c r="E45" s="24" t="s">
        <v>4</v>
      </c>
    </row>
    <row r="46" spans="1:5" x14ac:dyDescent="0.15">
      <c r="D46" s="24" t="s">
        <v>82</v>
      </c>
      <c r="E46" s="24" t="s">
        <v>3</v>
      </c>
    </row>
    <row r="47" spans="1:5" x14ac:dyDescent="0.15">
      <c r="D47" s="24" t="s">
        <v>85</v>
      </c>
      <c r="E47" s="24" t="s">
        <v>86</v>
      </c>
    </row>
    <row r="48" spans="1:5" x14ac:dyDescent="0.15">
      <c r="D48" s="24" t="s">
        <v>85</v>
      </c>
      <c r="E48" s="24" t="s">
        <v>87</v>
      </c>
    </row>
    <row r="49" spans="4:5" x14ac:dyDescent="0.15">
      <c r="D49" s="24" t="s">
        <v>85</v>
      </c>
      <c r="E49" s="24" t="s">
        <v>88</v>
      </c>
    </row>
    <row r="50" spans="4:5" x14ac:dyDescent="0.15">
      <c r="D50" s="24" t="s">
        <v>85</v>
      </c>
      <c r="E50" s="24" t="s">
        <v>89</v>
      </c>
    </row>
    <row r="51" spans="4:5" x14ac:dyDescent="0.15">
      <c r="D51" s="24" t="s">
        <v>85</v>
      </c>
      <c r="E51" s="24" t="s">
        <v>79</v>
      </c>
    </row>
    <row r="52" spans="4:5" x14ac:dyDescent="0.15">
      <c r="D52" s="24" t="s">
        <v>96</v>
      </c>
      <c r="E52" s="24" t="s">
        <v>97</v>
      </c>
    </row>
    <row r="53" spans="4:5" x14ac:dyDescent="0.15">
      <c r="D53" s="24" t="s">
        <v>96</v>
      </c>
      <c r="E53" s="24" t="s">
        <v>6</v>
      </c>
    </row>
    <row r="54" spans="4:5" x14ac:dyDescent="0.15">
      <c r="D54" s="24" t="s">
        <v>96</v>
      </c>
      <c r="E54" s="24" t="s">
        <v>14</v>
      </c>
    </row>
    <row r="55" spans="4:5" x14ac:dyDescent="0.15">
      <c r="D55" s="24" t="s">
        <v>96</v>
      </c>
      <c r="E55" s="24" t="s">
        <v>98</v>
      </c>
    </row>
    <row r="56" spans="4:5" x14ac:dyDescent="0.15">
      <c r="D56" s="24" t="s">
        <v>96</v>
      </c>
      <c r="E56" s="24" t="s">
        <v>2</v>
      </c>
    </row>
    <row r="57" spans="4:5" x14ac:dyDescent="0.15">
      <c r="D57" s="24" t="s">
        <v>96</v>
      </c>
      <c r="E57" s="24" t="s">
        <v>1</v>
      </c>
    </row>
    <row r="58" spans="4:5" x14ac:dyDescent="0.15">
      <c r="D58" s="24" t="s">
        <v>96</v>
      </c>
      <c r="E58" s="24" t="s">
        <v>3</v>
      </c>
    </row>
    <row r="59" spans="4:5" x14ac:dyDescent="0.15">
      <c r="D59" s="24" t="s">
        <v>96</v>
      </c>
      <c r="E59" s="24" t="s">
        <v>75</v>
      </c>
    </row>
    <row r="60" spans="4:5" x14ac:dyDescent="0.15">
      <c r="D60" s="24" t="s">
        <v>24</v>
      </c>
      <c r="E60" s="24" t="s">
        <v>4</v>
      </c>
    </row>
    <row r="61" spans="4:5" x14ac:dyDescent="0.15">
      <c r="D61" s="24" t="s">
        <v>24</v>
      </c>
      <c r="E61" s="24" t="s">
        <v>3</v>
      </c>
    </row>
    <row r="62" spans="4:5" x14ac:dyDescent="0.15">
      <c r="D62" s="24" t="s">
        <v>24</v>
      </c>
      <c r="E62" s="24" t="s">
        <v>1</v>
      </c>
    </row>
    <row r="63" spans="4:5" x14ac:dyDescent="0.15">
      <c r="D63" s="24" t="s">
        <v>24</v>
      </c>
      <c r="E63" s="24" t="s">
        <v>60</v>
      </c>
    </row>
    <row r="64" spans="4:5" x14ac:dyDescent="0.15">
      <c r="D64" s="24" t="s">
        <v>24</v>
      </c>
      <c r="E64" s="24" t="s">
        <v>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D30B-D941-4F1C-A68A-9E9F7E3C1FBD}">
  <dimension ref="A1:AQ27"/>
  <sheetViews>
    <sheetView tabSelected="1" workbookViewId="0">
      <selection activeCell="I36" sqref="I36"/>
    </sheetView>
  </sheetViews>
  <sheetFormatPr defaultColWidth="9" defaultRowHeight="12.75" x14ac:dyDescent="0.2"/>
  <cols>
    <col min="1" max="1" width="36" style="14" customWidth="1"/>
    <col min="2" max="40" width="8.75" style="14" customWidth="1"/>
    <col min="41" max="16384" width="9" style="14"/>
  </cols>
  <sheetData>
    <row r="1" spans="1:43" s="80" customFormat="1" x14ac:dyDescent="0.2">
      <c r="A1" s="80" t="s">
        <v>33</v>
      </c>
      <c r="B1" s="80">
        <v>2019</v>
      </c>
      <c r="C1" s="80">
        <v>2020</v>
      </c>
      <c r="D1" s="80">
        <v>2021</v>
      </c>
      <c r="E1" s="80">
        <v>2022</v>
      </c>
      <c r="F1" s="80">
        <v>2023</v>
      </c>
      <c r="G1" s="80">
        <v>2024</v>
      </c>
      <c r="H1" s="80">
        <v>2025</v>
      </c>
      <c r="I1" s="80">
        <v>2026</v>
      </c>
      <c r="J1" s="80">
        <v>2027</v>
      </c>
      <c r="K1" s="80">
        <v>2028</v>
      </c>
      <c r="L1" s="80">
        <v>2029</v>
      </c>
      <c r="M1" s="80">
        <v>2030</v>
      </c>
      <c r="N1" s="80">
        <v>2031</v>
      </c>
      <c r="O1" s="80">
        <v>2032</v>
      </c>
      <c r="P1" s="80">
        <v>2033</v>
      </c>
      <c r="Q1" s="80">
        <v>2034</v>
      </c>
      <c r="R1" s="80">
        <v>2035</v>
      </c>
      <c r="S1" s="80">
        <v>2036</v>
      </c>
      <c r="T1" s="80">
        <v>2037</v>
      </c>
      <c r="U1" s="80">
        <v>2038</v>
      </c>
      <c r="V1" s="80">
        <v>2039</v>
      </c>
      <c r="W1" s="80">
        <v>2040</v>
      </c>
      <c r="X1" s="80">
        <v>2041</v>
      </c>
      <c r="Y1" s="80">
        <v>2042</v>
      </c>
      <c r="Z1" s="80">
        <v>2043</v>
      </c>
      <c r="AA1" s="80">
        <v>2044</v>
      </c>
      <c r="AB1" s="80">
        <v>2045</v>
      </c>
      <c r="AC1" s="80">
        <v>2046</v>
      </c>
      <c r="AD1" s="80">
        <v>2047</v>
      </c>
      <c r="AE1" s="80">
        <v>2048</v>
      </c>
      <c r="AF1" s="80">
        <v>2049</v>
      </c>
      <c r="AG1" s="80">
        <v>2050</v>
      </c>
      <c r="AH1" s="80">
        <v>2051</v>
      </c>
      <c r="AI1" s="80">
        <v>2052</v>
      </c>
      <c r="AJ1" s="80">
        <v>2053</v>
      </c>
      <c r="AK1" s="80">
        <v>2054</v>
      </c>
      <c r="AL1" s="80">
        <v>2055</v>
      </c>
      <c r="AM1" s="80">
        <v>2056</v>
      </c>
      <c r="AN1" s="80">
        <v>2057</v>
      </c>
      <c r="AO1" s="80">
        <v>2058</v>
      </c>
      <c r="AP1" s="80">
        <v>2059</v>
      </c>
      <c r="AQ1" s="80">
        <v>2060</v>
      </c>
    </row>
    <row r="2" spans="1:43" s="80" customFormat="1" x14ac:dyDescent="0.2">
      <c r="A2" s="80" t="s">
        <v>34</v>
      </c>
      <c r="B2" s="81">
        <v>1655905952087749.5</v>
      </c>
      <c r="C2" s="81">
        <v>1692415509188447.3</v>
      </c>
      <c r="D2" s="81">
        <v>1716291743999729.5</v>
      </c>
      <c r="E2" s="81">
        <v>1782067425215856.5</v>
      </c>
      <c r="F2" s="81">
        <v>1853640567488169</v>
      </c>
      <c r="G2" s="81">
        <v>1938230627983082.3</v>
      </c>
      <c r="H2" s="81">
        <v>1982173582441684</v>
      </c>
      <c r="I2" s="81">
        <v>2101219430748356.8</v>
      </c>
      <c r="J2" s="81">
        <v>2178937887741666</v>
      </c>
      <c r="K2" s="81">
        <v>2253183920344091</v>
      </c>
      <c r="L2" s="81">
        <v>2323640860962861.5</v>
      </c>
      <c r="M2" s="81">
        <v>2430300713119251</v>
      </c>
      <c r="N2" s="81">
        <v>2453363678923105</v>
      </c>
      <c r="O2" s="81">
        <v>2512284353214459</v>
      </c>
      <c r="P2" s="81">
        <v>2566651933094394</v>
      </c>
      <c r="Q2" s="81">
        <v>2616367349780268</v>
      </c>
      <c r="R2" s="81">
        <v>2645009117025076</v>
      </c>
      <c r="S2" s="81">
        <v>2710026760507549</v>
      </c>
      <c r="T2" s="81">
        <v>2754279602525153.5</v>
      </c>
      <c r="U2" s="81">
        <v>2794164007739350</v>
      </c>
      <c r="V2" s="81">
        <v>2829746153306371</v>
      </c>
      <c r="W2" s="81">
        <v>2861126581816516</v>
      </c>
      <c r="X2" s="81">
        <v>2888437470579964</v>
      </c>
      <c r="Y2" s="81">
        <v>2911839723200267.5</v>
      </c>
      <c r="Z2" s="81">
        <v>2931519953297716</v>
      </c>
      <c r="AA2" s="81">
        <v>2947687426076830</v>
      </c>
      <c r="AB2" s="81">
        <v>2960571018236863.5</v>
      </c>
      <c r="AC2" s="81">
        <v>2970416250780083.5</v>
      </c>
      <c r="AD2" s="81">
        <v>2977482442847458</v>
      </c>
      <c r="AE2" s="81">
        <v>2982040028053949</v>
      </c>
      <c r="AF2" s="81">
        <v>2984368068129380</v>
      </c>
      <c r="AG2" s="81">
        <v>2984751992193441.5</v>
      </c>
      <c r="AH2" s="81">
        <v>2983481583869279</v>
      </c>
      <c r="AI2" s="81">
        <v>2980849232807685</v>
      </c>
      <c r="AJ2" s="81">
        <v>2977148462158234.5</v>
      </c>
      <c r="AK2" s="81">
        <v>2972672739165513.5</v>
      </c>
      <c r="AL2" s="81">
        <v>2967714572441858</v>
      </c>
      <c r="AM2" s="81">
        <v>2962564896607263</v>
      </c>
      <c r="AN2" s="81">
        <v>2957512742908538.5</v>
      </c>
      <c r="AO2" s="81">
        <v>2952845193136365.5</v>
      </c>
      <c r="AP2" s="81">
        <v>2948847613645019.5</v>
      </c>
      <c r="AQ2" s="81">
        <v>2930992012769695</v>
      </c>
    </row>
    <row r="3" spans="1:43" s="80" customFormat="1" x14ac:dyDescent="0.2">
      <c r="A3" s="80" t="s">
        <v>35</v>
      </c>
      <c r="B3" s="81">
        <v>1.8369744355334368E+16</v>
      </c>
      <c r="C3" s="81">
        <v>1.865299709441922E+16</v>
      </c>
      <c r="D3" s="81">
        <v>1.972081024177278E+16</v>
      </c>
      <c r="E3" s="81">
        <v>2.1787092932710152E+16</v>
      </c>
      <c r="F3" s="81">
        <v>2.2326911336274712E+16</v>
      </c>
      <c r="G3" s="81">
        <v>2.28665650333049E+16</v>
      </c>
      <c r="H3" s="81">
        <v>2.3406054023800728E+16</v>
      </c>
      <c r="I3" s="81">
        <v>2.3785241063123212E+16</v>
      </c>
      <c r="J3" s="81">
        <v>2.416433323921008E+16</v>
      </c>
      <c r="K3" s="81">
        <v>2.4543330552061316E+16</v>
      </c>
      <c r="L3" s="81">
        <v>2.4922233001676916E+16</v>
      </c>
      <c r="M3" s="81">
        <v>2.53010405880569E+16</v>
      </c>
      <c r="N3" s="81">
        <v>2.544155632639246E+16</v>
      </c>
      <c r="O3" s="81">
        <v>2.5582041696634716E+16</v>
      </c>
      <c r="P3" s="81">
        <v>2.5722496698783676E+16</v>
      </c>
      <c r="Q3" s="81">
        <v>2.586292133283932E+16</v>
      </c>
      <c r="R3" s="81">
        <v>2.6003315598801668E+16</v>
      </c>
      <c r="S3" s="81">
        <v>2.5764061378647088E+16</v>
      </c>
      <c r="T3" s="81">
        <v>2.5524819967598512E+16</v>
      </c>
      <c r="U3" s="81">
        <v>2.5285591365655968E+16</v>
      </c>
      <c r="V3" s="81">
        <v>2.5046375572819444E+16</v>
      </c>
      <c r="W3" s="81">
        <v>2.4807172589088932E+16</v>
      </c>
      <c r="X3" s="81">
        <v>2.4424867953797692E+16</v>
      </c>
      <c r="Y3" s="81">
        <v>2.4042583813076064E+16</v>
      </c>
      <c r="Z3" s="81">
        <v>2.3660320166924076E+16</v>
      </c>
      <c r="AA3" s="81">
        <v>2.3278077015341724E+16</v>
      </c>
      <c r="AB3" s="81">
        <v>2.2895854358329004E+16</v>
      </c>
      <c r="AC3" s="81">
        <v>2.2513652195885932E+16</v>
      </c>
      <c r="AD3" s="81">
        <v>2.2131470528012484E+16</v>
      </c>
      <c r="AE3" s="81">
        <v>2.174930935470868E+16</v>
      </c>
      <c r="AF3" s="81">
        <v>2.1367168675974508E+16</v>
      </c>
      <c r="AG3" s="81">
        <v>2.0985048491809968E+16</v>
      </c>
      <c r="AH3" s="81">
        <v>2.0507564779982584E+16</v>
      </c>
      <c r="AI3" s="81">
        <v>2.0030106686367256E+16</v>
      </c>
      <c r="AJ3" s="81">
        <v>1.9552674210963972E+16</v>
      </c>
      <c r="AK3" s="81">
        <v>1.9075267353772728E+16</v>
      </c>
      <c r="AL3" s="81">
        <v>1.8597886114793532E+16</v>
      </c>
      <c r="AM3" s="81">
        <v>1.8215901707152832E+16</v>
      </c>
      <c r="AN3" s="81">
        <v>1.7833937794081778E+16</v>
      </c>
      <c r="AO3" s="81">
        <v>1.745199437558035E+16</v>
      </c>
      <c r="AP3" s="81">
        <v>1.7070071451648566E+16</v>
      </c>
      <c r="AQ3" s="81">
        <v>1.6685927428732464E+16</v>
      </c>
    </row>
    <row r="4" spans="1:43" s="80" customFormat="1" x14ac:dyDescent="0.2">
      <c r="A4" s="80" t="s">
        <v>36</v>
      </c>
      <c r="B4" s="81">
        <v>782569708608316.88</v>
      </c>
      <c r="C4" s="81">
        <v>750491822304952</v>
      </c>
      <c r="D4" s="81">
        <v>806363361100349.5</v>
      </c>
      <c r="E4" s="81">
        <v>851907789626884.25</v>
      </c>
      <c r="F4" s="81">
        <v>886321758564238.88</v>
      </c>
      <c r="G4" s="81">
        <v>920462757257255.25</v>
      </c>
      <c r="H4" s="81">
        <v>954330785705933</v>
      </c>
      <c r="I4" s="81">
        <v>974883364760133</v>
      </c>
      <c r="J4" s="81">
        <v>995295027637333.88</v>
      </c>
      <c r="K4" s="81">
        <v>1015565774337535.8</v>
      </c>
      <c r="L4" s="81">
        <v>1035695604860739.1</v>
      </c>
      <c r="M4" s="81">
        <v>1055684519206943.1</v>
      </c>
      <c r="N4" s="81">
        <v>1067975938377179</v>
      </c>
      <c r="O4" s="81">
        <v>1080188965493690.4</v>
      </c>
      <c r="P4" s="81">
        <v>1092323600556477.3</v>
      </c>
      <c r="Q4" s="81">
        <v>1104379843565539.5</v>
      </c>
      <c r="R4" s="81">
        <v>1116357694520876.8</v>
      </c>
      <c r="S4" s="81">
        <v>1130478492195777.5</v>
      </c>
      <c r="T4" s="81">
        <v>1144579456600314.5</v>
      </c>
      <c r="U4" s="81">
        <v>1158660587734487</v>
      </c>
      <c r="V4" s="81">
        <v>1172721885598295.5</v>
      </c>
      <c r="W4" s="81">
        <v>1186763350191739.8</v>
      </c>
      <c r="X4" s="81">
        <v>1193369107349457</v>
      </c>
      <c r="Y4" s="81">
        <v>1199964958779200.5</v>
      </c>
      <c r="Z4" s="81">
        <v>1206550904480969.3</v>
      </c>
      <c r="AA4" s="81">
        <v>1213126944454764.5</v>
      </c>
      <c r="AB4" s="81">
        <v>1219693078700585.5</v>
      </c>
      <c r="AC4" s="81">
        <v>1226249307218432.8</v>
      </c>
      <c r="AD4" s="81">
        <v>1232795630008305.5</v>
      </c>
      <c r="AE4" s="81">
        <v>1239332047070204</v>
      </c>
      <c r="AF4" s="81">
        <v>1245858558404128.8</v>
      </c>
      <c r="AG4" s="81">
        <v>1252375164010079.5</v>
      </c>
      <c r="AH4" s="81">
        <v>1258878185184273.5</v>
      </c>
      <c r="AI4" s="81">
        <v>1265371305588315.8</v>
      </c>
      <c r="AJ4" s="81">
        <v>1271854525222205.3</v>
      </c>
      <c r="AK4" s="81">
        <v>1278327844085943</v>
      </c>
      <c r="AL4" s="81">
        <v>1284791262179528.3</v>
      </c>
      <c r="AM4" s="81">
        <v>1283918760404279.8</v>
      </c>
      <c r="AN4" s="81">
        <v>1283046264578417</v>
      </c>
      <c r="AO4" s="81">
        <v>1282173774701941</v>
      </c>
      <c r="AP4" s="81">
        <v>1281301290774851</v>
      </c>
      <c r="AQ4" s="81">
        <v>1276088376143597</v>
      </c>
    </row>
    <row r="5" spans="1:43" s="80" customFormat="1" x14ac:dyDescent="0.2">
      <c r="A5" s="80" t="s">
        <v>422</v>
      </c>
      <c r="B5" s="81">
        <v>621636505214392.13</v>
      </c>
      <c r="C5" s="81">
        <v>588500851116080.75</v>
      </c>
      <c r="D5" s="81">
        <v>607833120278682.5</v>
      </c>
      <c r="E5" s="81">
        <v>593874963280529.25</v>
      </c>
      <c r="F5" s="81">
        <v>631165407680935.88</v>
      </c>
      <c r="G5" s="81">
        <v>668168755362959</v>
      </c>
      <c r="H5" s="81">
        <v>704885006326598.63</v>
      </c>
      <c r="I5" s="81">
        <v>721594338666658.75</v>
      </c>
      <c r="J5" s="81">
        <v>738190387231238.25</v>
      </c>
      <c r="K5" s="81">
        <v>754673152020337</v>
      </c>
      <c r="L5" s="81">
        <v>771042633033955.13</v>
      </c>
      <c r="M5" s="81">
        <v>787298830272092.63</v>
      </c>
      <c r="N5" s="81">
        <v>788168393148035</v>
      </c>
      <c r="O5" s="81">
        <v>789022750482429.25</v>
      </c>
      <c r="P5" s="81">
        <v>789861902275275.25</v>
      </c>
      <c r="Q5" s="81">
        <v>790685848526573</v>
      </c>
      <c r="R5" s="81">
        <v>791494589236322.75</v>
      </c>
      <c r="S5" s="81">
        <v>784834776363428</v>
      </c>
      <c r="T5" s="81">
        <v>778183145144720.63</v>
      </c>
      <c r="U5" s="81">
        <v>771539695580200.25</v>
      </c>
      <c r="V5" s="81">
        <v>764904427669867.5</v>
      </c>
      <c r="W5" s="81">
        <v>758277341413722</v>
      </c>
      <c r="X5" s="81">
        <v>744752352914917.63</v>
      </c>
      <c r="Y5" s="81">
        <v>731244791162531.88</v>
      </c>
      <c r="Z5" s="81">
        <v>717754656156564.88</v>
      </c>
      <c r="AA5" s="81">
        <v>704281947897016.5</v>
      </c>
      <c r="AB5" s="81">
        <v>690826666383886.75</v>
      </c>
      <c r="AC5" s="81">
        <v>675878171211687.63</v>
      </c>
      <c r="AD5" s="81">
        <v>660949131852939.25</v>
      </c>
      <c r="AE5" s="81">
        <v>646039548307642.13</v>
      </c>
      <c r="AF5" s="81">
        <v>631149420575795.5</v>
      </c>
      <c r="AG5" s="81">
        <v>616278748657400</v>
      </c>
      <c r="AH5" s="81">
        <v>601923262742086.38</v>
      </c>
      <c r="AI5" s="81">
        <v>587586564540237.88</v>
      </c>
      <c r="AJ5" s="81">
        <v>573268654051854.5</v>
      </c>
      <c r="AK5" s="81">
        <v>558969531276935.69</v>
      </c>
      <c r="AL5" s="81">
        <v>544689196215482</v>
      </c>
      <c r="AM5" s="81">
        <v>531126158468391.56</v>
      </c>
      <c r="AN5" s="81">
        <v>517580963864649.94</v>
      </c>
      <c r="AO5" s="81">
        <v>504053612404257</v>
      </c>
      <c r="AP5" s="81">
        <v>490544104087213</v>
      </c>
      <c r="AQ5" s="81">
        <v>475435312001945.56</v>
      </c>
    </row>
    <row r="6" spans="1:43" s="80" customFormat="1" x14ac:dyDescent="0.2">
      <c r="A6" s="80" t="s">
        <v>393</v>
      </c>
      <c r="B6" s="81">
        <v>1518072891591473.5</v>
      </c>
      <c r="C6" s="81">
        <v>1430795621388194.8</v>
      </c>
      <c r="D6" s="81">
        <v>1604423863526367.3</v>
      </c>
      <c r="E6" s="81">
        <v>1659602617334849.5</v>
      </c>
      <c r="F6" s="81">
        <v>1669030568106121</v>
      </c>
      <c r="G6" s="81">
        <v>1705538708160292.5</v>
      </c>
      <c r="H6" s="81">
        <v>1756584632155079.8</v>
      </c>
      <c r="I6" s="81">
        <v>1812033130052020.5</v>
      </c>
      <c r="J6" s="81">
        <v>1867201240858428.3</v>
      </c>
      <c r="K6" s="81">
        <v>1920697950144835.8</v>
      </c>
      <c r="L6" s="81">
        <v>1971035514204048</v>
      </c>
      <c r="M6" s="81">
        <v>2016642443876609.5</v>
      </c>
      <c r="N6" s="81">
        <v>2057209649654759.5</v>
      </c>
      <c r="O6" s="81">
        <v>2091616378493041.5</v>
      </c>
      <c r="P6" s="81">
        <v>2120094306669243.3</v>
      </c>
      <c r="Q6" s="81">
        <v>2142959195915383.3</v>
      </c>
      <c r="R6" s="81">
        <v>2160599109023219</v>
      </c>
      <c r="S6" s="81">
        <v>2180102628655902.5</v>
      </c>
      <c r="T6" s="81">
        <v>2195183784488660.3</v>
      </c>
      <c r="U6" s="81">
        <v>2206085113394276.5</v>
      </c>
      <c r="V6" s="81">
        <v>2213078111651259.8</v>
      </c>
      <c r="W6" s="81">
        <v>2216457480623206.3</v>
      </c>
      <c r="X6" s="81">
        <v>2216535655057618.3</v>
      </c>
      <c r="Y6" s="81">
        <v>2213637713977514.3</v>
      </c>
      <c r="Z6" s="81">
        <v>2208096750834649</v>
      </c>
      <c r="AA6" s="81">
        <v>2200249757628970.8</v>
      </c>
      <c r="AB6" s="81">
        <v>2190434057731111</v>
      </c>
      <c r="AC6" s="81">
        <v>2178984304632790.5</v>
      </c>
      <c r="AD6" s="81">
        <v>2166230049074912</v>
      </c>
      <c r="AE6" s="81">
        <v>2152493865091091.5</v>
      </c>
      <c r="AF6" s="81">
        <v>2138090016455942</v>
      </c>
      <c r="AG6" s="81">
        <v>2123323638745336.3</v>
      </c>
      <c r="AH6" s="81">
        <v>2108490408535817.3</v>
      </c>
      <c r="AI6" s="81">
        <v>2093876669986975.8</v>
      </c>
      <c r="AJ6" s="81">
        <v>2079759989943362</v>
      </c>
      <c r="AK6" s="81">
        <v>2066410115546721.5</v>
      </c>
      <c r="AL6" s="81">
        <v>2054090312975889.5</v>
      </c>
      <c r="AM6" s="81">
        <v>2043059072183312.8</v>
      </c>
      <c r="AN6" s="81">
        <v>2033572170282563.8</v>
      </c>
      <c r="AO6" s="81">
        <v>2025885095539316</v>
      </c>
      <c r="AP6" s="81">
        <v>2020255844790411.3</v>
      </c>
      <c r="AQ6" s="81">
        <v>2006663498240754</v>
      </c>
    </row>
    <row r="7" spans="1:43" s="80" customFormat="1" x14ac:dyDescent="0.2">
      <c r="A7" s="80" t="s">
        <v>37</v>
      </c>
      <c r="B7" s="81">
        <v>1373651344239264.8</v>
      </c>
      <c r="C7" s="81">
        <v>1305773224896104.3</v>
      </c>
      <c r="D7" s="81">
        <v>1386136612917778.8</v>
      </c>
      <c r="E7" s="81">
        <v>1366093416799988</v>
      </c>
      <c r="F7" s="81">
        <v>1364864531915136</v>
      </c>
      <c r="G7" s="81">
        <v>1372278038519385.8</v>
      </c>
      <c r="H7" s="81">
        <v>1384338510628962</v>
      </c>
      <c r="I7" s="81">
        <v>1398391803370834.8</v>
      </c>
      <c r="J7" s="81">
        <v>1411253545093338.8</v>
      </c>
      <c r="K7" s="81">
        <v>1421071380218413.3</v>
      </c>
      <c r="L7" s="81">
        <v>1425962454515814.5</v>
      </c>
      <c r="M7" s="81">
        <v>1424062686318843</v>
      </c>
      <c r="N7" s="81">
        <v>1414907402805922.3</v>
      </c>
      <c r="O7" s="81">
        <v>1399121583385270.3</v>
      </c>
      <c r="P7" s="81">
        <v>1378671815015123.5</v>
      </c>
      <c r="Q7" s="81">
        <v>1355479457465777.3</v>
      </c>
      <c r="R7" s="81">
        <v>1331372081695332.5</v>
      </c>
      <c r="S7" s="81">
        <v>1311836688117952.3</v>
      </c>
      <c r="T7" s="81">
        <v>1292996398526911.8</v>
      </c>
      <c r="U7" s="81">
        <v>1274855972948540</v>
      </c>
      <c r="V7" s="81">
        <v>1257421101149202.3</v>
      </c>
      <c r="W7" s="81">
        <v>1240697967985219</v>
      </c>
      <c r="X7" s="81">
        <v>1224692896925316.3</v>
      </c>
      <c r="Y7" s="81">
        <v>1209412071212390.8</v>
      </c>
      <c r="Z7" s="81">
        <v>1194861329628426.8</v>
      </c>
      <c r="AA7" s="81">
        <v>1181046031932215</v>
      </c>
      <c r="AB7" s="81">
        <v>1167970987731321</v>
      </c>
      <c r="AC7" s="81">
        <v>1155640441780002.5</v>
      </c>
      <c r="AD7" s="81">
        <v>1144058108398200.8</v>
      </c>
      <c r="AE7" s="81">
        <v>1133227247810496.8</v>
      </c>
      <c r="AF7" s="81">
        <v>1123150777631664.4</v>
      </c>
      <c r="AG7" s="81">
        <v>1113831413405613.4</v>
      </c>
      <c r="AH7" s="81">
        <v>1105271832972470</v>
      </c>
      <c r="AI7" s="81">
        <v>1097474860439546</v>
      </c>
      <c r="AJ7" s="81">
        <v>1090443666624762</v>
      </c>
      <c r="AK7" s="81">
        <v>1084181983996020.4</v>
      </c>
      <c r="AL7" s="81">
        <v>1078694335332734.1</v>
      </c>
      <c r="AM7" s="81">
        <v>1073986276584583</v>
      </c>
      <c r="AN7" s="81">
        <v>1070064655711313.4</v>
      </c>
      <c r="AO7" s="81">
        <v>1066937890684089.9</v>
      </c>
      <c r="AP7" s="81">
        <v>1064616271358655.8</v>
      </c>
      <c r="AQ7" s="81">
        <v>1057660433750377.3</v>
      </c>
    </row>
    <row r="8" spans="1:43" s="80" customFormat="1" x14ac:dyDescent="0.2">
      <c r="A8" s="80" t="s">
        <v>38</v>
      </c>
      <c r="B8" s="81">
        <v>203671056181528.22</v>
      </c>
      <c r="C8" s="81">
        <v>196579929394259.09</v>
      </c>
      <c r="D8" s="81">
        <v>225777578272461.28</v>
      </c>
      <c r="E8" s="81">
        <v>223388895821819.81</v>
      </c>
      <c r="F8" s="81">
        <v>223357561759607</v>
      </c>
      <c r="G8" s="81">
        <v>225121841455941.75</v>
      </c>
      <c r="H8" s="81">
        <v>228114876984099.25</v>
      </c>
      <c r="I8" s="81">
        <v>231986989795747.5</v>
      </c>
      <c r="J8" s="81">
        <v>236244673129072.78</v>
      </c>
      <c r="K8" s="81">
        <v>240588184817518.59</v>
      </c>
      <c r="L8" s="81">
        <v>244695493532771.25</v>
      </c>
      <c r="M8" s="81">
        <v>248223332676371.06</v>
      </c>
      <c r="N8" s="81">
        <v>251004696319034.41</v>
      </c>
      <c r="O8" s="81">
        <v>252889234032604.06</v>
      </c>
      <c r="P8" s="81">
        <v>253924719393660.16</v>
      </c>
      <c r="Q8" s="81">
        <v>254169049362015.69</v>
      </c>
      <c r="R8" s="81">
        <v>253688211711234.19</v>
      </c>
      <c r="S8" s="81">
        <v>253330192494437.88</v>
      </c>
      <c r="T8" s="81">
        <v>252374417087754</v>
      </c>
      <c r="U8" s="81">
        <v>250878553869147.81</v>
      </c>
      <c r="V8" s="81">
        <v>248902753806189.78</v>
      </c>
      <c r="W8" s="81">
        <v>246508524188636.44</v>
      </c>
      <c r="X8" s="81">
        <v>243757719139771.31</v>
      </c>
      <c r="Y8" s="81">
        <v>240711659852730.06</v>
      </c>
      <c r="Z8" s="81">
        <v>237430391809451.44</v>
      </c>
      <c r="AA8" s="81">
        <v>233972081256091.31</v>
      </c>
      <c r="AB8" s="81">
        <v>230392549027342.16</v>
      </c>
      <c r="AC8" s="81">
        <v>226744936476661.81</v>
      </c>
      <c r="AD8" s="81">
        <v>223079495778467.13</v>
      </c>
      <c r="AE8" s="81">
        <v>219443495185360.59</v>
      </c>
      <c r="AF8" s="81">
        <v>215881228886460.19</v>
      </c>
      <c r="AG8" s="81">
        <v>212434120844479.81</v>
      </c>
      <c r="AH8" s="81">
        <v>209140912304298.88</v>
      </c>
      <c r="AI8" s="81">
        <v>206037923479647.47</v>
      </c>
      <c r="AJ8" s="81">
        <v>203159381158532</v>
      </c>
      <c r="AK8" s="81">
        <v>200537805554619.56</v>
      </c>
      <c r="AL8" s="81">
        <v>198204451618524.97</v>
      </c>
      <c r="AM8" s="81">
        <v>196189802175555.25</v>
      </c>
      <c r="AN8" s="81">
        <v>194524112661540.63</v>
      </c>
      <c r="AO8" s="81">
        <v>193238009895871.28</v>
      </c>
      <c r="AP8" s="81">
        <v>192363150296783.91</v>
      </c>
      <c r="AQ8" s="81">
        <v>190952239214123.31</v>
      </c>
    </row>
    <row r="9" spans="1:43" s="80" customFormat="1" x14ac:dyDescent="0.2">
      <c r="A9" s="80" t="s">
        <v>39</v>
      </c>
      <c r="B9" s="81">
        <v>871528323453208.75</v>
      </c>
      <c r="C9" s="81">
        <v>863817532218792.13</v>
      </c>
      <c r="D9" s="81">
        <v>938745210217624.38</v>
      </c>
      <c r="E9" s="81">
        <v>941063344196180.75</v>
      </c>
      <c r="F9" s="81">
        <v>980459031956785</v>
      </c>
      <c r="G9" s="81">
        <v>1022450492068631.8</v>
      </c>
      <c r="H9" s="81">
        <v>1065705674986212.5</v>
      </c>
      <c r="I9" s="81">
        <v>1089939783609894.3</v>
      </c>
      <c r="J9" s="81">
        <v>1114059049175404</v>
      </c>
      <c r="K9" s="81">
        <v>1137880550443773.5</v>
      </c>
      <c r="L9" s="81">
        <v>1161203185706350.5</v>
      </c>
      <c r="M9" s="81">
        <v>1183809759877611</v>
      </c>
      <c r="N9" s="81">
        <v>1195809734745220.3</v>
      </c>
      <c r="O9" s="81">
        <v>1206982112517594</v>
      </c>
      <c r="P9" s="81">
        <v>1217357871794264.8</v>
      </c>
      <c r="Q9" s="81">
        <v>1226977987315278.5</v>
      </c>
      <c r="R9" s="81">
        <v>1235891902321925</v>
      </c>
      <c r="S9" s="81">
        <v>1241802267974237.8</v>
      </c>
      <c r="T9" s="81">
        <v>1247157738519151.3</v>
      </c>
      <c r="U9" s="81">
        <v>1251991096871065</v>
      </c>
      <c r="V9" s="81">
        <v>1256338780040611.5</v>
      </c>
      <c r="W9" s="81">
        <v>1260240141438473</v>
      </c>
      <c r="X9" s="81">
        <v>1253456380109362</v>
      </c>
      <c r="Y9" s="81">
        <v>1246331656017124.5</v>
      </c>
      <c r="Z9" s="81">
        <v>1238910021544689.3</v>
      </c>
      <c r="AA9" s="81">
        <v>1231235927694692</v>
      </c>
      <c r="AB9" s="81">
        <v>1223353750584528.8</v>
      </c>
      <c r="AC9" s="81">
        <v>1208147334094487.5</v>
      </c>
      <c r="AD9" s="81">
        <v>1192834311510658.8</v>
      </c>
      <c r="AE9" s="81">
        <v>1177456723984197.8</v>
      </c>
      <c r="AF9" s="81">
        <v>1162055374700402</v>
      </c>
      <c r="AG9" s="81">
        <v>1146669716374728.3</v>
      </c>
      <c r="AH9" s="81">
        <v>1130320110520091</v>
      </c>
      <c r="AI9" s="81">
        <v>1114062993204947</v>
      </c>
      <c r="AJ9" s="81">
        <v>1097933729610973.3</v>
      </c>
      <c r="AK9" s="81">
        <v>1081966504621958.8</v>
      </c>
      <c r="AL9" s="81">
        <v>1066194502355423.5</v>
      </c>
      <c r="AM9" s="81">
        <v>1048625089023294.5</v>
      </c>
      <c r="AN9" s="81">
        <v>1031319362286582.6</v>
      </c>
      <c r="AO9" s="81">
        <v>1014309062936663</v>
      </c>
      <c r="AP9" s="81">
        <v>997626127081864.25</v>
      </c>
      <c r="AQ9" s="81">
        <v>976272199258465.5</v>
      </c>
    </row>
    <row r="10" spans="1:43" s="80" customFormat="1" x14ac:dyDescent="0.2">
      <c r="A10" s="80" t="s">
        <v>40</v>
      </c>
      <c r="B10" s="81">
        <v>5.445110491278732E+16</v>
      </c>
      <c r="C10" s="81">
        <v>5.702829724265308E+16</v>
      </c>
      <c r="D10" s="81">
        <v>5.6146066246650224E+16</v>
      </c>
      <c r="E10" s="81">
        <v>5.72191488178428E+16</v>
      </c>
      <c r="F10" s="81">
        <v>6.1736942701664488E+16</v>
      </c>
      <c r="G10" s="81">
        <v>6.625221166580568E+16</v>
      </c>
      <c r="H10" s="81">
        <v>7.0764955710266344E+16</v>
      </c>
      <c r="I10" s="81">
        <v>7.2321006724922016E+16</v>
      </c>
      <c r="J10" s="81">
        <v>7.3876340659614896E+16</v>
      </c>
      <c r="K10" s="81">
        <v>7.543095751434496E+16</v>
      </c>
      <c r="L10" s="81">
        <v>7.6984857289112192E+16</v>
      </c>
      <c r="M10" s="81">
        <v>7.8538039983916624E+16</v>
      </c>
      <c r="N10" s="81">
        <v>7.8634914773056944E+16</v>
      </c>
      <c r="O10" s="81">
        <v>7.873174583586984E+16</v>
      </c>
      <c r="P10" s="81">
        <v>7.8828533172355328E+16</v>
      </c>
      <c r="Q10" s="81">
        <v>7.8925276782513392E+16</v>
      </c>
      <c r="R10" s="81">
        <v>7.902197666634408E+16</v>
      </c>
      <c r="S10" s="81">
        <v>7.8121424440245344E+16</v>
      </c>
      <c r="T10" s="81">
        <v>7.72209607398744E+16</v>
      </c>
      <c r="U10" s="81">
        <v>7.6320585565231248E+16</v>
      </c>
      <c r="V10" s="81">
        <v>7.542029891631592E+16</v>
      </c>
      <c r="W10" s="81">
        <v>7.4520100793128352E+16</v>
      </c>
      <c r="X10" s="81">
        <v>7.283560786517472E+16</v>
      </c>
      <c r="Y10" s="81">
        <v>7.11512809236414E+16</v>
      </c>
      <c r="Z10" s="81">
        <v>6.94671199685284E+16</v>
      </c>
      <c r="AA10" s="81">
        <v>6.7783124999835744E+16</v>
      </c>
      <c r="AB10" s="81">
        <v>6.60992960175634E+16</v>
      </c>
      <c r="AC10" s="81">
        <v>6.4415633021711376E+16</v>
      </c>
      <c r="AD10" s="81">
        <v>6.2732136012279688E+16</v>
      </c>
      <c r="AE10" s="81">
        <v>6.1048804989268296E+16</v>
      </c>
      <c r="AF10" s="81">
        <v>5.9365639952677248E+16</v>
      </c>
      <c r="AG10" s="81">
        <v>5.7682640902506544E+16</v>
      </c>
      <c r="AH10" s="81">
        <v>5.6223802480409672E+16</v>
      </c>
      <c r="AI10" s="81">
        <v>5.4765107913523944E+16</v>
      </c>
      <c r="AJ10" s="81">
        <v>5.3306557201849352E+16</v>
      </c>
      <c r="AK10" s="81">
        <v>5.1848150345385936E+16</v>
      </c>
      <c r="AL10" s="81">
        <v>5.0389887344133696E+16</v>
      </c>
      <c r="AM10" s="81">
        <v>4.88586473050152E+16</v>
      </c>
      <c r="AN10" s="81">
        <v>4.7327558347412848E+16</v>
      </c>
      <c r="AO10" s="81">
        <v>4.579662047132664E+16</v>
      </c>
      <c r="AP10" s="81">
        <v>4.4265833676756568E+16</v>
      </c>
      <c r="AQ10" s="81">
        <v>4.2724637417588984E+16</v>
      </c>
    </row>
    <row r="11" spans="1:43" s="80" customFormat="1" x14ac:dyDescent="0.2">
      <c r="A11" s="80" t="s">
        <v>41</v>
      </c>
      <c r="B11" s="81">
        <v>1.1779139012024814E+16</v>
      </c>
      <c r="C11" s="81">
        <v>1.2646580424913054E+16</v>
      </c>
      <c r="D11" s="81">
        <v>1.3477957895470576E+16</v>
      </c>
      <c r="E11" s="81">
        <v>1.3349479035578908E+16</v>
      </c>
      <c r="F11" s="81">
        <v>1.4511806799564016E+16</v>
      </c>
      <c r="G11" s="81">
        <v>1.5684376170289732E+16</v>
      </c>
      <c r="H11" s="81">
        <v>1.6857832385948338E+16</v>
      </c>
      <c r="I11" s="81">
        <v>1.7446566133151346E+16</v>
      </c>
      <c r="J11" s="81">
        <v>1.8028063191887336E+16</v>
      </c>
      <c r="K11" s="81">
        <v>1.8602326217690224E+16</v>
      </c>
      <c r="L11" s="81">
        <v>1.9169588216037836E+16</v>
      </c>
      <c r="M11" s="81">
        <v>1.9730275432970784E+16</v>
      </c>
      <c r="N11" s="81">
        <v>2.0041806921914804E+16</v>
      </c>
      <c r="O11" s="81">
        <v>2.034921328112112E+16</v>
      </c>
      <c r="P11" s="81">
        <v>2.0653156509638016E+16</v>
      </c>
      <c r="Q11" s="81">
        <v>2.0954339948149948E+16</v>
      </c>
      <c r="R11" s="81">
        <v>2.1253486351911208E+16</v>
      </c>
      <c r="S11" s="81">
        <v>2.1418801683332988E+16</v>
      </c>
      <c r="T11" s="81">
        <v>2.1583819627421072E+16</v>
      </c>
      <c r="U11" s="81">
        <v>2.1748542456205972E+16</v>
      </c>
      <c r="V11" s="81">
        <v>2.191297253156998E+16</v>
      </c>
      <c r="W11" s="81">
        <v>2.2077112300310524E+16</v>
      </c>
      <c r="X11" s="81">
        <v>2.2145565139058396E+16</v>
      </c>
      <c r="Y11" s="81">
        <v>2.2213823512360208E+16</v>
      </c>
      <c r="Z11" s="81">
        <v>2.2281890092478356E+16</v>
      </c>
      <c r="AA11" s="81">
        <v>2.2349767617237832E+16</v>
      </c>
      <c r="AB11" s="81">
        <v>2.241745888533942E+16</v>
      </c>
      <c r="AC11" s="81">
        <v>2.2403116061635636E+16</v>
      </c>
      <c r="AD11" s="81">
        <v>2.2388661556051732E+16</v>
      </c>
      <c r="AE11" s="81">
        <v>2.2374098322635492E+16</v>
      </c>
      <c r="AF11" s="81">
        <v>2.2359429358444892E+16</v>
      </c>
      <c r="AG11" s="81">
        <v>2.2344657699341352E+16</v>
      </c>
      <c r="AH11" s="81">
        <v>2.2255778072436864E+16</v>
      </c>
      <c r="AI11" s="81">
        <v>2.2166874995624468E+16</v>
      </c>
      <c r="AJ11" s="81">
        <v>2.2077951597141E+16</v>
      </c>
      <c r="AK11" s="81">
        <v>2.1989011028433072E+16</v>
      </c>
      <c r="AL11" s="81">
        <v>2.1900056460592976E+16</v>
      </c>
      <c r="AM11" s="81">
        <v>2.179748269032834E+16</v>
      </c>
      <c r="AN11" s="81">
        <v>2.1694912797582556E+16</v>
      </c>
      <c r="AO11" s="81">
        <v>2.1592349992440472E+16</v>
      </c>
      <c r="AP11" s="81">
        <v>2.1489797491832168E+16</v>
      </c>
      <c r="AQ11" s="81">
        <v>2.1328548652463468E+16</v>
      </c>
    </row>
    <row r="12" spans="1:43" s="80" customFormat="1" x14ac:dyDescent="0.2">
      <c r="A12" s="80" t="s">
        <v>42</v>
      </c>
      <c r="B12" s="81">
        <v>643092814091311</v>
      </c>
      <c r="C12" s="81">
        <v>657039081580373.25</v>
      </c>
      <c r="D12" s="81">
        <v>723567020175221.13</v>
      </c>
      <c r="E12" s="81">
        <v>718167550363688.13</v>
      </c>
      <c r="F12" s="81">
        <v>724929837871160</v>
      </c>
      <c r="G12" s="81">
        <v>746550045978389.63</v>
      </c>
      <c r="H12" s="81">
        <v>774047420290261.88</v>
      </c>
      <c r="I12" s="81">
        <v>799750811474061.13</v>
      </c>
      <c r="J12" s="81">
        <v>821051326778951.75</v>
      </c>
      <c r="K12" s="81">
        <v>837608897845972.25</v>
      </c>
      <c r="L12" s="81">
        <v>849169670788632.88</v>
      </c>
      <c r="M12" s="81">
        <v>855572354262462.25</v>
      </c>
      <c r="N12" s="81">
        <v>857350083465735.13</v>
      </c>
      <c r="O12" s="81">
        <v>854946578917987.5</v>
      </c>
      <c r="P12" s="81">
        <v>849455542963963.38</v>
      </c>
      <c r="Q12" s="81">
        <v>841985824251681.25</v>
      </c>
      <c r="R12" s="81">
        <v>833629186485677.25</v>
      </c>
      <c r="S12" s="81">
        <v>827823557057650.13</v>
      </c>
      <c r="T12" s="81">
        <v>822165388527739.25</v>
      </c>
      <c r="U12" s="81">
        <v>816660075808996.88</v>
      </c>
      <c r="V12" s="81">
        <v>811312880411814.13</v>
      </c>
      <c r="W12" s="81">
        <v>806128943332247.38</v>
      </c>
      <c r="X12" s="81">
        <v>801113298265240</v>
      </c>
      <c r="Y12" s="81">
        <v>796270885136397.25</v>
      </c>
      <c r="Z12" s="81">
        <v>791606563949065</v>
      </c>
      <c r="AA12" s="81">
        <v>787125128946635.13</v>
      </c>
      <c r="AB12" s="81">
        <v>782831323093198.38</v>
      </c>
      <c r="AC12" s="81">
        <v>778729852878954.38</v>
      </c>
      <c r="AD12" s="81">
        <v>774825403460177</v>
      </c>
      <c r="AE12" s="81">
        <v>771122654146977.63</v>
      </c>
      <c r="AF12" s="81">
        <v>767626294255642</v>
      </c>
      <c r="AG12" s="81">
        <v>764341039345992.25</v>
      </c>
      <c r="AH12" s="81">
        <v>761271647867992.5</v>
      </c>
      <c r="AI12" s="81">
        <v>758422938245744.63</v>
      </c>
      <c r="AJ12" s="81">
        <v>755799806431056.25</v>
      </c>
      <c r="AK12" s="81">
        <v>753407243963022</v>
      </c>
      <c r="AL12" s="81">
        <v>751250356574488</v>
      </c>
      <c r="AM12" s="81">
        <v>749334383390914.25</v>
      </c>
      <c r="AN12" s="81">
        <v>747664716772042.13</v>
      </c>
      <c r="AO12" s="81">
        <v>746246922851920.5</v>
      </c>
      <c r="AP12" s="81">
        <v>745086762838321.38</v>
      </c>
      <c r="AQ12" s="81">
        <v>740376765800035.5</v>
      </c>
    </row>
    <row r="13" spans="1:43" s="80" customFormat="1" x14ac:dyDescent="0.2">
      <c r="A13" s="80" t="s">
        <v>43</v>
      </c>
      <c r="B13" s="81">
        <v>278650345382189.97</v>
      </c>
      <c r="C13" s="81">
        <v>260972365207017.28</v>
      </c>
      <c r="D13" s="81">
        <v>304437672371377.75</v>
      </c>
      <c r="E13" s="81">
        <v>318790206960190.19</v>
      </c>
      <c r="F13" s="81">
        <v>324529611375831.19</v>
      </c>
      <c r="G13" s="81">
        <v>340971361069830.88</v>
      </c>
      <c r="H13" s="81">
        <v>361974019780895.19</v>
      </c>
      <c r="I13" s="81">
        <v>381847477913638.63</v>
      </c>
      <c r="J13" s="81">
        <v>399137018466393.44</v>
      </c>
      <c r="K13" s="81">
        <v>414107022174313.56</v>
      </c>
      <c r="L13" s="81">
        <v>427169888425743.44</v>
      </c>
      <c r="M13" s="81">
        <v>438859054128115.13</v>
      </c>
      <c r="N13" s="81">
        <v>449935300262012.31</v>
      </c>
      <c r="O13" s="81">
        <v>460410092937029.75</v>
      </c>
      <c r="P13" s="81">
        <v>470437539544282.75</v>
      </c>
      <c r="Q13" s="81">
        <v>480191063763029.31</v>
      </c>
      <c r="R13" s="81">
        <v>489861997535583.44</v>
      </c>
      <c r="S13" s="81">
        <v>501152657393315</v>
      </c>
      <c r="T13" s="81">
        <v>512606701751552.44</v>
      </c>
      <c r="U13" s="81">
        <v>524188561471321.44</v>
      </c>
      <c r="V13" s="81">
        <v>535859434732638.31</v>
      </c>
      <c r="W13" s="81">
        <v>547577215866375.13</v>
      </c>
      <c r="X13" s="81">
        <v>559296455219991.81</v>
      </c>
      <c r="Y13" s="81">
        <v>570968354183521.13</v>
      </c>
      <c r="Z13" s="81">
        <v>582540799527209.25</v>
      </c>
      <c r="AA13" s="81">
        <v>593958441143457.75</v>
      </c>
      <c r="AB13" s="81">
        <v>605162817131645.5</v>
      </c>
      <c r="AC13" s="81">
        <v>616092529904078.13</v>
      </c>
      <c r="AD13" s="81">
        <v>626683476614910.63</v>
      </c>
      <c r="AE13" s="81">
        <v>636869136712661</v>
      </c>
      <c r="AF13" s="81">
        <v>646580918784774.75</v>
      </c>
      <c r="AG13" s="81">
        <v>655748568095545.5</v>
      </c>
      <c r="AH13" s="81">
        <v>664300635315981.88</v>
      </c>
      <c r="AI13" s="81">
        <v>672165005908918.75</v>
      </c>
      <c r="AJ13" s="81">
        <v>679269488472186.63</v>
      </c>
      <c r="AK13" s="81">
        <v>685542459068834.25</v>
      </c>
      <c r="AL13" s="81">
        <v>690913557203438.13</v>
      </c>
      <c r="AM13" s="81">
        <v>695314427659722.75</v>
      </c>
      <c r="AN13" s="81">
        <v>698679500924768.88</v>
      </c>
      <c r="AO13" s="81">
        <v>700946803422223.63</v>
      </c>
      <c r="AP13" s="81">
        <v>702058787298848.25</v>
      </c>
      <c r="AQ13" s="81">
        <v>698386337977795.13</v>
      </c>
    </row>
    <row r="14" spans="1:43" s="80" customFormat="1" x14ac:dyDescent="0.2">
      <c r="A14" s="80" t="s">
        <v>44</v>
      </c>
      <c r="B14" s="81">
        <v>6830519428995158</v>
      </c>
      <c r="C14" s="81">
        <v>7299029668998090</v>
      </c>
      <c r="D14" s="81">
        <v>7245902169112818</v>
      </c>
      <c r="E14" s="81">
        <v>6500892047503749</v>
      </c>
      <c r="F14" s="81">
        <v>6763405415287302</v>
      </c>
      <c r="G14" s="81">
        <v>7024453354118634</v>
      </c>
      <c r="H14" s="81">
        <v>7284035863997740</v>
      </c>
      <c r="I14" s="81">
        <v>7358508576071960</v>
      </c>
      <c r="J14" s="81">
        <v>7432533891664842</v>
      </c>
      <c r="K14" s="81">
        <v>7506111810776388</v>
      </c>
      <c r="L14" s="81">
        <v>7579242333406596</v>
      </c>
      <c r="M14" s="81">
        <v>7651925459555470</v>
      </c>
      <c r="N14" s="81">
        <v>7548341248617103</v>
      </c>
      <c r="O14" s="81">
        <v>7445147208100280</v>
      </c>
      <c r="P14" s="81">
        <v>7342343338005004</v>
      </c>
      <c r="Q14" s="81">
        <v>7239929638331272</v>
      </c>
      <c r="R14" s="81">
        <v>7137906109079087</v>
      </c>
      <c r="S14" s="81">
        <v>7012706405005399</v>
      </c>
      <c r="T14" s="81">
        <v>6887611579875578</v>
      </c>
      <c r="U14" s="81">
        <v>6762621633689624</v>
      </c>
      <c r="V14" s="81">
        <v>6637736566447534</v>
      </c>
      <c r="W14" s="81">
        <v>6512956378149314</v>
      </c>
      <c r="X14" s="81">
        <v>6343010496673526</v>
      </c>
      <c r="Y14" s="81">
        <v>6173208773781468</v>
      </c>
      <c r="Z14" s="81">
        <v>6003551209473135</v>
      </c>
      <c r="AA14" s="81">
        <v>5834037803748533</v>
      </c>
      <c r="AB14" s="81">
        <v>5664668556607659</v>
      </c>
      <c r="AC14" s="81">
        <v>5533440931626344</v>
      </c>
      <c r="AD14" s="81">
        <v>5402323980488491</v>
      </c>
      <c r="AE14" s="81">
        <v>5271317703194104</v>
      </c>
      <c r="AF14" s="81">
        <v>5140422099743181</v>
      </c>
      <c r="AG14" s="81">
        <v>5009637170135723</v>
      </c>
      <c r="AH14" s="81">
        <v>4930180076853016</v>
      </c>
      <c r="AI14" s="81">
        <v>4850789172837392</v>
      </c>
      <c r="AJ14" s="81">
        <v>4771464458088850</v>
      </c>
      <c r="AK14" s="81">
        <v>4692205932607387</v>
      </c>
      <c r="AL14" s="81">
        <v>4613013596393008</v>
      </c>
      <c r="AM14" s="81">
        <v>4572501092702974</v>
      </c>
      <c r="AN14" s="81">
        <v>4532020757842766</v>
      </c>
      <c r="AO14" s="81">
        <v>4491572591812384</v>
      </c>
      <c r="AP14" s="81">
        <v>4451156594611827.5</v>
      </c>
      <c r="AQ14" s="81">
        <v>4401293111912073.5</v>
      </c>
    </row>
    <row r="15" spans="1:43" s="80" customFormat="1" x14ac:dyDescent="0.2">
      <c r="A15" s="80" t="s">
        <v>45</v>
      </c>
      <c r="B15" s="81">
        <v>1.918905674870198E+16</v>
      </c>
      <c r="C15" s="81">
        <v>1.9855354508957988E+16</v>
      </c>
      <c r="D15" s="81">
        <v>1.925102399242456E+16</v>
      </c>
      <c r="E15" s="81">
        <v>1.8876746957042336E+16</v>
      </c>
      <c r="F15" s="81">
        <v>2.0315792610264888E+16</v>
      </c>
      <c r="G15" s="81">
        <v>2.1746456521659896E+16</v>
      </c>
      <c r="H15" s="81">
        <v>2.3168738691227352E+16</v>
      </c>
      <c r="I15" s="81">
        <v>2.3622092419965832E+16</v>
      </c>
      <c r="J15" s="81">
        <v>2.4072771925614464E+16</v>
      </c>
      <c r="K15" s="81">
        <v>2.452077720817324E+16</v>
      </c>
      <c r="L15" s="81">
        <v>2.496610826764218E+16</v>
      </c>
      <c r="M15" s="81">
        <v>2.540876510402126E+16</v>
      </c>
      <c r="N15" s="81">
        <v>2.5383764839150568E+16</v>
      </c>
      <c r="O15" s="81">
        <v>2.5358589685547408E+16</v>
      </c>
      <c r="P15" s="81">
        <v>2.5333239643211764E+16</v>
      </c>
      <c r="Q15" s="81">
        <v>2.530771471214364E+16</v>
      </c>
      <c r="R15" s="81">
        <v>2.5282014892343044E+16</v>
      </c>
      <c r="S15" s="81">
        <v>2.4983558243576788E+16</v>
      </c>
      <c r="T15" s="81">
        <v>2.4685367156624316E+16</v>
      </c>
      <c r="U15" s="81">
        <v>2.4387441631485608E+16</v>
      </c>
      <c r="V15" s="81">
        <v>2.4089781668160696E+16</v>
      </c>
      <c r="W15" s="81">
        <v>2.3792387266649552E+16</v>
      </c>
      <c r="X15" s="81">
        <v>2.3244928428491504E+16</v>
      </c>
      <c r="Y15" s="81">
        <v>2.2697967518734296E+16</v>
      </c>
      <c r="Z15" s="81">
        <v>2.2151504537377936E+16</v>
      </c>
      <c r="AA15" s="81">
        <v>2.1605539484422384E+16</v>
      </c>
      <c r="AB15" s="81">
        <v>2.106007235986768E+16</v>
      </c>
      <c r="AC15" s="81">
        <v>2.0515103163713808E+16</v>
      </c>
      <c r="AD15" s="81">
        <v>1.9970631895960772E+16</v>
      </c>
      <c r="AE15" s="81">
        <v>1.9426658556608576E+16</v>
      </c>
      <c r="AF15" s="81">
        <v>1.88831831456572E+16</v>
      </c>
      <c r="AG15" s="81">
        <v>1.8340205663106672E+16</v>
      </c>
      <c r="AH15" s="81">
        <v>1.7868917013392802E+16</v>
      </c>
      <c r="AI15" s="81">
        <v>1.7398059901626318E+16</v>
      </c>
      <c r="AJ15" s="81">
        <v>1.6927634327807226E+16</v>
      </c>
      <c r="AK15" s="81">
        <v>1.6457640291935526E+16</v>
      </c>
      <c r="AL15" s="81">
        <v>1.5988077794011214E+16</v>
      </c>
      <c r="AM15" s="81">
        <v>1.5495754531508806E+16</v>
      </c>
      <c r="AN15" s="81">
        <v>1.5003884485926482E+16</v>
      </c>
      <c r="AO15" s="81">
        <v>1.4512467657264234E+16</v>
      </c>
      <c r="AP15" s="81">
        <v>1.402150404552207E+16</v>
      </c>
      <c r="AQ15" s="81">
        <v>1.3499314232138458E+16</v>
      </c>
    </row>
    <row r="16" spans="1:43" s="80" customFormat="1" x14ac:dyDescent="0.2">
      <c r="A16" s="80" t="s">
        <v>46</v>
      </c>
      <c r="B16" s="81">
        <v>3416786131084909.5</v>
      </c>
      <c r="C16" s="81">
        <v>3531619604497714.5</v>
      </c>
      <c r="D16" s="81">
        <v>3657170222840667.5</v>
      </c>
      <c r="E16" s="81">
        <v>3803845236620820</v>
      </c>
      <c r="F16" s="81">
        <v>4109314548360651.5</v>
      </c>
      <c r="G16" s="81">
        <v>4412881989158011</v>
      </c>
      <c r="H16" s="81">
        <v>4714547559012897</v>
      </c>
      <c r="I16" s="81">
        <v>4944821810026150</v>
      </c>
      <c r="J16" s="81">
        <v>5173753201959293</v>
      </c>
      <c r="K16" s="81">
        <v>5401341734812323</v>
      </c>
      <c r="L16" s="81">
        <v>5627587408585242</v>
      </c>
      <c r="M16" s="81">
        <v>5852490223278051</v>
      </c>
      <c r="N16" s="81">
        <v>5967041569794667</v>
      </c>
      <c r="O16" s="81">
        <v>6080931134686577</v>
      </c>
      <c r="P16" s="81">
        <v>6194158917953783</v>
      </c>
      <c r="Q16" s="81">
        <v>6306724919596283</v>
      </c>
      <c r="R16" s="81">
        <v>6418629139614080</v>
      </c>
      <c r="S16" s="81">
        <v>6453006091519450</v>
      </c>
      <c r="T16" s="81">
        <v>6487345469857758</v>
      </c>
      <c r="U16" s="81">
        <v>6521647274629002</v>
      </c>
      <c r="V16" s="81">
        <v>6555911505833184</v>
      </c>
      <c r="W16" s="81">
        <v>6590138163470301</v>
      </c>
      <c r="X16" s="81">
        <v>6570373023811820</v>
      </c>
      <c r="Y16" s="81">
        <v>6550623722816012</v>
      </c>
      <c r="Z16" s="81">
        <v>6530890260482871</v>
      </c>
      <c r="AA16" s="81">
        <v>6511172636812401</v>
      </c>
      <c r="AB16" s="81">
        <v>6491470851804598</v>
      </c>
      <c r="AC16" s="81">
        <v>6401517106108965</v>
      </c>
      <c r="AD16" s="81">
        <v>6311648449968405</v>
      </c>
      <c r="AE16" s="81">
        <v>6221864883382915</v>
      </c>
      <c r="AF16" s="81">
        <v>6132166406352500</v>
      </c>
      <c r="AG16" s="81">
        <v>6042553018877154</v>
      </c>
      <c r="AH16" s="81">
        <v>5900453716867261</v>
      </c>
      <c r="AI16" s="81">
        <v>5758491442581740</v>
      </c>
      <c r="AJ16" s="81">
        <v>5616666196020594</v>
      </c>
      <c r="AK16" s="81">
        <v>5474977977183821</v>
      </c>
      <c r="AL16" s="81">
        <v>5333426786071421</v>
      </c>
      <c r="AM16" s="81">
        <v>5191790128015561</v>
      </c>
      <c r="AN16" s="81">
        <v>5050290792496160</v>
      </c>
      <c r="AO16" s="81">
        <v>4908928779513220</v>
      </c>
      <c r="AP16" s="81">
        <v>4767704089066739</v>
      </c>
      <c r="AQ16" s="81">
        <v>4614915518111368</v>
      </c>
    </row>
    <row r="17" spans="1:43" s="80" customFormat="1" x14ac:dyDescent="0.2">
      <c r="A17" s="80" t="s">
        <v>47</v>
      </c>
      <c r="B17" s="81">
        <v>1014026847678253.3</v>
      </c>
      <c r="C17" s="81">
        <v>1052163081508907.8</v>
      </c>
      <c r="D17" s="81">
        <v>1264427195449075.3</v>
      </c>
      <c r="E17" s="81">
        <v>1272879116164636.8</v>
      </c>
      <c r="F17" s="81">
        <v>1283535718332294.5</v>
      </c>
      <c r="G17" s="81">
        <v>1318640976082796.5</v>
      </c>
      <c r="H17" s="81">
        <v>1363474715881257.8</v>
      </c>
      <c r="I17" s="81">
        <v>1405775811035653.3</v>
      </c>
      <c r="J17" s="81">
        <v>1441936865846844.8</v>
      </c>
      <c r="K17" s="81">
        <v>1472277923771854</v>
      </c>
      <c r="L17" s="81">
        <v>1497265790752157.3</v>
      </c>
      <c r="M17" s="81">
        <v>1517489597401972.3</v>
      </c>
      <c r="N17" s="81">
        <v>1534372177530552.3</v>
      </c>
      <c r="O17" s="81">
        <v>1547759792102533.8</v>
      </c>
      <c r="P17" s="81">
        <v>1558261643319305.5</v>
      </c>
      <c r="Q17" s="81">
        <v>1566524880455789.5</v>
      </c>
      <c r="R17" s="81">
        <v>1573223517423501.5</v>
      </c>
      <c r="S17" s="81">
        <v>1583821755851711</v>
      </c>
      <c r="T17" s="81">
        <v>1593637159171966.8</v>
      </c>
      <c r="U17" s="81">
        <v>1602684335064420.8</v>
      </c>
      <c r="V17" s="81">
        <v>1610979704501152.5</v>
      </c>
      <c r="W17" s="81">
        <v>1618541393067718.5</v>
      </c>
      <c r="X17" s="81">
        <v>1625389120673507.8</v>
      </c>
      <c r="Y17" s="81">
        <v>1631544090430837.3</v>
      </c>
      <c r="Z17" s="81">
        <v>1637028877446179</v>
      </c>
      <c r="AA17" s="81">
        <v>1641867318226506.5</v>
      </c>
      <c r="AB17" s="81">
        <v>1646084401361228.3</v>
      </c>
      <c r="AC17" s="81">
        <v>1649706160095469.5</v>
      </c>
      <c r="AD17" s="81">
        <v>1652759567364335</v>
      </c>
      <c r="AE17" s="81">
        <v>1655272433811185</v>
      </c>
      <c r="AF17" s="81">
        <v>1657273309265582</v>
      </c>
      <c r="AG17" s="81">
        <v>1658791388109894</v>
      </c>
      <c r="AH17" s="81">
        <v>1659856418917193.8</v>
      </c>
      <c r="AI17" s="81">
        <v>1660498618698058.8</v>
      </c>
      <c r="AJ17" s="81">
        <v>1660748592050068.3</v>
      </c>
      <c r="AK17" s="81">
        <v>1660637255462042.5</v>
      </c>
      <c r="AL17" s="81">
        <v>1660195766985089</v>
      </c>
      <c r="AM17" s="81">
        <v>1659455461445225</v>
      </c>
      <c r="AN17" s="81">
        <v>1658447791337078</v>
      </c>
      <c r="AO17" s="81">
        <v>1657204273506174.8</v>
      </c>
      <c r="AP17" s="81">
        <v>1655756441697809.5</v>
      </c>
      <c r="AQ17" s="81">
        <v>1645653057305819</v>
      </c>
    </row>
    <row r="18" spans="1:43" s="80" customFormat="1" x14ac:dyDescent="0.2">
      <c r="A18" s="80" t="s">
        <v>48</v>
      </c>
      <c r="B18" s="81">
        <v>690652312197501.25</v>
      </c>
      <c r="C18" s="81">
        <v>686654348108680.75</v>
      </c>
      <c r="D18" s="81">
        <v>821805444367083</v>
      </c>
      <c r="E18" s="81">
        <v>892609406087313.63</v>
      </c>
      <c r="F18" s="81">
        <v>912507532797722.13</v>
      </c>
      <c r="G18" s="81">
        <v>967425373998703.13</v>
      </c>
      <c r="H18" s="81">
        <v>1035626771641442.6</v>
      </c>
      <c r="I18" s="81">
        <v>1096302990103875.6</v>
      </c>
      <c r="J18" s="81">
        <v>1145633705213537.3</v>
      </c>
      <c r="K18" s="81">
        <v>1186725201304406.5</v>
      </c>
      <c r="L18" s="81">
        <v>1223623146951117.5</v>
      </c>
      <c r="M18" s="81">
        <v>1261084422294466</v>
      </c>
      <c r="N18" s="81">
        <v>1304018302114156.8</v>
      </c>
      <c r="O18" s="81">
        <v>1351929605170350.5</v>
      </c>
      <c r="P18" s="81">
        <v>1403710720392865</v>
      </c>
      <c r="Q18" s="81">
        <v>1458062065814615.5</v>
      </c>
      <c r="R18" s="81">
        <v>1513458233708105.8</v>
      </c>
      <c r="S18" s="81">
        <v>1573273017456812.3</v>
      </c>
      <c r="T18" s="81">
        <v>1632548943392779.5</v>
      </c>
      <c r="U18" s="81">
        <v>1691070917146448.3</v>
      </c>
      <c r="V18" s="81">
        <v>1748622705405697</v>
      </c>
      <c r="W18" s="81">
        <v>1804988378653012.8</v>
      </c>
      <c r="X18" s="81">
        <v>1859953767873347.8</v>
      </c>
      <c r="Y18" s="81">
        <v>1913307920409905.5</v>
      </c>
      <c r="Z18" s="81">
        <v>1964844540183760</v>
      </c>
      <c r="AA18" s="81">
        <v>2014363397738264.5</v>
      </c>
      <c r="AB18" s="81">
        <v>2061671696012755</v>
      </c>
      <c r="AC18" s="81">
        <v>2106585378382156.3</v>
      </c>
      <c r="AD18" s="81">
        <v>2148930366305295</v>
      </c>
      <c r="AE18" s="81">
        <v>2188543714888775.8</v>
      </c>
      <c r="AF18" s="81">
        <v>2225274675775475</v>
      </c>
      <c r="AG18" s="81">
        <v>2258985657986449</v>
      </c>
      <c r="AH18" s="81">
        <v>2289553078659409.5</v>
      </c>
      <c r="AI18" s="81">
        <v>2316868097012500.5</v>
      </c>
      <c r="AJ18" s="81">
        <v>2340837226295321.5</v>
      </c>
      <c r="AK18" s="81">
        <v>2361382819945757</v>
      </c>
      <c r="AL18" s="81">
        <v>2378443429628794</v>
      </c>
      <c r="AM18" s="81">
        <v>2391974034269747.5</v>
      </c>
      <c r="AN18" s="81">
        <v>2401946140588980</v>
      </c>
      <c r="AO18" s="81">
        <v>2408347756979744.5</v>
      </c>
      <c r="AP18" s="81">
        <v>2411183243829181.5</v>
      </c>
      <c r="AQ18" s="81">
        <v>2398111644322011.5</v>
      </c>
    </row>
    <row r="19" spans="1:43" s="80" customFormat="1" x14ac:dyDescent="0.2">
      <c r="A19" s="80" t="s">
        <v>49</v>
      </c>
      <c r="B19" s="81">
        <v>367780850463982.5</v>
      </c>
      <c r="C19" s="81">
        <v>402904054226134.13</v>
      </c>
      <c r="D19" s="81">
        <v>487525414315081.06</v>
      </c>
      <c r="E19" s="81">
        <v>551393117851440.56</v>
      </c>
      <c r="F19" s="81">
        <v>566195694948030.88</v>
      </c>
      <c r="G19" s="81">
        <v>607171403255145.5</v>
      </c>
      <c r="H19" s="81">
        <v>660174856328239.25</v>
      </c>
      <c r="I19" s="81">
        <v>710948306032157.13</v>
      </c>
      <c r="J19" s="81">
        <v>755846363290499.75</v>
      </c>
      <c r="K19" s="81">
        <v>795596041570779.38</v>
      </c>
      <c r="L19" s="81">
        <v>831500284349879</v>
      </c>
      <c r="M19" s="81">
        <v>865346443062092.63</v>
      </c>
      <c r="N19" s="81">
        <v>899345440079090.13</v>
      </c>
      <c r="O19" s="81">
        <v>933329623752794.25</v>
      </c>
      <c r="P19" s="81">
        <v>967120878489446</v>
      </c>
      <c r="Q19" s="81">
        <v>1000527126414983.3</v>
      </c>
      <c r="R19" s="81">
        <v>1033343188250553.9</v>
      </c>
      <c r="S19" s="81">
        <v>1068667376907931.3</v>
      </c>
      <c r="T19" s="81">
        <v>1103294908284734</v>
      </c>
      <c r="U19" s="81">
        <v>1137112016019694.5</v>
      </c>
      <c r="V19" s="81">
        <v>1170008288938862.3</v>
      </c>
      <c r="W19" s="81">
        <v>1201877389318420</v>
      </c>
      <c r="X19" s="81">
        <v>1232617729045532.8</v>
      </c>
      <c r="Y19" s="81">
        <v>1262133097413967.8</v>
      </c>
      <c r="Z19" s="81">
        <v>1290333235044595.3</v>
      </c>
      <c r="AA19" s="81">
        <v>1317134349229659.3</v>
      </c>
      <c r="AB19" s="81">
        <v>1342459566847808.5</v>
      </c>
      <c r="AC19" s="81">
        <v>1366239321869750</v>
      </c>
      <c r="AD19" s="81">
        <v>1388411675356222.3</v>
      </c>
      <c r="AE19" s="81">
        <v>1408922566726683.3</v>
      </c>
      <c r="AF19" s="81">
        <v>1427725995934583.3</v>
      </c>
      <c r="AG19" s="81">
        <v>1444784137011026.8</v>
      </c>
      <c r="AH19" s="81">
        <v>1460067384221334</v>
      </c>
      <c r="AI19" s="81">
        <v>1473554332808513.3</v>
      </c>
      <c r="AJ19" s="81">
        <v>1485231696965625.8</v>
      </c>
      <c r="AK19" s="81">
        <v>1495094168278339.5</v>
      </c>
      <c r="AL19" s="81">
        <v>1503144218404424.5</v>
      </c>
      <c r="AM19" s="81">
        <v>1509391850204728.8</v>
      </c>
      <c r="AN19" s="81">
        <v>1513854301908423.5</v>
      </c>
      <c r="AO19" s="81">
        <v>1516555709183016.5</v>
      </c>
      <c r="AP19" s="81">
        <v>1517526730187865.8</v>
      </c>
      <c r="AQ19" s="81">
        <v>1509025656057377.8</v>
      </c>
    </row>
    <row r="20" spans="1:43" s="80" customFormat="1" x14ac:dyDescent="0.2">
      <c r="A20" s="80" t="s">
        <v>50</v>
      </c>
      <c r="B20" s="81">
        <v>227496994874726.28</v>
      </c>
      <c r="C20" s="81">
        <v>233828660255284.16</v>
      </c>
      <c r="D20" s="81">
        <v>264132764524487.19</v>
      </c>
      <c r="E20" s="81">
        <v>289058552445378.75</v>
      </c>
      <c r="F20" s="81">
        <v>290811029447382.75</v>
      </c>
      <c r="G20" s="81">
        <v>297452248545289.06</v>
      </c>
      <c r="H20" s="81">
        <v>306699919399744.88</v>
      </c>
      <c r="I20" s="81">
        <v>316717517435972.38</v>
      </c>
      <c r="J20" s="81">
        <v>326684434365263.5</v>
      </c>
      <c r="K20" s="81">
        <v>336369322829652.94</v>
      </c>
      <c r="L20" s="81">
        <v>345521096522873.31</v>
      </c>
      <c r="M20" s="81">
        <v>353871547047599.38</v>
      </c>
      <c r="N20" s="81">
        <v>361372708893643.63</v>
      </c>
      <c r="O20" s="81">
        <v>367829406743660.75</v>
      </c>
      <c r="P20" s="81">
        <v>373284402925239.19</v>
      </c>
      <c r="Q20" s="81">
        <v>377795266899678</v>
      </c>
      <c r="R20" s="81">
        <v>381432311578751.13</v>
      </c>
      <c r="S20" s="81">
        <v>385456432702760.44</v>
      </c>
      <c r="T20" s="81">
        <v>388744913268515.56</v>
      </c>
      <c r="U20" s="81">
        <v>391331599518454.5</v>
      </c>
      <c r="V20" s="81">
        <v>393255464589286.25</v>
      </c>
      <c r="W20" s="81">
        <v>394559772346367.25</v>
      </c>
      <c r="X20" s="81">
        <v>395291261300451.94</v>
      </c>
      <c r="Y20" s="81">
        <v>395499365321347.56</v>
      </c>
      <c r="Z20" s="81">
        <v>395235485071480.25</v>
      </c>
      <c r="AA20" s="81">
        <v>394552321282270.94</v>
      </c>
      <c r="AB20" s="81">
        <v>393503278289947.13</v>
      </c>
      <c r="AC20" s="81">
        <v>392141943718509.88</v>
      </c>
      <c r="AD20" s="81">
        <v>390521647910635.25</v>
      </c>
      <c r="AE20" s="81">
        <v>388695104708794.13</v>
      </c>
      <c r="AF20" s="81">
        <v>386714133508513.06</v>
      </c>
      <c r="AG20" s="81">
        <v>384629461158671.75</v>
      </c>
      <c r="AH20" s="81">
        <v>382490601273062.13</v>
      </c>
      <c r="AI20" s="81">
        <v>380345807836569.25</v>
      </c>
      <c r="AJ20" s="81">
        <v>378242099624942.31</v>
      </c>
      <c r="AK20" s="81">
        <v>376225351891487</v>
      </c>
      <c r="AL20" s="81">
        <v>374340451987735.31</v>
      </c>
      <c r="AM20" s="81">
        <v>372631516059121.94</v>
      </c>
      <c r="AN20" s="81">
        <v>371142164674507.44</v>
      </c>
      <c r="AO20" s="81">
        <v>369915856197939.38</v>
      </c>
      <c r="AP20" s="81">
        <v>368996277886567.69</v>
      </c>
      <c r="AQ20" s="81">
        <v>366538422788889.31</v>
      </c>
    </row>
    <row r="21" spans="1:43" s="80" customFormat="1" x14ac:dyDescent="0.2">
      <c r="A21" s="80" t="s">
        <v>51</v>
      </c>
      <c r="B21" s="81">
        <v>508870198956766.19</v>
      </c>
      <c r="C21" s="81">
        <v>553196026162975.19</v>
      </c>
      <c r="D21" s="81">
        <v>571503677619995.63</v>
      </c>
      <c r="E21" s="81">
        <v>588520458792905.13</v>
      </c>
      <c r="F21" s="81">
        <v>637197320189020.5</v>
      </c>
      <c r="G21" s="81">
        <v>685506556091252.88</v>
      </c>
      <c r="H21" s="81">
        <v>733448166499601.88</v>
      </c>
      <c r="I21" s="81">
        <v>752927499505702.25</v>
      </c>
      <c r="J21" s="81">
        <v>772277194266058.25</v>
      </c>
      <c r="K21" s="81">
        <v>791497250780669.38</v>
      </c>
      <c r="L21" s="81">
        <v>810587669049536</v>
      </c>
      <c r="M21" s="81">
        <v>829548449072658.25</v>
      </c>
      <c r="N21" s="81">
        <v>838080443489506.25</v>
      </c>
      <c r="O21" s="81">
        <v>846557103981795.38</v>
      </c>
      <c r="P21" s="81">
        <v>854978430549525.88</v>
      </c>
      <c r="Q21" s="81">
        <v>863344423192698.13</v>
      </c>
      <c r="R21" s="81">
        <v>871655081911311.25</v>
      </c>
      <c r="S21" s="81">
        <v>868437799093662.88</v>
      </c>
      <c r="T21" s="81">
        <v>865224017210856.75</v>
      </c>
      <c r="U21" s="81">
        <v>862013736262893</v>
      </c>
      <c r="V21" s="81">
        <v>858806956249771.25</v>
      </c>
      <c r="W21" s="81">
        <v>855603677171491.88</v>
      </c>
      <c r="X21" s="81">
        <v>852403899028055</v>
      </c>
      <c r="Y21" s="81">
        <v>849207621819460.25</v>
      </c>
      <c r="Z21" s="81">
        <v>846014845545707.75</v>
      </c>
      <c r="AA21" s="81">
        <v>842825570206797.38</v>
      </c>
      <c r="AB21" s="81">
        <v>839639795802729.25</v>
      </c>
      <c r="AC21" s="81">
        <v>836457522333503.63</v>
      </c>
      <c r="AD21" s="81">
        <v>833278749799120.38</v>
      </c>
      <c r="AE21" s="81">
        <v>830103478199579.13</v>
      </c>
      <c r="AF21" s="81">
        <v>826931707534880.13</v>
      </c>
      <c r="AG21" s="81">
        <v>823763437805023.5</v>
      </c>
      <c r="AH21" s="81">
        <v>822166691944423.13</v>
      </c>
      <c r="AI21" s="81">
        <v>820571346457759.75</v>
      </c>
      <c r="AJ21" s="81">
        <v>818977401345033.38</v>
      </c>
      <c r="AK21" s="81">
        <v>817384856606243.5</v>
      </c>
      <c r="AL21" s="81">
        <v>815793712241390.88</v>
      </c>
      <c r="AM21" s="81">
        <v>813683044406424.75</v>
      </c>
      <c r="AN21" s="81">
        <v>811574477132364.25</v>
      </c>
      <c r="AO21" s="81">
        <v>809468010419208.75</v>
      </c>
      <c r="AP21" s="81">
        <v>807363644266959</v>
      </c>
      <c r="AQ21" s="81">
        <v>802548154172856.38</v>
      </c>
    </row>
    <row r="22" spans="1:43" s="80" customFormat="1" x14ac:dyDescent="0.2">
      <c r="A22" s="80" t="s">
        <v>52</v>
      </c>
      <c r="B22" s="81">
        <v>154446348219385.75</v>
      </c>
      <c r="C22" s="81">
        <v>150296342132030.31</v>
      </c>
      <c r="D22" s="81">
        <v>168784407949316.03</v>
      </c>
      <c r="E22" s="81">
        <v>174690040832005.16</v>
      </c>
      <c r="F22" s="81">
        <v>175358321797588.63</v>
      </c>
      <c r="G22" s="81">
        <v>178238791374977.63</v>
      </c>
      <c r="H22" s="81">
        <v>182000603130544.53</v>
      </c>
      <c r="I22" s="81">
        <v>185612202086433.72</v>
      </c>
      <c r="J22" s="81">
        <v>188683798693659.31</v>
      </c>
      <c r="K22" s="81">
        <v>191195025265920.09</v>
      </c>
      <c r="L22" s="81">
        <v>193130982668850.34</v>
      </c>
      <c r="M22" s="81">
        <v>194482349541623.63</v>
      </c>
      <c r="N22" s="81">
        <v>195356551195327.97</v>
      </c>
      <c r="O22" s="81">
        <v>195725728387653.81</v>
      </c>
      <c r="P22" s="81">
        <v>195676172646388.19</v>
      </c>
      <c r="Q22" s="81">
        <v>195297191664935.88</v>
      </c>
      <c r="R22" s="81">
        <v>194679406544589.5</v>
      </c>
      <c r="S22" s="81">
        <v>194500057722591.78</v>
      </c>
      <c r="T22" s="81">
        <v>194185067667650.09</v>
      </c>
      <c r="U22" s="81">
        <v>193746555837657.44</v>
      </c>
      <c r="V22" s="81">
        <v>193196788975598.91</v>
      </c>
      <c r="W22" s="81">
        <v>192548109292246.19</v>
      </c>
      <c r="X22" s="81">
        <v>191812869867654.38</v>
      </c>
      <c r="Y22" s="81">
        <v>191003377504039.44</v>
      </c>
      <c r="Z22" s="81">
        <v>190131843159349.25</v>
      </c>
      <c r="AA22" s="81">
        <v>189210339999798.13</v>
      </c>
      <c r="AB22" s="81">
        <v>188250769031342.97</v>
      </c>
      <c r="AC22" s="81">
        <v>187264832204729.72</v>
      </c>
      <c r="AD22" s="81">
        <v>186264012836410.22</v>
      </c>
      <c r="AE22" s="81">
        <v>185259563148011.69</v>
      </c>
      <c r="AF22" s="81">
        <v>184262498699903.84</v>
      </c>
      <c r="AG22" s="81">
        <v>183283599479165.91</v>
      </c>
      <c r="AH22" s="81">
        <v>182333417398472.84</v>
      </c>
      <c r="AI22" s="81">
        <v>181422289969445</v>
      </c>
      <c r="AJ22" s="81">
        <v>180560359931355.66</v>
      </c>
      <c r="AK22" s="81">
        <v>179757600643169.63</v>
      </c>
      <c r="AL22" s="81">
        <v>179023847083290.78</v>
      </c>
      <c r="AM22" s="81">
        <v>178368832346755.16</v>
      </c>
      <c r="AN22" s="81">
        <v>177802229583710.5</v>
      </c>
      <c r="AO22" s="81">
        <v>177333699385775.91</v>
      </c>
      <c r="AP22" s="81">
        <v>176972942698464.81</v>
      </c>
      <c r="AQ22" s="81">
        <v>175824296891471.47</v>
      </c>
    </row>
    <row r="23" spans="1:43" s="80" customFormat="1" x14ac:dyDescent="0.2">
      <c r="A23" s="80" t="s">
        <v>53</v>
      </c>
      <c r="B23" s="81">
        <v>512263455152634.81</v>
      </c>
      <c r="C23" s="81">
        <v>579341682527991.25</v>
      </c>
      <c r="D23" s="81">
        <v>674620889070106.25</v>
      </c>
      <c r="E23" s="81">
        <v>673684725795017.63</v>
      </c>
      <c r="F23" s="81">
        <v>679902306373789</v>
      </c>
      <c r="G23" s="81">
        <v>699889487675093.75</v>
      </c>
      <c r="H23" s="81">
        <v>725376769680992.88</v>
      </c>
      <c r="I23" s="81">
        <v>749399658933906</v>
      </c>
      <c r="J23" s="81">
        <v>769964617427451.63</v>
      </c>
      <c r="K23" s="81">
        <v>787282535192605.25</v>
      </c>
      <c r="L23" s="81">
        <v>801656244520091.38</v>
      </c>
      <c r="M23" s="81">
        <v>813464484537959.13</v>
      </c>
      <c r="N23" s="81">
        <v>823526261386316</v>
      </c>
      <c r="O23" s="81">
        <v>831767470310977.38</v>
      </c>
      <c r="P23" s="81">
        <v>838509193770479.75</v>
      </c>
      <c r="Q23" s="81">
        <v>844094247371334</v>
      </c>
      <c r="R23" s="81">
        <v>848881486026285.5</v>
      </c>
      <c r="S23" s="81">
        <v>855811271441461.88</v>
      </c>
      <c r="T23" s="81">
        <v>862361553028292.63</v>
      </c>
      <c r="U23" s="81">
        <v>868532535078093</v>
      </c>
      <c r="V23" s="81">
        <v>874325202873708.75</v>
      </c>
      <c r="W23" s="81">
        <v>879741300749658.25</v>
      </c>
      <c r="X23" s="81">
        <v>884783308314762.88</v>
      </c>
      <c r="Y23" s="81">
        <v>889454415019467.5</v>
      </c>
      <c r="Z23" s="81">
        <v>893758493250938.5</v>
      </c>
      <c r="AA23" s="81">
        <v>897700070138656</v>
      </c>
      <c r="AB23" s="81">
        <v>901284298251853.63</v>
      </c>
      <c r="AC23" s="81">
        <v>904516925367598.5</v>
      </c>
      <c r="AD23" s="81">
        <v>907404263484999.38</v>
      </c>
      <c r="AE23" s="81">
        <v>909953157256653.5</v>
      </c>
      <c r="AF23" s="81">
        <v>912170952003395.25</v>
      </c>
      <c r="AG23" s="81">
        <v>914065461472665</v>
      </c>
      <c r="AH23" s="81">
        <v>915644935494334.5</v>
      </c>
      <c r="AI23" s="81">
        <v>916918027680941.75</v>
      </c>
      <c r="AJ23" s="81">
        <v>917893763311850.75</v>
      </c>
      <c r="AK23" s="81">
        <v>918581507533094.63</v>
      </c>
      <c r="AL23" s="81">
        <v>918990933996578.38</v>
      </c>
      <c r="AM23" s="81">
        <v>919131994054017.38</v>
      </c>
      <c r="AN23" s="81">
        <v>919014886612569.5</v>
      </c>
      <c r="AO23" s="81">
        <v>918650028750534.63</v>
      </c>
      <c r="AP23" s="81">
        <v>918048027183056.75</v>
      </c>
      <c r="AQ23" s="81">
        <v>912529954332029.63</v>
      </c>
    </row>
    <row r="24" spans="1:43" s="80" customFormat="1" x14ac:dyDescent="0.2">
      <c r="A24" s="80" t="s">
        <v>54</v>
      </c>
      <c r="B24" s="81">
        <v>1228810914133124</v>
      </c>
      <c r="C24" s="81">
        <v>1633980286730792.8</v>
      </c>
      <c r="D24" s="81">
        <v>2008088180592124.5</v>
      </c>
      <c r="E24" s="81">
        <v>2167175883227116.3</v>
      </c>
      <c r="F24" s="81">
        <v>2264700044923988.5</v>
      </c>
      <c r="G24" s="81">
        <v>2516235611904594</v>
      </c>
      <c r="H24" s="81">
        <v>2850828184990283.5</v>
      </c>
      <c r="I24" s="81">
        <v>3183394475401248.5</v>
      </c>
      <c r="J24" s="81">
        <v>3491274430924566.5</v>
      </c>
      <c r="K24" s="81">
        <v>3776517928457117</v>
      </c>
      <c r="L24" s="81">
        <v>4046253290439490.5</v>
      </c>
      <c r="M24" s="81">
        <v>4312294877246771.5</v>
      </c>
      <c r="N24" s="81">
        <v>4587853413143977</v>
      </c>
      <c r="O24" s="81">
        <v>4875463895143284</v>
      </c>
      <c r="P24" s="81">
        <v>5174867132172131</v>
      </c>
      <c r="Q24" s="81">
        <v>5485684530447214</v>
      </c>
      <c r="R24" s="81">
        <v>5807408007079866</v>
      </c>
      <c r="S24" s="81">
        <v>6141385043446007</v>
      </c>
      <c r="T24" s="81">
        <v>6485024644068788</v>
      </c>
      <c r="U24" s="81">
        <v>6837354325405119</v>
      </c>
      <c r="V24" s="81">
        <v>7197232460929240</v>
      </c>
      <c r="W24" s="81">
        <v>7563343021128022</v>
      </c>
      <c r="X24" s="81">
        <v>7934192345752548</v>
      </c>
      <c r="Y24" s="81">
        <v>8308108275036560</v>
      </c>
      <c r="Z24" s="81">
        <v>8683241958073698</v>
      </c>
      <c r="AA24" s="81">
        <v>9057572638133438</v>
      </c>
      <c r="AB24" s="81">
        <v>9428915685409186</v>
      </c>
      <c r="AC24" s="81">
        <v>9794934106776366</v>
      </c>
      <c r="AD24" s="81">
        <v>1.0153153709133764E+16</v>
      </c>
      <c r="AE24" s="81">
        <v>1.0500982027717426E+16</v>
      </c>
      <c r="AF24" s="81">
        <v>1.0835731053747594E+16</v>
      </c>
      <c r="AG24" s="81">
        <v>1.115464370772325E+16</v>
      </c>
      <c r="AH24" s="81">
        <v>1.1454923906970744E+16</v>
      </c>
      <c r="AI24" s="81">
        <v>1.1733769970598944E+16</v>
      </c>
      <c r="AJ24" s="81">
        <v>1.1988410994289582E+16</v>
      </c>
      <c r="AK24" s="81">
        <v>1.2216145714382678E+16</v>
      </c>
      <c r="AL24" s="81">
        <v>1.2414383269016348E+16</v>
      </c>
      <c r="AM24" s="81">
        <v>1.258068515758134E+16</v>
      </c>
      <c r="AN24" s="81">
        <v>1.2712807602684378E+16</v>
      </c>
      <c r="AO24" s="81">
        <v>1.280874343557649E+16</v>
      </c>
      <c r="AP24" s="81">
        <v>1.2866762560977602E+16</v>
      </c>
      <c r="AQ24" s="81">
        <v>1.2878629077508954E+16</v>
      </c>
    </row>
    <row r="25" spans="1:43" s="80" customFormat="1" x14ac:dyDescent="0.2">
      <c r="A25" s="80" t="s">
        <v>408</v>
      </c>
      <c r="B25" s="81">
        <v>353812120372585</v>
      </c>
      <c r="C25" s="81">
        <v>369452114975714.25</v>
      </c>
      <c r="D25" s="81">
        <v>449951330043230.19</v>
      </c>
      <c r="E25" s="81">
        <v>506078345358341.44</v>
      </c>
      <c r="F25" s="81">
        <v>520609368534893.25</v>
      </c>
      <c r="G25" s="81">
        <v>561073081389151.31</v>
      </c>
      <c r="H25" s="81">
        <v>614583759307515.88</v>
      </c>
      <c r="I25" s="81">
        <v>667806550675504.63</v>
      </c>
      <c r="J25" s="81">
        <v>717091461942323.13</v>
      </c>
      <c r="K25" s="81">
        <v>762806921432731</v>
      </c>
      <c r="L25" s="81">
        <v>805825592302088.5</v>
      </c>
      <c r="M25" s="81">
        <v>847483978890954</v>
      </c>
      <c r="N25" s="81">
        <v>889652557621085.5</v>
      </c>
      <c r="O25" s="81">
        <v>932272284379430.88</v>
      </c>
      <c r="P25" s="81">
        <v>975401687223092.63</v>
      </c>
      <c r="Q25" s="81">
        <v>1019129331268281.4</v>
      </c>
      <c r="R25" s="81">
        <v>1063576141393472.8</v>
      </c>
      <c r="S25" s="81">
        <v>1112282764486810.4</v>
      </c>
      <c r="T25" s="81">
        <v>1162075895483193.8</v>
      </c>
      <c r="U25" s="81">
        <v>1212849164833883.3</v>
      </c>
      <c r="V25" s="81">
        <v>1264475017601436.8</v>
      </c>
      <c r="W25" s="81">
        <v>1316802928100277.8</v>
      </c>
      <c r="X25" s="81">
        <v>1369657783434217</v>
      </c>
      <c r="Y25" s="81">
        <v>1422838510190724</v>
      </c>
      <c r="Z25" s="81">
        <v>1476117024445578.5</v>
      </c>
      <c r="AA25" s="81">
        <v>1529237589394910.8</v>
      </c>
      <c r="AB25" s="81">
        <v>1581916666853977</v>
      </c>
      <c r="AC25" s="81">
        <v>1633843348026497.8</v>
      </c>
      <c r="AD25" s="81">
        <v>1684680444858357.8</v>
      </c>
      <c r="AE25" s="81">
        <v>1734066315498224</v>
      </c>
      <c r="AF25" s="81">
        <v>1781617485534164</v>
      </c>
      <c r="AG25" s="81">
        <v>1826932110521404</v>
      </c>
      <c r="AH25" s="81">
        <v>1869594304785422.5</v>
      </c>
      <c r="AI25" s="81">
        <v>1909179336700173.3</v>
      </c>
      <c r="AJ25" s="81">
        <v>1945259661958665.5</v>
      </c>
      <c r="AK25" s="81">
        <v>1977411734387109.8</v>
      </c>
      <c r="AL25" s="81">
        <v>2005223499492397.8</v>
      </c>
      <c r="AM25" s="81">
        <v>2028302440338242</v>
      </c>
      <c r="AN25" s="81">
        <v>2046284009938449.8</v>
      </c>
      <c r="AO25" s="81">
        <v>2058840250778224.8</v>
      </c>
      <c r="AP25" s="81">
        <v>2065688372132613.8</v>
      </c>
      <c r="AQ25" s="81">
        <v>2056001087686217.5</v>
      </c>
    </row>
    <row r="26" spans="1:43" s="80" customFormat="1" x14ac:dyDescent="0.2">
      <c r="A26" s="80" t="s">
        <v>55</v>
      </c>
      <c r="B26" s="81">
        <v>1824593180755313</v>
      </c>
      <c r="C26" s="81">
        <v>1870461113358122.5</v>
      </c>
      <c r="D26" s="81">
        <v>1974132277740844</v>
      </c>
      <c r="E26" s="81">
        <v>2005022341800510</v>
      </c>
      <c r="F26" s="81">
        <v>2104575711651978.8</v>
      </c>
      <c r="G26" s="81">
        <v>2208661154867252.3</v>
      </c>
      <c r="H26" s="81">
        <v>2296367042233793</v>
      </c>
      <c r="I26" s="81">
        <v>2412182569125358</v>
      </c>
      <c r="J26" s="81">
        <v>2510777942748980.5</v>
      </c>
      <c r="K26" s="81">
        <v>2606495530028310.5</v>
      </c>
      <c r="L26" s="81">
        <v>2698961999414257</v>
      </c>
      <c r="M26" s="81">
        <v>2803505153506088.5</v>
      </c>
      <c r="N26" s="81">
        <v>2873407361884360</v>
      </c>
      <c r="O26" s="81">
        <v>2954875875009617.5</v>
      </c>
      <c r="P26" s="81">
        <v>3032039815761019</v>
      </c>
      <c r="Q26" s="81">
        <v>3104736378733634.5</v>
      </c>
      <c r="R26" s="81">
        <v>3166291532159727.5</v>
      </c>
      <c r="S26" s="81">
        <v>3240180925033782.5</v>
      </c>
      <c r="T26" s="81">
        <v>3302981215155162.5</v>
      </c>
      <c r="U26" s="81">
        <v>3361246624853847.5</v>
      </c>
      <c r="V26" s="81">
        <v>3415015251038557</v>
      </c>
      <c r="W26" s="81">
        <v>3464363619848030.5</v>
      </c>
      <c r="X26" s="81">
        <v>3509404308284689</v>
      </c>
      <c r="Y26" s="81">
        <v>3550283341615942</v>
      </c>
      <c r="Z26" s="81">
        <v>3587177435380011</v>
      </c>
      <c r="AA26" s="81">
        <v>3620291148089038</v>
      </c>
      <c r="AB26" s="81">
        <v>3649854006882491</v>
      </c>
      <c r="AC26" s="81">
        <v>3676117663700502.5</v>
      </c>
      <c r="AD26" s="81">
        <v>3699353134262516.5</v>
      </c>
      <c r="AE26" s="81">
        <v>3719848166486695</v>
      </c>
      <c r="AF26" s="81">
        <v>3737904779186416</v>
      </c>
      <c r="AG26" s="81">
        <v>3753837006129016.5</v>
      </c>
      <c r="AH26" s="81">
        <v>3767968875011069.5</v>
      </c>
      <c r="AI26" s="81">
        <v>3780632645744893.5</v>
      </c>
      <c r="AJ26" s="81">
        <v>3792167327785227</v>
      </c>
      <c r="AK26" s="81">
        <v>3802917492156540.5</v>
      </c>
      <c r="AL26" s="81">
        <v>3813232390450092</v>
      </c>
      <c r="AM26" s="81">
        <v>3823465390407760.5</v>
      </c>
      <c r="AN26" s="81">
        <v>3833973735844351</v>
      </c>
      <c r="AO26" s="81">
        <v>3845118637617461</v>
      </c>
      <c r="AP26" s="81">
        <v>3857265702161305.5</v>
      </c>
      <c r="AQ26" s="81">
        <v>3863328056729215.5</v>
      </c>
    </row>
    <row r="27" spans="1:43" x14ac:dyDescent="0.2">
      <c r="A27" s="14" t="s">
        <v>3</v>
      </c>
      <c r="B27" s="14">
        <v>2269430122869799.5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49"/>
  <sheetViews>
    <sheetView zoomScale="90" zoomScaleNormal="90" workbookViewId="0">
      <selection activeCell="N16" sqref="N16"/>
    </sheetView>
  </sheetViews>
  <sheetFormatPr defaultColWidth="9" defaultRowHeight="15" x14ac:dyDescent="0.25"/>
  <cols>
    <col min="1" max="1" width="12.25" style="2" customWidth="1"/>
    <col min="2" max="2" width="28.5" style="1" customWidth="1"/>
    <col min="3" max="3" width="20" style="2" customWidth="1"/>
    <col min="4" max="4" width="32.25" style="29" customWidth="1"/>
    <col min="5" max="5" width="20" style="2" customWidth="1"/>
    <col min="6" max="6" width="24" style="1" customWidth="1"/>
    <col min="7" max="10" width="12.5" style="1" customWidth="1"/>
    <col min="11" max="12" width="20" style="1" customWidth="1"/>
    <col min="13" max="21" width="13.5" style="1" customWidth="1"/>
    <col min="22" max="16384" width="9" style="1"/>
  </cols>
  <sheetData>
    <row r="1" spans="1:14" ht="31.5" customHeight="1" x14ac:dyDescent="0.25">
      <c r="A1" s="3" t="s">
        <v>106</v>
      </c>
      <c r="B1" s="3" t="s">
        <v>107</v>
      </c>
      <c r="C1" s="3" t="s">
        <v>108</v>
      </c>
      <c r="D1" s="3" t="s">
        <v>64</v>
      </c>
      <c r="E1" s="3" t="s">
        <v>109</v>
      </c>
      <c r="F1" s="3" t="s">
        <v>110</v>
      </c>
      <c r="G1" s="28" t="s">
        <v>381</v>
      </c>
      <c r="H1" s="4" t="s">
        <v>379</v>
      </c>
      <c r="I1" s="28" t="s">
        <v>380</v>
      </c>
      <c r="J1" s="28" t="s">
        <v>382</v>
      </c>
      <c r="K1" s="36" t="s">
        <v>432</v>
      </c>
      <c r="L1" s="28" t="s">
        <v>433</v>
      </c>
      <c r="M1" s="4" t="s">
        <v>383</v>
      </c>
      <c r="N1" s="2"/>
    </row>
    <row r="2" spans="1:14" hidden="1" x14ac:dyDescent="0.25">
      <c r="A2" s="2">
        <v>2020</v>
      </c>
      <c r="B2" s="1" t="s">
        <v>111</v>
      </c>
      <c r="C2" s="2" t="s">
        <v>112</v>
      </c>
      <c r="D2" s="29" t="str">
        <f>IFERROR(VLOOKUP(C2,'Sector &amp; Policy Match'!$A$1:$B$42,2,0),"")</f>
        <v>cement and other nonmetallic minerals 239</v>
      </c>
      <c r="E2" s="2" t="s">
        <v>113</v>
      </c>
      <c r="F2" s="1" t="str">
        <f>VLOOKUP(E2,'Sector &amp; Policy Match'!$G$1:$H$8,2,0)</f>
        <v>Early Facility Retirement</v>
      </c>
      <c r="G2" s="6" t="s">
        <v>27</v>
      </c>
      <c r="H2" s="34">
        <v>2021</v>
      </c>
      <c r="I2" s="2">
        <v>2025</v>
      </c>
      <c r="J2" s="6">
        <v>0.1</v>
      </c>
      <c r="K2" s="2">
        <v>9.65</v>
      </c>
      <c r="L2" s="54">
        <f>(1-IF(G2="&lt;5%",0,G2))/(J2-IF(G2="&lt;5%",0,G2))*K2</f>
        <v>96.5</v>
      </c>
      <c r="M2" s="7">
        <v>2060</v>
      </c>
    </row>
    <row r="3" spans="1:14" hidden="1" x14ac:dyDescent="0.25">
      <c r="A3" s="2">
        <v>2020</v>
      </c>
      <c r="B3" s="1" t="s">
        <v>114</v>
      </c>
      <c r="C3" s="2" t="s">
        <v>112</v>
      </c>
      <c r="D3" s="29" t="str">
        <f>IFERROR(VLOOKUP(C3,'Sector &amp; Policy Match'!$A$1:$B$42,2,0),"")</f>
        <v>cement and other nonmetallic minerals 239</v>
      </c>
      <c r="E3" s="2" t="s">
        <v>113</v>
      </c>
      <c r="F3" s="1" t="str">
        <f>VLOOKUP(E3,'Sector &amp; Policy Match'!$G$1:$H$8,2,0)</f>
        <v>Early Facility Retirement</v>
      </c>
      <c r="G3" s="6" t="s">
        <v>27</v>
      </c>
      <c r="H3" s="34">
        <v>2021</v>
      </c>
      <c r="I3" s="2">
        <v>2025</v>
      </c>
      <c r="J3" s="6">
        <v>0.2</v>
      </c>
      <c r="K3" s="2">
        <v>8.7200000000000006</v>
      </c>
      <c r="L3" s="39">
        <f t="shared" ref="L3:L64" si="0">(1-IF(G3="&lt;5%",0,G3))/(J3-IF(G3="&lt;5%",0,G3))*K3</f>
        <v>43.6</v>
      </c>
      <c r="M3" s="7">
        <v>2060</v>
      </c>
    </row>
    <row r="4" spans="1:14" hidden="1" x14ac:dyDescent="0.25">
      <c r="A4" s="2">
        <v>2020</v>
      </c>
      <c r="B4" s="1" t="s">
        <v>115</v>
      </c>
      <c r="C4" s="2" t="s">
        <v>112</v>
      </c>
      <c r="D4" s="29" t="str">
        <f>IFERROR(VLOOKUP(C4,'Sector &amp; Policy Match'!$A$1:$B$42,2,0),"")</f>
        <v>cement and other nonmetallic minerals 239</v>
      </c>
      <c r="E4" s="2" t="s">
        <v>113</v>
      </c>
      <c r="F4" s="1" t="str">
        <f>VLOOKUP(E4,'Sector &amp; Policy Match'!$G$1:$H$8,2,0)</f>
        <v>Early Facility Retirement</v>
      </c>
      <c r="G4" s="6" t="s">
        <v>27</v>
      </c>
      <c r="H4" s="34">
        <v>2021</v>
      </c>
      <c r="I4" s="2">
        <v>2025</v>
      </c>
      <c r="J4" s="6">
        <v>0.1</v>
      </c>
      <c r="K4" s="2">
        <v>92.1</v>
      </c>
      <c r="L4" s="39">
        <f t="shared" si="0"/>
        <v>921</v>
      </c>
      <c r="M4" s="7">
        <v>2060</v>
      </c>
    </row>
    <row r="5" spans="1:14" hidden="1" x14ac:dyDescent="0.25">
      <c r="A5" s="2">
        <v>2020</v>
      </c>
      <c r="B5" s="1" t="s">
        <v>116</v>
      </c>
      <c r="C5" s="2" t="s">
        <v>112</v>
      </c>
      <c r="D5" s="29" t="str">
        <f>IFERROR(VLOOKUP(C5,'Sector &amp; Policy Match'!$A$1:$B$42,2,0),"")</f>
        <v>cement and other nonmetallic minerals 239</v>
      </c>
      <c r="E5" s="2" t="s">
        <v>113</v>
      </c>
      <c r="F5" s="1" t="str">
        <f>VLOOKUP(E5,'Sector &amp; Policy Match'!$G$1:$H$8,2,0)</f>
        <v>Early Facility Retirement</v>
      </c>
      <c r="G5" s="6" t="s">
        <v>27</v>
      </c>
      <c r="H5" s="34">
        <v>2021</v>
      </c>
      <c r="I5" s="2">
        <v>2025</v>
      </c>
      <c r="J5" s="6">
        <v>0.1</v>
      </c>
      <c r="K5" s="2">
        <v>26.6</v>
      </c>
      <c r="L5" s="39">
        <f t="shared" si="0"/>
        <v>266</v>
      </c>
      <c r="M5" s="7">
        <v>2060</v>
      </c>
    </row>
    <row r="6" spans="1:14" hidden="1" x14ac:dyDescent="0.25">
      <c r="A6" s="2">
        <v>2020</v>
      </c>
      <c r="B6" s="1" t="s">
        <v>117</v>
      </c>
      <c r="C6" s="2" t="s">
        <v>112</v>
      </c>
      <c r="D6" s="29" t="str">
        <f>IFERROR(VLOOKUP(C6,'Sector &amp; Policy Match'!$A$1:$B$42,2,0),"")</f>
        <v>cement and other nonmetallic minerals 239</v>
      </c>
      <c r="E6" s="2" t="s">
        <v>113</v>
      </c>
      <c r="F6" s="1" t="str">
        <f>VLOOKUP(E6,'Sector &amp; Policy Match'!$G$1:$H$8,2,0)</f>
        <v>Early Facility Retirement</v>
      </c>
      <c r="G6" s="6" t="s">
        <v>27</v>
      </c>
      <c r="H6" s="34">
        <v>2021</v>
      </c>
      <c r="I6" s="2">
        <v>2025</v>
      </c>
      <c r="J6" s="6">
        <v>0.1</v>
      </c>
      <c r="K6" s="2">
        <v>3.5</v>
      </c>
      <c r="L6" s="39">
        <f t="shared" si="0"/>
        <v>35</v>
      </c>
      <c r="M6" s="7">
        <v>2060</v>
      </c>
    </row>
    <row r="7" spans="1:14" hidden="1" x14ac:dyDescent="0.25">
      <c r="A7" s="2">
        <v>2020</v>
      </c>
      <c r="B7" s="1" t="s">
        <v>118</v>
      </c>
      <c r="C7" s="2" t="s">
        <v>119</v>
      </c>
      <c r="D7" s="29" t="str">
        <f>IFERROR(VLOOKUP(C7,'Sector &amp; Policy Match'!$A$1:$B$42,2,0),"")</f>
        <v>iron and steel 241</v>
      </c>
      <c r="E7" s="2" t="s">
        <v>113</v>
      </c>
      <c r="F7" s="1" t="str">
        <f>VLOOKUP(E7,'Sector &amp; Policy Match'!$G$1:$H$8,2,0)</f>
        <v>Early Facility Retirement</v>
      </c>
      <c r="G7" s="6" t="s">
        <v>27</v>
      </c>
      <c r="H7" s="34">
        <v>2021</v>
      </c>
      <c r="I7" s="2">
        <v>2025</v>
      </c>
      <c r="J7" s="6">
        <v>0.15</v>
      </c>
      <c r="K7" s="2">
        <v>18</v>
      </c>
      <c r="L7" s="39">
        <f t="shared" si="0"/>
        <v>120</v>
      </c>
      <c r="M7" s="7">
        <v>2060</v>
      </c>
    </row>
    <row r="8" spans="1:14" hidden="1" x14ac:dyDescent="0.25">
      <c r="A8" s="2">
        <v>2020</v>
      </c>
      <c r="B8" s="1" t="s">
        <v>120</v>
      </c>
      <c r="C8" s="2" t="s">
        <v>112</v>
      </c>
      <c r="D8" s="29" t="str">
        <f>IFERROR(VLOOKUP(C8,'Sector &amp; Policy Match'!$A$1:$B$42,2,0),"")</f>
        <v>cement and other nonmetallic minerals 239</v>
      </c>
      <c r="E8" s="2" t="s">
        <v>113</v>
      </c>
      <c r="F8" s="1" t="str">
        <f>VLOOKUP(E8,'Sector &amp; Policy Match'!$G$1:$H$8,2,0)</f>
        <v>Early Facility Retirement</v>
      </c>
      <c r="G8" s="6">
        <v>0.05</v>
      </c>
      <c r="H8" s="34">
        <v>2021</v>
      </c>
      <c r="I8" s="2">
        <v>2025</v>
      </c>
      <c r="J8" s="6">
        <v>0.5</v>
      </c>
      <c r="K8" s="2">
        <v>120</v>
      </c>
      <c r="L8" s="39">
        <f t="shared" si="0"/>
        <v>253.33333333333334</v>
      </c>
      <c r="M8" s="7">
        <v>2060</v>
      </c>
    </row>
    <row r="9" spans="1:14" hidden="1" x14ac:dyDescent="0.25">
      <c r="A9" s="2">
        <v>2020</v>
      </c>
      <c r="B9" s="1" t="s">
        <v>121</v>
      </c>
      <c r="C9" s="2" t="s">
        <v>119</v>
      </c>
      <c r="D9" s="29" t="str">
        <f>IFERROR(VLOOKUP(C9,'Sector &amp; Policy Match'!$A$1:$B$42,2,0),"")</f>
        <v>iron and steel 241</v>
      </c>
      <c r="E9" s="2" t="s">
        <v>113</v>
      </c>
      <c r="F9" s="1" t="str">
        <f>VLOOKUP(E9,'Sector &amp; Policy Match'!$G$1:$H$8,2,0)</f>
        <v>Early Facility Retirement</v>
      </c>
      <c r="G9" s="6">
        <v>0.05</v>
      </c>
      <c r="H9" s="34">
        <v>2021</v>
      </c>
      <c r="I9" s="2">
        <v>2025</v>
      </c>
      <c r="J9" s="6">
        <v>0.35</v>
      </c>
      <c r="K9" s="2">
        <v>178</v>
      </c>
      <c r="L9" s="39">
        <f t="shared" si="0"/>
        <v>563.66666666666663</v>
      </c>
      <c r="M9" s="7">
        <v>2060</v>
      </c>
    </row>
    <row r="10" spans="1:14" hidden="1" x14ac:dyDescent="0.25">
      <c r="A10" s="2">
        <v>2020</v>
      </c>
      <c r="B10" s="1" t="s">
        <v>122</v>
      </c>
      <c r="D10" s="29" t="str">
        <f>IFERROR(VLOOKUP(C10,'Sector &amp; Policy Match'!$A$1:$B$42,2,0),"")</f>
        <v/>
      </c>
      <c r="E10" s="2" t="s">
        <v>113</v>
      </c>
      <c r="F10" s="1" t="str">
        <f>VLOOKUP(E10,'Sector &amp; Policy Match'!$G$1:$H$8,2,0)</f>
        <v>Early Facility Retirement</v>
      </c>
      <c r="G10" s="6">
        <v>0.05</v>
      </c>
      <c r="H10" s="34">
        <v>2021</v>
      </c>
      <c r="I10" s="2">
        <v>2025</v>
      </c>
      <c r="J10" s="6">
        <v>0.15</v>
      </c>
      <c r="K10" s="2">
        <v>95</v>
      </c>
      <c r="L10" s="39">
        <f t="shared" si="0"/>
        <v>902.5</v>
      </c>
      <c r="M10" s="7">
        <v>2060</v>
      </c>
    </row>
    <row r="11" spans="1:14" hidden="1" x14ac:dyDescent="0.25">
      <c r="A11" s="2">
        <v>2020</v>
      </c>
      <c r="B11" s="1" t="s">
        <v>123</v>
      </c>
      <c r="C11" s="2" t="s">
        <v>119</v>
      </c>
      <c r="D11" s="29" t="str">
        <f>IFERROR(VLOOKUP(C11,'Sector &amp; Policy Match'!$A$1:$B$42,2,0),"")</f>
        <v>iron and steel 241</v>
      </c>
      <c r="E11" s="2" t="s">
        <v>113</v>
      </c>
      <c r="F11" s="1" t="str">
        <f>VLOOKUP(E11,'Sector &amp; Policy Match'!$G$1:$H$8,2,0)</f>
        <v>Early Facility Retirement</v>
      </c>
      <c r="G11" s="6">
        <v>0.05</v>
      </c>
      <c r="H11" s="34">
        <v>2021</v>
      </c>
      <c r="I11" s="2">
        <v>2025</v>
      </c>
      <c r="J11" s="6">
        <v>0.2</v>
      </c>
      <c r="K11" s="2">
        <v>21</v>
      </c>
      <c r="L11" s="39">
        <f t="shared" si="0"/>
        <v>132.99999999999997</v>
      </c>
      <c r="M11" s="7">
        <v>2060</v>
      </c>
    </row>
    <row r="12" spans="1:14" hidden="1" x14ac:dyDescent="0.25">
      <c r="A12" s="2">
        <v>2020</v>
      </c>
      <c r="B12" s="1" t="s">
        <v>124</v>
      </c>
      <c r="C12" s="2" t="s">
        <v>125</v>
      </c>
      <c r="D12" s="29" t="str">
        <f>IFERROR(VLOOKUP(C12,'Sector &amp; Policy Match'!$A$1:$B$42,2,0),"")</f>
        <v>chemicals 20</v>
      </c>
      <c r="E12" s="2" t="s">
        <v>113</v>
      </c>
      <c r="F12" s="1" t="str">
        <f>VLOOKUP(E12,'Sector &amp; Policy Match'!$G$1:$H$8,2,0)</f>
        <v>Early Facility Retirement</v>
      </c>
      <c r="G12" s="6">
        <v>0.05</v>
      </c>
      <c r="H12" s="34">
        <v>2021</v>
      </c>
      <c r="I12" s="2">
        <v>2025</v>
      </c>
      <c r="J12" s="6">
        <v>0.15</v>
      </c>
      <c r="K12" s="2">
        <v>13</v>
      </c>
      <c r="L12" s="39">
        <f t="shared" si="0"/>
        <v>123.5</v>
      </c>
      <c r="M12" s="7">
        <v>2060</v>
      </c>
    </row>
    <row r="13" spans="1:14" hidden="1" x14ac:dyDescent="0.25">
      <c r="A13" s="2">
        <v>2020</v>
      </c>
      <c r="B13" s="1" t="s">
        <v>126</v>
      </c>
      <c r="C13" s="2" t="s">
        <v>112</v>
      </c>
      <c r="D13" s="29" t="str">
        <f>IFERROR(VLOOKUP(C13,'Sector &amp; Policy Match'!$A$1:$B$42,2,0),"")</f>
        <v>cement and other nonmetallic minerals 239</v>
      </c>
      <c r="E13" s="2" t="s">
        <v>113</v>
      </c>
      <c r="F13" s="1" t="str">
        <f>VLOOKUP(E13,'Sector &amp; Policy Match'!$G$1:$H$8,2,0)</f>
        <v>Early Facility Retirement</v>
      </c>
      <c r="G13" s="6">
        <v>0.1</v>
      </c>
      <c r="H13" s="34">
        <v>2021</v>
      </c>
      <c r="I13" s="2">
        <v>2025</v>
      </c>
      <c r="J13" s="6">
        <v>0.3</v>
      </c>
      <c r="K13" s="2">
        <v>15</v>
      </c>
      <c r="L13" s="39">
        <f t="shared" si="0"/>
        <v>67.500000000000014</v>
      </c>
      <c r="M13" s="7">
        <v>2060</v>
      </c>
    </row>
    <row r="14" spans="1:14" hidden="1" x14ac:dyDescent="0.25">
      <c r="A14" s="9">
        <v>2020</v>
      </c>
      <c r="B14" s="10" t="s">
        <v>127</v>
      </c>
      <c r="C14" s="9" t="s">
        <v>128</v>
      </c>
      <c r="D14" s="30" t="str">
        <f>IFERROR(VLOOKUP(C14,'Sector &amp; Policy Match'!$A$1:$B$42,2,0),"")</f>
        <v/>
      </c>
      <c r="E14" s="9" t="s">
        <v>113</v>
      </c>
      <c r="F14" s="10" t="str">
        <f>VLOOKUP(E14,'Sector &amp; Policy Match'!$G$1:$H$8,2,0)</f>
        <v>Early Facility Retirement</v>
      </c>
      <c r="G14" s="11">
        <v>0.1</v>
      </c>
      <c r="H14" s="35">
        <v>2021</v>
      </c>
      <c r="I14" s="9">
        <v>2025</v>
      </c>
      <c r="J14" s="11">
        <v>0.3</v>
      </c>
      <c r="K14" s="9">
        <v>8.9</v>
      </c>
      <c r="L14" s="18">
        <f t="shared" si="0"/>
        <v>40.050000000000011</v>
      </c>
      <c r="M14" s="13">
        <v>2060</v>
      </c>
    </row>
    <row r="15" spans="1:14" hidden="1" x14ac:dyDescent="0.25">
      <c r="A15" s="9">
        <v>2020</v>
      </c>
      <c r="B15" s="10" t="s">
        <v>127</v>
      </c>
      <c r="C15" s="9" t="s">
        <v>112</v>
      </c>
      <c r="D15" s="30" t="str">
        <f>IFERROR(VLOOKUP(C15,'Sector &amp; Policy Match'!$A$1:$B$42,2,0),"")</f>
        <v>cement and other nonmetallic minerals 239</v>
      </c>
      <c r="E15" s="9" t="s">
        <v>113</v>
      </c>
      <c r="F15" s="10" t="str">
        <f>VLOOKUP(E15,'Sector &amp; Policy Match'!$G$1:$H$8,2,0)</f>
        <v>Early Facility Retirement</v>
      </c>
      <c r="G15" s="11">
        <v>0.1</v>
      </c>
      <c r="H15" s="35">
        <v>2021</v>
      </c>
      <c r="I15" s="9">
        <v>2025</v>
      </c>
      <c r="J15" s="11">
        <v>0.3</v>
      </c>
      <c r="K15" s="16">
        <f>BIFUbC!B14/(BIFUbC!B14+BIFUbC!B15)*K14</f>
        <v>2.3363802124557616</v>
      </c>
      <c r="L15" s="18">
        <f t="shared" si="0"/>
        <v>10.513710956050929</v>
      </c>
      <c r="M15" s="13">
        <v>2060</v>
      </c>
    </row>
    <row r="16" spans="1:14" hidden="1" x14ac:dyDescent="0.25">
      <c r="A16" s="9">
        <v>2020</v>
      </c>
      <c r="B16" s="10" t="s">
        <v>127</v>
      </c>
      <c r="C16" s="9" t="s">
        <v>119</v>
      </c>
      <c r="D16" s="30" t="str">
        <f>IFERROR(VLOOKUP(C16,'Sector &amp; Policy Match'!$A$1:$B$42,2,0),"")</f>
        <v>iron and steel 241</v>
      </c>
      <c r="E16" s="9" t="s">
        <v>113</v>
      </c>
      <c r="F16" s="10" t="str">
        <f>VLOOKUP(E16,'Sector &amp; Policy Match'!$G$1:$H$8,2,0)</f>
        <v>Early Facility Retirement</v>
      </c>
      <c r="G16" s="11">
        <v>0.1</v>
      </c>
      <c r="H16" s="35">
        <v>2021</v>
      </c>
      <c r="I16" s="9">
        <v>2025</v>
      </c>
      <c r="J16" s="11">
        <v>0.3</v>
      </c>
      <c r="K16" s="16">
        <f>BIFUbC!B15/(BIFUbC!B14+BIFUbC!B15)*K14</f>
        <v>6.5636197875442397</v>
      </c>
      <c r="L16" s="18">
        <f t="shared" si="0"/>
        <v>29.536289043949086</v>
      </c>
      <c r="M16" s="13">
        <v>2060</v>
      </c>
    </row>
    <row r="17" spans="1:13" hidden="1" x14ac:dyDescent="0.25">
      <c r="A17" s="2">
        <v>2020</v>
      </c>
      <c r="B17" s="1" t="s">
        <v>129</v>
      </c>
      <c r="C17" s="2" t="s">
        <v>130</v>
      </c>
      <c r="D17" s="15" t="str">
        <f>IFERROR(VLOOKUP(C17,'Sector &amp; Policy Match'!$A$1:$B$42,2,0),"")</f>
        <v>工业锅炉</v>
      </c>
      <c r="E17" s="2" t="s">
        <v>113</v>
      </c>
      <c r="F17" s="1" t="str">
        <f>VLOOKUP(E17,'Sector &amp; Policy Match'!$G$1:$H$8,2,0)</f>
        <v>Early Facility Retirement</v>
      </c>
      <c r="G17" s="6">
        <v>0.15</v>
      </c>
      <c r="H17" s="34">
        <v>2021</v>
      </c>
      <c r="I17" s="2">
        <v>2025</v>
      </c>
      <c r="J17" s="6">
        <v>0.35</v>
      </c>
      <c r="K17" s="2">
        <v>36</v>
      </c>
      <c r="L17" s="39">
        <f t="shared" si="0"/>
        <v>153</v>
      </c>
      <c r="M17" s="7">
        <v>2060</v>
      </c>
    </row>
    <row r="18" spans="1:13" hidden="1" x14ac:dyDescent="0.25">
      <c r="A18" s="2">
        <v>2020</v>
      </c>
      <c r="B18" s="1" t="s">
        <v>131</v>
      </c>
      <c r="C18" s="2" t="s">
        <v>112</v>
      </c>
      <c r="D18" s="29" t="str">
        <f>IFERROR(VLOOKUP(C18,'Sector &amp; Policy Match'!$A$1:$B$42,2,0),"")</f>
        <v>cement and other nonmetallic minerals 239</v>
      </c>
      <c r="E18" s="2" t="s">
        <v>113</v>
      </c>
      <c r="F18" s="1" t="str">
        <f>VLOOKUP(E18,'Sector &amp; Policy Match'!$G$1:$H$8,2,0)</f>
        <v>Early Facility Retirement</v>
      </c>
      <c r="G18" s="6">
        <v>0.2</v>
      </c>
      <c r="H18" s="34">
        <v>2021</v>
      </c>
      <c r="I18" s="2">
        <v>2025</v>
      </c>
      <c r="J18" s="6">
        <v>0.4</v>
      </c>
      <c r="K18" s="2">
        <v>68.3</v>
      </c>
      <c r="L18" s="39">
        <f t="shared" si="0"/>
        <v>273.2</v>
      </c>
      <c r="M18" s="7">
        <v>2060</v>
      </c>
    </row>
    <row r="19" spans="1:13" hidden="1" x14ac:dyDescent="0.25">
      <c r="A19" s="2">
        <v>2020</v>
      </c>
      <c r="B19" s="1" t="s">
        <v>132</v>
      </c>
      <c r="C19" s="2" t="s">
        <v>125</v>
      </c>
      <c r="D19" s="29" t="str">
        <f>IFERROR(VLOOKUP(C19,'Sector &amp; Policy Match'!$A$1:$B$42,2,0),"")</f>
        <v>chemicals 20</v>
      </c>
      <c r="E19" s="2" t="s">
        <v>113</v>
      </c>
      <c r="F19" s="1" t="str">
        <f>VLOOKUP(E19,'Sector &amp; Policy Match'!$G$1:$H$8,2,0)</f>
        <v>Early Facility Retirement</v>
      </c>
      <c r="G19" s="6">
        <v>0.2</v>
      </c>
      <c r="H19" s="34">
        <v>2021</v>
      </c>
      <c r="I19" s="2">
        <v>2025</v>
      </c>
      <c r="J19" s="6">
        <v>0.4</v>
      </c>
      <c r="K19" s="2">
        <v>36</v>
      </c>
      <c r="L19" s="39">
        <f t="shared" si="0"/>
        <v>144</v>
      </c>
      <c r="M19" s="7">
        <v>2060</v>
      </c>
    </row>
    <row r="20" spans="1:13" hidden="1" x14ac:dyDescent="0.25">
      <c r="A20" s="2">
        <v>2020</v>
      </c>
      <c r="B20" s="1" t="s">
        <v>133</v>
      </c>
      <c r="C20" s="2" t="s">
        <v>134</v>
      </c>
      <c r="D20" s="29" t="str">
        <f>IFERROR(VLOOKUP(C20,'Sector &amp; Policy Match'!$A$1:$B$42,2,0),"")</f>
        <v>other metals 242</v>
      </c>
      <c r="E20" s="2" t="s">
        <v>113</v>
      </c>
      <c r="F20" s="1" t="str">
        <f>VLOOKUP(E20,'Sector &amp; Policy Match'!$G$1:$H$8,2,0)</f>
        <v>Early Facility Retirement</v>
      </c>
      <c r="G20" s="6">
        <v>0.2</v>
      </c>
      <c r="H20" s="34">
        <v>2021</v>
      </c>
      <c r="I20" s="2">
        <v>2025</v>
      </c>
      <c r="J20" s="6">
        <v>0.4</v>
      </c>
      <c r="K20" s="2">
        <v>10</v>
      </c>
      <c r="L20" s="39">
        <f t="shared" si="0"/>
        <v>40</v>
      </c>
      <c r="M20" s="7">
        <v>2060</v>
      </c>
    </row>
    <row r="21" spans="1:13" hidden="1" x14ac:dyDescent="0.25">
      <c r="A21" s="2">
        <v>2020</v>
      </c>
      <c r="B21" s="1" t="s">
        <v>135</v>
      </c>
      <c r="C21" s="2" t="s">
        <v>119</v>
      </c>
      <c r="D21" s="29" t="str">
        <f>IFERROR(VLOOKUP(C21,'Sector &amp; Policy Match'!$A$1:$B$42,2,0),"")</f>
        <v>iron and steel 241</v>
      </c>
      <c r="E21" s="2" t="s">
        <v>113</v>
      </c>
      <c r="F21" s="1" t="str">
        <f>VLOOKUP(E21,'Sector &amp; Policy Match'!$G$1:$H$8,2,0)</f>
        <v>Early Facility Retirement</v>
      </c>
      <c r="G21" s="6">
        <v>0.4</v>
      </c>
      <c r="H21" s="34">
        <v>2021</v>
      </c>
      <c r="I21" s="2">
        <v>2025</v>
      </c>
      <c r="J21" s="6">
        <v>0.6</v>
      </c>
      <c r="K21" s="2">
        <v>40</v>
      </c>
      <c r="L21" s="39">
        <f t="shared" si="0"/>
        <v>120.00000000000001</v>
      </c>
      <c r="M21" s="7">
        <v>2060</v>
      </c>
    </row>
    <row r="22" spans="1:13" hidden="1" x14ac:dyDescent="0.25">
      <c r="A22" s="2">
        <v>2020</v>
      </c>
      <c r="B22" s="1" t="s">
        <v>136</v>
      </c>
      <c r="C22" s="2" t="s">
        <v>130</v>
      </c>
      <c r="D22" s="15" t="str">
        <f>IFERROR(VLOOKUP(C22,'Sector &amp; Policy Match'!$A$1:$B$42,2,0),"")</f>
        <v>工业锅炉</v>
      </c>
      <c r="E22" s="2" t="s">
        <v>137</v>
      </c>
      <c r="F22" s="1" t="str">
        <f>VLOOKUP(E22,'Sector &amp; Policy Match'!$G$1:$H$8,2,0)</f>
        <v>Cogeneration and Waste Heat Recovery</v>
      </c>
      <c r="G22" s="6" t="s">
        <v>27</v>
      </c>
      <c r="H22" s="34">
        <v>2021</v>
      </c>
      <c r="I22" s="2">
        <v>2025</v>
      </c>
      <c r="J22" s="6">
        <v>0.1</v>
      </c>
      <c r="K22" s="2">
        <v>66</v>
      </c>
      <c r="L22" s="39">
        <f t="shared" si="0"/>
        <v>660</v>
      </c>
      <c r="M22" s="7">
        <v>2060</v>
      </c>
    </row>
    <row r="23" spans="1:13" hidden="1" x14ac:dyDescent="0.25">
      <c r="A23" s="2">
        <v>2020</v>
      </c>
      <c r="B23" s="1" t="s">
        <v>138</v>
      </c>
      <c r="C23" s="2" t="s">
        <v>139</v>
      </c>
      <c r="D23" s="15" t="str">
        <f>IFERROR(VLOOKUP(C23,'Sector &amp; Policy Match'!$A$1:$B$42,2,0),"")</f>
        <v>工业循环水</v>
      </c>
      <c r="E23" s="2" t="s">
        <v>137</v>
      </c>
      <c r="F23" s="1" t="str">
        <f>VLOOKUP(E23,'Sector &amp; Policy Match'!$G$1:$H$8,2,0)</f>
        <v>Cogeneration and Waste Heat Recovery</v>
      </c>
      <c r="G23" s="6" t="s">
        <v>27</v>
      </c>
      <c r="H23" s="34">
        <v>2021</v>
      </c>
      <c r="I23" s="2">
        <v>2025</v>
      </c>
      <c r="J23" s="6">
        <v>0.15</v>
      </c>
      <c r="K23" s="2">
        <v>38</v>
      </c>
      <c r="L23" s="39">
        <f t="shared" si="0"/>
        <v>253.33333333333334</v>
      </c>
      <c r="M23" s="7">
        <v>2060</v>
      </c>
    </row>
    <row r="24" spans="1:13" hidden="1" x14ac:dyDescent="0.25">
      <c r="A24" s="2">
        <v>2020</v>
      </c>
      <c r="B24" s="1" t="s">
        <v>140</v>
      </c>
      <c r="C24" s="2" t="s">
        <v>141</v>
      </c>
      <c r="D24" s="15" t="str">
        <f>IFERROR(VLOOKUP(C24,'Sector &amp; Policy Match'!$A$1:$B$42,2,0),"")</f>
        <v>微型燃气轮机</v>
      </c>
      <c r="E24" s="2" t="s">
        <v>137</v>
      </c>
      <c r="F24" s="1" t="str">
        <f>VLOOKUP(E24,'Sector &amp; Policy Match'!$G$1:$H$8,2,0)</f>
        <v>Cogeneration and Waste Heat Recovery</v>
      </c>
      <c r="G24" s="6" t="s">
        <v>27</v>
      </c>
      <c r="H24" s="34">
        <v>2021</v>
      </c>
      <c r="I24" s="2">
        <v>2025</v>
      </c>
      <c r="J24" s="6">
        <v>0.15</v>
      </c>
      <c r="K24" s="2">
        <v>36</v>
      </c>
      <c r="L24" s="39">
        <f t="shared" si="0"/>
        <v>240</v>
      </c>
      <c r="M24" s="7">
        <v>2060</v>
      </c>
    </row>
    <row r="25" spans="1:13" hidden="1" x14ac:dyDescent="0.25">
      <c r="A25" s="2">
        <v>2020</v>
      </c>
      <c r="B25" s="1" t="s">
        <v>142</v>
      </c>
      <c r="C25" s="2" t="s">
        <v>143</v>
      </c>
      <c r="D25" s="29" t="str">
        <f>IFERROR(VLOOKUP(C25,'Sector &amp; Policy Match'!$A$1:$B$42,2,0),"")</f>
        <v>电力、热力生产</v>
      </c>
      <c r="E25" s="2" t="s">
        <v>137</v>
      </c>
      <c r="F25" s="1" t="str">
        <f>VLOOKUP(E25,'Sector &amp; Policy Match'!$G$1:$H$8,2,0)</f>
        <v>Cogeneration and Waste Heat Recovery</v>
      </c>
      <c r="G25" s="6" t="s">
        <v>27</v>
      </c>
      <c r="H25" s="34">
        <v>2021</v>
      </c>
      <c r="I25" s="2">
        <v>2025</v>
      </c>
      <c r="J25" s="6">
        <v>0.1</v>
      </c>
      <c r="K25" s="2">
        <v>100</v>
      </c>
      <c r="L25" s="39">
        <f t="shared" si="0"/>
        <v>1000</v>
      </c>
      <c r="M25" s="7">
        <v>2060</v>
      </c>
    </row>
    <row r="26" spans="1:13" hidden="1" x14ac:dyDescent="0.25">
      <c r="A26" s="2">
        <v>2020</v>
      </c>
      <c r="B26" s="1" t="s">
        <v>144</v>
      </c>
      <c r="C26" s="2" t="s">
        <v>143</v>
      </c>
      <c r="D26" s="29" t="str">
        <f>IFERROR(VLOOKUP(C26,'Sector &amp; Policy Match'!$A$1:$B$42,2,0),"")</f>
        <v>电力、热力生产</v>
      </c>
      <c r="E26" s="2" t="s">
        <v>137</v>
      </c>
      <c r="F26" s="1" t="str">
        <f>VLOOKUP(E26,'Sector &amp; Policy Match'!$G$1:$H$8,2,0)</f>
        <v>Cogeneration and Waste Heat Recovery</v>
      </c>
      <c r="G26" s="6">
        <v>0.1</v>
      </c>
      <c r="H26" s="34">
        <v>2021</v>
      </c>
      <c r="I26" s="2">
        <v>2025</v>
      </c>
      <c r="J26" s="6">
        <v>0.3</v>
      </c>
      <c r="K26" s="2">
        <v>58</v>
      </c>
      <c r="L26" s="39">
        <f t="shared" si="0"/>
        <v>261.00000000000006</v>
      </c>
      <c r="M26" s="7">
        <v>2060</v>
      </c>
    </row>
    <row r="27" spans="1:13" hidden="1" x14ac:dyDescent="0.25">
      <c r="A27" s="2">
        <v>2020</v>
      </c>
      <c r="B27" s="1" t="s">
        <v>145</v>
      </c>
      <c r="C27" s="2" t="s">
        <v>143</v>
      </c>
      <c r="D27" s="29" t="str">
        <f>IFERROR(VLOOKUP(C27,'Sector &amp; Policy Match'!$A$1:$B$42,2,0),"")</f>
        <v>电力、热力生产</v>
      </c>
      <c r="E27" s="2" t="s">
        <v>146</v>
      </c>
      <c r="F27" s="1" t="str">
        <f>VLOOKUP(E27,'Sector &amp; Policy Match'!$G$1:$H$8,2,0)</f>
        <v>Improvement in Eqpt Efficiency Standards</v>
      </c>
      <c r="G27" s="6" t="s">
        <v>27</v>
      </c>
      <c r="H27" s="34">
        <v>2021</v>
      </c>
      <c r="I27" s="2">
        <v>2025</v>
      </c>
      <c r="J27" s="6">
        <v>0.1</v>
      </c>
      <c r="K27" s="2">
        <v>9.5</v>
      </c>
      <c r="L27" s="39">
        <f t="shared" si="0"/>
        <v>95</v>
      </c>
      <c r="M27" s="7">
        <v>2060</v>
      </c>
    </row>
    <row r="28" spans="1:13" hidden="1" x14ac:dyDescent="0.25">
      <c r="A28" s="2">
        <v>2020</v>
      </c>
      <c r="B28" s="1" t="s">
        <v>147</v>
      </c>
      <c r="C28" s="2" t="s">
        <v>148</v>
      </c>
      <c r="D28" s="15" t="str">
        <f>IFERROR(VLOOKUP(C28,'Sector &amp; Policy Match'!$A$1:$B$42,2,0),"")</f>
        <v>压缩空气系统</v>
      </c>
      <c r="E28" s="2" t="s">
        <v>146</v>
      </c>
      <c r="F28" s="1" t="str">
        <f>VLOOKUP(E28,'Sector &amp; Policy Match'!$G$1:$H$8,2,0)</f>
        <v>Improvement in Eqpt Efficiency Standards</v>
      </c>
      <c r="G28" s="6" t="s">
        <v>27</v>
      </c>
      <c r="H28" s="34">
        <v>2021</v>
      </c>
      <c r="I28" s="2">
        <v>2025</v>
      </c>
      <c r="J28" s="6">
        <v>0.2</v>
      </c>
      <c r="K28" s="2">
        <v>6.6</v>
      </c>
      <c r="L28" s="39">
        <f t="shared" si="0"/>
        <v>33</v>
      </c>
      <c r="M28" s="7">
        <v>2060</v>
      </c>
    </row>
    <row r="29" spans="1:13" hidden="1" x14ac:dyDescent="0.25">
      <c r="A29" s="2">
        <v>2020</v>
      </c>
      <c r="B29" s="1" t="s">
        <v>149</v>
      </c>
      <c r="C29" s="2" t="s">
        <v>150</v>
      </c>
      <c r="D29" s="15" t="str">
        <f>IFERROR(VLOOKUP(C29,'Sector &amp; Policy Match'!$A$1:$B$42,2,0),"")</f>
        <v>电动机系统</v>
      </c>
      <c r="E29" s="2" t="s">
        <v>146</v>
      </c>
      <c r="F29" s="1" t="str">
        <f>VLOOKUP(E29,'Sector &amp; Policy Match'!$G$1:$H$8,2,0)</f>
        <v>Improvement in Eqpt Efficiency Standards</v>
      </c>
      <c r="G29" s="6" t="s">
        <v>27</v>
      </c>
      <c r="H29" s="34">
        <v>2021</v>
      </c>
      <c r="I29" s="2">
        <v>2025</v>
      </c>
      <c r="J29" s="6">
        <v>0.1</v>
      </c>
      <c r="K29" s="2">
        <v>4.3</v>
      </c>
      <c r="L29" s="39">
        <f t="shared" si="0"/>
        <v>43</v>
      </c>
      <c r="M29" s="7">
        <v>2060</v>
      </c>
    </row>
    <row r="30" spans="1:13" hidden="1" x14ac:dyDescent="0.25">
      <c r="A30" s="2">
        <v>2020</v>
      </c>
      <c r="B30" s="1" t="s">
        <v>151</v>
      </c>
      <c r="C30" s="2" t="s">
        <v>150</v>
      </c>
      <c r="D30" s="15" t="str">
        <f>IFERROR(VLOOKUP(C30,'Sector &amp; Policy Match'!$A$1:$B$42,2,0),"")</f>
        <v>电动机系统</v>
      </c>
      <c r="E30" s="2" t="s">
        <v>146</v>
      </c>
      <c r="F30" s="1" t="str">
        <f>VLOOKUP(E30,'Sector &amp; Policy Match'!$G$1:$H$8,2,0)</f>
        <v>Improvement in Eqpt Efficiency Standards</v>
      </c>
      <c r="G30" s="6" t="s">
        <v>27</v>
      </c>
      <c r="H30" s="34">
        <v>2021</v>
      </c>
      <c r="I30" s="2">
        <v>2025</v>
      </c>
      <c r="J30" s="6">
        <v>0.06</v>
      </c>
      <c r="K30" s="2">
        <v>4.9000000000000004</v>
      </c>
      <c r="L30" s="39">
        <f t="shared" si="0"/>
        <v>81.666666666666671</v>
      </c>
      <c r="M30" s="7">
        <v>2060</v>
      </c>
    </row>
    <row r="31" spans="1:13" hidden="1" x14ac:dyDescent="0.25">
      <c r="A31" s="2">
        <v>2020</v>
      </c>
      <c r="B31" s="1" t="s">
        <v>152</v>
      </c>
      <c r="C31" s="2" t="s">
        <v>153</v>
      </c>
      <c r="D31" s="15" t="str">
        <f>IFERROR(VLOOKUP(C31,'Sector &amp; Policy Match'!$A$1:$B$42,2,0),"")</f>
        <v>空调系统</v>
      </c>
      <c r="E31" s="2" t="s">
        <v>146</v>
      </c>
      <c r="F31" s="1" t="str">
        <f>VLOOKUP(E31,'Sector &amp; Policy Match'!$G$1:$H$8,2,0)</f>
        <v>Improvement in Eqpt Efficiency Standards</v>
      </c>
      <c r="G31" s="6" t="s">
        <v>27</v>
      </c>
      <c r="H31" s="34">
        <v>2021</v>
      </c>
      <c r="I31" s="2">
        <v>2025</v>
      </c>
      <c r="J31" s="6">
        <v>0.15</v>
      </c>
      <c r="K31" s="2">
        <v>21.5</v>
      </c>
      <c r="L31" s="39">
        <f t="shared" si="0"/>
        <v>143.33333333333334</v>
      </c>
      <c r="M31" s="7">
        <v>2060</v>
      </c>
    </row>
    <row r="32" spans="1:13" hidden="1" x14ac:dyDescent="0.25">
      <c r="A32" s="2">
        <v>2020</v>
      </c>
      <c r="B32" s="1" t="s">
        <v>154</v>
      </c>
      <c r="C32" s="2" t="s">
        <v>155</v>
      </c>
      <c r="D32" s="29" t="str">
        <f>IFERROR(VLOOKUP(C32,'Sector &amp; Policy Match'!$A$1:$B$42,2,0),"")</f>
        <v>oil and gas extraction 06</v>
      </c>
      <c r="E32" s="2" t="s">
        <v>146</v>
      </c>
      <c r="F32" s="1" t="str">
        <f>VLOOKUP(E32,'Sector &amp; Policy Match'!$G$1:$H$8,2,0)</f>
        <v>Improvement in Eqpt Efficiency Standards</v>
      </c>
      <c r="G32" s="6" t="s">
        <v>27</v>
      </c>
      <c r="H32" s="34">
        <v>2021</v>
      </c>
      <c r="I32" s="2">
        <v>2025</v>
      </c>
      <c r="J32" s="6">
        <v>0.1</v>
      </c>
      <c r="K32" s="2">
        <v>68</v>
      </c>
      <c r="L32" s="39">
        <f t="shared" si="0"/>
        <v>680</v>
      </c>
      <c r="M32" s="7">
        <v>2060</v>
      </c>
    </row>
    <row r="33" spans="1:13" hidden="1" x14ac:dyDescent="0.25">
      <c r="A33" s="2">
        <v>2020</v>
      </c>
      <c r="B33" s="1" t="s">
        <v>156</v>
      </c>
      <c r="C33" s="2" t="s">
        <v>157</v>
      </c>
      <c r="D33" s="29" t="str">
        <f>IFERROR(VLOOKUP(C33,'Sector &amp; Policy Match'!$A$1:$B$42,2,0),"")</f>
        <v>pulp paper and printing 17T18</v>
      </c>
      <c r="E33" s="2" t="s">
        <v>146</v>
      </c>
      <c r="F33" s="1" t="str">
        <f>VLOOKUP(E33,'Sector &amp; Policy Match'!$G$1:$H$8,2,0)</f>
        <v>Improvement in Eqpt Efficiency Standards</v>
      </c>
      <c r="G33" s="6" t="s">
        <v>27</v>
      </c>
      <c r="H33" s="34">
        <v>2021</v>
      </c>
      <c r="I33" s="2">
        <v>2025</v>
      </c>
      <c r="J33" s="6">
        <v>0.1</v>
      </c>
      <c r="K33" s="2">
        <v>53</v>
      </c>
      <c r="L33" s="39">
        <f t="shared" si="0"/>
        <v>530</v>
      </c>
      <c r="M33" s="7">
        <v>2060</v>
      </c>
    </row>
    <row r="34" spans="1:13" hidden="1" x14ac:dyDescent="0.25">
      <c r="A34" s="2">
        <v>2020</v>
      </c>
      <c r="B34" s="1" t="s">
        <v>158</v>
      </c>
      <c r="C34" s="2" t="s">
        <v>130</v>
      </c>
      <c r="D34" s="15" t="str">
        <f>IFERROR(VLOOKUP(C34,'Sector &amp; Policy Match'!$A$1:$B$42,2,0),"")</f>
        <v>工业锅炉</v>
      </c>
      <c r="E34" s="2" t="s">
        <v>146</v>
      </c>
      <c r="F34" s="1" t="str">
        <f>VLOOKUP(E34,'Sector &amp; Policy Match'!$G$1:$H$8,2,0)</f>
        <v>Improvement in Eqpt Efficiency Standards</v>
      </c>
      <c r="G34" s="6">
        <v>0.05</v>
      </c>
      <c r="H34" s="34">
        <v>2021</v>
      </c>
      <c r="I34" s="2">
        <v>2025</v>
      </c>
      <c r="J34" s="6">
        <v>0.15</v>
      </c>
      <c r="K34" s="2">
        <v>8.4</v>
      </c>
      <c r="L34" s="39">
        <f t="shared" si="0"/>
        <v>79.8</v>
      </c>
      <c r="M34" s="7">
        <v>2060</v>
      </c>
    </row>
    <row r="35" spans="1:13" hidden="1" x14ac:dyDescent="0.25">
      <c r="A35" s="2">
        <v>2020</v>
      </c>
      <c r="B35" s="1" t="s">
        <v>159</v>
      </c>
      <c r="C35" s="2" t="s">
        <v>150</v>
      </c>
      <c r="D35" s="15" t="str">
        <f>IFERROR(VLOOKUP(C35,'Sector &amp; Policy Match'!$A$1:$B$42,2,0),"")</f>
        <v>电动机系统</v>
      </c>
      <c r="E35" s="2" t="s">
        <v>146</v>
      </c>
      <c r="F35" s="1" t="str">
        <f>VLOOKUP(E35,'Sector &amp; Policy Match'!$G$1:$H$8,2,0)</f>
        <v>Improvement in Eqpt Efficiency Standards</v>
      </c>
      <c r="G35" s="6">
        <v>0.05</v>
      </c>
      <c r="H35" s="34">
        <v>2021</v>
      </c>
      <c r="I35" s="2">
        <v>2025</v>
      </c>
      <c r="J35" s="6">
        <v>0.23</v>
      </c>
      <c r="K35" s="2">
        <v>34</v>
      </c>
      <c r="L35" s="39">
        <f t="shared" si="0"/>
        <v>179.44444444444443</v>
      </c>
      <c r="M35" s="7">
        <v>2060</v>
      </c>
    </row>
    <row r="36" spans="1:13" hidden="1" x14ac:dyDescent="0.25">
      <c r="A36" s="2">
        <v>2020</v>
      </c>
      <c r="B36" s="1" t="s">
        <v>160</v>
      </c>
      <c r="C36" s="2" t="s">
        <v>143</v>
      </c>
      <c r="D36" s="29" t="str">
        <f>IFERROR(VLOOKUP(C36,'Sector &amp; Policy Match'!$A$1:$B$42,2,0),"")</f>
        <v>电力、热力生产</v>
      </c>
      <c r="E36" s="2" t="s">
        <v>146</v>
      </c>
      <c r="F36" s="1" t="str">
        <f>VLOOKUP(E36,'Sector &amp; Policy Match'!$G$1:$H$8,2,0)</f>
        <v>Improvement in Eqpt Efficiency Standards</v>
      </c>
      <c r="G36" s="6">
        <v>0.05</v>
      </c>
      <c r="H36" s="34">
        <v>2021</v>
      </c>
      <c r="I36" s="2">
        <v>2025</v>
      </c>
      <c r="J36" s="6">
        <v>0.15</v>
      </c>
      <c r="K36" s="2">
        <v>39</v>
      </c>
      <c r="L36" s="39">
        <f t="shared" si="0"/>
        <v>370.5</v>
      </c>
      <c r="M36" s="7">
        <v>2060</v>
      </c>
    </row>
    <row r="37" spans="1:13" hidden="1" x14ac:dyDescent="0.25">
      <c r="A37" s="2">
        <v>2020</v>
      </c>
      <c r="B37" s="1" t="s">
        <v>161</v>
      </c>
      <c r="C37" s="2" t="s">
        <v>155</v>
      </c>
      <c r="D37" s="29" t="str">
        <f>IFERROR(VLOOKUP(C37,'Sector &amp; Policy Match'!$A$1:$B$42,2,0),"")</f>
        <v>oil and gas extraction 06</v>
      </c>
      <c r="E37" s="2" t="s">
        <v>146</v>
      </c>
      <c r="F37" s="1" t="str">
        <f>VLOOKUP(E37,'Sector &amp; Policy Match'!$G$1:$H$8,2,0)</f>
        <v>Improvement in Eqpt Efficiency Standards</v>
      </c>
      <c r="G37" s="6">
        <v>0.1</v>
      </c>
      <c r="H37" s="34">
        <v>2021</v>
      </c>
      <c r="I37" s="2">
        <v>2025</v>
      </c>
      <c r="J37" s="6">
        <v>0.4</v>
      </c>
      <c r="K37" s="2">
        <v>40</v>
      </c>
      <c r="L37" s="39">
        <f t="shared" si="0"/>
        <v>119.99999999999999</v>
      </c>
      <c r="M37" s="7">
        <v>2060</v>
      </c>
    </row>
    <row r="38" spans="1:13" hidden="1" x14ac:dyDescent="0.25">
      <c r="A38" s="2">
        <v>2020</v>
      </c>
      <c r="B38" s="1" t="s">
        <v>162</v>
      </c>
      <c r="C38" s="2" t="s">
        <v>125</v>
      </c>
      <c r="D38" s="29" t="str">
        <f>IFERROR(VLOOKUP(C38,'Sector &amp; Policy Match'!$A$1:$B$42,2,0),"")</f>
        <v>chemicals 20</v>
      </c>
      <c r="E38" s="2" t="s">
        <v>146</v>
      </c>
      <c r="F38" s="1" t="str">
        <f>VLOOKUP(E38,'Sector &amp; Policy Match'!$G$1:$H$8,2,0)</f>
        <v>Improvement in Eqpt Efficiency Standards</v>
      </c>
      <c r="G38" s="6">
        <v>0.1</v>
      </c>
      <c r="H38" s="34">
        <v>2021</v>
      </c>
      <c r="I38" s="2">
        <v>2025</v>
      </c>
      <c r="J38" s="6">
        <v>0.2</v>
      </c>
      <c r="K38" s="2">
        <v>5.28</v>
      </c>
      <c r="L38" s="39">
        <f t="shared" si="0"/>
        <v>47.52</v>
      </c>
      <c r="M38" s="7">
        <v>2060</v>
      </c>
    </row>
    <row r="39" spans="1:13" hidden="1" x14ac:dyDescent="0.25">
      <c r="A39" s="2">
        <v>2020</v>
      </c>
      <c r="B39" s="1" t="s">
        <v>163</v>
      </c>
      <c r="C39" s="2" t="s">
        <v>130</v>
      </c>
      <c r="D39" s="15" t="str">
        <f>IFERROR(VLOOKUP(C39,'Sector &amp; Policy Match'!$A$1:$B$42,2,0),"")</f>
        <v>工业锅炉</v>
      </c>
      <c r="E39" s="2" t="s">
        <v>146</v>
      </c>
      <c r="F39" s="1" t="str">
        <f>VLOOKUP(E39,'Sector &amp; Policy Match'!$G$1:$H$8,2,0)</f>
        <v>Improvement in Eqpt Efficiency Standards</v>
      </c>
      <c r="G39" s="6">
        <v>0.12</v>
      </c>
      <c r="H39" s="34">
        <v>2021</v>
      </c>
      <c r="I39" s="2">
        <v>2025</v>
      </c>
      <c r="J39" s="6">
        <v>0.5</v>
      </c>
      <c r="K39" s="2">
        <v>146</v>
      </c>
      <c r="L39" s="39">
        <f t="shared" si="0"/>
        <v>338.10526315789474</v>
      </c>
      <c r="M39" s="7">
        <v>2060</v>
      </c>
    </row>
    <row r="40" spans="1:13" hidden="1" x14ac:dyDescent="0.25">
      <c r="A40" s="2">
        <v>2020</v>
      </c>
      <c r="B40" s="1" t="s">
        <v>164</v>
      </c>
      <c r="C40" s="2" t="s">
        <v>70</v>
      </c>
      <c r="D40" s="15" t="str">
        <f>IFERROR(VLOOKUP(C40,'Sector &amp; Policy Match'!$A$1:$B$42,2,0),"")</f>
        <v/>
      </c>
      <c r="E40" s="2" t="s">
        <v>146</v>
      </c>
      <c r="F40" s="1" t="str">
        <f>VLOOKUP(E40,'Sector &amp; Policy Match'!$G$1:$H$8,2,0)</f>
        <v>Improvement in Eqpt Efficiency Standards</v>
      </c>
      <c r="G40" s="6">
        <v>0.15</v>
      </c>
      <c r="H40" s="34">
        <v>2021</v>
      </c>
      <c r="I40" s="2">
        <v>2025</v>
      </c>
      <c r="J40" s="6">
        <v>0.4</v>
      </c>
      <c r="K40" s="2">
        <v>9.8000000000000007</v>
      </c>
      <c r="L40" s="39">
        <f t="shared" si="0"/>
        <v>33.32</v>
      </c>
      <c r="M40" s="7">
        <v>2060</v>
      </c>
    </row>
    <row r="41" spans="1:13" hidden="1" x14ac:dyDescent="0.25">
      <c r="A41" s="2">
        <v>2020</v>
      </c>
      <c r="B41" s="1" t="s">
        <v>165</v>
      </c>
      <c r="C41" s="2" t="s">
        <v>143</v>
      </c>
      <c r="D41" s="29" t="str">
        <f>IFERROR(VLOOKUP(C41,'Sector &amp; Policy Match'!$A$1:$B$42,2,0),"")</f>
        <v>电力、热力生产</v>
      </c>
      <c r="E41" s="2" t="s">
        <v>166</v>
      </c>
      <c r="F41" s="1" t="str">
        <f>VLOOKUP(E41,'Sector &amp; Policy Match'!$G$1:$H$8,2,0)</f>
        <v>Installation and System Integration</v>
      </c>
      <c r="G41" s="6" t="s">
        <v>27</v>
      </c>
      <c r="H41" s="34">
        <v>2021</v>
      </c>
      <c r="I41" s="2">
        <v>2025</v>
      </c>
      <c r="J41" s="6">
        <v>0.15</v>
      </c>
      <c r="K41" s="2">
        <v>187</v>
      </c>
      <c r="L41" s="39">
        <f t="shared" si="0"/>
        <v>1246.6666666666667</v>
      </c>
      <c r="M41" s="7">
        <v>2060</v>
      </c>
    </row>
    <row r="42" spans="1:13" hidden="1" x14ac:dyDescent="0.25">
      <c r="A42" s="2">
        <v>2020</v>
      </c>
      <c r="B42" s="1" t="s">
        <v>167</v>
      </c>
      <c r="C42" s="2" t="s">
        <v>168</v>
      </c>
      <c r="D42" s="29" t="str">
        <f>IFERROR(VLOOKUP(C42,'Sector &amp; Policy Match'!$A$1:$B$42,2,0),"")</f>
        <v>nonroad vehicles 30</v>
      </c>
      <c r="E42" s="2" t="s">
        <v>166</v>
      </c>
      <c r="F42" s="1" t="str">
        <f>VLOOKUP(E42,'Sector &amp; Policy Match'!$G$1:$H$8,2,0)</f>
        <v>Installation and System Integration</v>
      </c>
      <c r="G42" s="6" t="s">
        <v>27</v>
      </c>
      <c r="H42" s="34">
        <v>2021</v>
      </c>
      <c r="I42" s="2">
        <v>2025</v>
      </c>
      <c r="J42" s="6">
        <v>0.15</v>
      </c>
      <c r="K42" s="2">
        <v>15</v>
      </c>
      <c r="L42" s="39">
        <f t="shared" si="0"/>
        <v>100</v>
      </c>
      <c r="M42" s="7">
        <v>2060</v>
      </c>
    </row>
    <row r="43" spans="1:13" hidden="1" x14ac:dyDescent="0.25">
      <c r="A43" s="2">
        <v>2020</v>
      </c>
      <c r="B43" s="1" t="s">
        <v>169</v>
      </c>
      <c r="C43" s="2" t="s">
        <v>170</v>
      </c>
      <c r="D43" s="15" t="str">
        <f>IFERROR(VLOOKUP(C43,'Sector &amp; Policy Match'!$A$1:$B$42,2,0),"")</f>
        <v>能源系统</v>
      </c>
      <c r="E43" s="2" t="s">
        <v>166</v>
      </c>
      <c r="F43" s="1" t="str">
        <f>VLOOKUP(E43,'Sector &amp; Policy Match'!$G$1:$H$8,2,0)</f>
        <v>Installation and System Integration</v>
      </c>
      <c r="G43" s="6" t="s">
        <v>27</v>
      </c>
      <c r="H43" s="34">
        <v>2021</v>
      </c>
      <c r="I43" s="2">
        <v>2025</v>
      </c>
      <c r="J43" s="6">
        <v>0.1</v>
      </c>
      <c r="K43" s="2">
        <v>15</v>
      </c>
      <c r="L43" s="39">
        <f t="shared" si="0"/>
        <v>150</v>
      </c>
      <c r="M43" s="7">
        <v>2060</v>
      </c>
    </row>
    <row r="44" spans="1:13" hidden="1" x14ac:dyDescent="0.25">
      <c r="A44" s="2">
        <v>2020</v>
      </c>
      <c r="B44" s="1" t="s">
        <v>171</v>
      </c>
      <c r="C44" s="2" t="s">
        <v>170</v>
      </c>
      <c r="D44" s="15" t="str">
        <f>IFERROR(VLOOKUP(C44,'Sector &amp; Policy Match'!$A$1:$B$42,2,0),"")</f>
        <v>能源系统</v>
      </c>
      <c r="E44" s="2" t="s">
        <v>166</v>
      </c>
      <c r="F44" s="1" t="str">
        <f>VLOOKUP(E44,'Sector &amp; Policy Match'!$G$1:$H$8,2,0)</f>
        <v>Installation and System Integration</v>
      </c>
      <c r="G44" s="6" t="s">
        <v>27</v>
      </c>
      <c r="H44" s="34">
        <v>2021</v>
      </c>
      <c r="I44" s="2">
        <v>2025</v>
      </c>
      <c r="J44" s="6">
        <v>0.1</v>
      </c>
      <c r="K44" s="2">
        <v>18</v>
      </c>
      <c r="L44" s="39">
        <f t="shared" si="0"/>
        <v>180</v>
      </c>
      <c r="M44" s="7">
        <v>2060</v>
      </c>
    </row>
    <row r="45" spans="1:13" hidden="1" x14ac:dyDescent="0.25">
      <c r="A45" s="2">
        <v>2020</v>
      </c>
      <c r="B45" s="1" t="s">
        <v>172</v>
      </c>
      <c r="C45" s="2" t="s">
        <v>153</v>
      </c>
      <c r="D45" s="15" t="str">
        <f>IFERROR(VLOOKUP(C45,'Sector &amp; Policy Match'!$A$1:$B$42,2,0),"")</f>
        <v>空调系统</v>
      </c>
      <c r="E45" s="2" t="s">
        <v>166</v>
      </c>
      <c r="F45" s="1" t="str">
        <f>VLOOKUP(E45,'Sector &amp; Policy Match'!$G$1:$H$8,2,0)</f>
        <v>Installation and System Integration</v>
      </c>
      <c r="G45" s="6" t="s">
        <v>27</v>
      </c>
      <c r="H45" s="34">
        <v>2021</v>
      </c>
      <c r="I45" s="2">
        <v>2025</v>
      </c>
      <c r="J45" s="6">
        <v>0.1</v>
      </c>
      <c r="K45" s="2">
        <v>15</v>
      </c>
      <c r="L45" s="39">
        <f t="shared" si="0"/>
        <v>150</v>
      </c>
      <c r="M45" s="7">
        <v>2060</v>
      </c>
    </row>
    <row r="46" spans="1:13" hidden="1" x14ac:dyDescent="0.25">
      <c r="A46" s="2">
        <v>2020</v>
      </c>
      <c r="B46" s="1" t="s">
        <v>173</v>
      </c>
      <c r="C46" s="2" t="s">
        <v>170</v>
      </c>
      <c r="D46" s="15" t="str">
        <f>IFERROR(VLOOKUP(C46,'Sector &amp; Policy Match'!$A$1:$B$42,2,0),"")</f>
        <v>能源系统</v>
      </c>
      <c r="E46" s="2" t="s">
        <v>166</v>
      </c>
      <c r="F46" s="1" t="str">
        <f>VLOOKUP(E46,'Sector &amp; Policy Match'!$G$1:$H$8,2,0)</f>
        <v>Installation and System Integration</v>
      </c>
      <c r="G46" s="6" t="s">
        <v>27</v>
      </c>
      <c r="H46" s="34">
        <v>2021</v>
      </c>
      <c r="I46" s="2">
        <v>2025</v>
      </c>
      <c r="J46" s="6">
        <v>0.1</v>
      </c>
      <c r="K46" s="2">
        <v>5</v>
      </c>
      <c r="L46" s="39">
        <f t="shared" si="0"/>
        <v>50</v>
      </c>
      <c r="M46" s="7">
        <v>2060</v>
      </c>
    </row>
    <row r="47" spans="1:13" hidden="1" x14ac:dyDescent="0.25">
      <c r="A47" s="2">
        <v>2020</v>
      </c>
      <c r="B47" s="1" t="s">
        <v>174</v>
      </c>
      <c r="C47" s="2" t="s">
        <v>170</v>
      </c>
      <c r="D47" s="15" t="str">
        <f>IFERROR(VLOOKUP(C47,'Sector &amp; Policy Match'!$A$1:$B$42,2,0),"")</f>
        <v>能源系统</v>
      </c>
      <c r="E47" s="2" t="s">
        <v>166</v>
      </c>
      <c r="F47" s="1" t="str">
        <f>VLOOKUP(E47,'Sector &amp; Policy Match'!$G$1:$H$8,2,0)</f>
        <v>Installation and System Integration</v>
      </c>
      <c r="G47" s="6" t="s">
        <v>27</v>
      </c>
      <c r="H47" s="34">
        <v>2021</v>
      </c>
      <c r="I47" s="2">
        <v>2025</v>
      </c>
      <c r="J47" s="6">
        <v>0.1</v>
      </c>
      <c r="K47" s="2">
        <v>6.7</v>
      </c>
      <c r="L47" s="39">
        <f t="shared" si="0"/>
        <v>67</v>
      </c>
      <c r="M47" s="7">
        <v>2060</v>
      </c>
    </row>
    <row r="48" spans="1:13" hidden="1" x14ac:dyDescent="0.25">
      <c r="A48" s="2">
        <v>2020</v>
      </c>
      <c r="B48" s="1" t="s">
        <v>175</v>
      </c>
      <c r="C48" s="2" t="s">
        <v>119</v>
      </c>
      <c r="D48" s="29" t="str">
        <f>IFERROR(VLOOKUP(C48,'Sector &amp; Policy Match'!$A$1:$B$42,2,0),"")</f>
        <v>iron and steel 241</v>
      </c>
      <c r="E48" s="2" t="s">
        <v>166</v>
      </c>
      <c r="F48" s="1" t="str">
        <f>VLOOKUP(E48,'Sector &amp; Policy Match'!$G$1:$H$8,2,0)</f>
        <v>Installation and System Integration</v>
      </c>
      <c r="G48" s="6" t="s">
        <v>27</v>
      </c>
      <c r="H48" s="34">
        <v>2021</v>
      </c>
      <c r="I48" s="2">
        <v>2025</v>
      </c>
      <c r="J48" s="6">
        <v>0.15</v>
      </c>
      <c r="K48" s="2">
        <v>41</v>
      </c>
      <c r="L48" s="39">
        <f t="shared" si="0"/>
        <v>273.33333333333337</v>
      </c>
      <c r="M48" s="7">
        <v>2060</v>
      </c>
    </row>
    <row r="49" spans="1:13" hidden="1" x14ac:dyDescent="0.25">
      <c r="A49" s="2">
        <v>2020</v>
      </c>
      <c r="B49" s="1" t="s">
        <v>176</v>
      </c>
      <c r="C49" s="2" t="s">
        <v>170</v>
      </c>
      <c r="D49" s="15" t="str">
        <f>IFERROR(VLOOKUP(C49,'Sector &amp; Policy Match'!$A$1:$B$42,2,0),"")</f>
        <v>能源系统</v>
      </c>
      <c r="E49" s="2" t="s">
        <v>166</v>
      </c>
      <c r="F49" s="1" t="str">
        <f>VLOOKUP(E49,'Sector &amp; Policy Match'!$G$1:$H$8,2,0)</f>
        <v>Installation and System Integration</v>
      </c>
      <c r="G49" s="6">
        <v>0.05</v>
      </c>
      <c r="H49" s="34">
        <v>2021</v>
      </c>
      <c r="I49" s="2">
        <v>2025</v>
      </c>
      <c r="J49" s="6">
        <v>0.25</v>
      </c>
      <c r="K49" s="2">
        <v>10</v>
      </c>
      <c r="L49" s="39">
        <f t="shared" si="0"/>
        <v>47.499999999999993</v>
      </c>
      <c r="M49" s="7">
        <v>2060</v>
      </c>
    </row>
    <row r="50" spans="1:13" hidden="1" x14ac:dyDescent="0.25">
      <c r="A50" s="2">
        <v>2020</v>
      </c>
      <c r="B50" s="1" t="s">
        <v>177</v>
      </c>
      <c r="C50" s="2" t="s">
        <v>170</v>
      </c>
      <c r="D50" s="15" t="str">
        <f>IFERROR(VLOOKUP(C50,'Sector &amp; Policy Match'!$A$1:$B$42,2,0),"")</f>
        <v>能源系统</v>
      </c>
      <c r="E50" s="2" t="s">
        <v>166</v>
      </c>
      <c r="F50" s="1" t="str">
        <f>VLOOKUP(E50,'Sector &amp; Policy Match'!$G$1:$H$8,2,0)</f>
        <v>Installation and System Integration</v>
      </c>
      <c r="G50" s="6">
        <v>0.05</v>
      </c>
      <c r="H50" s="34">
        <v>2021</v>
      </c>
      <c r="I50" s="2">
        <v>2025</v>
      </c>
      <c r="J50" s="6">
        <v>0.2</v>
      </c>
      <c r="K50" s="2">
        <v>16</v>
      </c>
      <c r="L50" s="39">
        <f t="shared" si="0"/>
        <v>101.33333333333331</v>
      </c>
      <c r="M50" s="7">
        <v>2060</v>
      </c>
    </row>
    <row r="51" spans="1:13" hidden="1" x14ac:dyDescent="0.25">
      <c r="A51" s="2">
        <v>2020</v>
      </c>
      <c r="B51" s="1" t="s">
        <v>178</v>
      </c>
      <c r="C51" s="2" t="s">
        <v>170</v>
      </c>
      <c r="D51" s="15" t="str">
        <f>IFERROR(VLOOKUP(C51,'Sector &amp; Policy Match'!$A$1:$B$42,2,0),"")</f>
        <v>能源系统</v>
      </c>
      <c r="E51" s="2" t="s">
        <v>166</v>
      </c>
      <c r="F51" s="1" t="str">
        <f>VLOOKUP(E51,'Sector &amp; Policy Match'!$G$1:$H$8,2,0)</f>
        <v>Installation and System Integration</v>
      </c>
      <c r="G51" s="6">
        <v>0.05</v>
      </c>
      <c r="H51" s="34">
        <v>2021</v>
      </c>
      <c r="I51" s="2">
        <v>2025</v>
      </c>
      <c r="J51" s="6">
        <v>0.1</v>
      </c>
      <c r="K51" s="2">
        <v>14</v>
      </c>
      <c r="L51" s="39">
        <f t="shared" si="0"/>
        <v>265.99999999999994</v>
      </c>
      <c r="M51" s="7">
        <v>2060</v>
      </c>
    </row>
    <row r="52" spans="1:13" hidden="1" x14ac:dyDescent="0.25">
      <c r="A52" s="2">
        <v>2020</v>
      </c>
      <c r="B52" s="1" t="s">
        <v>179</v>
      </c>
      <c r="C52" s="2" t="s">
        <v>119</v>
      </c>
      <c r="D52" s="29" t="str">
        <f>IFERROR(VLOOKUP(C52,'Sector &amp; Policy Match'!$A$1:$B$42,2,0),"")</f>
        <v>iron and steel 241</v>
      </c>
      <c r="E52" s="2" t="s">
        <v>166</v>
      </c>
      <c r="F52" s="1" t="str">
        <f>VLOOKUP(E52,'Sector &amp; Policy Match'!$G$1:$H$8,2,0)</f>
        <v>Installation and System Integration</v>
      </c>
      <c r="G52" s="6">
        <v>0.1</v>
      </c>
      <c r="H52" s="34">
        <v>2021</v>
      </c>
      <c r="I52" s="2">
        <v>2025</v>
      </c>
      <c r="J52" s="6">
        <v>0.3</v>
      </c>
      <c r="K52" s="2">
        <v>18</v>
      </c>
      <c r="L52" s="39">
        <f t="shared" si="0"/>
        <v>81.000000000000014</v>
      </c>
      <c r="M52" s="7">
        <v>2060</v>
      </c>
    </row>
    <row r="53" spans="1:13" hidden="1" x14ac:dyDescent="0.25">
      <c r="A53" s="2">
        <v>2020</v>
      </c>
      <c r="B53" s="1" t="s">
        <v>180</v>
      </c>
      <c r="C53" s="2" t="s">
        <v>153</v>
      </c>
      <c r="D53" s="15" t="str">
        <f>IFERROR(VLOOKUP(C53,'Sector &amp; Policy Match'!$A$1:$B$42,2,0),"")</f>
        <v>空调系统</v>
      </c>
      <c r="E53" s="2" t="s">
        <v>166</v>
      </c>
      <c r="F53" s="1" t="str">
        <f>VLOOKUP(E53,'Sector &amp; Policy Match'!$G$1:$H$8,2,0)</f>
        <v>Installation and System Integration</v>
      </c>
      <c r="G53" s="6">
        <v>0.15</v>
      </c>
      <c r="H53" s="34">
        <v>2021</v>
      </c>
      <c r="I53" s="2">
        <v>2025</v>
      </c>
      <c r="J53" s="6">
        <v>0.3</v>
      </c>
      <c r="K53" s="2">
        <v>44</v>
      </c>
      <c r="L53" s="39">
        <f t="shared" si="0"/>
        <v>249.33333333333334</v>
      </c>
      <c r="M53" s="7">
        <v>2060</v>
      </c>
    </row>
    <row r="54" spans="1:13" hidden="1" x14ac:dyDescent="0.25">
      <c r="A54" s="2">
        <v>2020</v>
      </c>
      <c r="B54" s="1" t="s">
        <v>181</v>
      </c>
      <c r="C54" s="2" t="s">
        <v>143</v>
      </c>
      <c r="D54" s="29" t="str">
        <f>IFERROR(VLOOKUP(C54,'Sector &amp; Policy Match'!$A$1:$B$42,2,0),"")</f>
        <v>电力、热力生产</v>
      </c>
      <c r="E54" s="2" t="s">
        <v>166</v>
      </c>
      <c r="F54" s="1" t="str">
        <f>VLOOKUP(E54,'Sector &amp; Policy Match'!$G$1:$H$8,2,0)</f>
        <v>Installation and System Integration</v>
      </c>
      <c r="G54" s="6">
        <v>0.2</v>
      </c>
      <c r="H54" s="34">
        <v>2021</v>
      </c>
      <c r="I54" s="2">
        <v>2025</v>
      </c>
      <c r="J54" s="6">
        <v>0.4</v>
      </c>
      <c r="K54" s="2">
        <v>24</v>
      </c>
      <c r="L54" s="39">
        <f t="shared" si="0"/>
        <v>96</v>
      </c>
      <c r="M54" s="7">
        <v>2060</v>
      </c>
    </row>
    <row r="55" spans="1:13" hidden="1" x14ac:dyDescent="0.25">
      <c r="A55" s="2">
        <v>2020</v>
      </c>
      <c r="B55" s="1" t="s">
        <v>182</v>
      </c>
      <c r="C55" s="2" t="s">
        <v>143</v>
      </c>
      <c r="D55" s="29" t="str">
        <f>IFERROR(VLOOKUP(C55,'Sector &amp; Policy Match'!$A$1:$B$42,2,0),"")</f>
        <v>电力、热力生产</v>
      </c>
      <c r="E55" s="2" t="s">
        <v>166</v>
      </c>
      <c r="F55" s="1" t="str">
        <f>VLOOKUP(E55,'Sector &amp; Policy Match'!$G$1:$H$8,2,0)</f>
        <v>Installation and System Integration</v>
      </c>
      <c r="G55" s="6" t="s">
        <v>27</v>
      </c>
      <c r="H55" s="34">
        <v>2021</v>
      </c>
      <c r="I55" s="2">
        <v>2025</v>
      </c>
      <c r="J55" s="6">
        <v>0.1</v>
      </c>
      <c r="K55" s="2">
        <v>42</v>
      </c>
      <c r="L55" s="39">
        <f t="shared" si="0"/>
        <v>420</v>
      </c>
      <c r="M55" s="7">
        <v>2060</v>
      </c>
    </row>
    <row r="56" spans="1:13" hidden="1" x14ac:dyDescent="0.25">
      <c r="A56" s="2">
        <v>2020</v>
      </c>
      <c r="B56" s="1" t="s">
        <v>183</v>
      </c>
      <c r="C56" s="2" t="s">
        <v>184</v>
      </c>
      <c r="D56" s="29" t="str">
        <f>IFERROR(VLOOKUP(C56,'Sector &amp; Policy Match'!$A$1:$B$42,2,0),"")</f>
        <v>textiles apparel and leather 13T15</v>
      </c>
      <c r="E56" s="2" t="s">
        <v>166</v>
      </c>
      <c r="F56" s="1" t="str">
        <f>VLOOKUP(E56,'Sector &amp; Policy Match'!$G$1:$H$8,2,0)</f>
        <v>Installation and System Integration</v>
      </c>
      <c r="G56" s="6" t="s">
        <v>27</v>
      </c>
      <c r="H56" s="34">
        <v>2021</v>
      </c>
      <c r="I56" s="2">
        <v>2025</v>
      </c>
      <c r="J56" s="6">
        <v>0.1</v>
      </c>
      <c r="K56" s="2">
        <v>7.7</v>
      </c>
      <c r="L56" s="39">
        <f t="shared" si="0"/>
        <v>77</v>
      </c>
      <c r="M56" s="7">
        <v>2060</v>
      </c>
    </row>
    <row r="57" spans="1:13" hidden="1" x14ac:dyDescent="0.25">
      <c r="A57" s="2">
        <v>2020</v>
      </c>
      <c r="B57" s="1" t="s">
        <v>185</v>
      </c>
      <c r="D57" s="29" t="str">
        <f>IFERROR(VLOOKUP(C57,'Sector &amp; Policy Match'!$A$1:$B$42,2,0),"")</f>
        <v/>
      </c>
      <c r="E57" s="2" t="s">
        <v>166</v>
      </c>
      <c r="F57" s="1" t="str">
        <f>VLOOKUP(E57,'Sector &amp; Policy Match'!$G$1:$H$8,2,0)</f>
        <v>Installation and System Integration</v>
      </c>
      <c r="G57" s="6" t="s">
        <v>27</v>
      </c>
      <c r="H57" s="34">
        <v>2021</v>
      </c>
      <c r="I57" s="2">
        <v>2025</v>
      </c>
      <c r="J57" s="6">
        <v>0.15</v>
      </c>
      <c r="K57" s="2">
        <v>28</v>
      </c>
      <c r="L57" s="39">
        <f t="shared" si="0"/>
        <v>186.66666666666669</v>
      </c>
      <c r="M57" s="7">
        <v>2060</v>
      </c>
    </row>
    <row r="58" spans="1:13" hidden="1" x14ac:dyDescent="0.25">
      <c r="A58" s="2">
        <v>2020</v>
      </c>
      <c r="B58" s="1" t="s">
        <v>186</v>
      </c>
      <c r="C58" s="2" t="s">
        <v>143</v>
      </c>
      <c r="D58" s="29" t="str">
        <f>IFERROR(VLOOKUP(C58,'Sector &amp; Policy Match'!$A$1:$B$42,2,0),"")</f>
        <v>电力、热力生产</v>
      </c>
      <c r="E58" s="2" t="s">
        <v>166</v>
      </c>
      <c r="F58" s="1" t="str">
        <f>VLOOKUP(E58,'Sector &amp; Policy Match'!$G$1:$H$8,2,0)</f>
        <v>Installation and System Integration</v>
      </c>
      <c r="G58" s="6" t="s">
        <v>27</v>
      </c>
      <c r="H58" s="34">
        <v>2021</v>
      </c>
      <c r="I58" s="2">
        <v>2025</v>
      </c>
      <c r="J58" s="6">
        <v>0.1</v>
      </c>
      <c r="K58" s="2">
        <v>9</v>
      </c>
      <c r="L58" s="39">
        <f t="shared" si="0"/>
        <v>90</v>
      </c>
      <c r="M58" s="7">
        <v>2060</v>
      </c>
    </row>
    <row r="59" spans="1:13" hidden="1" x14ac:dyDescent="0.25">
      <c r="A59" s="2">
        <v>2020</v>
      </c>
      <c r="B59" s="1" t="s">
        <v>187</v>
      </c>
      <c r="C59" s="2" t="s">
        <v>188</v>
      </c>
      <c r="D59" s="29" t="str">
        <f>IFERROR(VLOOKUP(C59,'Sector &amp; Policy Match'!$A$1:$B$42,2,0),"")</f>
        <v>bldgs</v>
      </c>
      <c r="E59" s="2" t="s">
        <v>166</v>
      </c>
      <c r="F59" s="1" t="str">
        <f>VLOOKUP(E59,'Sector &amp; Policy Match'!$G$1:$H$8,2,0)</f>
        <v>Installation and System Integration</v>
      </c>
      <c r="G59" s="6" t="s">
        <v>27</v>
      </c>
      <c r="H59" s="34">
        <v>2021</v>
      </c>
      <c r="I59" s="2">
        <v>2025</v>
      </c>
      <c r="J59" s="6">
        <v>0.2</v>
      </c>
      <c r="K59" s="2">
        <v>33.299999999999997</v>
      </c>
      <c r="L59" s="39">
        <f t="shared" si="0"/>
        <v>166.5</v>
      </c>
      <c r="M59" s="7">
        <v>2060</v>
      </c>
    </row>
    <row r="60" spans="1:13" hidden="1" x14ac:dyDescent="0.25">
      <c r="A60" s="2">
        <v>2020</v>
      </c>
      <c r="B60" s="1" t="s">
        <v>189</v>
      </c>
      <c r="C60" s="2" t="s">
        <v>190</v>
      </c>
      <c r="D60" s="29" t="str">
        <f>IFERROR(VLOOKUP(C60,'Sector &amp; Policy Match'!$A$1:$B$42,2,0),"")</f>
        <v>trans</v>
      </c>
      <c r="E60" s="2" t="s">
        <v>166</v>
      </c>
      <c r="F60" s="1" t="str">
        <f>VLOOKUP(E60,'Sector &amp; Policy Match'!$G$1:$H$8,2,0)</f>
        <v>Installation and System Integration</v>
      </c>
      <c r="G60" s="6">
        <v>0.05</v>
      </c>
      <c r="H60" s="34">
        <v>2021</v>
      </c>
      <c r="I60" s="2">
        <v>2025</v>
      </c>
      <c r="J60" s="6">
        <v>0.3</v>
      </c>
      <c r="K60" s="2">
        <v>20</v>
      </c>
      <c r="L60" s="39">
        <f t="shared" si="0"/>
        <v>76</v>
      </c>
      <c r="M60" s="7">
        <v>2060</v>
      </c>
    </row>
    <row r="61" spans="1:13" hidden="1" x14ac:dyDescent="0.25">
      <c r="A61" s="2">
        <v>2020</v>
      </c>
      <c r="B61" s="1" t="s">
        <v>191</v>
      </c>
      <c r="C61" s="2" t="s">
        <v>190</v>
      </c>
      <c r="D61" s="29" t="str">
        <f>IFERROR(VLOOKUP(C61,'Sector &amp; Policy Match'!$A$1:$B$42,2,0),"")</f>
        <v>trans</v>
      </c>
      <c r="E61" s="2" t="s">
        <v>166</v>
      </c>
      <c r="F61" s="1" t="str">
        <f>VLOOKUP(E61,'Sector &amp; Policy Match'!$G$1:$H$8,2,0)</f>
        <v>Installation and System Integration</v>
      </c>
      <c r="G61" s="6">
        <v>0.1</v>
      </c>
      <c r="H61" s="34">
        <v>2021</v>
      </c>
      <c r="I61" s="2">
        <v>2025</v>
      </c>
      <c r="J61" s="6">
        <v>0.2</v>
      </c>
      <c r="K61" s="2">
        <v>8.9</v>
      </c>
      <c r="L61" s="39">
        <f t="shared" si="0"/>
        <v>80.100000000000009</v>
      </c>
      <c r="M61" s="7">
        <v>2060</v>
      </c>
    </row>
    <row r="62" spans="1:13" hidden="1" x14ac:dyDescent="0.25">
      <c r="A62" s="2">
        <v>2020</v>
      </c>
      <c r="B62" s="1" t="s">
        <v>192</v>
      </c>
      <c r="C62" s="2" t="s">
        <v>153</v>
      </c>
      <c r="D62" s="15" t="str">
        <f>IFERROR(VLOOKUP(C62,'Sector &amp; Policy Match'!$A$1:$B$42,2,0),"")</f>
        <v>空调系统</v>
      </c>
      <c r="E62" s="2" t="s">
        <v>166</v>
      </c>
      <c r="F62" s="1" t="str">
        <f>VLOOKUP(E62,'Sector &amp; Policy Match'!$G$1:$H$8,2,0)</f>
        <v>Installation and System Integration</v>
      </c>
      <c r="G62" s="6">
        <v>0.2</v>
      </c>
      <c r="H62" s="34">
        <v>2021</v>
      </c>
      <c r="I62" s="2">
        <v>2025</v>
      </c>
      <c r="J62" s="6">
        <v>0.5</v>
      </c>
      <c r="K62" s="2">
        <v>8.5</v>
      </c>
      <c r="L62" s="39">
        <f t="shared" si="0"/>
        <v>22.666666666666668</v>
      </c>
      <c r="M62" s="7">
        <v>2060</v>
      </c>
    </row>
    <row r="63" spans="1:13" hidden="1" x14ac:dyDescent="0.25">
      <c r="A63" s="2">
        <v>2021</v>
      </c>
      <c r="B63" s="1" t="s">
        <v>193</v>
      </c>
      <c r="C63" s="2" t="s">
        <v>119</v>
      </c>
      <c r="D63" s="29" t="str">
        <f>IFERROR(VLOOKUP(C63,'Sector &amp; Policy Match'!$A$1:$B$42,2,0),"")</f>
        <v>iron and steel 241</v>
      </c>
      <c r="E63" s="2" t="s">
        <v>113</v>
      </c>
      <c r="F63" s="1" t="str">
        <f>VLOOKUP(E63,'Sector &amp; Policy Match'!$G$1:$H$8,2,0)</f>
        <v>Early Facility Retirement</v>
      </c>
      <c r="G63" s="6">
        <v>0.2</v>
      </c>
      <c r="H63" s="34">
        <v>2022</v>
      </c>
      <c r="I63" s="2">
        <v>2024</v>
      </c>
      <c r="J63" s="6">
        <v>0.6</v>
      </c>
      <c r="K63" s="2">
        <v>81.8</v>
      </c>
      <c r="L63" s="39">
        <f t="shared" si="0"/>
        <v>163.60000000000002</v>
      </c>
      <c r="M63" s="7">
        <v>2060</v>
      </c>
    </row>
    <row r="64" spans="1:13" hidden="1" x14ac:dyDescent="0.25">
      <c r="A64" s="2">
        <v>2021</v>
      </c>
      <c r="B64" s="1" t="s">
        <v>194</v>
      </c>
      <c r="C64" s="2" t="s">
        <v>119</v>
      </c>
      <c r="D64" s="29" t="str">
        <f>IFERROR(VLOOKUP(C64,'Sector &amp; Policy Match'!$A$1:$B$42,2,0),"")</f>
        <v>iron and steel 241</v>
      </c>
      <c r="E64" s="2" t="s">
        <v>113</v>
      </c>
      <c r="F64" s="1" t="str">
        <f>VLOOKUP(E64,'Sector &amp; Policy Match'!$G$1:$H$8,2,0)</f>
        <v>Early Facility Retirement</v>
      </c>
      <c r="G64" s="6">
        <v>0.2</v>
      </c>
      <c r="H64" s="34">
        <v>2022</v>
      </c>
      <c r="I64" s="2">
        <v>2024</v>
      </c>
      <c r="J64" s="6">
        <v>0.3</v>
      </c>
      <c r="K64" s="2">
        <v>175</v>
      </c>
      <c r="L64" s="39">
        <f t="shared" si="0"/>
        <v>1400.0000000000002</v>
      </c>
      <c r="M64" s="7">
        <v>2060</v>
      </c>
    </row>
    <row r="65" spans="1:13" hidden="1" x14ac:dyDescent="0.25">
      <c r="A65" s="2">
        <v>2021</v>
      </c>
      <c r="B65" s="5" t="s">
        <v>434</v>
      </c>
      <c r="C65" s="8" t="s">
        <v>1</v>
      </c>
      <c r="D65" s="29" t="str">
        <f>IFERROR(VLOOKUP(C65,'Sector &amp; Policy Match'!$A$1:$B$42,2,0),"")</f>
        <v>iron and steel 241</v>
      </c>
      <c r="E65" s="2" t="s">
        <v>113</v>
      </c>
      <c r="F65" s="1" t="str">
        <f>VLOOKUP(E65,'Sector &amp; Policy Match'!$G$1:$H$8,2,0)</f>
        <v>Early Facility Retirement</v>
      </c>
      <c r="G65" s="55" t="s">
        <v>435</v>
      </c>
      <c r="H65" s="34">
        <v>2022</v>
      </c>
      <c r="I65" s="2">
        <v>2024</v>
      </c>
      <c r="J65" s="6">
        <v>0.05</v>
      </c>
      <c r="K65" s="2">
        <v>149.4</v>
      </c>
      <c r="L65" s="39">
        <f>(1-IF(G65="≤1%",0,G65))/(J65-IF(G65="≤1%",0,G65))*K65</f>
        <v>2988</v>
      </c>
      <c r="M65" s="7">
        <v>2060</v>
      </c>
    </row>
    <row r="66" spans="1:13" hidden="1" x14ac:dyDescent="0.25">
      <c r="A66" s="2">
        <v>2021</v>
      </c>
      <c r="B66" s="1" t="s">
        <v>196</v>
      </c>
      <c r="C66" s="2" t="s">
        <v>134</v>
      </c>
      <c r="D66" s="29" t="str">
        <f>IFERROR(VLOOKUP(C66,'Sector &amp; Policy Match'!$A$1:$B$42,2,0),"")</f>
        <v>other metals 242</v>
      </c>
      <c r="E66" s="2" t="s">
        <v>113</v>
      </c>
      <c r="F66" s="1" t="str">
        <f>VLOOKUP(E66,'Sector &amp; Policy Match'!$G$1:$H$8,2,0)</f>
        <v>Early Facility Retirement</v>
      </c>
      <c r="G66" s="6">
        <v>0.09</v>
      </c>
      <c r="H66" s="34">
        <v>2022</v>
      </c>
      <c r="I66" s="2">
        <v>2024</v>
      </c>
      <c r="J66" s="6">
        <v>0.15</v>
      </c>
      <c r="K66" s="2">
        <v>44.58</v>
      </c>
      <c r="L66" s="39">
        <f t="shared" ref="L66:L128" si="1">(1-IF(G66="≤1%",0,G66))/(J66-IF(G66="≤1%",0,G66))*K66</f>
        <v>676.13</v>
      </c>
      <c r="M66" s="7">
        <v>2060</v>
      </c>
    </row>
    <row r="67" spans="1:13" hidden="1" x14ac:dyDescent="0.25">
      <c r="A67" s="2">
        <v>2021</v>
      </c>
      <c r="B67" s="1" t="s">
        <v>197</v>
      </c>
      <c r="C67" s="2" t="s">
        <v>134</v>
      </c>
      <c r="D67" s="29" t="str">
        <f>IFERROR(VLOOKUP(C67,'Sector &amp; Policy Match'!$A$1:$B$42,2,0),"")</f>
        <v>other metals 242</v>
      </c>
      <c r="E67" s="2" t="s">
        <v>113</v>
      </c>
      <c r="F67" s="1" t="str">
        <f>VLOOKUP(E67,'Sector &amp; Policy Match'!$G$1:$H$8,2,0)</f>
        <v>Early Facility Retirement</v>
      </c>
      <c r="G67" s="6" t="s">
        <v>195</v>
      </c>
      <c r="H67" s="34">
        <v>2022</v>
      </c>
      <c r="I67" s="2">
        <v>2024</v>
      </c>
      <c r="J67" s="6">
        <v>8.8499999999999995E-2</v>
      </c>
      <c r="K67" s="2">
        <v>8.85</v>
      </c>
      <c r="L67" s="39">
        <f t="shared" si="1"/>
        <v>100</v>
      </c>
      <c r="M67" s="7">
        <v>2060</v>
      </c>
    </row>
    <row r="68" spans="1:13" hidden="1" x14ac:dyDescent="0.25">
      <c r="A68" s="2">
        <v>2021</v>
      </c>
      <c r="B68" s="1" t="s">
        <v>198</v>
      </c>
      <c r="C68" s="2" t="s">
        <v>112</v>
      </c>
      <c r="D68" s="29" t="str">
        <f>IFERROR(VLOOKUP(C68,'Sector &amp; Policy Match'!$A$1:$B$42,2,0),"")</f>
        <v>cement and other nonmetallic minerals 239</v>
      </c>
      <c r="E68" s="2" t="s">
        <v>113</v>
      </c>
      <c r="F68" s="1" t="str">
        <f>VLOOKUP(E68,'Sector &amp; Policy Match'!$G$1:$H$8,2,0)</f>
        <v>Early Facility Retirement</v>
      </c>
      <c r="G68" s="6" t="s">
        <v>195</v>
      </c>
      <c r="H68" s="34">
        <v>2022</v>
      </c>
      <c r="I68" s="2">
        <v>2024</v>
      </c>
      <c r="J68" s="6">
        <v>0.11899999999999999</v>
      </c>
      <c r="K68" s="2">
        <v>11.51</v>
      </c>
      <c r="L68" s="39">
        <f t="shared" si="1"/>
        <v>96.722689075630257</v>
      </c>
      <c r="M68" s="7">
        <v>2060</v>
      </c>
    </row>
    <row r="69" spans="1:13" hidden="1" x14ac:dyDescent="0.25">
      <c r="A69" s="2">
        <v>2021</v>
      </c>
      <c r="B69" s="1" t="s">
        <v>199</v>
      </c>
      <c r="C69" s="2" t="s">
        <v>112</v>
      </c>
      <c r="D69" s="29" t="str">
        <f>IFERROR(VLOOKUP(C69,'Sector &amp; Policy Match'!$A$1:$B$42,2,0),"")</f>
        <v>cement and other nonmetallic minerals 239</v>
      </c>
      <c r="E69" s="2" t="s">
        <v>113</v>
      </c>
      <c r="F69" s="1" t="str">
        <f>VLOOKUP(E69,'Sector &amp; Policy Match'!$G$1:$H$8,2,0)</f>
        <v>Early Facility Retirement</v>
      </c>
      <c r="G69" s="6" t="s">
        <v>195</v>
      </c>
      <c r="H69" s="34">
        <v>2022</v>
      </c>
      <c r="I69" s="2">
        <v>2024</v>
      </c>
      <c r="J69" s="6">
        <v>0.05</v>
      </c>
      <c r="K69" s="2">
        <v>1.5</v>
      </c>
      <c r="L69" s="39">
        <f t="shared" si="1"/>
        <v>30</v>
      </c>
      <c r="M69" s="7">
        <v>2060</v>
      </c>
    </row>
    <row r="70" spans="1:13" hidden="1" x14ac:dyDescent="0.25">
      <c r="A70" s="2">
        <v>2021</v>
      </c>
      <c r="B70" s="1" t="s">
        <v>200</v>
      </c>
      <c r="C70" s="2" t="s">
        <v>125</v>
      </c>
      <c r="D70" s="29" t="str">
        <f>IFERROR(VLOOKUP(C70,'Sector &amp; Policy Match'!$A$1:$B$42,2,0),"")</f>
        <v>chemicals 20</v>
      </c>
      <c r="E70" s="2" t="s">
        <v>113</v>
      </c>
      <c r="F70" s="1" t="str">
        <f>VLOOKUP(E70,'Sector &amp; Policy Match'!$G$1:$H$8,2,0)</f>
        <v>Early Facility Retirement</v>
      </c>
      <c r="G70" s="6">
        <v>0.45</v>
      </c>
      <c r="H70" s="34">
        <v>2022</v>
      </c>
      <c r="I70" s="2">
        <v>2024</v>
      </c>
      <c r="J70" s="6">
        <v>0.6</v>
      </c>
      <c r="K70" s="2">
        <v>305</v>
      </c>
      <c r="L70" s="39">
        <f t="shared" si="1"/>
        <v>1118.3333333333337</v>
      </c>
      <c r="M70" s="7">
        <v>2060</v>
      </c>
    </row>
    <row r="71" spans="1:13" hidden="1" x14ac:dyDescent="0.25">
      <c r="A71" s="2">
        <v>2021</v>
      </c>
      <c r="B71" s="1" t="s">
        <v>201</v>
      </c>
      <c r="C71" s="2" t="s">
        <v>125</v>
      </c>
      <c r="D71" s="29" t="str">
        <f>IFERROR(VLOOKUP(C71,'Sector &amp; Policy Match'!$A$1:$B$42,2,0),"")</f>
        <v>chemicals 20</v>
      </c>
      <c r="E71" s="2" t="s">
        <v>113</v>
      </c>
      <c r="F71" s="1" t="str">
        <f>VLOOKUP(E71,'Sector &amp; Policy Match'!$G$1:$H$8,2,0)</f>
        <v>Early Facility Retirement</v>
      </c>
      <c r="G71" s="6">
        <v>0.16</v>
      </c>
      <c r="H71" s="34">
        <v>2022</v>
      </c>
      <c r="I71" s="2">
        <v>2024</v>
      </c>
      <c r="J71" s="6">
        <v>0.37</v>
      </c>
      <c r="K71" s="2">
        <v>10</v>
      </c>
      <c r="L71" s="39">
        <f t="shared" si="1"/>
        <v>40</v>
      </c>
      <c r="M71" s="7">
        <v>2060</v>
      </c>
    </row>
    <row r="72" spans="1:13" hidden="1" x14ac:dyDescent="0.25">
      <c r="A72" s="2">
        <v>2021</v>
      </c>
      <c r="B72" s="1" t="s">
        <v>202</v>
      </c>
      <c r="C72" s="2" t="s">
        <v>125</v>
      </c>
      <c r="D72" s="29" t="str">
        <f>IFERROR(VLOOKUP(C72,'Sector &amp; Policy Match'!$A$1:$B$42,2,0),"")</f>
        <v>chemicals 20</v>
      </c>
      <c r="E72" s="2" t="s">
        <v>113</v>
      </c>
      <c r="F72" s="1" t="str">
        <f>VLOOKUP(E72,'Sector &amp; Policy Match'!$G$1:$H$8,2,0)</f>
        <v>Early Facility Retirement</v>
      </c>
      <c r="G72" s="6">
        <v>0.2</v>
      </c>
      <c r="H72" s="34">
        <v>2022</v>
      </c>
      <c r="I72" s="2">
        <v>2024</v>
      </c>
      <c r="J72" s="6">
        <v>0.4</v>
      </c>
      <c r="K72" s="2">
        <v>11.8</v>
      </c>
      <c r="L72" s="39">
        <f t="shared" si="1"/>
        <v>47.2</v>
      </c>
      <c r="M72" s="7">
        <v>2060</v>
      </c>
    </row>
    <row r="73" spans="1:13" hidden="1" x14ac:dyDescent="0.25">
      <c r="A73" s="2">
        <v>2021</v>
      </c>
      <c r="B73" s="1" t="s">
        <v>203</v>
      </c>
      <c r="C73" s="2" t="s">
        <v>125</v>
      </c>
      <c r="D73" s="29" t="str">
        <f>IFERROR(VLOOKUP(C73,'Sector &amp; Policy Match'!$A$1:$B$42,2,0),"")</f>
        <v>chemicals 20</v>
      </c>
      <c r="E73" s="2" t="s">
        <v>113</v>
      </c>
      <c r="F73" s="1" t="str">
        <f>VLOOKUP(E73,'Sector &amp; Policy Match'!$G$1:$H$8,2,0)</f>
        <v>Early Facility Retirement</v>
      </c>
      <c r="G73" s="6" t="s">
        <v>195</v>
      </c>
      <c r="H73" s="34">
        <v>2022</v>
      </c>
      <c r="I73" s="2">
        <v>2024</v>
      </c>
      <c r="J73" s="6">
        <v>0.05</v>
      </c>
      <c r="K73" s="2">
        <v>1.3</v>
      </c>
      <c r="L73" s="39">
        <f t="shared" si="1"/>
        <v>26</v>
      </c>
      <c r="M73" s="7">
        <v>2060</v>
      </c>
    </row>
    <row r="74" spans="1:13" hidden="1" x14ac:dyDescent="0.25">
      <c r="A74" s="2">
        <v>2021</v>
      </c>
      <c r="B74" s="1" t="s">
        <v>204</v>
      </c>
      <c r="C74" s="2" t="s">
        <v>205</v>
      </c>
      <c r="D74" s="29" t="str">
        <f>IFERROR(VLOOKUP(C74,'Sector &amp; Policy Match'!$A$1:$B$42,2,0),"")</f>
        <v>refined petroleum and coke 19</v>
      </c>
      <c r="E74" s="2" t="s">
        <v>113</v>
      </c>
      <c r="F74" s="1" t="str">
        <f>VLOOKUP(E74,'Sector &amp; Policy Match'!$G$1:$H$8,2,0)</f>
        <v>Early Facility Retirement</v>
      </c>
      <c r="G74" s="6">
        <v>0.2</v>
      </c>
      <c r="H74" s="34">
        <v>2022</v>
      </c>
      <c r="I74" s="2">
        <v>2024</v>
      </c>
      <c r="J74" s="6">
        <v>0.3</v>
      </c>
      <c r="K74" s="2">
        <v>260</v>
      </c>
      <c r="L74" s="39">
        <f t="shared" si="1"/>
        <v>2080.0000000000005</v>
      </c>
      <c r="M74" s="7">
        <v>2060</v>
      </c>
    </row>
    <row r="75" spans="1:13" hidden="1" x14ac:dyDescent="0.25">
      <c r="A75" s="2">
        <v>2021</v>
      </c>
      <c r="B75" s="1" t="s">
        <v>206</v>
      </c>
      <c r="C75" s="2" t="s">
        <v>125</v>
      </c>
      <c r="D75" s="29" t="str">
        <f>IFERROR(VLOOKUP(C75,'Sector &amp; Policy Match'!$A$1:$B$42,2,0),"")</f>
        <v>chemicals 20</v>
      </c>
      <c r="E75" s="2" t="s">
        <v>113</v>
      </c>
      <c r="F75" s="1" t="str">
        <f>VLOOKUP(E75,'Sector &amp; Policy Match'!$G$1:$H$8,2,0)</f>
        <v>Early Facility Retirement</v>
      </c>
      <c r="G75" s="6" t="s">
        <v>195</v>
      </c>
      <c r="H75" s="34">
        <v>2022</v>
      </c>
      <c r="I75" s="2">
        <v>2024</v>
      </c>
      <c r="J75" s="6">
        <v>0.02</v>
      </c>
      <c r="K75" s="2">
        <v>0.62</v>
      </c>
      <c r="L75" s="39">
        <f t="shared" si="1"/>
        <v>31</v>
      </c>
      <c r="M75" s="7">
        <v>2060</v>
      </c>
    </row>
    <row r="76" spans="1:13" hidden="1" x14ac:dyDescent="0.25">
      <c r="A76" s="2">
        <v>2021</v>
      </c>
      <c r="B76" s="1" t="s">
        <v>207</v>
      </c>
      <c r="C76" s="2" t="s">
        <v>125</v>
      </c>
      <c r="D76" s="29" t="str">
        <f>IFERROR(VLOOKUP(C76,'Sector &amp; Policy Match'!$A$1:$B$42,2,0),"")</f>
        <v>chemicals 20</v>
      </c>
      <c r="E76" s="2" t="s">
        <v>113</v>
      </c>
      <c r="F76" s="1" t="str">
        <f>VLOOKUP(E76,'Sector &amp; Policy Match'!$G$1:$H$8,2,0)</f>
        <v>Early Facility Retirement</v>
      </c>
      <c r="G76" s="6">
        <v>0.01</v>
      </c>
      <c r="H76" s="34">
        <v>2022</v>
      </c>
      <c r="I76" s="2">
        <v>2024</v>
      </c>
      <c r="J76" s="6">
        <v>0.05</v>
      </c>
      <c r="K76" s="2">
        <v>20</v>
      </c>
      <c r="L76" s="39">
        <f t="shared" si="1"/>
        <v>495</v>
      </c>
      <c r="M76" s="7">
        <v>2060</v>
      </c>
    </row>
    <row r="77" spans="1:13" hidden="1" x14ac:dyDescent="0.25">
      <c r="A77" s="2">
        <v>2021</v>
      </c>
      <c r="B77" s="1" t="s">
        <v>208</v>
      </c>
      <c r="C77" s="2" t="s">
        <v>125</v>
      </c>
      <c r="D77" s="29" t="str">
        <f>IFERROR(VLOOKUP(C77,'Sector &amp; Policy Match'!$A$1:$B$42,2,0),"")</f>
        <v>chemicals 20</v>
      </c>
      <c r="E77" s="2" t="s">
        <v>113</v>
      </c>
      <c r="F77" s="1" t="str">
        <f>VLOOKUP(E77,'Sector &amp; Policy Match'!$G$1:$H$8,2,0)</f>
        <v>Early Facility Retirement</v>
      </c>
      <c r="G77" s="6">
        <v>0.02</v>
      </c>
      <c r="H77" s="34">
        <v>2022</v>
      </c>
      <c r="I77" s="2">
        <v>2024</v>
      </c>
      <c r="J77" s="6">
        <v>0.1</v>
      </c>
      <c r="K77" s="2">
        <v>13.53</v>
      </c>
      <c r="L77" s="39">
        <f t="shared" si="1"/>
        <v>165.74249999999998</v>
      </c>
      <c r="M77" s="7">
        <v>2060</v>
      </c>
    </row>
    <row r="78" spans="1:13" hidden="1" x14ac:dyDescent="0.25">
      <c r="A78" s="2">
        <v>2021</v>
      </c>
      <c r="B78" s="1" t="s">
        <v>209</v>
      </c>
      <c r="C78" s="2" t="s">
        <v>205</v>
      </c>
      <c r="D78" s="29" t="str">
        <f>IFERROR(VLOOKUP(C78,'Sector &amp; Policy Match'!$A$1:$B$42,2,0),"")</f>
        <v>refined petroleum and coke 19</v>
      </c>
      <c r="E78" s="2" t="s">
        <v>113</v>
      </c>
      <c r="F78" s="1" t="str">
        <f>VLOOKUP(E78,'Sector &amp; Policy Match'!$G$1:$H$8,2,0)</f>
        <v>Early Facility Retirement</v>
      </c>
      <c r="G78" s="6" t="s">
        <v>195</v>
      </c>
      <c r="H78" s="34">
        <v>2022</v>
      </c>
      <c r="I78" s="2">
        <v>2024</v>
      </c>
      <c r="J78" s="6">
        <v>0.05</v>
      </c>
      <c r="K78" s="2">
        <v>5</v>
      </c>
      <c r="L78" s="39">
        <f t="shared" si="1"/>
        <v>100</v>
      </c>
      <c r="M78" s="7">
        <v>2060</v>
      </c>
    </row>
    <row r="79" spans="1:13" hidden="1" x14ac:dyDescent="0.25">
      <c r="A79" s="2">
        <v>2021</v>
      </c>
      <c r="B79" s="1" t="s">
        <v>210</v>
      </c>
      <c r="C79" s="2" t="s">
        <v>205</v>
      </c>
      <c r="D79" s="29" t="str">
        <f>IFERROR(VLOOKUP(C79,'Sector &amp; Policy Match'!$A$1:$B$42,2,0),"")</f>
        <v>refined petroleum and coke 19</v>
      </c>
      <c r="E79" s="2" t="s">
        <v>113</v>
      </c>
      <c r="F79" s="1" t="str">
        <f>VLOOKUP(E79,'Sector &amp; Policy Match'!$G$1:$H$8,2,0)</f>
        <v>Early Facility Retirement</v>
      </c>
      <c r="G79" s="6">
        <v>0.02</v>
      </c>
      <c r="H79" s="34">
        <v>2022</v>
      </c>
      <c r="I79" s="2">
        <v>2024</v>
      </c>
      <c r="J79" s="6">
        <v>0.15</v>
      </c>
      <c r="K79" s="2">
        <v>98</v>
      </c>
      <c r="L79" s="39">
        <f t="shared" si="1"/>
        <v>738.76923076923072</v>
      </c>
      <c r="M79" s="7">
        <v>2060</v>
      </c>
    </row>
    <row r="80" spans="1:13" hidden="1" x14ac:dyDescent="0.25">
      <c r="A80" s="2">
        <v>2021</v>
      </c>
      <c r="B80" s="1" t="s">
        <v>211</v>
      </c>
      <c r="C80" s="2" t="s">
        <v>125</v>
      </c>
      <c r="D80" s="29" t="str">
        <f>IFERROR(VLOOKUP(C80,'Sector &amp; Policy Match'!$A$1:$B$42,2,0),"")</f>
        <v>chemicals 20</v>
      </c>
      <c r="E80" s="2" t="s">
        <v>113</v>
      </c>
      <c r="F80" s="1" t="str">
        <f>VLOOKUP(E80,'Sector &amp; Policy Match'!$G$1:$H$8,2,0)</f>
        <v>Early Facility Retirement</v>
      </c>
      <c r="G80" s="6">
        <v>0.5</v>
      </c>
      <c r="H80" s="34">
        <v>2022</v>
      </c>
      <c r="I80" s="2">
        <v>2024</v>
      </c>
      <c r="J80" s="6">
        <v>0.8</v>
      </c>
      <c r="K80" s="2">
        <v>31.3</v>
      </c>
      <c r="L80" s="39">
        <f t="shared" si="1"/>
        <v>52.166666666666664</v>
      </c>
      <c r="M80" s="7">
        <v>2060</v>
      </c>
    </row>
    <row r="81" spans="1:13" hidden="1" x14ac:dyDescent="0.25">
      <c r="A81" s="2">
        <v>2021</v>
      </c>
      <c r="B81" s="1" t="s">
        <v>212</v>
      </c>
      <c r="C81" s="2" t="s">
        <v>213</v>
      </c>
      <c r="D81" s="15" t="str">
        <f>IFERROR(VLOOKUP(C81,'Sector &amp; Policy Match'!$A$1:$B$42,2,0),"")</f>
        <v>风机系统</v>
      </c>
      <c r="E81" s="2" t="s">
        <v>146</v>
      </c>
      <c r="F81" s="1" t="str">
        <f>VLOOKUP(E81,'Sector &amp; Policy Match'!$G$1:$H$8,2,0)</f>
        <v>Improvement in Eqpt Efficiency Standards</v>
      </c>
      <c r="G81" s="6" t="s">
        <v>195</v>
      </c>
      <c r="H81" s="34">
        <v>2022</v>
      </c>
      <c r="I81" s="2">
        <v>2024</v>
      </c>
      <c r="J81" s="6">
        <v>0.2</v>
      </c>
      <c r="K81" s="2">
        <v>60</v>
      </c>
      <c r="L81" s="39">
        <f t="shared" si="1"/>
        <v>300</v>
      </c>
      <c r="M81" s="7">
        <v>2060</v>
      </c>
    </row>
    <row r="82" spans="1:13" hidden="1" x14ac:dyDescent="0.25">
      <c r="A82" s="2">
        <v>2021</v>
      </c>
      <c r="B82" s="1" t="s">
        <v>214</v>
      </c>
      <c r="C82" s="2" t="s">
        <v>150</v>
      </c>
      <c r="D82" s="15" t="str">
        <f>IFERROR(VLOOKUP(C82,'Sector &amp; Policy Match'!$A$1:$B$42,2,0),"")</f>
        <v>电动机系统</v>
      </c>
      <c r="E82" s="2" t="s">
        <v>146</v>
      </c>
      <c r="F82" s="1" t="str">
        <f>VLOOKUP(E82,'Sector &amp; Policy Match'!$G$1:$H$8,2,0)</f>
        <v>Improvement in Eqpt Efficiency Standards</v>
      </c>
      <c r="G82" s="6" t="s">
        <v>195</v>
      </c>
      <c r="H82" s="34">
        <v>2022</v>
      </c>
      <c r="I82" s="2">
        <v>2024</v>
      </c>
      <c r="J82" s="6">
        <v>0.3</v>
      </c>
      <c r="K82" s="2">
        <v>2.6</v>
      </c>
      <c r="L82" s="39">
        <f t="shared" si="1"/>
        <v>8.6666666666666679</v>
      </c>
      <c r="M82" s="7">
        <v>2060</v>
      </c>
    </row>
    <row r="83" spans="1:13" hidden="1" x14ac:dyDescent="0.25">
      <c r="A83" s="2">
        <v>2021</v>
      </c>
      <c r="B83" s="1" t="s">
        <v>215</v>
      </c>
      <c r="C83" s="2" t="s">
        <v>119</v>
      </c>
      <c r="D83" s="29" t="str">
        <f>IFERROR(VLOOKUP(C83,'Sector &amp; Policy Match'!$A$1:$B$42,2,0),"")</f>
        <v>iron and steel 241</v>
      </c>
      <c r="E83" s="2" t="s">
        <v>146</v>
      </c>
      <c r="F83" s="1" t="str">
        <f>VLOOKUP(E83,'Sector &amp; Policy Match'!$G$1:$H$8,2,0)</f>
        <v>Improvement in Eqpt Efficiency Standards</v>
      </c>
      <c r="G83" s="6">
        <v>0.5</v>
      </c>
      <c r="H83" s="34">
        <v>2022</v>
      </c>
      <c r="I83" s="2">
        <v>2024</v>
      </c>
      <c r="J83" s="6">
        <v>0.8</v>
      </c>
      <c r="K83" s="2">
        <v>49.6</v>
      </c>
      <c r="L83" s="39">
        <f t="shared" si="1"/>
        <v>82.666666666666657</v>
      </c>
      <c r="M83" s="7">
        <v>2060</v>
      </c>
    </row>
    <row r="84" spans="1:13" hidden="1" x14ac:dyDescent="0.25">
      <c r="A84" s="2">
        <v>2021</v>
      </c>
      <c r="B84" s="1" t="s">
        <v>216</v>
      </c>
      <c r="C84" s="2" t="s">
        <v>153</v>
      </c>
      <c r="D84" s="15" t="str">
        <f>IFERROR(VLOOKUP(C84,'Sector &amp; Policy Match'!$A$1:$B$42,2,0),"")</f>
        <v>空调系统</v>
      </c>
      <c r="E84" s="2" t="s">
        <v>146</v>
      </c>
      <c r="F84" s="1" t="str">
        <f>VLOOKUP(E84,'Sector &amp; Policy Match'!$G$1:$H$8,2,0)</f>
        <v>Improvement in Eqpt Efficiency Standards</v>
      </c>
      <c r="G84" s="6">
        <v>3.5000000000000003E-2</v>
      </c>
      <c r="H84" s="34">
        <v>2022</v>
      </c>
      <c r="I84" s="2">
        <v>2024</v>
      </c>
      <c r="J84" s="6">
        <v>6.6000000000000003E-2</v>
      </c>
      <c r="K84" s="2">
        <v>85.25</v>
      </c>
      <c r="L84" s="39">
        <f t="shared" si="1"/>
        <v>2653.75</v>
      </c>
      <c r="M84" s="7">
        <v>2060</v>
      </c>
    </row>
    <row r="85" spans="1:13" hidden="1" x14ac:dyDescent="0.25">
      <c r="A85" s="2">
        <v>2021</v>
      </c>
      <c r="B85" s="1" t="s">
        <v>217</v>
      </c>
      <c r="C85" s="2" t="s">
        <v>143</v>
      </c>
      <c r="D85" s="29" t="str">
        <f>IFERROR(VLOOKUP(C85,'Sector &amp; Policy Match'!$A$1:$B$42,2,0),"")</f>
        <v>电力、热力生产</v>
      </c>
      <c r="E85" s="2" t="s">
        <v>146</v>
      </c>
      <c r="F85" s="1" t="str">
        <f>VLOOKUP(E85,'Sector &amp; Policy Match'!$G$1:$H$8,2,0)</f>
        <v>Improvement in Eqpt Efficiency Standards</v>
      </c>
      <c r="G85" s="6">
        <v>0.3</v>
      </c>
      <c r="H85" s="34">
        <v>2022</v>
      </c>
      <c r="I85" s="2">
        <v>2024</v>
      </c>
      <c r="J85" s="6">
        <v>0.45</v>
      </c>
      <c r="K85" s="2">
        <v>60</v>
      </c>
      <c r="L85" s="39">
        <f t="shared" si="1"/>
        <v>279.99999999999994</v>
      </c>
      <c r="M85" s="7">
        <v>2060</v>
      </c>
    </row>
    <row r="86" spans="1:13" hidden="1" x14ac:dyDescent="0.25">
      <c r="A86" s="2">
        <v>2021</v>
      </c>
      <c r="B86" s="1" t="s">
        <v>218</v>
      </c>
      <c r="C86" s="2" t="s">
        <v>148</v>
      </c>
      <c r="D86" s="15" t="str">
        <f>IFERROR(VLOOKUP(C86,'Sector &amp; Policy Match'!$A$1:$B$42,2,0),"")</f>
        <v>压缩空气系统</v>
      </c>
      <c r="E86" s="2" t="s">
        <v>146</v>
      </c>
      <c r="F86" s="1" t="str">
        <f>VLOOKUP(E86,'Sector &amp; Policy Match'!$G$1:$H$8,2,0)</f>
        <v>Improvement in Eqpt Efficiency Standards</v>
      </c>
      <c r="G86" s="6" t="s">
        <v>195</v>
      </c>
      <c r="H86" s="34">
        <v>2022</v>
      </c>
      <c r="I86" s="2">
        <v>2024</v>
      </c>
      <c r="J86" s="6">
        <v>4.4999999999999998E-2</v>
      </c>
      <c r="K86" s="2">
        <v>5.4</v>
      </c>
      <c r="L86" s="39">
        <f t="shared" si="1"/>
        <v>120</v>
      </c>
      <c r="M86" s="7">
        <v>2060</v>
      </c>
    </row>
    <row r="87" spans="1:13" hidden="1" x14ac:dyDescent="0.25">
      <c r="A87" s="2">
        <v>2021</v>
      </c>
      <c r="B87" s="1" t="s">
        <v>219</v>
      </c>
      <c r="C87" s="2" t="s">
        <v>220</v>
      </c>
      <c r="D87" s="29" t="str">
        <f>IFERROR(VLOOKUP(C87,'Sector &amp; Policy Match'!$A$1:$B$42,2,0),"")</f>
        <v>bldgs</v>
      </c>
      <c r="E87" s="2" t="s">
        <v>146</v>
      </c>
      <c r="F87" s="1" t="str">
        <f>VLOOKUP(E87,'Sector &amp; Policy Match'!$G$1:$H$8,2,0)</f>
        <v>Improvement in Eqpt Efficiency Standards</v>
      </c>
      <c r="G87" s="6" t="s">
        <v>195</v>
      </c>
      <c r="H87" s="34">
        <v>2022</v>
      </c>
      <c r="I87" s="2">
        <v>2024</v>
      </c>
      <c r="J87" s="6">
        <v>0.2</v>
      </c>
      <c r="K87" s="2">
        <v>6.8</v>
      </c>
      <c r="L87" s="39">
        <f t="shared" si="1"/>
        <v>34</v>
      </c>
      <c r="M87" s="7">
        <v>2060</v>
      </c>
    </row>
    <row r="88" spans="1:13" hidden="1" x14ac:dyDescent="0.25">
      <c r="A88" s="2">
        <v>2021</v>
      </c>
      <c r="B88" s="1" t="s">
        <v>221</v>
      </c>
      <c r="C88" s="2" t="s">
        <v>222</v>
      </c>
      <c r="D88" s="15" t="str">
        <f>IFERROR(VLOOKUP(C88,'Sector &amp; Policy Match'!$A$1:$B$42,2,0),"")</f>
        <v>汽轮机</v>
      </c>
      <c r="E88" s="2" t="s">
        <v>146</v>
      </c>
      <c r="F88" s="1" t="str">
        <f>VLOOKUP(E88,'Sector &amp; Policy Match'!$G$1:$H$8,2,0)</f>
        <v>Improvement in Eqpt Efficiency Standards</v>
      </c>
      <c r="G88" s="6">
        <v>0.08</v>
      </c>
      <c r="H88" s="34">
        <v>2022</v>
      </c>
      <c r="I88" s="2">
        <v>2024</v>
      </c>
      <c r="J88" s="6">
        <v>0.18</v>
      </c>
      <c r="K88" s="2">
        <v>4.29</v>
      </c>
      <c r="L88" s="39">
        <f t="shared" si="1"/>
        <v>39.468000000000004</v>
      </c>
      <c r="M88" s="7">
        <v>2060</v>
      </c>
    </row>
    <row r="89" spans="1:13" hidden="1" x14ac:dyDescent="0.25">
      <c r="A89" s="2">
        <v>2021</v>
      </c>
      <c r="B89" s="1" t="s">
        <v>223</v>
      </c>
      <c r="C89" s="2" t="s">
        <v>168</v>
      </c>
      <c r="D89" s="29" t="str">
        <f>IFERROR(VLOOKUP(C89,'Sector &amp; Policy Match'!$A$1:$B$42,2,0),"")</f>
        <v>nonroad vehicles 30</v>
      </c>
      <c r="E89" s="2" t="s">
        <v>146</v>
      </c>
      <c r="F89" s="1" t="str">
        <f>VLOOKUP(E89,'Sector &amp; Policy Match'!$G$1:$H$8,2,0)</f>
        <v>Improvement in Eqpt Efficiency Standards</v>
      </c>
      <c r="G89" s="6" t="s">
        <v>195</v>
      </c>
      <c r="H89" s="34">
        <v>2022</v>
      </c>
      <c r="I89" s="2">
        <v>2024</v>
      </c>
      <c r="J89" s="6">
        <v>0.05</v>
      </c>
      <c r="K89" s="2">
        <v>3.2</v>
      </c>
      <c r="L89" s="39">
        <f t="shared" si="1"/>
        <v>64</v>
      </c>
      <c r="M89" s="7">
        <v>2060</v>
      </c>
    </row>
    <row r="90" spans="1:13" hidden="1" x14ac:dyDescent="0.25">
      <c r="A90" s="2">
        <v>2021</v>
      </c>
      <c r="B90" s="1" t="s">
        <v>224</v>
      </c>
      <c r="C90" s="2" t="s">
        <v>150</v>
      </c>
      <c r="D90" s="15" t="str">
        <f>IFERROR(VLOOKUP(C90,'Sector &amp; Policy Match'!$A$1:$B$42,2,0),"")</f>
        <v>电动机系统</v>
      </c>
      <c r="E90" s="2" t="s">
        <v>146</v>
      </c>
      <c r="F90" s="1" t="str">
        <f>VLOOKUP(E90,'Sector &amp; Policy Match'!$G$1:$H$8,2,0)</f>
        <v>Improvement in Eqpt Efficiency Standards</v>
      </c>
      <c r="G90" s="6">
        <v>0.2</v>
      </c>
      <c r="H90" s="34">
        <v>2022</v>
      </c>
      <c r="I90" s="2">
        <v>2024</v>
      </c>
      <c r="J90" s="6">
        <v>0.3</v>
      </c>
      <c r="K90" s="2">
        <v>7.04</v>
      </c>
      <c r="L90" s="39">
        <f t="shared" si="1"/>
        <v>56.320000000000014</v>
      </c>
      <c r="M90" s="7">
        <v>2060</v>
      </c>
    </row>
    <row r="91" spans="1:13" hidden="1" x14ac:dyDescent="0.25">
      <c r="A91" s="2">
        <v>2021</v>
      </c>
      <c r="B91" s="1" t="s">
        <v>225</v>
      </c>
      <c r="C91" s="2" t="s">
        <v>150</v>
      </c>
      <c r="D91" s="15" t="str">
        <f>IFERROR(VLOOKUP(C91,'Sector &amp; Policy Match'!$A$1:$B$42,2,0),"")</f>
        <v>电动机系统</v>
      </c>
      <c r="E91" s="2" t="s">
        <v>146</v>
      </c>
      <c r="F91" s="1" t="str">
        <f>VLOOKUP(E91,'Sector &amp; Policy Match'!$G$1:$H$8,2,0)</f>
        <v>Improvement in Eqpt Efficiency Standards</v>
      </c>
      <c r="G91" s="6">
        <v>0.01</v>
      </c>
      <c r="H91" s="34">
        <v>2022</v>
      </c>
      <c r="I91" s="2">
        <v>2024</v>
      </c>
      <c r="J91" s="6">
        <v>0.05</v>
      </c>
      <c r="K91" s="2">
        <v>1.24</v>
      </c>
      <c r="L91" s="39">
        <f t="shared" si="1"/>
        <v>30.69</v>
      </c>
      <c r="M91" s="7">
        <v>2060</v>
      </c>
    </row>
    <row r="92" spans="1:13" hidden="1" x14ac:dyDescent="0.25">
      <c r="A92" s="2">
        <v>2021</v>
      </c>
      <c r="B92" s="1" t="s">
        <v>226</v>
      </c>
      <c r="C92" s="2" t="s">
        <v>227</v>
      </c>
      <c r="D92" s="29" t="str">
        <f>IFERROR(VLOOKUP(C92,'Sector &amp; Policy Match'!$A$1:$B$42,2,0),"")</f>
        <v>energy pipelines and gas processing 352T353</v>
      </c>
      <c r="E92" s="2" t="s">
        <v>146</v>
      </c>
      <c r="F92" s="1" t="str">
        <f>VLOOKUP(E92,'Sector &amp; Policy Match'!$G$1:$H$8,2,0)</f>
        <v>Improvement in Eqpt Efficiency Standards</v>
      </c>
      <c r="G92" s="6">
        <v>0.01</v>
      </c>
      <c r="H92" s="34">
        <v>2022</v>
      </c>
      <c r="I92" s="2">
        <v>2024</v>
      </c>
      <c r="J92" s="6">
        <v>0.3</v>
      </c>
      <c r="K92" s="2">
        <v>44.64</v>
      </c>
      <c r="L92" s="39">
        <f t="shared" si="1"/>
        <v>152.39172413793105</v>
      </c>
      <c r="M92" s="7">
        <v>2060</v>
      </c>
    </row>
    <row r="93" spans="1:13" hidden="1" x14ac:dyDescent="0.25">
      <c r="A93" s="2">
        <v>2021</v>
      </c>
      <c r="B93" s="1" t="s">
        <v>228</v>
      </c>
      <c r="C93" s="2" t="s">
        <v>229</v>
      </c>
      <c r="D93" s="29" t="str">
        <f>IFERROR(VLOOKUP(C93,'Sector &amp; Policy Match'!$A$1:$B$42,2,0),"")</f>
        <v>coal mining 05</v>
      </c>
      <c r="E93" s="2" t="s">
        <v>146</v>
      </c>
      <c r="F93" s="1" t="str">
        <f>VLOOKUP(E93,'Sector &amp; Policy Match'!$G$1:$H$8,2,0)</f>
        <v>Improvement in Eqpt Efficiency Standards</v>
      </c>
      <c r="G93" s="6">
        <v>0.01</v>
      </c>
      <c r="H93" s="34">
        <v>2022</v>
      </c>
      <c r="I93" s="2">
        <v>2024</v>
      </c>
      <c r="J93" s="6">
        <v>0.05</v>
      </c>
      <c r="K93" s="2">
        <v>6.1</v>
      </c>
      <c r="L93" s="39">
        <f t="shared" si="1"/>
        <v>150.97499999999999</v>
      </c>
      <c r="M93" s="7">
        <v>2060</v>
      </c>
    </row>
    <row r="94" spans="1:13" hidden="1" x14ac:dyDescent="0.25">
      <c r="A94" s="2">
        <v>2021</v>
      </c>
      <c r="B94" s="1" t="s">
        <v>230</v>
      </c>
      <c r="C94" s="2" t="s">
        <v>150</v>
      </c>
      <c r="D94" s="15" t="str">
        <f>IFERROR(VLOOKUP(C94,'Sector &amp; Policy Match'!$A$1:$B$42,2,0),"")</f>
        <v>电动机系统</v>
      </c>
      <c r="E94" s="2" t="s">
        <v>146</v>
      </c>
      <c r="F94" s="1" t="str">
        <f>VLOOKUP(E94,'Sector &amp; Policy Match'!$G$1:$H$8,2,0)</f>
        <v>Improvement in Eqpt Efficiency Standards</v>
      </c>
      <c r="G94" s="6">
        <v>0.2</v>
      </c>
      <c r="H94" s="34">
        <v>2022</v>
      </c>
      <c r="I94" s="2">
        <v>2024</v>
      </c>
      <c r="J94" s="6">
        <v>0.3</v>
      </c>
      <c r="K94" s="2">
        <v>260</v>
      </c>
      <c r="L94" s="39">
        <f t="shared" si="1"/>
        <v>2080.0000000000005</v>
      </c>
      <c r="M94" s="7">
        <v>2060</v>
      </c>
    </row>
    <row r="95" spans="1:13" hidden="1" x14ac:dyDescent="0.25">
      <c r="A95" s="2">
        <v>2021</v>
      </c>
      <c r="B95" s="1" t="s">
        <v>231</v>
      </c>
      <c r="C95" s="2" t="s">
        <v>220</v>
      </c>
      <c r="D95" s="29" t="str">
        <f>IFERROR(VLOOKUP(C95,'Sector &amp; Policy Match'!$A$1:$B$42,2,0),"")</f>
        <v>bldgs</v>
      </c>
      <c r="E95" s="2" t="s">
        <v>146</v>
      </c>
      <c r="F95" s="1" t="str">
        <f>VLOOKUP(E95,'Sector &amp; Policy Match'!$G$1:$H$8,2,0)</f>
        <v>Improvement in Eqpt Efficiency Standards</v>
      </c>
      <c r="G95" s="6" t="s">
        <v>195</v>
      </c>
      <c r="H95" s="34">
        <v>2022</v>
      </c>
      <c r="I95" s="2">
        <v>2024</v>
      </c>
      <c r="J95" s="6">
        <v>0.1</v>
      </c>
      <c r="K95" s="2">
        <v>0.68</v>
      </c>
      <c r="L95" s="39">
        <f t="shared" si="1"/>
        <v>6.8000000000000007</v>
      </c>
      <c r="M95" s="7">
        <v>2060</v>
      </c>
    </row>
    <row r="96" spans="1:13" hidden="1" x14ac:dyDescent="0.25">
      <c r="A96" s="2">
        <v>2021</v>
      </c>
      <c r="B96" s="1" t="s">
        <v>232</v>
      </c>
      <c r="C96" s="2" t="s">
        <v>150</v>
      </c>
      <c r="D96" s="15" t="str">
        <f>IFERROR(VLOOKUP(C96,'Sector &amp; Policy Match'!$A$1:$B$42,2,0),"")</f>
        <v>电动机系统</v>
      </c>
      <c r="E96" s="2" t="s">
        <v>146</v>
      </c>
      <c r="F96" s="1" t="str">
        <f>VLOOKUP(E96,'Sector &amp; Policy Match'!$G$1:$H$8,2,0)</f>
        <v>Improvement in Eqpt Efficiency Standards</v>
      </c>
      <c r="G96" s="6">
        <v>0.1</v>
      </c>
      <c r="H96" s="34">
        <v>2022</v>
      </c>
      <c r="I96" s="2">
        <v>2024</v>
      </c>
      <c r="J96" s="6">
        <v>0.25</v>
      </c>
      <c r="K96" s="2">
        <v>11.8</v>
      </c>
      <c r="L96" s="39">
        <f t="shared" si="1"/>
        <v>70.800000000000011</v>
      </c>
      <c r="M96" s="7">
        <v>2060</v>
      </c>
    </row>
    <row r="97" spans="1:13" hidden="1" x14ac:dyDescent="0.25">
      <c r="A97" s="2">
        <v>2021</v>
      </c>
      <c r="B97" s="1" t="s">
        <v>233</v>
      </c>
      <c r="C97" s="2" t="s">
        <v>234</v>
      </c>
      <c r="D97" s="29" t="str">
        <f>IFERROR(VLOOKUP(C97,'Sector &amp; Policy Match'!$A$1:$B$42,2,0),"")</f>
        <v>trans</v>
      </c>
      <c r="E97" s="2" t="s">
        <v>146</v>
      </c>
      <c r="F97" s="1" t="str">
        <f>VLOOKUP(E97,'Sector &amp; Policy Match'!$G$1:$H$8,2,0)</f>
        <v>Improvement in Eqpt Efficiency Standards</v>
      </c>
      <c r="G97" s="6" t="s">
        <v>195</v>
      </c>
      <c r="H97" s="34">
        <v>2022</v>
      </c>
      <c r="I97" s="2">
        <v>2024</v>
      </c>
      <c r="J97" s="6">
        <v>0.1</v>
      </c>
      <c r="K97" s="2">
        <v>3.58</v>
      </c>
      <c r="L97" s="39">
        <f t="shared" si="1"/>
        <v>35.799999999999997</v>
      </c>
      <c r="M97" s="7">
        <v>2060</v>
      </c>
    </row>
    <row r="98" spans="1:13" hidden="1" x14ac:dyDescent="0.25">
      <c r="A98" s="2">
        <v>2021</v>
      </c>
      <c r="B98" s="1" t="s">
        <v>235</v>
      </c>
      <c r="C98" s="2" t="s">
        <v>130</v>
      </c>
      <c r="D98" s="15" t="str">
        <f>IFERROR(VLOOKUP(C98,'Sector &amp; Policy Match'!$A$1:$B$42,2,0),"")</f>
        <v>工业锅炉</v>
      </c>
      <c r="E98" s="2" t="s">
        <v>146</v>
      </c>
      <c r="F98" s="1" t="str">
        <f>VLOOKUP(E98,'Sector &amp; Policy Match'!$G$1:$H$8,2,0)</f>
        <v>Improvement in Eqpt Efficiency Standards</v>
      </c>
      <c r="G98" s="6">
        <v>0.15</v>
      </c>
      <c r="H98" s="34">
        <v>2022</v>
      </c>
      <c r="I98" s="2">
        <v>2024</v>
      </c>
      <c r="J98" s="6">
        <v>0.3</v>
      </c>
      <c r="K98" s="2">
        <v>1.94</v>
      </c>
      <c r="L98" s="39">
        <f t="shared" si="1"/>
        <v>10.993333333333334</v>
      </c>
      <c r="M98" s="7">
        <v>2060</v>
      </c>
    </row>
    <row r="99" spans="1:13" hidden="1" x14ac:dyDescent="0.25">
      <c r="A99" s="2">
        <v>2021</v>
      </c>
      <c r="B99" s="1" t="s">
        <v>236</v>
      </c>
      <c r="C99" s="2" t="s">
        <v>153</v>
      </c>
      <c r="D99" s="15" t="str">
        <f>IFERROR(VLOOKUP(C99,'Sector &amp; Policy Match'!$A$1:$B$42,2,0),"")</f>
        <v>空调系统</v>
      </c>
      <c r="E99" s="2" t="s">
        <v>146</v>
      </c>
      <c r="F99" s="1" t="str">
        <f>VLOOKUP(E99,'Sector &amp; Policy Match'!$G$1:$H$8,2,0)</f>
        <v>Improvement in Eqpt Efficiency Standards</v>
      </c>
      <c r="G99" s="6">
        <v>0.1</v>
      </c>
      <c r="H99" s="34">
        <v>2022</v>
      </c>
      <c r="I99" s="2">
        <v>2024</v>
      </c>
      <c r="J99" s="6">
        <v>0.3</v>
      </c>
      <c r="K99" s="2">
        <v>7.2</v>
      </c>
      <c r="L99" s="39">
        <f t="shared" si="1"/>
        <v>32.400000000000006</v>
      </c>
      <c r="M99" s="7">
        <v>2060</v>
      </c>
    </row>
    <row r="100" spans="1:13" hidden="1" x14ac:dyDescent="0.25">
      <c r="A100" s="2">
        <v>2021</v>
      </c>
      <c r="B100" s="1" t="s">
        <v>237</v>
      </c>
      <c r="C100" s="2" t="s">
        <v>238</v>
      </c>
      <c r="D100" s="15" t="str">
        <f>IFERROR(VLOOKUP(C100,'Sector &amp; Policy Match'!$A$1:$B$42,2,0),"")</f>
        <v>工业炉窑</v>
      </c>
      <c r="E100" s="2" t="s">
        <v>146</v>
      </c>
      <c r="F100" s="1" t="str">
        <f>VLOOKUP(E100,'Sector &amp; Policy Match'!$G$1:$H$8,2,0)</f>
        <v>Improvement in Eqpt Efficiency Standards</v>
      </c>
      <c r="G100" s="6">
        <v>0.15</v>
      </c>
      <c r="H100" s="34">
        <v>2022</v>
      </c>
      <c r="I100" s="2">
        <v>2024</v>
      </c>
      <c r="J100" s="6">
        <v>0.25</v>
      </c>
      <c r="K100" s="2">
        <v>12.5</v>
      </c>
      <c r="L100" s="39">
        <f t="shared" si="1"/>
        <v>106.25</v>
      </c>
      <c r="M100" s="7">
        <v>2060</v>
      </c>
    </row>
    <row r="101" spans="1:13" hidden="1" x14ac:dyDescent="0.25">
      <c r="A101" s="9">
        <v>2021</v>
      </c>
      <c r="B101" s="10" t="s">
        <v>239</v>
      </c>
      <c r="C101" s="9" t="s">
        <v>240</v>
      </c>
      <c r="D101" s="30" t="str">
        <f>IFERROR(VLOOKUP(C101,'Sector &amp; Policy Match'!$A$1:$B$42,2,0),"")</f>
        <v/>
      </c>
      <c r="E101" s="9" t="s">
        <v>146</v>
      </c>
      <c r="F101" s="10" t="str">
        <f>VLOOKUP(E101,'Sector &amp; Policy Match'!$G$1:$H$8,2,0)</f>
        <v>Improvement in Eqpt Efficiency Standards</v>
      </c>
      <c r="G101" s="11">
        <v>0.01</v>
      </c>
      <c r="H101" s="35">
        <v>2022</v>
      </c>
      <c r="I101" s="9">
        <v>2024</v>
      </c>
      <c r="J101" s="11">
        <v>0.1</v>
      </c>
      <c r="K101" s="9">
        <v>9.7200000000000006</v>
      </c>
      <c r="L101" s="18">
        <f t="shared" si="1"/>
        <v>106.91999999999999</v>
      </c>
      <c r="M101" s="13">
        <v>2060</v>
      </c>
    </row>
    <row r="102" spans="1:13" hidden="1" x14ac:dyDescent="0.25">
      <c r="A102" s="9">
        <v>2021</v>
      </c>
      <c r="B102" s="10" t="s">
        <v>239</v>
      </c>
      <c r="C102" s="9" t="s">
        <v>241</v>
      </c>
      <c r="D102" s="30" t="str">
        <f>IFERROR(VLOOKUP(C102,'Sector &amp; Policy Match'!$A$1:$B$42,2,0),"")</f>
        <v>road vehicles 29</v>
      </c>
      <c r="E102" s="9" t="s">
        <v>146</v>
      </c>
      <c r="F102" s="10" t="str">
        <f>VLOOKUP(E102,'Sector &amp; Policy Match'!$G$1:$H$8,2,0)</f>
        <v>Improvement in Eqpt Efficiency Standards</v>
      </c>
      <c r="G102" s="11">
        <v>0.01</v>
      </c>
      <c r="H102" s="35">
        <v>2022</v>
      </c>
      <c r="I102" s="9">
        <v>2024</v>
      </c>
      <c r="J102" s="11">
        <v>0.1</v>
      </c>
      <c r="K102" s="16">
        <f>BIFUbC!B21/SUM(BIFUbC!B21:B22)*K101</f>
        <v>7.4567992535639815</v>
      </c>
      <c r="L102" s="18">
        <f t="shared" si="1"/>
        <v>82.024791789203789</v>
      </c>
      <c r="M102" s="13">
        <v>2060</v>
      </c>
    </row>
    <row r="103" spans="1:13" hidden="1" x14ac:dyDescent="0.25">
      <c r="A103" s="9">
        <v>2021</v>
      </c>
      <c r="B103" s="10" t="s">
        <v>239</v>
      </c>
      <c r="C103" s="9" t="s">
        <v>242</v>
      </c>
      <c r="D103" s="30" t="str">
        <f>IFERROR(VLOOKUP(C103,'Sector &amp; Policy Match'!$A$1:$B$42,2,0),"")</f>
        <v>nonroad vehicles 30</v>
      </c>
      <c r="E103" s="9" t="s">
        <v>146</v>
      </c>
      <c r="F103" s="10" t="str">
        <f>VLOOKUP(E103,'Sector &amp; Policy Match'!$G$1:$H$8,2,0)</f>
        <v>Improvement in Eqpt Efficiency Standards</v>
      </c>
      <c r="G103" s="11">
        <v>0.01</v>
      </c>
      <c r="H103" s="35">
        <v>2022</v>
      </c>
      <c r="I103" s="9">
        <v>2024</v>
      </c>
      <c r="J103" s="11">
        <v>0.1</v>
      </c>
      <c r="K103" s="17">
        <f>BIFUbC!B22/SUM(BIFUbC!B21:B22)*K101</f>
        <v>2.2632007464360182</v>
      </c>
      <c r="L103" s="18">
        <f t="shared" si="1"/>
        <v>24.895208210796195</v>
      </c>
      <c r="M103" s="13">
        <v>2060</v>
      </c>
    </row>
    <row r="104" spans="1:13" hidden="1" x14ac:dyDescent="0.25">
      <c r="A104" s="2">
        <v>2021</v>
      </c>
      <c r="B104" s="1" t="s">
        <v>243</v>
      </c>
      <c r="C104" s="2" t="s">
        <v>143</v>
      </c>
      <c r="D104" s="29" t="str">
        <f>IFERROR(VLOOKUP(C104,'Sector &amp; Policy Match'!$A$1:$B$42,2,0),"")</f>
        <v>电力、热力生产</v>
      </c>
      <c r="E104" s="2" t="s">
        <v>244</v>
      </c>
      <c r="F104" s="1" t="str">
        <f>VLOOKUP(E104,'Sector &amp; Policy Match'!$G$1:$H$8,2,0)</f>
        <v>Early Facility Retirement</v>
      </c>
      <c r="G104" s="6">
        <v>0.15</v>
      </c>
      <c r="H104" s="34">
        <v>2022</v>
      </c>
      <c r="I104" s="2">
        <v>2024</v>
      </c>
      <c r="J104" s="6">
        <v>0.3</v>
      </c>
      <c r="K104" s="2">
        <v>74</v>
      </c>
      <c r="L104" s="39">
        <f t="shared" si="1"/>
        <v>419.33333333333337</v>
      </c>
      <c r="M104" s="7">
        <v>2060</v>
      </c>
    </row>
    <row r="105" spans="1:13" hidden="1" x14ac:dyDescent="0.25">
      <c r="A105" s="2">
        <v>2021</v>
      </c>
      <c r="B105" s="1" t="s">
        <v>245</v>
      </c>
      <c r="C105" s="2" t="s">
        <v>143</v>
      </c>
      <c r="D105" s="29" t="str">
        <f>IFERROR(VLOOKUP(C105,'Sector &amp; Policy Match'!$A$1:$B$42,2,0),"")</f>
        <v>电力、热力生产</v>
      </c>
      <c r="E105" s="2" t="s">
        <v>244</v>
      </c>
      <c r="F105" s="1" t="str">
        <f>VLOOKUP(E105,'Sector &amp; Policy Match'!$G$1:$H$8,2,0)</f>
        <v>Early Facility Retirement</v>
      </c>
      <c r="G105" s="6" t="s">
        <v>195</v>
      </c>
      <c r="H105" s="34">
        <v>2022</v>
      </c>
      <c r="I105" s="2">
        <v>2024</v>
      </c>
      <c r="J105" s="6">
        <v>0.02</v>
      </c>
      <c r="K105" s="2">
        <v>0.08</v>
      </c>
      <c r="L105" s="39">
        <f t="shared" si="1"/>
        <v>4</v>
      </c>
      <c r="M105" s="7">
        <v>2060</v>
      </c>
    </row>
    <row r="106" spans="1:13" hidden="1" x14ac:dyDescent="0.25">
      <c r="A106" s="2">
        <v>2021</v>
      </c>
      <c r="B106" s="1" t="s">
        <v>246</v>
      </c>
      <c r="C106" s="2" t="s">
        <v>143</v>
      </c>
      <c r="D106" s="29" t="str">
        <f>IFERROR(VLOOKUP(C106,'Sector &amp; Policy Match'!$A$1:$B$42,2,0),"")</f>
        <v>电力、热力生产</v>
      </c>
      <c r="E106" s="2" t="s">
        <v>244</v>
      </c>
      <c r="F106" s="1" t="str">
        <f>VLOOKUP(E106,'Sector &amp; Policy Match'!$G$1:$H$8,2,0)</f>
        <v>Early Facility Retirement</v>
      </c>
      <c r="G106" s="6">
        <v>0.06</v>
      </c>
      <c r="H106" s="34">
        <v>2022</v>
      </c>
      <c r="I106" s="2">
        <v>2024</v>
      </c>
      <c r="J106" s="6">
        <v>0.3</v>
      </c>
      <c r="K106" s="2">
        <v>3.1</v>
      </c>
      <c r="L106" s="39">
        <f t="shared" si="1"/>
        <v>12.141666666666666</v>
      </c>
      <c r="M106" s="7">
        <v>2060</v>
      </c>
    </row>
    <row r="107" spans="1:13" hidden="1" x14ac:dyDescent="0.25">
      <c r="A107" s="2">
        <v>2021</v>
      </c>
      <c r="B107" s="1" t="s">
        <v>247</v>
      </c>
      <c r="C107" s="2" t="s">
        <v>150</v>
      </c>
      <c r="D107" s="15" t="str">
        <f>IFERROR(VLOOKUP(C107,'Sector &amp; Policy Match'!$A$1:$B$42,2,0),"")</f>
        <v>电动机系统</v>
      </c>
      <c r="E107" s="2" t="s">
        <v>244</v>
      </c>
      <c r="F107" s="1" t="str">
        <f>VLOOKUP(E107,'Sector &amp; Policy Match'!$G$1:$H$8,2,0)</f>
        <v>Early Facility Retirement</v>
      </c>
      <c r="G107" s="6" t="s">
        <v>195</v>
      </c>
      <c r="H107" s="34">
        <v>2022</v>
      </c>
      <c r="I107" s="2">
        <v>2024</v>
      </c>
      <c r="J107" s="6">
        <v>0.2</v>
      </c>
      <c r="K107" s="2">
        <v>0.93</v>
      </c>
      <c r="L107" s="39">
        <f t="shared" si="1"/>
        <v>4.6500000000000004</v>
      </c>
      <c r="M107" s="7">
        <v>2060</v>
      </c>
    </row>
    <row r="108" spans="1:13" hidden="1" x14ac:dyDescent="0.25">
      <c r="A108" s="2">
        <v>2021</v>
      </c>
      <c r="B108" s="1" t="s">
        <v>248</v>
      </c>
      <c r="C108" s="2" t="s">
        <v>143</v>
      </c>
      <c r="D108" s="29" t="str">
        <f>IFERROR(VLOOKUP(C108,'Sector &amp; Policy Match'!$A$1:$B$42,2,0),"")</f>
        <v>电力、热力生产</v>
      </c>
      <c r="E108" s="2" t="s">
        <v>244</v>
      </c>
      <c r="F108" s="1" t="str">
        <f>VLOOKUP(E108,'Sector &amp; Policy Match'!$G$1:$H$8,2,0)</f>
        <v>Early Facility Retirement</v>
      </c>
      <c r="G108" s="6">
        <v>0.02</v>
      </c>
      <c r="H108" s="34">
        <v>2022</v>
      </c>
      <c r="I108" s="2">
        <v>2024</v>
      </c>
      <c r="J108" s="6">
        <v>0.05</v>
      </c>
      <c r="K108" s="2">
        <v>0.08</v>
      </c>
      <c r="L108" s="39">
        <f t="shared" si="1"/>
        <v>2.6133333333333333</v>
      </c>
      <c r="M108" s="7">
        <v>2060</v>
      </c>
    </row>
    <row r="109" spans="1:13" hidden="1" x14ac:dyDescent="0.25">
      <c r="A109" s="2">
        <v>2021</v>
      </c>
      <c r="B109" s="1" t="s">
        <v>249</v>
      </c>
      <c r="C109" s="2" t="s">
        <v>250</v>
      </c>
      <c r="D109" s="15" t="str">
        <f>IFERROR(VLOOKUP(C109,'Sector &amp; Policy Match'!$A$1:$B$42,2,0),"")</f>
        <v>除尘器</v>
      </c>
      <c r="E109" s="2" t="s">
        <v>244</v>
      </c>
      <c r="F109" s="1" t="str">
        <f>VLOOKUP(E109,'Sector &amp; Policy Match'!$G$1:$H$8,2,0)</f>
        <v>Early Facility Retirement</v>
      </c>
      <c r="G109" s="6">
        <v>0.35</v>
      </c>
      <c r="H109" s="34">
        <v>2022</v>
      </c>
      <c r="I109" s="2">
        <v>2024</v>
      </c>
      <c r="J109" s="6">
        <v>0.55000000000000004</v>
      </c>
      <c r="K109" s="2">
        <v>4.4000000000000004</v>
      </c>
      <c r="L109" s="39">
        <f t="shared" si="1"/>
        <v>14.299999999999997</v>
      </c>
      <c r="M109" s="7">
        <v>2060</v>
      </c>
    </row>
    <row r="110" spans="1:13" hidden="1" x14ac:dyDescent="0.25">
      <c r="A110" s="2">
        <v>2021</v>
      </c>
      <c r="B110" s="1" t="s">
        <v>251</v>
      </c>
      <c r="C110" s="2" t="s">
        <v>227</v>
      </c>
      <c r="D110" s="29" t="str">
        <f>IFERROR(VLOOKUP(C110,'Sector &amp; Policy Match'!$A$1:$B$42,2,0),"")</f>
        <v>energy pipelines and gas processing 352T353</v>
      </c>
      <c r="E110" s="2" t="s">
        <v>252</v>
      </c>
      <c r="F110" s="1" t="str">
        <f>VLOOKUP(E110,'Sector &amp; Policy Match'!$G$1:$H$8,2,0)</f>
        <v>Installation and System Integration</v>
      </c>
      <c r="G110" s="6" t="s">
        <v>195</v>
      </c>
      <c r="H110" s="34">
        <v>2022</v>
      </c>
      <c r="I110" s="2">
        <v>2024</v>
      </c>
      <c r="J110" s="6">
        <v>0.3</v>
      </c>
      <c r="K110" s="2">
        <v>6.2E-2</v>
      </c>
      <c r="L110" s="39">
        <f t="shared" si="1"/>
        <v>0.20666666666666667</v>
      </c>
      <c r="M110" s="7">
        <v>2060</v>
      </c>
    </row>
    <row r="111" spans="1:13" hidden="1" x14ac:dyDescent="0.25">
      <c r="A111" s="2">
        <v>2021</v>
      </c>
      <c r="B111" s="1" t="s">
        <v>253</v>
      </c>
      <c r="C111" s="2" t="s">
        <v>170</v>
      </c>
      <c r="D111" s="15" t="str">
        <f>IFERROR(VLOOKUP(C111,'Sector &amp; Policy Match'!$A$1:$B$42,2,0),"")</f>
        <v>能源系统</v>
      </c>
      <c r="E111" s="2" t="s">
        <v>252</v>
      </c>
      <c r="F111" s="1" t="str">
        <f>VLOOKUP(E111,'Sector &amp; Policy Match'!$G$1:$H$8,2,0)</f>
        <v>Installation and System Integration</v>
      </c>
      <c r="G111" s="6">
        <v>0.03</v>
      </c>
      <c r="H111" s="34">
        <v>2022</v>
      </c>
      <c r="I111" s="2">
        <v>2024</v>
      </c>
      <c r="J111" s="6">
        <v>0.17</v>
      </c>
      <c r="K111" s="2">
        <v>176</v>
      </c>
      <c r="L111" s="39">
        <f t="shared" si="1"/>
        <v>1219.4285714285713</v>
      </c>
      <c r="M111" s="7">
        <v>2060</v>
      </c>
    </row>
    <row r="112" spans="1:13" hidden="1" x14ac:dyDescent="0.25">
      <c r="A112" s="2">
        <v>2021</v>
      </c>
      <c r="B112" s="1" t="s">
        <v>254</v>
      </c>
      <c r="C112" s="2" t="s">
        <v>153</v>
      </c>
      <c r="D112" s="15" t="str">
        <f>IFERROR(VLOOKUP(C112,'Sector &amp; Policy Match'!$A$1:$B$42,2,0),"")</f>
        <v>空调系统</v>
      </c>
      <c r="E112" s="2" t="s">
        <v>252</v>
      </c>
      <c r="F112" s="1" t="str">
        <f>VLOOKUP(E112,'Sector &amp; Policy Match'!$G$1:$H$8,2,0)</f>
        <v>Installation and System Integration</v>
      </c>
      <c r="G112" s="6" t="s">
        <v>195</v>
      </c>
      <c r="H112" s="34">
        <v>2022</v>
      </c>
      <c r="I112" s="2">
        <v>2024</v>
      </c>
      <c r="J112" s="6">
        <v>0.2</v>
      </c>
      <c r="K112" s="2">
        <v>14.69</v>
      </c>
      <c r="L112" s="39">
        <f t="shared" si="1"/>
        <v>73.45</v>
      </c>
      <c r="M112" s="7">
        <v>2060</v>
      </c>
    </row>
    <row r="113" spans="1:13" hidden="1" x14ac:dyDescent="0.25">
      <c r="A113" s="2">
        <v>2021</v>
      </c>
      <c r="B113" s="1" t="s">
        <v>255</v>
      </c>
      <c r="C113" s="2" t="s">
        <v>155</v>
      </c>
      <c r="D113" s="29" t="str">
        <f>IFERROR(VLOOKUP(C113,'Sector &amp; Policy Match'!$A$1:$B$42,2,0),"")</f>
        <v>oil and gas extraction 06</v>
      </c>
      <c r="E113" s="2" t="s">
        <v>252</v>
      </c>
      <c r="F113" s="1" t="str">
        <f>VLOOKUP(E113,'Sector &amp; Policy Match'!$G$1:$H$8,2,0)</f>
        <v>Installation and System Integration</v>
      </c>
      <c r="G113" s="6">
        <v>0.12</v>
      </c>
      <c r="H113" s="34">
        <v>2022</v>
      </c>
      <c r="I113" s="2">
        <v>2024</v>
      </c>
      <c r="J113" s="6">
        <v>0.5</v>
      </c>
      <c r="K113" s="2">
        <v>2.35</v>
      </c>
      <c r="L113" s="39">
        <f t="shared" si="1"/>
        <v>5.4421052631578952</v>
      </c>
      <c r="M113" s="7">
        <v>2060</v>
      </c>
    </row>
    <row r="114" spans="1:13" hidden="1" x14ac:dyDescent="0.25">
      <c r="A114" s="2">
        <v>2021</v>
      </c>
      <c r="B114" s="1" t="s">
        <v>256</v>
      </c>
      <c r="C114" s="2" t="s">
        <v>125</v>
      </c>
      <c r="D114" s="29" t="str">
        <f>IFERROR(VLOOKUP(C114,'Sector &amp; Policy Match'!$A$1:$B$42,2,0),"")</f>
        <v>chemicals 20</v>
      </c>
      <c r="E114" s="2" t="s">
        <v>252</v>
      </c>
      <c r="F114" s="1" t="str">
        <f>VLOOKUP(E114,'Sector &amp; Policy Match'!$G$1:$H$8,2,0)</f>
        <v>Installation and System Integration</v>
      </c>
      <c r="G114" s="6">
        <v>0.01</v>
      </c>
      <c r="H114" s="34">
        <v>2022</v>
      </c>
      <c r="I114" s="2">
        <v>2024</v>
      </c>
      <c r="J114" s="6">
        <v>0.05</v>
      </c>
      <c r="K114" s="2">
        <v>2.48</v>
      </c>
      <c r="L114" s="39">
        <f t="shared" si="1"/>
        <v>61.38</v>
      </c>
      <c r="M114" s="7">
        <v>2060</v>
      </c>
    </row>
    <row r="115" spans="1:13" hidden="1" x14ac:dyDescent="0.25">
      <c r="A115" s="2">
        <v>2021</v>
      </c>
      <c r="B115" s="1" t="s">
        <v>257</v>
      </c>
      <c r="C115" s="2" t="s">
        <v>170</v>
      </c>
      <c r="D115" s="15" t="str">
        <f>IFERROR(VLOOKUP(C115,'Sector &amp; Policy Match'!$A$1:$B$42,2,0),"")</f>
        <v>能源系统</v>
      </c>
      <c r="E115" s="2" t="s">
        <v>252</v>
      </c>
      <c r="F115" s="1" t="str">
        <f>VLOOKUP(E115,'Sector &amp; Policy Match'!$G$1:$H$8,2,0)</f>
        <v>Installation and System Integration</v>
      </c>
      <c r="G115" s="6" t="s">
        <v>195</v>
      </c>
      <c r="H115" s="34">
        <v>2022</v>
      </c>
      <c r="I115" s="2">
        <v>2024</v>
      </c>
      <c r="J115" s="6">
        <v>0.02</v>
      </c>
      <c r="K115" s="2">
        <v>0.33</v>
      </c>
      <c r="L115" s="39">
        <f t="shared" si="1"/>
        <v>16.5</v>
      </c>
      <c r="M115" s="7">
        <v>2060</v>
      </c>
    </row>
    <row r="116" spans="1:13" hidden="1" x14ac:dyDescent="0.25">
      <c r="A116" s="2">
        <v>2021</v>
      </c>
      <c r="B116" s="1" t="s">
        <v>258</v>
      </c>
      <c r="C116" s="2" t="s">
        <v>170</v>
      </c>
      <c r="D116" s="15" t="str">
        <f>IFERROR(VLOOKUP(C116,'Sector &amp; Policy Match'!$A$1:$B$42,2,0),"")</f>
        <v>能源系统</v>
      </c>
      <c r="E116" s="2" t="s">
        <v>252</v>
      </c>
      <c r="F116" s="1" t="str">
        <f>VLOOKUP(E116,'Sector &amp; Policy Match'!$G$1:$H$8,2,0)</f>
        <v>Installation and System Integration</v>
      </c>
      <c r="G116" s="6">
        <v>0.01</v>
      </c>
      <c r="H116" s="34">
        <v>2022</v>
      </c>
      <c r="I116" s="2">
        <v>2024</v>
      </c>
      <c r="J116" s="6">
        <v>0.1</v>
      </c>
      <c r="K116" s="2">
        <v>2.88</v>
      </c>
      <c r="L116" s="39">
        <f t="shared" si="1"/>
        <v>31.679999999999993</v>
      </c>
      <c r="M116" s="7">
        <v>2060</v>
      </c>
    </row>
    <row r="117" spans="1:13" hidden="1" x14ac:dyDescent="0.25">
      <c r="A117" s="2">
        <v>2021</v>
      </c>
      <c r="B117" s="1" t="s">
        <v>259</v>
      </c>
      <c r="C117" s="2" t="s">
        <v>148</v>
      </c>
      <c r="D117" s="15" t="str">
        <f>IFERROR(VLOOKUP(C117,'Sector &amp; Policy Match'!$A$1:$B$42,2,0),"")</f>
        <v>压缩空气系统</v>
      </c>
      <c r="E117" s="2" t="s">
        <v>252</v>
      </c>
      <c r="F117" s="1" t="str">
        <f>VLOOKUP(E117,'Sector &amp; Policy Match'!$G$1:$H$8,2,0)</f>
        <v>Installation and System Integration</v>
      </c>
      <c r="G117" s="6">
        <v>0.01</v>
      </c>
      <c r="H117" s="34">
        <v>2022</v>
      </c>
      <c r="I117" s="2">
        <v>2024</v>
      </c>
      <c r="J117" s="6">
        <v>0.05</v>
      </c>
      <c r="K117" s="2">
        <v>0.46</v>
      </c>
      <c r="L117" s="39">
        <f t="shared" si="1"/>
        <v>11.385</v>
      </c>
      <c r="M117" s="7">
        <v>2060</v>
      </c>
    </row>
    <row r="118" spans="1:13" hidden="1" x14ac:dyDescent="0.25">
      <c r="A118" s="2">
        <v>2021</v>
      </c>
      <c r="B118" s="1" t="s">
        <v>260</v>
      </c>
      <c r="C118" s="2" t="s">
        <v>153</v>
      </c>
      <c r="D118" s="15" t="str">
        <f>IFERROR(VLOOKUP(C118,'Sector &amp; Policy Match'!$A$1:$B$42,2,0),"")</f>
        <v>空调系统</v>
      </c>
      <c r="E118" s="2" t="s">
        <v>252</v>
      </c>
      <c r="F118" s="1" t="str">
        <f>VLOOKUP(E118,'Sector &amp; Policy Match'!$G$1:$H$8,2,0)</f>
        <v>Installation and System Integration</v>
      </c>
      <c r="G118" s="6">
        <v>0.05</v>
      </c>
      <c r="H118" s="34">
        <v>2022</v>
      </c>
      <c r="I118" s="2">
        <v>2024</v>
      </c>
      <c r="J118" s="6">
        <v>0.2</v>
      </c>
      <c r="K118" s="2">
        <v>2.4</v>
      </c>
      <c r="L118" s="39">
        <f t="shared" si="1"/>
        <v>15.199999999999996</v>
      </c>
      <c r="M118" s="7">
        <v>2060</v>
      </c>
    </row>
    <row r="119" spans="1:13" hidden="1" x14ac:dyDescent="0.25">
      <c r="A119" s="2">
        <v>2021</v>
      </c>
      <c r="B119" s="1" t="s">
        <v>261</v>
      </c>
      <c r="C119" s="2" t="s">
        <v>125</v>
      </c>
      <c r="D119" s="29" t="str">
        <f>IFERROR(VLOOKUP(C119,'Sector &amp; Policy Match'!$A$1:$B$42,2,0),"")</f>
        <v>chemicals 20</v>
      </c>
      <c r="E119" s="2" t="s">
        <v>252</v>
      </c>
      <c r="F119" s="1" t="str">
        <f>VLOOKUP(E119,'Sector &amp; Policy Match'!$G$1:$H$8,2,0)</f>
        <v>Installation and System Integration</v>
      </c>
      <c r="G119" s="6" t="s">
        <v>195</v>
      </c>
      <c r="H119" s="34">
        <v>2022</v>
      </c>
      <c r="I119" s="2">
        <v>2024</v>
      </c>
      <c r="J119" s="6">
        <v>7.0000000000000007E-2</v>
      </c>
      <c r="K119" s="2">
        <v>20</v>
      </c>
      <c r="L119" s="39">
        <f t="shared" si="1"/>
        <v>285.71428571428567</v>
      </c>
      <c r="M119" s="7">
        <v>2060</v>
      </c>
    </row>
    <row r="120" spans="1:13" hidden="1" x14ac:dyDescent="0.25">
      <c r="A120" s="2">
        <v>2021</v>
      </c>
      <c r="B120" s="1" t="s">
        <v>262</v>
      </c>
      <c r="C120" s="2" t="s">
        <v>153</v>
      </c>
      <c r="D120" s="15" t="str">
        <f>IFERROR(VLOOKUP(C120,'Sector &amp; Policy Match'!$A$1:$B$42,2,0),"")</f>
        <v>空调系统</v>
      </c>
      <c r="E120" s="2" t="s">
        <v>252</v>
      </c>
      <c r="F120" s="1" t="str">
        <f>VLOOKUP(E120,'Sector &amp; Policy Match'!$G$1:$H$8,2,0)</f>
        <v>Installation and System Integration</v>
      </c>
      <c r="G120" s="6" t="s">
        <v>195</v>
      </c>
      <c r="H120" s="34">
        <v>2022</v>
      </c>
      <c r="I120" s="2">
        <v>2024</v>
      </c>
      <c r="J120" s="6">
        <v>0.05</v>
      </c>
      <c r="K120" s="2">
        <v>3.1</v>
      </c>
      <c r="L120" s="39">
        <f t="shared" si="1"/>
        <v>62</v>
      </c>
      <c r="M120" s="7">
        <v>2060</v>
      </c>
    </row>
    <row r="121" spans="1:13" hidden="1" x14ac:dyDescent="0.25">
      <c r="A121" s="2">
        <v>2021</v>
      </c>
      <c r="B121" s="1" t="s">
        <v>263</v>
      </c>
      <c r="C121" s="2" t="s">
        <v>148</v>
      </c>
      <c r="D121" s="15" t="str">
        <f>IFERROR(VLOOKUP(C121,'Sector &amp; Policy Match'!$A$1:$B$42,2,0),"")</f>
        <v>压缩空气系统</v>
      </c>
      <c r="E121" s="2" t="s">
        <v>252</v>
      </c>
      <c r="F121" s="1" t="str">
        <f>VLOOKUP(E121,'Sector &amp; Policy Match'!$G$1:$H$8,2,0)</f>
        <v>Installation and System Integration</v>
      </c>
      <c r="G121" s="6">
        <v>0.01</v>
      </c>
      <c r="H121" s="34">
        <v>2022</v>
      </c>
      <c r="I121" s="2">
        <v>2024</v>
      </c>
      <c r="J121" s="6">
        <v>0.3</v>
      </c>
      <c r="K121" s="2">
        <v>32</v>
      </c>
      <c r="L121" s="39">
        <f t="shared" si="1"/>
        <v>109.24137931034484</v>
      </c>
      <c r="M121" s="7">
        <v>2060</v>
      </c>
    </row>
    <row r="122" spans="1:13" hidden="1" x14ac:dyDescent="0.25">
      <c r="A122" s="9">
        <v>2021</v>
      </c>
      <c r="B122" s="10" t="s">
        <v>264</v>
      </c>
      <c r="C122" s="9" t="s">
        <v>265</v>
      </c>
      <c r="D122" s="30" t="str">
        <f>IFERROR(VLOOKUP(C122,'Sector &amp; Policy Match'!$A$1:$B$42,2,0),"")</f>
        <v/>
      </c>
      <c r="E122" s="9" t="s">
        <v>137</v>
      </c>
      <c r="F122" s="10" t="str">
        <f>VLOOKUP(E122,'Sector &amp; Policy Match'!$G$1:$H$8,2,0)</f>
        <v>Cogeneration and Waste Heat Recovery</v>
      </c>
      <c r="G122" s="11" t="s">
        <v>195</v>
      </c>
      <c r="H122" s="35">
        <v>2022</v>
      </c>
      <c r="I122" s="9">
        <v>2024</v>
      </c>
      <c r="J122" s="11">
        <v>0.03</v>
      </c>
      <c r="K122" s="9">
        <v>130</v>
      </c>
      <c r="L122" s="18">
        <f t="shared" si="1"/>
        <v>4333.3333333333339</v>
      </c>
      <c r="M122" s="13">
        <v>2060</v>
      </c>
    </row>
    <row r="123" spans="1:13" hidden="1" x14ac:dyDescent="0.25">
      <c r="A123" s="9">
        <v>2021</v>
      </c>
      <c r="B123" s="10" t="s">
        <v>264</v>
      </c>
      <c r="C123" s="9" t="s">
        <v>205</v>
      </c>
      <c r="D123" s="30" t="str">
        <f>IFERROR(VLOOKUP(C123,'Sector &amp; Policy Match'!$A$1:$B$42,2,0),"")</f>
        <v>refined petroleum and coke 19</v>
      </c>
      <c r="E123" s="9" t="s">
        <v>137</v>
      </c>
      <c r="F123" s="10" t="str">
        <f>VLOOKUP(E123,'Sector &amp; Policy Match'!$G$1:$H$8,2,0)</f>
        <v>Cogeneration and Waste Heat Recovery</v>
      </c>
      <c r="G123" s="11" t="s">
        <v>195</v>
      </c>
      <c r="H123" s="35">
        <v>2022</v>
      </c>
      <c r="I123" s="9">
        <v>2024</v>
      </c>
      <c r="J123" s="11">
        <v>0.03</v>
      </c>
      <c r="K123" s="16">
        <f>BIFUbC!B10/SUM(BIFUbC!B10:B11)*K122</f>
        <v>106.87932308838209</v>
      </c>
      <c r="L123" s="18">
        <f t="shared" si="1"/>
        <v>3562.6441029460702</v>
      </c>
      <c r="M123" s="13">
        <v>2060</v>
      </c>
    </row>
    <row r="124" spans="1:13" hidden="1" x14ac:dyDescent="0.25">
      <c r="A124" s="9">
        <v>2021</v>
      </c>
      <c r="B124" s="10" t="s">
        <v>264</v>
      </c>
      <c r="C124" s="9" t="s">
        <v>125</v>
      </c>
      <c r="D124" s="30" t="str">
        <f>IFERROR(VLOOKUP(C124,'Sector &amp; Policy Match'!$A$1:$B$42,2,0),"")</f>
        <v>chemicals 20</v>
      </c>
      <c r="E124" s="9" t="s">
        <v>137</v>
      </c>
      <c r="F124" s="10" t="str">
        <f>VLOOKUP(E124,'Sector &amp; Policy Match'!$G$1:$H$8,2,0)</f>
        <v>Cogeneration and Waste Heat Recovery</v>
      </c>
      <c r="G124" s="11" t="s">
        <v>195</v>
      </c>
      <c r="H124" s="35">
        <v>2022</v>
      </c>
      <c r="I124" s="9">
        <v>2024</v>
      </c>
      <c r="J124" s="11">
        <v>0.03</v>
      </c>
      <c r="K124" s="16">
        <f>BIFUbC!B11/SUM(BIFUbC!B10:B11)*K122</f>
        <v>23.120676911617903</v>
      </c>
      <c r="L124" s="18">
        <f t="shared" si="1"/>
        <v>770.68923038726348</v>
      </c>
      <c r="M124" s="13">
        <v>2060</v>
      </c>
    </row>
    <row r="125" spans="1:13" hidden="1" x14ac:dyDescent="0.25">
      <c r="A125" s="2">
        <v>2021</v>
      </c>
      <c r="B125" s="31" t="s">
        <v>266</v>
      </c>
      <c r="C125" s="2" t="s">
        <v>220</v>
      </c>
      <c r="D125" s="29" t="str">
        <f>IFERROR(VLOOKUP(C125,'Sector &amp; Policy Match'!$A$1:$B$42,2,0),"")</f>
        <v>bldgs</v>
      </c>
      <c r="E125" s="2" t="s">
        <v>137</v>
      </c>
      <c r="F125" s="1" t="str">
        <f>VLOOKUP(E125,'Sector &amp; Policy Match'!$G$1:$H$8,2,0)</f>
        <v>Cogeneration and Waste Heat Recovery</v>
      </c>
      <c r="G125" s="6">
        <v>0.02</v>
      </c>
      <c r="H125" s="34">
        <v>2022</v>
      </c>
      <c r="I125" s="2">
        <v>2024</v>
      </c>
      <c r="J125" s="6">
        <v>0.05</v>
      </c>
      <c r="K125" s="2">
        <v>10</v>
      </c>
      <c r="L125" s="39">
        <f t="shared" si="1"/>
        <v>326.66666666666663</v>
      </c>
      <c r="M125" s="7">
        <v>2060</v>
      </c>
    </row>
    <row r="126" spans="1:13" hidden="1" x14ac:dyDescent="0.25">
      <c r="A126" s="2">
        <v>2021</v>
      </c>
      <c r="B126" s="31" t="s">
        <v>267</v>
      </c>
      <c r="C126" s="2" t="s">
        <v>143</v>
      </c>
      <c r="D126" s="29" t="str">
        <f>IFERROR(VLOOKUP(C126,'Sector &amp; Policy Match'!$A$1:$B$42,2,0),"")</f>
        <v>电力、热力生产</v>
      </c>
      <c r="E126" s="2" t="s">
        <v>137</v>
      </c>
      <c r="F126" s="1" t="str">
        <f>VLOOKUP(E126,'Sector &amp; Policy Match'!$G$1:$H$8,2,0)</f>
        <v>Cogeneration and Waste Heat Recovery</v>
      </c>
      <c r="G126" s="6">
        <v>0.15</v>
      </c>
      <c r="H126" s="34">
        <v>2022</v>
      </c>
      <c r="I126" s="2">
        <v>2024</v>
      </c>
      <c r="J126" s="6">
        <v>0.25</v>
      </c>
      <c r="K126" s="2">
        <v>81</v>
      </c>
      <c r="L126" s="39">
        <f t="shared" si="1"/>
        <v>688.5</v>
      </c>
      <c r="M126" s="7">
        <v>2060</v>
      </c>
    </row>
    <row r="127" spans="1:13" hidden="1" x14ac:dyDescent="0.25">
      <c r="A127" s="2">
        <v>2021</v>
      </c>
      <c r="B127" s="31" t="s">
        <v>268</v>
      </c>
      <c r="C127" s="2" t="s">
        <v>112</v>
      </c>
      <c r="D127" s="29" t="str">
        <f>IFERROR(VLOOKUP(C127,'Sector &amp; Policy Match'!$A$1:$B$42,2,0),"")</f>
        <v>cement and other nonmetallic minerals 239</v>
      </c>
      <c r="E127" s="2" t="s">
        <v>137</v>
      </c>
      <c r="F127" s="1" t="str">
        <f>VLOOKUP(E127,'Sector &amp; Policy Match'!$G$1:$H$8,2,0)</f>
        <v>Cogeneration and Waste Heat Recovery</v>
      </c>
      <c r="G127" s="6">
        <v>0.02</v>
      </c>
      <c r="H127" s="34">
        <v>2022</v>
      </c>
      <c r="I127" s="2">
        <v>2024</v>
      </c>
      <c r="J127" s="6">
        <v>0.03</v>
      </c>
      <c r="K127" s="2">
        <v>0.23</v>
      </c>
      <c r="L127" s="39">
        <f t="shared" si="1"/>
        <v>22.540000000000003</v>
      </c>
      <c r="M127" s="7">
        <v>2060</v>
      </c>
    </row>
    <row r="128" spans="1:13" hidden="1" x14ac:dyDescent="0.25">
      <c r="A128" s="2">
        <v>2021</v>
      </c>
      <c r="B128" s="1" t="s">
        <v>269</v>
      </c>
      <c r="C128" s="2" t="s">
        <v>270</v>
      </c>
      <c r="D128" s="29" t="str">
        <f>IFERROR(VLOOKUP(C128,'Sector &amp; Policy Match'!$A$1:$B$42,2,0),"")</f>
        <v>water and waste 36T39</v>
      </c>
      <c r="E128" s="2" t="s">
        <v>137</v>
      </c>
      <c r="F128" s="1" t="str">
        <f>VLOOKUP(E128,'Sector &amp; Policy Match'!$G$1:$H$8,2,0)</f>
        <v>Cogeneration and Waste Heat Recovery</v>
      </c>
      <c r="G128" s="6">
        <v>0.3</v>
      </c>
      <c r="H128" s="34">
        <v>2022</v>
      </c>
      <c r="I128" s="2">
        <v>2024</v>
      </c>
      <c r="J128" s="6">
        <v>0.51</v>
      </c>
      <c r="K128" s="2">
        <v>10</v>
      </c>
      <c r="L128" s="39">
        <f t="shared" si="1"/>
        <v>33.333333333333329</v>
      </c>
      <c r="M128" s="7">
        <v>2060</v>
      </c>
    </row>
    <row r="129" spans="1:13" hidden="1" x14ac:dyDescent="0.25">
      <c r="A129" s="2">
        <v>2021</v>
      </c>
      <c r="B129" s="1" t="s">
        <v>271</v>
      </c>
      <c r="C129" s="2" t="s">
        <v>241</v>
      </c>
      <c r="D129" s="29" t="str">
        <f>IFERROR(VLOOKUP(C129,'Sector &amp; Policy Match'!$A$1:$B$42,2,0),"")</f>
        <v>road vehicles 29</v>
      </c>
      <c r="E129" s="2" t="s">
        <v>137</v>
      </c>
      <c r="F129" s="1" t="str">
        <f>VLOOKUP(E129,'Sector &amp; Policy Match'!$G$1:$H$8,2,0)</f>
        <v>Cogeneration and Waste Heat Recovery</v>
      </c>
      <c r="G129" s="6" t="s">
        <v>436</v>
      </c>
      <c r="H129" s="34">
        <v>2022</v>
      </c>
      <c r="I129" s="2">
        <v>2024</v>
      </c>
      <c r="J129" s="6">
        <v>0.03</v>
      </c>
      <c r="K129" s="2">
        <v>6</v>
      </c>
      <c r="L129" s="39">
        <f>(1-IF(G129="&lt;1%",0,G129))/(J129-IF(G129="&lt;1%",0,G129))*K129</f>
        <v>200</v>
      </c>
      <c r="M129" s="7">
        <v>2060</v>
      </c>
    </row>
    <row r="130" spans="1:13" hidden="1" x14ac:dyDescent="0.25">
      <c r="A130" s="2">
        <v>2021</v>
      </c>
      <c r="B130" s="31" t="s">
        <v>272</v>
      </c>
      <c r="C130" s="2" t="s">
        <v>143</v>
      </c>
      <c r="D130" s="29" t="str">
        <f>IFERROR(VLOOKUP(C130,'Sector &amp; Policy Match'!$A$1:$B$42,2,0),"")</f>
        <v>电力、热力生产</v>
      </c>
      <c r="E130" s="2" t="s">
        <v>137</v>
      </c>
      <c r="F130" s="1" t="str">
        <f>VLOOKUP(E130,'Sector &amp; Policy Match'!$G$1:$H$8,2,0)</f>
        <v>Cogeneration and Waste Heat Recovery</v>
      </c>
      <c r="G130" s="6">
        <v>0.35</v>
      </c>
      <c r="H130" s="34">
        <v>2022</v>
      </c>
      <c r="I130" s="2">
        <v>2024</v>
      </c>
      <c r="J130" s="6">
        <v>0.4</v>
      </c>
      <c r="K130" s="2">
        <v>39</v>
      </c>
      <c r="L130" s="39">
        <f t="shared" ref="L130:L135" si="2">(1-IF(G130="&lt;1%",0,G130))/(J130-IF(G130="&lt;1%",0,G130))*K130</f>
        <v>506.9999999999996</v>
      </c>
      <c r="M130" s="7">
        <v>2060</v>
      </c>
    </row>
    <row r="131" spans="1:13" hidden="1" x14ac:dyDescent="0.25">
      <c r="A131" s="2">
        <v>2021</v>
      </c>
      <c r="B131" s="31" t="s">
        <v>273</v>
      </c>
      <c r="C131" s="2" t="s">
        <v>184</v>
      </c>
      <c r="D131" s="29" t="str">
        <f>IFERROR(VLOOKUP(C131,'Sector &amp; Policy Match'!$A$1:$B$42,2,0),"")</f>
        <v>textiles apparel and leather 13T15</v>
      </c>
      <c r="E131" s="2" t="s">
        <v>137</v>
      </c>
      <c r="F131" s="1" t="str">
        <f>VLOOKUP(E131,'Sector &amp; Policy Match'!$G$1:$H$8,2,0)</f>
        <v>Cogeneration and Waste Heat Recovery</v>
      </c>
      <c r="G131" s="6" t="s">
        <v>28</v>
      </c>
      <c r="H131" s="34">
        <v>2022</v>
      </c>
      <c r="I131" s="2">
        <v>2024</v>
      </c>
      <c r="J131" s="6">
        <v>3.1E-2</v>
      </c>
      <c r="K131" s="2">
        <v>4.6500000000000004</v>
      </c>
      <c r="L131" s="39">
        <f t="shared" si="2"/>
        <v>150</v>
      </c>
      <c r="M131" s="7">
        <v>2060</v>
      </c>
    </row>
    <row r="132" spans="1:13" hidden="1" x14ac:dyDescent="0.25">
      <c r="A132" s="2">
        <v>2021</v>
      </c>
      <c r="B132" s="31" t="s">
        <v>274</v>
      </c>
      <c r="C132" s="2" t="s">
        <v>238</v>
      </c>
      <c r="D132" s="15" t="str">
        <f>IFERROR(VLOOKUP(C132,'Sector &amp; Policy Match'!$A$1:$B$42,2,0),"")</f>
        <v>工业炉窑</v>
      </c>
      <c r="E132" s="2" t="s">
        <v>137</v>
      </c>
      <c r="F132" s="1" t="str">
        <f>VLOOKUP(E132,'Sector &amp; Policy Match'!$G$1:$H$8,2,0)</f>
        <v>Cogeneration and Waste Heat Recovery</v>
      </c>
      <c r="G132" s="6">
        <v>0.01</v>
      </c>
      <c r="H132" s="34">
        <v>2022</v>
      </c>
      <c r="I132" s="2">
        <v>2024</v>
      </c>
      <c r="J132" s="6">
        <v>0.15</v>
      </c>
      <c r="K132" s="2">
        <v>4.5999999999999996</v>
      </c>
      <c r="L132" s="39">
        <f t="shared" si="2"/>
        <v>32.528571428571432</v>
      </c>
      <c r="M132" s="7">
        <v>2060</v>
      </c>
    </row>
    <row r="133" spans="1:13" hidden="1" x14ac:dyDescent="0.25">
      <c r="A133" s="2">
        <v>2021</v>
      </c>
      <c r="B133" s="31" t="s">
        <v>275</v>
      </c>
      <c r="C133" s="2" t="s">
        <v>139</v>
      </c>
      <c r="D133" s="15" t="str">
        <f>IFERROR(VLOOKUP(C133,'Sector &amp; Policy Match'!$A$1:$B$42,2,0),"")</f>
        <v>工业循环水</v>
      </c>
      <c r="E133" s="2" t="s">
        <v>137</v>
      </c>
      <c r="F133" s="1" t="str">
        <f>VLOOKUP(E133,'Sector &amp; Policy Match'!$G$1:$H$8,2,0)</f>
        <v>Cogeneration and Waste Heat Recovery</v>
      </c>
      <c r="G133" s="6">
        <v>7.1999999999999995E-2</v>
      </c>
      <c r="H133" s="34">
        <v>2022</v>
      </c>
      <c r="I133" s="2">
        <v>2024</v>
      </c>
      <c r="J133" s="6">
        <v>0.35</v>
      </c>
      <c r="K133" s="2">
        <v>0.499</v>
      </c>
      <c r="L133" s="39">
        <f t="shared" si="2"/>
        <v>1.6657266187050364</v>
      </c>
      <c r="M133" s="7">
        <v>2060</v>
      </c>
    </row>
    <row r="134" spans="1:13" hidden="1" x14ac:dyDescent="0.25">
      <c r="A134" s="2">
        <v>2021</v>
      </c>
      <c r="B134" s="31" t="s">
        <v>276</v>
      </c>
      <c r="C134" s="2" t="s">
        <v>234</v>
      </c>
      <c r="D134" s="29" t="str">
        <f>IFERROR(VLOOKUP(C134,'Sector &amp; Policy Match'!$A$1:$B$42,2,0),"")</f>
        <v>trans</v>
      </c>
      <c r="E134" s="2" t="s">
        <v>137</v>
      </c>
      <c r="F134" s="1" t="str">
        <f>VLOOKUP(E134,'Sector &amp; Policy Match'!$G$1:$H$8,2,0)</f>
        <v>Cogeneration and Waste Heat Recovery</v>
      </c>
      <c r="G134" s="6" t="s">
        <v>28</v>
      </c>
      <c r="H134" s="34">
        <v>2022</v>
      </c>
      <c r="I134" s="2">
        <v>2024</v>
      </c>
      <c r="J134" s="6">
        <v>0.03</v>
      </c>
      <c r="K134" s="2">
        <v>0.13300000000000001</v>
      </c>
      <c r="L134" s="39">
        <f t="shared" si="2"/>
        <v>4.4333333333333336</v>
      </c>
      <c r="M134" s="7">
        <v>2060</v>
      </c>
    </row>
    <row r="135" spans="1:13" hidden="1" x14ac:dyDescent="0.25">
      <c r="A135" s="2">
        <v>2021</v>
      </c>
      <c r="B135" s="31" t="s">
        <v>277</v>
      </c>
      <c r="C135" s="2" t="s">
        <v>205</v>
      </c>
      <c r="D135" s="29" t="str">
        <f>IFERROR(VLOOKUP(C135,'Sector &amp; Policy Match'!$A$1:$B$42,2,0),"")</f>
        <v>refined petroleum and coke 19</v>
      </c>
      <c r="E135" s="2" t="s">
        <v>137</v>
      </c>
      <c r="F135" s="1" t="str">
        <f>VLOOKUP(E135,'Sector &amp; Policy Match'!$G$1:$H$8,2,0)</f>
        <v>Cogeneration and Waste Heat Recovery</v>
      </c>
      <c r="G135" s="6">
        <v>0.03</v>
      </c>
      <c r="H135" s="34">
        <v>2022</v>
      </c>
      <c r="I135" s="2">
        <v>2024</v>
      </c>
      <c r="J135" s="6">
        <v>0.1</v>
      </c>
      <c r="K135" s="2">
        <v>2.5</v>
      </c>
      <c r="L135" s="39">
        <f t="shared" si="2"/>
        <v>34.642857142857139</v>
      </c>
      <c r="M135" s="7">
        <v>2060</v>
      </c>
    </row>
    <row r="136" spans="1:13" x14ac:dyDescent="0.25">
      <c r="A136" s="2">
        <v>2022</v>
      </c>
      <c r="B136" s="1" t="s">
        <v>278</v>
      </c>
      <c r="C136" s="2" t="s">
        <v>119</v>
      </c>
      <c r="D136" s="29" t="str">
        <f>IFERROR(VLOOKUP(C136,'Sector &amp; Policy Match'!$A$1:$B$42,2,0),"")</f>
        <v>iron and steel 241</v>
      </c>
      <c r="E136" s="2" t="s">
        <v>113</v>
      </c>
      <c r="F136" s="1" t="str">
        <f>VLOOKUP(E136,'Sector &amp; Policy Match'!$G$1:$H$8,2,0)</f>
        <v>Early Facility Retirement</v>
      </c>
      <c r="H136" s="2">
        <v>2023</v>
      </c>
      <c r="I136" s="2">
        <v>2027</v>
      </c>
      <c r="J136" s="6">
        <v>0.65</v>
      </c>
      <c r="K136" s="2">
        <v>67</v>
      </c>
      <c r="L136" s="39">
        <f t="shared" ref="L136:L193" si="3">(1-IF(G136="≤1%",0,G136))/(J136-IF(G136="≤1%",0,G136))*K136</f>
        <v>103.07692307692307</v>
      </c>
      <c r="M136" s="7">
        <v>2060</v>
      </c>
    </row>
    <row r="137" spans="1:13" x14ac:dyDescent="0.25">
      <c r="A137" s="2">
        <v>2022</v>
      </c>
      <c r="B137" s="1" t="s">
        <v>279</v>
      </c>
      <c r="C137" s="2" t="s">
        <v>119</v>
      </c>
      <c r="D137" s="29" t="str">
        <f>IFERROR(VLOOKUP(C137,'Sector &amp; Policy Match'!$A$1:$B$42,2,0),"")</f>
        <v>iron and steel 241</v>
      </c>
      <c r="E137" s="2" t="s">
        <v>137</v>
      </c>
      <c r="F137" s="1" t="str">
        <f>VLOOKUP(E137,'Sector &amp; Policy Match'!$G$1:$H$8,2,0)</f>
        <v>Cogeneration and Waste Heat Recovery</v>
      </c>
      <c r="H137" s="2">
        <v>2023</v>
      </c>
      <c r="I137" s="2">
        <v>2027</v>
      </c>
      <c r="J137" s="6">
        <v>0.22</v>
      </c>
      <c r="K137" s="2">
        <v>57</v>
      </c>
      <c r="L137" s="39">
        <f t="shared" si="3"/>
        <v>259.09090909090912</v>
      </c>
      <c r="M137" s="7">
        <v>2060</v>
      </c>
    </row>
    <row r="138" spans="1:13" x14ac:dyDescent="0.25">
      <c r="A138" s="2">
        <v>2022</v>
      </c>
      <c r="B138" s="1" t="s">
        <v>280</v>
      </c>
      <c r="C138" s="2" t="s">
        <v>119</v>
      </c>
      <c r="D138" s="29" t="str">
        <f>IFERROR(VLOOKUP(C138,'Sector &amp; Policy Match'!$A$1:$B$42,2,0),"")</f>
        <v>iron and steel 241</v>
      </c>
      <c r="E138" s="2" t="s">
        <v>137</v>
      </c>
      <c r="F138" s="1" t="str">
        <f>VLOOKUP(E138,'Sector &amp; Policy Match'!$G$1:$H$8,2,0)</f>
        <v>Cogeneration and Waste Heat Recovery</v>
      </c>
      <c r="H138" s="2">
        <v>2023</v>
      </c>
      <c r="I138" s="2">
        <v>2027</v>
      </c>
      <c r="J138" s="6">
        <v>0.01</v>
      </c>
      <c r="K138" s="2">
        <v>60</v>
      </c>
      <c r="L138" s="39">
        <f t="shared" si="3"/>
        <v>6000</v>
      </c>
      <c r="M138" s="7">
        <v>2060</v>
      </c>
    </row>
    <row r="139" spans="1:13" x14ac:dyDescent="0.25">
      <c r="A139" s="2">
        <v>2022</v>
      </c>
      <c r="B139" s="1" t="s">
        <v>281</v>
      </c>
      <c r="C139" s="2" t="s">
        <v>119</v>
      </c>
      <c r="D139" s="29" t="str">
        <f>IFERROR(VLOOKUP(C139,'Sector &amp; Policy Match'!$A$1:$B$42,2,0),"")</f>
        <v>iron and steel 241</v>
      </c>
      <c r="E139" s="2" t="s">
        <v>137</v>
      </c>
      <c r="F139" s="1" t="str">
        <f>VLOOKUP(E139,'Sector &amp; Policy Match'!$G$1:$H$8,2,0)</f>
        <v>Cogeneration and Waste Heat Recovery</v>
      </c>
      <c r="H139" s="2">
        <v>2023</v>
      </c>
      <c r="I139" s="2">
        <v>2027</v>
      </c>
      <c r="J139" s="6">
        <v>0.43</v>
      </c>
      <c r="K139" s="2">
        <v>55</v>
      </c>
      <c r="L139" s="39">
        <f t="shared" si="3"/>
        <v>127.90697674418605</v>
      </c>
      <c r="M139" s="7">
        <v>2060</v>
      </c>
    </row>
    <row r="140" spans="1:13" x14ac:dyDescent="0.25">
      <c r="A140" s="2">
        <v>2022</v>
      </c>
      <c r="B140" s="1" t="s">
        <v>282</v>
      </c>
      <c r="C140" s="2" t="s">
        <v>119</v>
      </c>
      <c r="D140" s="29" t="str">
        <f>IFERROR(VLOOKUP(C140,'Sector &amp; Policy Match'!$A$1:$B$42,2,0),"")</f>
        <v>iron and steel 241</v>
      </c>
      <c r="E140" s="2" t="s">
        <v>113</v>
      </c>
      <c r="F140" s="1" t="str">
        <f>VLOOKUP(E140,'Sector &amp; Policy Match'!$G$1:$H$8,2,0)</f>
        <v>Early Facility Retirement</v>
      </c>
      <c r="H140" s="2">
        <v>2023</v>
      </c>
      <c r="I140" s="2">
        <v>2027</v>
      </c>
      <c r="J140" s="6">
        <v>0.5</v>
      </c>
      <c r="K140" s="2">
        <v>10</v>
      </c>
      <c r="L140" s="39">
        <f t="shared" si="3"/>
        <v>20</v>
      </c>
      <c r="M140" s="7">
        <v>2060</v>
      </c>
    </row>
    <row r="141" spans="1:13" x14ac:dyDescent="0.25">
      <c r="A141" s="2">
        <v>2022</v>
      </c>
      <c r="B141" s="1" t="s">
        <v>283</v>
      </c>
      <c r="C141" s="2" t="s">
        <v>119</v>
      </c>
      <c r="D141" s="29" t="str">
        <f>IFERROR(VLOOKUP(C141,'Sector &amp; Policy Match'!$A$1:$B$42,2,0),"")</f>
        <v>iron and steel 241</v>
      </c>
      <c r="E141" s="2" t="s">
        <v>113</v>
      </c>
      <c r="F141" s="1" t="str">
        <f>VLOOKUP(E141,'Sector &amp; Policy Match'!$G$1:$H$8,2,0)</f>
        <v>Early Facility Retirement</v>
      </c>
      <c r="H141" s="2">
        <v>2023</v>
      </c>
      <c r="I141" s="2">
        <v>2027</v>
      </c>
      <c r="J141" s="6">
        <v>0.5</v>
      </c>
      <c r="K141" s="2">
        <v>12</v>
      </c>
      <c r="L141" s="39">
        <f t="shared" si="3"/>
        <v>24</v>
      </c>
      <c r="M141" s="7">
        <v>2060</v>
      </c>
    </row>
    <row r="142" spans="1:13" x14ac:dyDescent="0.25">
      <c r="A142" s="2">
        <v>2022</v>
      </c>
      <c r="B142" s="1" t="s">
        <v>284</v>
      </c>
      <c r="C142" s="2" t="s">
        <v>119</v>
      </c>
      <c r="D142" s="29" t="str">
        <f>IFERROR(VLOOKUP(C142,'Sector &amp; Policy Match'!$A$1:$B$42,2,0),"")</f>
        <v>iron and steel 241</v>
      </c>
      <c r="E142" s="2" t="s">
        <v>113</v>
      </c>
      <c r="F142" s="1" t="str">
        <f>VLOOKUP(E142,'Sector &amp; Policy Match'!$G$1:$H$8,2,0)</f>
        <v>Early Facility Retirement</v>
      </c>
      <c r="H142" s="2">
        <v>2023</v>
      </c>
      <c r="I142" s="2">
        <v>2027</v>
      </c>
      <c r="J142" s="6">
        <v>0.5</v>
      </c>
      <c r="K142" s="2">
        <v>16</v>
      </c>
      <c r="L142" s="39">
        <f t="shared" si="3"/>
        <v>32</v>
      </c>
      <c r="M142" s="7">
        <v>2060</v>
      </c>
    </row>
    <row r="143" spans="1:13" x14ac:dyDescent="0.25">
      <c r="A143" s="2">
        <v>2022</v>
      </c>
      <c r="B143" s="1" t="s">
        <v>285</v>
      </c>
      <c r="C143" s="2" t="s">
        <v>119</v>
      </c>
      <c r="D143" s="29" t="str">
        <f>IFERROR(VLOOKUP(C143,'Sector &amp; Policy Match'!$A$1:$B$42,2,0),"")</f>
        <v>iron and steel 241</v>
      </c>
      <c r="E143" s="2" t="s">
        <v>113</v>
      </c>
      <c r="F143" s="1" t="str">
        <f>VLOOKUP(E143,'Sector &amp; Policy Match'!$G$1:$H$8,2,0)</f>
        <v>Early Facility Retirement</v>
      </c>
      <c r="H143" s="2">
        <v>2023</v>
      </c>
      <c r="I143" s="2">
        <v>2027</v>
      </c>
      <c r="J143" s="6">
        <v>0.01</v>
      </c>
      <c r="K143" s="2">
        <v>13</v>
      </c>
      <c r="L143" s="39">
        <f t="shared" si="3"/>
        <v>1300</v>
      </c>
      <c r="M143" s="7">
        <v>2060</v>
      </c>
    </row>
    <row r="144" spans="1:13" x14ac:dyDescent="0.25">
      <c r="A144" s="2">
        <v>2022</v>
      </c>
      <c r="B144" s="1" t="s">
        <v>286</v>
      </c>
      <c r="C144" s="2" t="s">
        <v>119</v>
      </c>
      <c r="D144" s="29" t="str">
        <f>IFERROR(VLOOKUP(C144,'Sector &amp; Policy Match'!$A$1:$B$42,2,0),"")</f>
        <v>iron and steel 241</v>
      </c>
      <c r="E144" s="2" t="s">
        <v>113</v>
      </c>
      <c r="F144" s="1" t="str">
        <f>VLOOKUP(E144,'Sector &amp; Policy Match'!$G$1:$H$8,2,0)</f>
        <v>Early Facility Retirement</v>
      </c>
      <c r="H144" s="2">
        <v>2023</v>
      </c>
      <c r="I144" s="2">
        <v>2027</v>
      </c>
      <c r="J144" s="6">
        <v>0.05</v>
      </c>
      <c r="K144" s="2">
        <v>12</v>
      </c>
      <c r="L144" s="39">
        <f t="shared" si="3"/>
        <v>240</v>
      </c>
      <c r="M144" s="7">
        <v>2060</v>
      </c>
    </row>
    <row r="145" spans="1:13" x14ac:dyDescent="0.25">
      <c r="A145" s="2">
        <v>2022</v>
      </c>
      <c r="B145" s="1" t="s">
        <v>287</v>
      </c>
      <c r="C145" s="2" t="s">
        <v>119</v>
      </c>
      <c r="D145" s="29" t="str">
        <f>IFERROR(VLOOKUP(C145,'Sector &amp; Policy Match'!$A$1:$B$42,2,0),"")</f>
        <v>iron and steel 241</v>
      </c>
      <c r="E145" s="2" t="s">
        <v>113</v>
      </c>
      <c r="F145" s="1" t="str">
        <f>VLOOKUP(E145,'Sector &amp; Policy Match'!$G$1:$H$8,2,0)</f>
        <v>Early Facility Retirement</v>
      </c>
      <c r="H145" s="2">
        <v>2023</v>
      </c>
      <c r="I145" s="2">
        <v>2027</v>
      </c>
      <c r="J145" s="6">
        <v>0.4</v>
      </c>
      <c r="K145" s="2">
        <v>11</v>
      </c>
      <c r="L145" s="39">
        <f t="shared" si="3"/>
        <v>27.5</v>
      </c>
      <c r="M145" s="7">
        <v>2060</v>
      </c>
    </row>
    <row r="146" spans="1:13" x14ac:dyDescent="0.25">
      <c r="A146" s="2">
        <v>2022</v>
      </c>
      <c r="B146" s="1" t="s">
        <v>288</v>
      </c>
      <c r="C146" s="2" t="s">
        <v>119</v>
      </c>
      <c r="D146" s="29" t="str">
        <f>IFERROR(VLOOKUP(C146,'Sector &amp; Policy Match'!$A$1:$B$42,2,0),"")</f>
        <v>iron and steel 241</v>
      </c>
      <c r="E146" s="2" t="s">
        <v>137</v>
      </c>
      <c r="F146" s="1" t="str">
        <f>VLOOKUP(E146,'Sector &amp; Policy Match'!$G$1:$H$8,2,0)</f>
        <v>Cogeneration and Waste Heat Recovery</v>
      </c>
      <c r="H146" s="2">
        <v>2023</v>
      </c>
      <c r="I146" s="2">
        <v>2027</v>
      </c>
      <c r="J146" s="6">
        <v>0.35</v>
      </c>
      <c r="K146" s="2">
        <v>95</v>
      </c>
      <c r="L146" s="39">
        <f t="shared" si="3"/>
        <v>271.42857142857144</v>
      </c>
      <c r="M146" s="7">
        <v>2060</v>
      </c>
    </row>
    <row r="147" spans="1:13" x14ac:dyDescent="0.25">
      <c r="A147" s="2">
        <v>2022</v>
      </c>
      <c r="B147" s="1" t="s">
        <v>289</v>
      </c>
      <c r="C147" s="2" t="s">
        <v>119</v>
      </c>
      <c r="D147" s="29" t="str">
        <f>IFERROR(VLOOKUP(C147,'Sector &amp; Policy Match'!$A$1:$B$42,2,0),"")</f>
        <v>iron and steel 241</v>
      </c>
      <c r="E147" s="2" t="s">
        <v>137</v>
      </c>
      <c r="F147" s="1" t="str">
        <f>VLOOKUP(E147,'Sector &amp; Policy Match'!$G$1:$H$8,2,0)</f>
        <v>Cogeneration and Waste Heat Recovery</v>
      </c>
      <c r="H147" s="2">
        <v>2023</v>
      </c>
      <c r="I147" s="2">
        <v>2027</v>
      </c>
      <c r="J147" s="6">
        <v>0.2</v>
      </c>
      <c r="K147" s="2">
        <v>25</v>
      </c>
      <c r="L147" s="39">
        <f t="shared" si="3"/>
        <v>125</v>
      </c>
      <c r="M147" s="7">
        <v>2060</v>
      </c>
    </row>
    <row r="148" spans="1:13" x14ac:dyDescent="0.25">
      <c r="A148" s="2">
        <v>2022</v>
      </c>
      <c r="B148" s="1" t="s">
        <v>290</v>
      </c>
      <c r="C148" s="2" t="s">
        <v>119</v>
      </c>
      <c r="D148" s="29" t="str">
        <f>IFERROR(VLOOKUP(C148,'Sector &amp; Policy Match'!$A$1:$B$42,2,0),"")</f>
        <v>iron and steel 241</v>
      </c>
      <c r="E148" s="2" t="s">
        <v>113</v>
      </c>
      <c r="F148" s="1" t="str">
        <f>VLOOKUP(E148,'Sector &amp; Policy Match'!$G$1:$H$8,2,0)</f>
        <v>Early Facility Retirement</v>
      </c>
      <c r="H148" s="2">
        <v>2023</v>
      </c>
      <c r="I148" s="2">
        <v>2027</v>
      </c>
      <c r="J148" s="6">
        <v>0.2</v>
      </c>
      <c r="K148" s="2">
        <v>15</v>
      </c>
      <c r="L148" s="39">
        <f t="shared" si="3"/>
        <v>75</v>
      </c>
      <c r="M148" s="7">
        <v>2060</v>
      </c>
    </row>
    <row r="149" spans="1:13" x14ac:dyDescent="0.25">
      <c r="A149" s="2">
        <v>2022</v>
      </c>
      <c r="B149" s="1" t="s">
        <v>291</v>
      </c>
      <c r="C149" s="2" t="s">
        <v>119</v>
      </c>
      <c r="D149" s="29" t="str">
        <f>IFERROR(VLOOKUP(C149,'Sector &amp; Policy Match'!$A$1:$B$42,2,0),"")</f>
        <v>iron and steel 241</v>
      </c>
      <c r="E149" s="2" t="s">
        <v>137</v>
      </c>
      <c r="F149" s="1" t="str">
        <f>VLOOKUP(E149,'Sector &amp; Policy Match'!$G$1:$H$8,2,0)</f>
        <v>Cogeneration and Waste Heat Recovery</v>
      </c>
      <c r="H149" s="2">
        <v>2023</v>
      </c>
      <c r="I149" s="2">
        <v>2027</v>
      </c>
      <c r="J149" s="6">
        <v>0.7</v>
      </c>
      <c r="K149" s="2">
        <v>14</v>
      </c>
      <c r="L149" s="39">
        <f t="shared" si="3"/>
        <v>20</v>
      </c>
      <c r="M149" s="7">
        <v>2060</v>
      </c>
    </row>
    <row r="150" spans="1:13" x14ac:dyDescent="0.25">
      <c r="A150" s="2">
        <v>2022</v>
      </c>
      <c r="B150" s="1" t="s">
        <v>292</v>
      </c>
      <c r="C150" s="2" t="s">
        <v>134</v>
      </c>
      <c r="D150" s="29" t="str">
        <f>IFERROR(VLOOKUP(C150,'Sector &amp; Policy Match'!$A$1:$B$42,2,0),"")</f>
        <v>other metals 242</v>
      </c>
      <c r="E150" s="2" t="s">
        <v>113</v>
      </c>
      <c r="F150" s="1" t="str">
        <f>VLOOKUP(E150,'Sector &amp; Policy Match'!$G$1:$H$8,2,0)</f>
        <v>Early Facility Retirement</v>
      </c>
      <c r="H150" s="2">
        <v>2023</v>
      </c>
      <c r="I150" s="2">
        <v>2027</v>
      </c>
      <c r="J150" s="6">
        <v>0.24</v>
      </c>
      <c r="K150" s="2">
        <v>16</v>
      </c>
      <c r="L150" s="39">
        <f t="shared" si="3"/>
        <v>66.666666666666671</v>
      </c>
      <c r="M150" s="7">
        <v>2060</v>
      </c>
    </row>
    <row r="151" spans="1:13" x14ac:dyDescent="0.25">
      <c r="A151" s="2">
        <v>2022</v>
      </c>
      <c r="B151" s="1" t="s">
        <v>293</v>
      </c>
      <c r="C151" s="2" t="s">
        <v>134</v>
      </c>
      <c r="D151" s="29" t="str">
        <f>IFERROR(VLOOKUP(C151,'Sector &amp; Policy Match'!$A$1:$B$42,2,0),"")</f>
        <v>other metals 242</v>
      </c>
      <c r="E151" s="2" t="s">
        <v>113</v>
      </c>
      <c r="F151" s="1" t="str">
        <f>VLOOKUP(E151,'Sector &amp; Policy Match'!$G$1:$H$8,2,0)</f>
        <v>Early Facility Retirement</v>
      </c>
      <c r="H151" s="2">
        <v>2023</v>
      </c>
      <c r="I151" s="2">
        <v>2027</v>
      </c>
      <c r="J151" s="6">
        <v>0.72</v>
      </c>
      <c r="K151" s="2">
        <v>39</v>
      </c>
      <c r="L151" s="39">
        <f t="shared" si="3"/>
        <v>54.166666666666664</v>
      </c>
      <c r="M151" s="7">
        <v>2060</v>
      </c>
    </row>
    <row r="152" spans="1:13" x14ac:dyDescent="0.25">
      <c r="A152" s="2">
        <v>2022</v>
      </c>
      <c r="B152" s="1" t="s">
        <v>294</v>
      </c>
      <c r="C152" s="2" t="s">
        <v>112</v>
      </c>
      <c r="D152" s="29" t="str">
        <f>IFERROR(VLOOKUP(C152,'Sector &amp; Policy Match'!$A$1:$B$42,2,0),"")</f>
        <v>cement and other nonmetallic minerals 239</v>
      </c>
      <c r="E152" s="2" t="s">
        <v>113</v>
      </c>
      <c r="F152" s="1" t="str">
        <f>VLOOKUP(E152,'Sector &amp; Policy Match'!$G$1:$H$8,2,0)</f>
        <v>Early Facility Retirement</v>
      </c>
      <c r="H152" s="2">
        <v>2023</v>
      </c>
      <c r="I152" s="2">
        <v>2027</v>
      </c>
      <c r="J152" s="6">
        <v>0.36</v>
      </c>
      <c r="K152" s="2">
        <v>65</v>
      </c>
      <c r="L152" s="39">
        <f t="shared" si="3"/>
        <v>180.55555555555554</v>
      </c>
      <c r="M152" s="7">
        <v>2060</v>
      </c>
    </row>
    <row r="153" spans="1:13" x14ac:dyDescent="0.25">
      <c r="A153" s="2">
        <v>2022</v>
      </c>
      <c r="B153" s="1" t="s">
        <v>295</v>
      </c>
      <c r="C153" s="2" t="s">
        <v>112</v>
      </c>
      <c r="D153" s="29" t="str">
        <f>IFERROR(VLOOKUP(C153,'Sector &amp; Policy Match'!$A$1:$B$42,2,0),"")</f>
        <v>cement and other nonmetallic minerals 239</v>
      </c>
      <c r="E153" s="2" t="s">
        <v>113</v>
      </c>
      <c r="F153" s="1" t="str">
        <f>VLOOKUP(E153,'Sector &amp; Policy Match'!$G$1:$H$8,2,0)</f>
        <v>Early Facility Retirement</v>
      </c>
      <c r="H153" s="2">
        <v>2023</v>
      </c>
      <c r="I153" s="2">
        <v>2027</v>
      </c>
      <c r="J153" s="6">
        <v>0.03</v>
      </c>
      <c r="K153" s="2">
        <v>9</v>
      </c>
      <c r="L153" s="39">
        <f t="shared" si="3"/>
        <v>300</v>
      </c>
      <c r="M153" s="7">
        <v>2060</v>
      </c>
    </row>
    <row r="154" spans="1:13" x14ac:dyDescent="0.25">
      <c r="A154" s="2">
        <v>2022</v>
      </c>
      <c r="B154" s="1" t="s">
        <v>296</v>
      </c>
      <c r="C154" s="2" t="s">
        <v>112</v>
      </c>
      <c r="D154" s="29" t="str">
        <f>IFERROR(VLOOKUP(C154,'Sector &amp; Policy Match'!$A$1:$B$42,2,0),"")</f>
        <v>cement and other nonmetallic minerals 239</v>
      </c>
      <c r="E154" s="2" t="s">
        <v>113</v>
      </c>
      <c r="F154" s="1" t="str">
        <f>VLOOKUP(E154,'Sector &amp; Policy Match'!$G$1:$H$8,2,0)</f>
        <v>Early Facility Retirement</v>
      </c>
      <c r="H154" s="2">
        <v>2023</v>
      </c>
      <c r="I154" s="2">
        <v>2027</v>
      </c>
      <c r="J154" s="6">
        <v>0.33</v>
      </c>
      <c r="K154" s="2">
        <v>50</v>
      </c>
      <c r="L154" s="39">
        <f t="shared" si="3"/>
        <v>151.5151515151515</v>
      </c>
      <c r="M154" s="7">
        <v>2060</v>
      </c>
    </row>
    <row r="155" spans="1:13" x14ac:dyDescent="0.25">
      <c r="A155" s="2">
        <v>2022</v>
      </c>
      <c r="B155" s="1" t="s">
        <v>297</v>
      </c>
      <c r="C155" s="2" t="s">
        <v>112</v>
      </c>
      <c r="D155" s="29" t="str">
        <f>IFERROR(VLOOKUP(C155,'Sector &amp; Policy Match'!$A$1:$B$42,2,0),"")</f>
        <v>cement and other nonmetallic minerals 239</v>
      </c>
      <c r="E155" s="2" t="s">
        <v>113</v>
      </c>
      <c r="F155" s="1" t="str">
        <f>VLOOKUP(E155,'Sector &amp; Policy Match'!$G$1:$H$8,2,0)</f>
        <v>Early Facility Retirement</v>
      </c>
      <c r="H155" s="2">
        <v>2023</v>
      </c>
      <c r="I155" s="2">
        <v>2027</v>
      </c>
      <c r="J155" s="6">
        <v>0.05</v>
      </c>
      <c r="K155" s="2">
        <v>19</v>
      </c>
      <c r="L155" s="39">
        <f t="shared" si="3"/>
        <v>380</v>
      </c>
      <c r="M155" s="7">
        <v>2060</v>
      </c>
    </row>
    <row r="156" spans="1:13" x14ac:dyDescent="0.25">
      <c r="A156" s="2">
        <v>2022</v>
      </c>
      <c r="B156" s="1" t="s">
        <v>298</v>
      </c>
      <c r="C156" s="2" t="s">
        <v>112</v>
      </c>
      <c r="D156" s="29" t="str">
        <f>IFERROR(VLOOKUP(C156,'Sector &amp; Policy Match'!$A$1:$B$42,2,0),"")</f>
        <v>cement and other nonmetallic minerals 239</v>
      </c>
      <c r="E156" s="2" t="s">
        <v>113</v>
      </c>
      <c r="F156" s="1" t="str">
        <f>VLOOKUP(E156,'Sector &amp; Policy Match'!$G$1:$H$8,2,0)</f>
        <v>Early Facility Retirement</v>
      </c>
      <c r="H156" s="2">
        <v>2023</v>
      </c>
      <c r="I156" s="2">
        <v>2027</v>
      </c>
      <c r="J156" s="6">
        <v>0.05</v>
      </c>
      <c r="K156" s="2">
        <v>50</v>
      </c>
      <c r="L156" s="39">
        <f t="shared" si="3"/>
        <v>1000</v>
      </c>
      <c r="M156" s="7">
        <v>2060</v>
      </c>
    </row>
    <row r="157" spans="1:13" x14ac:dyDescent="0.25">
      <c r="A157" s="2">
        <v>2022</v>
      </c>
      <c r="B157" s="1" t="s">
        <v>299</v>
      </c>
      <c r="C157" s="2" t="s">
        <v>112</v>
      </c>
      <c r="D157" s="29" t="str">
        <f>IFERROR(VLOOKUP(C157,'Sector &amp; Policy Match'!$A$1:$B$42,2,0),"")</f>
        <v>cement and other nonmetallic minerals 239</v>
      </c>
      <c r="E157" s="2" t="s">
        <v>113</v>
      </c>
      <c r="F157" s="1" t="str">
        <f>VLOOKUP(E157,'Sector &amp; Policy Match'!$G$1:$H$8,2,0)</f>
        <v>Early Facility Retirement</v>
      </c>
      <c r="H157" s="2">
        <v>2023</v>
      </c>
      <c r="I157" s="2">
        <v>2027</v>
      </c>
      <c r="J157" s="6">
        <v>0.25</v>
      </c>
      <c r="K157" s="2">
        <v>43</v>
      </c>
      <c r="L157" s="39">
        <f t="shared" si="3"/>
        <v>172</v>
      </c>
      <c r="M157" s="7">
        <v>2060</v>
      </c>
    </row>
    <row r="158" spans="1:13" x14ac:dyDescent="0.25">
      <c r="A158" s="2">
        <v>2022</v>
      </c>
      <c r="B158" s="1" t="s">
        <v>300</v>
      </c>
      <c r="C158" s="2" t="s">
        <v>112</v>
      </c>
      <c r="D158" s="29" t="str">
        <f>IFERROR(VLOOKUP(C158,'Sector &amp; Policy Match'!$A$1:$B$42,2,0),"")</f>
        <v>cement and other nonmetallic minerals 239</v>
      </c>
      <c r="E158" s="2" t="s">
        <v>113</v>
      </c>
      <c r="F158" s="1" t="str">
        <f>VLOOKUP(E158,'Sector &amp; Policy Match'!$G$1:$H$8,2,0)</f>
        <v>Early Facility Retirement</v>
      </c>
      <c r="H158" s="2">
        <v>2023</v>
      </c>
      <c r="I158" s="2">
        <v>2027</v>
      </c>
      <c r="J158" s="6">
        <v>0.2</v>
      </c>
      <c r="K158" s="2">
        <v>12</v>
      </c>
      <c r="L158" s="39">
        <f t="shared" si="3"/>
        <v>60</v>
      </c>
      <c r="M158" s="7">
        <v>2060</v>
      </c>
    </row>
    <row r="159" spans="1:13" x14ac:dyDescent="0.25">
      <c r="A159" s="2">
        <v>2022</v>
      </c>
      <c r="B159" s="1" t="s">
        <v>301</v>
      </c>
      <c r="C159" s="2" t="s">
        <v>112</v>
      </c>
      <c r="D159" s="29" t="str">
        <f>IFERROR(VLOOKUP(C159,'Sector &amp; Policy Match'!$A$1:$B$42,2,0),"")</f>
        <v>cement and other nonmetallic minerals 239</v>
      </c>
      <c r="E159" s="2" t="s">
        <v>113</v>
      </c>
      <c r="F159" s="1" t="str">
        <f>VLOOKUP(E159,'Sector &amp; Policy Match'!$G$1:$H$8,2,0)</f>
        <v>Early Facility Retirement</v>
      </c>
      <c r="H159" s="2">
        <v>2023</v>
      </c>
      <c r="I159" s="2">
        <v>2027</v>
      </c>
      <c r="J159" s="6">
        <v>0.03</v>
      </c>
      <c r="K159" s="2">
        <v>98</v>
      </c>
      <c r="L159" s="39">
        <f t="shared" si="3"/>
        <v>3266.666666666667</v>
      </c>
      <c r="M159" s="7">
        <v>2060</v>
      </c>
    </row>
    <row r="160" spans="1:13" x14ac:dyDescent="0.25">
      <c r="A160" s="2">
        <v>2022</v>
      </c>
      <c r="B160" s="1" t="s">
        <v>302</v>
      </c>
      <c r="C160" s="2" t="s">
        <v>112</v>
      </c>
      <c r="D160" s="29" t="str">
        <f>IFERROR(VLOOKUP(C160,'Sector &amp; Policy Match'!$A$1:$B$42,2,0),"")</f>
        <v>cement and other nonmetallic minerals 239</v>
      </c>
      <c r="E160" s="2" t="s">
        <v>113</v>
      </c>
      <c r="F160" s="1" t="str">
        <f>VLOOKUP(E160,'Sector &amp; Policy Match'!$G$1:$H$8,2,0)</f>
        <v>Early Facility Retirement</v>
      </c>
      <c r="H160" s="2">
        <v>2023</v>
      </c>
      <c r="I160" s="2">
        <v>2027</v>
      </c>
      <c r="J160" s="6">
        <v>0.5</v>
      </c>
      <c r="K160" s="2">
        <v>17</v>
      </c>
      <c r="L160" s="39">
        <f t="shared" si="3"/>
        <v>34</v>
      </c>
      <c r="M160" s="7">
        <v>2060</v>
      </c>
    </row>
    <row r="161" spans="1:13" x14ac:dyDescent="0.25">
      <c r="A161" s="2">
        <v>2022</v>
      </c>
      <c r="B161" s="1" t="s">
        <v>303</v>
      </c>
      <c r="C161" s="2" t="s">
        <v>112</v>
      </c>
      <c r="D161" s="29" t="str">
        <f>IFERROR(VLOOKUP(C161,'Sector &amp; Policy Match'!$A$1:$B$42,2,0),"")</f>
        <v>cement and other nonmetallic minerals 239</v>
      </c>
      <c r="E161" s="2" t="s">
        <v>113</v>
      </c>
      <c r="F161" s="1" t="str">
        <f>VLOOKUP(E161,'Sector &amp; Policy Match'!$G$1:$H$8,2,0)</f>
        <v>Early Facility Retirement</v>
      </c>
      <c r="H161" s="2">
        <v>2023</v>
      </c>
      <c r="I161" s="2">
        <v>2027</v>
      </c>
      <c r="J161" s="6">
        <v>0.1</v>
      </c>
      <c r="K161" s="2">
        <v>48</v>
      </c>
      <c r="L161" s="39">
        <f t="shared" si="3"/>
        <v>480</v>
      </c>
      <c r="M161" s="7">
        <v>2060</v>
      </c>
    </row>
    <row r="162" spans="1:13" x14ac:dyDescent="0.25">
      <c r="A162" s="2">
        <v>2022</v>
      </c>
      <c r="B162" s="1" t="s">
        <v>304</v>
      </c>
      <c r="C162" s="2" t="s">
        <v>125</v>
      </c>
      <c r="D162" s="29" t="str">
        <f>IFERROR(VLOOKUP(C162,'Sector &amp; Policy Match'!$A$1:$B$42,2,0),"")</f>
        <v>chemicals 20</v>
      </c>
      <c r="E162" s="2" t="s">
        <v>113</v>
      </c>
      <c r="F162" s="1" t="str">
        <f>VLOOKUP(E162,'Sector &amp; Policy Match'!$G$1:$H$8,2,0)</f>
        <v>Early Facility Retirement</v>
      </c>
      <c r="H162" s="2">
        <v>2023</v>
      </c>
      <c r="I162" s="2">
        <v>2027</v>
      </c>
      <c r="J162" s="6">
        <v>0.49</v>
      </c>
      <c r="K162" s="2">
        <v>93</v>
      </c>
      <c r="L162" s="39">
        <f t="shared" si="3"/>
        <v>189.79591836734696</v>
      </c>
      <c r="M162" s="7">
        <v>2060</v>
      </c>
    </row>
    <row r="163" spans="1:13" x14ac:dyDescent="0.25">
      <c r="A163" s="2">
        <v>2022</v>
      </c>
      <c r="B163" s="1" t="s">
        <v>305</v>
      </c>
      <c r="C163" s="2" t="s">
        <v>125</v>
      </c>
      <c r="D163" s="29" t="str">
        <f>IFERROR(VLOOKUP(C163,'Sector &amp; Policy Match'!$A$1:$B$42,2,0),"")</f>
        <v>chemicals 20</v>
      </c>
      <c r="E163" s="2" t="s">
        <v>113</v>
      </c>
      <c r="F163" s="1" t="str">
        <f>VLOOKUP(E163,'Sector &amp; Policy Match'!$G$1:$H$8,2,0)</f>
        <v>Early Facility Retirement</v>
      </c>
      <c r="H163" s="2">
        <v>2023</v>
      </c>
      <c r="I163" s="2">
        <v>2027</v>
      </c>
      <c r="J163" s="6">
        <v>0.7</v>
      </c>
      <c r="K163" s="2">
        <v>47</v>
      </c>
      <c r="L163" s="39">
        <f t="shared" si="3"/>
        <v>67.142857142857139</v>
      </c>
      <c r="M163" s="7">
        <v>2060</v>
      </c>
    </row>
    <row r="164" spans="1:13" x14ac:dyDescent="0.25">
      <c r="A164" s="2">
        <v>2022</v>
      </c>
      <c r="B164" s="1" t="s">
        <v>306</v>
      </c>
      <c r="C164" s="2" t="s">
        <v>125</v>
      </c>
      <c r="D164" s="29" t="str">
        <f>IFERROR(VLOOKUP(C164,'Sector &amp; Policy Match'!$A$1:$B$42,2,0),"")</f>
        <v>chemicals 20</v>
      </c>
      <c r="E164" s="2" t="s">
        <v>113</v>
      </c>
      <c r="F164" s="1" t="str">
        <f>VLOOKUP(E164,'Sector &amp; Policy Match'!$G$1:$H$8,2,0)</f>
        <v>Early Facility Retirement</v>
      </c>
      <c r="H164" s="2">
        <v>2023</v>
      </c>
      <c r="I164" s="2">
        <v>2027</v>
      </c>
      <c r="J164" s="6">
        <v>0.33</v>
      </c>
      <c r="K164" s="2">
        <v>10</v>
      </c>
      <c r="L164" s="39">
        <f t="shared" si="3"/>
        <v>30.303030303030305</v>
      </c>
      <c r="M164" s="7">
        <v>2060</v>
      </c>
    </row>
    <row r="165" spans="1:13" x14ac:dyDescent="0.25">
      <c r="A165" s="2">
        <v>2022</v>
      </c>
      <c r="B165" s="1" t="s">
        <v>307</v>
      </c>
      <c r="C165" s="2" t="s">
        <v>125</v>
      </c>
      <c r="D165" s="29" t="str">
        <f>IFERROR(VLOOKUP(C165,'Sector &amp; Policy Match'!$A$1:$B$42,2,0),"")</f>
        <v>chemicals 20</v>
      </c>
      <c r="E165" s="2" t="s">
        <v>137</v>
      </c>
      <c r="F165" s="1" t="str">
        <f>VLOOKUP(E165,'Sector &amp; Policy Match'!$G$1:$H$8,2,0)</f>
        <v>Cogeneration and Waste Heat Recovery</v>
      </c>
      <c r="H165" s="2">
        <v>2023</v>
      </c>
      <c r="I165" s="2">
        <v>2027</v>
      </c>
      <c r="J165" s="6">
        <v>0.4</v>
      </c>
      <c r="K165" s="2">
        <v>53</v>
      </c>
      <c r="L165" s="39">
        <f t="shared" si="3"/>
        <v>132.5</v>
      </c>
      <c r="M165" s="7">
        <v>2060</v>
      </c>
    </row>
    <row r="166" spans="1:13" x14ac:dyDescent="0.25">
      <c r="A166" s="2">
        <v>2022</v>
      </c>
      <c r="B166" s="1" t="s">
        <v>308</v>
      </c>
      <c r="C166" s="2" t="s">
        <v>205</v>
      </c>
      <c r="D166" s="29" t="str">
        <f>IFERROR(VLOOKUP(C166,'Sector &amp; Policy Match'!$A$1:$B$42,2,0),"")</f>
        <v>refined petroleum and coke 19</v>
      </c>
      <c r="E166" s="2" t="s">
        <v>113</v>
      </c>
      <c r="F166" s="1" t="str">
        <f>VLOOKUP(E166,'Sector &amp; Policy Match'!$G$1:$H$8,2,0)</f>
        <v>Early Facility Retirement</v>
      </c>
      <c r="H166" s="2">
        <v>2023</v>
      </c>
      <c r="I166" s="2">
        <v>2027</v>
      </c>
      <c r="J166" s="6">
        <v>0.7</v>
      </c>
      <c r="K166" s="2">
        <v>20</v>
      </c>
      <c r="L166" s="39">
        <f t="shared" si="3"/>
        <v>28.571428571428573</v>
      </c>
      <c r="M166" s="7">
        <v>2060</v>
      </c>
    </row>
    <row r="167" spans="1:13" x14ac:dyDescent="0.25">
      <c r="A167" s="9">
        <v>2022</v>
      </c>
      <c r="B167" s="10" t="s">
        <v>309</v>
      </c>
      <c r="C167" s="9" t="s">
        <v>265</v>
      </c>
      <c r="D167" s="30" t="str">
        <f>IFERROR(VLOOKUP(C167,'Sector &amp; Policy Match'!$A$1:$B$42,2,0),"")</f>
        <v/>
      </c>
      <c r="E167" s="9" t="s">
        <v>113</v>
      </c>
      <c r="F167" s="10" t="str">
        <f>VLOOKUP(E167,'Sector &amp; Policy Match'!$G$1:$H$8,2,0)</f>
        <v>Early Facility Retirement</v>
      </c>
      <c r="G167" s="10"/>
      <c r="H167" s="9">
        <v>2023</v>
      </c>
      <c r="I167" s="9">
        <v>2027</v>
      </c>
      <c r="J167" s="11">
        <v>0.1</v>
      </c>
      <c r="K167" s="9">
        <v>32</v>
      </c>
      <c r="L167" s="18">
        <f t="shared" si="3"/>
        <v>320</v>
      </c>
      <c r="M167" s="13">
        <v>2060</v>
      </c>
    </row>
    <row r="168" spans="1:13" x14ac:dyDescent="0.25">
      <c r="A168" s="9">
        <v>2022</v>
      </c>
      <c r="B168" s="10" t="s">
        <v>309</v>
      </c>
      <c r="C168" s="9" t="s">
        <v>205</v>
      </c>
      <c r="D168" s="30" t="str">
        <f>IFERROR(VLOOKUP(C168,'Sector &amp; Policy Match'!$A$1:$B$42,2,0),"")</f>
        <v>refined petroleum and coke 19</v>
      </c>
      <c r="E168" s="9" t="s">
        <v>113</v>
      </c>
      <c r="F168" s="10" t="str">
        <f>VLOOKUP(E168,'Sector &amp; Policy Match'!$G$1:$H$8,2,0)</f>
        <v>Early Facility Retirement</v>
      </c>
      <c r="G168" s="10"/>
      <c r="H168" s="9">
        <v>2023</v>
      </c>
      <c r="I168" s="9">
        <v>2027</v>
      </c>
      <c r="J168" s="11">
        <v>0.1</v>
      </c>
      <c r="K168" s="16">
        <f>BIFUbC!B10/SUM(BIFUbC!B10:B11)*K167</f>
        <v>26.308756452524822</v>
      </c>
      <c r="L168" s="18">
        <f t="shared" si="3"/>
        <v>263.08756452524824</v>
      </c>
      <c r="M168" s="13">
        <v>2060</v>
      </c>
    </row>
    <row r="169" spans="1:13" x14ac:dyDescent="0.25">
      <c r="A169" s="9">
        <v>2022</v>
      </c>
      <c r="B169" s="10" t="s">
        <v>309</v>
      </c>
      <c r="C169" s="9" t="s">
        <v>125</v>
      </c>
      <c r="D169" s="30" t="str">
        <f>IFERROR(VLOOKUP(C169,'Sector &amp; Policy Match'!$A$1:$B$42,2,0),"")</f>
        <v>chemicals 20</v>
      </c>
      <c r="E169" s="9" t="s">
        <v>113</v>
      </c>
      <c r="F169" s="10" t="str">
        <f>VLOOKUP(E169,'Sector &amp; Policy Match'!$G$1:$H$8,2,0)</f>
        <v>Early Facility Retirement</v>
      </c>
      <c r="G169" s="10"/>
      <c r="H169" s="9">
        <v>2023</v>
      </c>
      <c r="I169" s="9">
        <v>2027</v>
      </c>
      <c r="J169" s="11">
        <v>0.1</v>
      </c>
      <c r="K169" s="16">
        <f>BIFUbC!B11/SUM(BIFUbC!B10:B11)*K167</f>
        <v>5.6912435474751764</v>
      </c>
      <c r="L169" s="18">
        <f t="shared" si="3"/>
        <v>56.91243547475176</v>
      </c>
      <c r="M169" s="13">
        <v>2060</v>
      </c>
    </row>
    <row r="170" spans="1:13" x14ac:dyDescent="0.25">
      <c r="A170" s="2">
        <v>2022</v>
      </c>
      <c r="B170" s="1" t="s">
        <v>310</v>
      </c>
      <c r="C170" s="2" t="s">
        <v>205</v>
      </c>
      <c r="D170" s="29" t="str">
        <f>IFERROR(VLOOKUP(C170,'Sector &amp; Policy Match'!$A$1:$B$42,2,0),"")</f>
        <v>refined petroleum and coke 19</v>
      </c>
      <c r="E170" s="2" t="s">
        <v>113</v>
      </c>
      <c r="F170" s="1" t="str">
        <f>VLOOKUP(E170,'Sector &amp; Policy Match'!$G$1:$H$8,2,0)</f>
        <v>Early Facility Retirement</v>
      </c>
      <c r="H170" s="2">
        <v>2023</v>
      </c>
      <c r="I170" s="2">
        <v>2027</v>
      </c>
      <c r="J170" s="6">
        <v>0.01</v>
      </c>
      <c r="K170" s="2">
        <v>15</v>
      </c>
      <c r="L170" s="39">
        <f t="shared" si="3"/>
        <v>1500</v>
      </c>
      <c r="M170" s="7">
        <v>2060</v>
      </c>
    </row>
    <row r="171" spans="1:13" x14ac:dyDescent="0.25">
      <c r="A171" s="2">
        <v>2022</v>
      </c>
      <c r="B171" s="1" t="s">
        <v>311</v>
      </c>
      <c r="C171" s="2" t="s">
        <v>205</v>
      </c>
      <c r="D171" s="29" t="str">
        <f>IFERROR(VLOOKUP(C171,'Sector &amp; Policy Match'!$A$1:$B$42,2,0),"")</f>
        <v>refined petroleum and coke 19</v>
      </c>
      <c r="E171" s="2" t="s">
        <v>137</v>
      </c>
      <c r="F171" s="1" t="str">
        <f>VLOOKUP(E171,'Sector &amp; Policy Match'!$G$1:$H$8,2,0)</f>
        <v>Cogeneration and Waste Heat Recovery</v>
      </c>
      <c r="H171" s="2">
        <v>2023</v>
      </c>
      <c r="I171" s="2">
        <v>2027</v>
      </c>
      <c r="J171" s="6">
        <v>0.4</v>
      </c>
      <c r="K171" s="2">
        <v>36</v>
      </c>
      <c r="L171" s="39">
        <f t="shared" si="3"/>
        <v>90</v>
      </c>
      <c r="M171" s="7">
        <v>2060</v>
      </c>
    </row>
    <row r="172" spans="1:13" x14ac:dyDescent="0.25">
      <c r="A172" s="9">
        <v>2022</v>
      </c>
      <c r="B172" s="10" t="s">
        <v>312</v>
      </c>
      <c r="C172" s="9" t="s">
        <v>265</v>
      </c>
      <c r="D172" s="30" t="str">
        <f>IFERROR(VLOOKUP(C172,'Sector &amp; Policy Match'!$A$1:$B$42,2,0),"")</f>
        <v/>
      </c>
      <c r="E172" s="9" t="s">
        <v>113</v>
      </c>
      <c r="F172" s="10" t="str">
        <f>VLOOKUP(E172,'Sector &amp; Policy Match'!$G$1:$H$8,2,0)</f>
        <v>Early Facility Retirement</v>
      </c>
      <c r="G172" s="10"/>
      <c r="H172" s="9">
        <v>2023</v>
      </c>
      <c r="I172" s="9">
        <v>2027</v>
      </c>
      <c r="J172" s="11">
        <v>0.05</v>
      </c>
      <c r="K172" s="9">
        <v>9</v>
      </c>
      <c r="L172" s="18">
        <f t="shared" si="3"/>
        <v>180</v>
      </c>
      <c r="M172" s="13">
        <v>2060</v>
      </c>
    </row>
    <row r="173" spans="1:13" x14ac:dyDescent="0.25">
      <c r="A173" s="9">
        <v>2022</v>
      </c>
      <c r="B173" s="10" t="s">
        <v>312</v>
      </c>
      <c r="C173" s="9" t="s">
        <v>205</v>
      </c>
      <c r="D173" s="30" t="str">
        <f>IFERROR(VLOOKUP(C173,'Sector &amp; Policy Match'!$A$1:$B$42,2,0),"")</f>
        <v>refined petroleum and coke 19</v>
      </c>
      <c r="E173" s="9" t="s">
        <v>113</v>
      </c>
      <c r="F173" s="10" t="str">
        <f>VLOOKUP(E173,'Sector &amp; Policy Match'!$G$1:$H$8,2,0)</f>
        <v>Early Facility Retirement</v>
      </c>
      <c r="G173" s="10"/>
      <c r="H173" s="9">
        <v>2023</v>
      </c>
      <c r="I173" s="9">
        <v>2027</v>
      </c>
      <c r="J173" s="11">
        <v>0.05</v>
      </c>
      <c r="K173" s="16">
        <f>BIFUbC!B10/SUM(BIFUbC!B10:B11)*K172</f>
        <v>7.399337752272606</v>
      </c>
      <c r="L173" s="18">
        <f t="shared" si="3"/>
        <v>147.98675504545213</v>
      </c>
      <c r="M173" s="13">
        <v>2060</v>
      </c>
    </row>
    <row r="174" spans="1:13" x14ac:dyDescent="0.25">
      <c r="A174" s="9">
        <v>2022</v>
      </c>
      <c r="B174" s="10" t="s">
        <v>312</v>
      </c>
      <c r="C174" s="9" t="s">
        <v>125</v>
      </c>
      <c r="D174" s="30" t="str">
        <f>IFERROR(VLOOKUP(C174,'Sector &amp; Policy Match'!$A$1:$B$42,2,0),"")</f>
        <v>chemicals 20</v>
      </c>
      <c r="E174" s="9" t="s">
        <v>113</v>
      </c>
      <c r="F174" s="10" t="str">
        <f>VLOOKUP(E174,'Sector &amp; Policy Match'!$G$1:$H$8,2,0)</f>
        <v>Early Facility Retirement</v>
      </c>
      <c r="G174" s="10"/>
      <c r="H174" s="9">
        <v>2023</v>
      </c>
      <c r="I174" s="9">
        <v>2027</v>
      </c>
      <c r="J174" s="11">
        <v>0.05</v>
      </c>
      <c r="K174" s="16">
        <f>BIFUbC!B11/SUM(BIFUbC!B10:B11)*K172</f>
        <v>1.6006622477273933</v>
      </c>
      <c r="L174" s="18">
        <f t="shared" si="3"/>
        <v>32.013244954547865</v>
      </c>
      <c r="M174" s="13">
        <v>2060</v>
      </c>
    </row>
    <row r="175" spans="1:13" x14ac:dyDescent="0.25">
      <c r="A175" s="2">
        <v>2022</v>
      </c>
      <c r="B175" s="1" t="s">
        <v>313</v>
      </c>
      <c r="C175" s="2" t="s">
        <v>205</v>
      </c>
      <c r="D175" s="29" t="str">
        <f>IFERROR(VLOOKUP(C175,'Sector &amp; Policy Match'!$A$1:$B$42,2,0),"")</f>
        <v>refined petroleum and coke 19</v>
      </c>
      <c r="E175" s="2" t="s">
        <v>113</v>
      </c>
      <c r="F175" s="1" t="str">
        <f>VLOOKUP(E175,'Sector &amp; Policy Match'!$G$1:$H$8,2,0)</f>
        <v>Early Facility Retirement</v>
      </c>
      <c r="H175" s="2">
        <v>2023</v>
      </c>
      <c r="I175" s="2">
        <v>2027</v>
      </c>
      <c r="J175" s="6">
        <v>0.04</v>
      </c>
      <c r="K175" s="2">
        <v>27</v>
      </c>
      <c r="L175" s="39">
        <f t="shared" si="3"/>
        <v>675</v>
      </c>
      <c r="M175" s="7">
        <v>2060</v>
      </c>
    </row>
    <row r="176" spans="1:13" x14ac:dyDescent="0.25">
      <c r="A176" s="9">
        <v>2022</v>
      </c>
      <c r="B176" s="10" t="s">
        <v>314</v>
      </c>
      <c r="C176" s="9" t="s">
        <v>265</v>
      </c>
      <c r="D176" s="30" t="str">
        <f>IFERROR(VLOOKUP(C176,'Sector &amp; Policy Match'!$A$1:$B$42,2,0),"")</f>
        <v/>
      </c>
      <c r="E176" s="9" t="s">
        <v>113</v>
      </c>
      <c r="F176" s="10" t="str">
        <f>VLOOKUP(E176,'Sector &amp; Policy Match'!$G$1:$H$8,2,0)</f>
        <v>Early Facility Retirement</v>
      </c>
      <c r="G176" s="10"/>
      <c r="H176" s="9">
        <v>2023</v>
      </c>
      <c r="I176" s="9">
        <v>2027</v>
      </c>
      <c r="J176" s="11">
        <v>0.05</v>
      </c>
      <c r="K176" s="9">
        <v>9</v>
      </c>
      <c r="L176" s="18">
        <f t="shared" si="3"/>
        <v>180</v>
      </c>
      <c r="M176" s="13">
        <v>2060</v>
      </c>
    </row>
    <row r="177" spans="1:13" x14ac:dyDescent="0.25">
      <c r="A177" s="9">
        <v>2022</v>
      </c>
      <c r="B177" s="10" t="s">
        <v>314</v>
      </c>
      <c r="C177" s="9" t="s">
        <v>205</v>
      </c>
      <c r="D177" s="30" t="str">
        <f>IFERROR(VLOOKUP(C177,'Sector &amp; Policy Match'!$A$1:$B$42,2,0),"")</f>
        <v>refined petroleum and coke 19</v>
      </c>
      <c r="E177" s="9" t="s">
        <v>113</v>
      </c>
      <c r="F177" s="10" t="str">
        <f>VLOOKUP(E177,'Sector &amp; Policy Match'!$G$1:$H$8,2,0)</f>
        <v>Early Facility Retirement</v>
      </c>
      <c r="G177" s="10"/>
      <c r="H177" s="9">
        <v>2023</v>
      </c>
      <c r="I177" s="9">
        <v>2027</v>
      </c>
      <c r="J177" s="11">
        <v>0.05</v>
      </c>
      <c r="K177" s="16">
        <f>BIFUbC!B10/SUM(BIFUbC!B10:B11)*K176</f>
        <v>7.399337752272606</v>
      </c>
      <c r="L177" s="18">
        <f t="shared" si="3"/>
        <v>147.98675504545213</v>
      </c>
      <c r="M177" s="13">
        <v>2060</v>
      </c>
    </row>
    <row r="178" spans="1:13" x14ac:dyDescent="0.25">
      <c r="A178" s="9">
        <v>2022</v>
      </c>
      <c r="B178" s="10" t="s">
        <v>314</v>
      </c>
      <c r="C178" s="9" t="s">
        <v>125</v>
      </c>
      <c r="D178" s="30" t="str">
        <f>IFERROR(VLOOKUP(C178,'Sector &amp; Policy Match'!$A$1:$B$42,2,0),"")</f>
        <v>chemicals 20</v>
      </c>
      <c r="E178" s="9" t="s">
        <v>113</v>
      </c>
      <c r="F178" s="10" t="str">
        <f>VLOOKUP(E178,'Sector &amp; Policy Match'!$G$1:$H$8,2,0)</f>
        <v>Early Facility Retirement</v>
      </c>
      <c r="G178" s="10"/>
      <c r="H178" s="9">
        <v>2023</v>
      </c>
      <c r="I178" s="9">
        <v>2027</v>
      </c>
      <c r="J178" s="11">
        <v>0.05</v>
      </c>
      <c r="K178" s="16">
        <f>BIFUbC!B11/SUM(BIFUbC!B10:B11)*K176</f>
        <v>1.6006622477273933</v>
      </c>
      <c r="L178" s="18">
        <f t="shared" si="3"/>
        <v>32.013244954547865</v>
      </c>
      <c r="M178" s="13">
        <v>2060</v>
      </c>
    </row>
    <row r="179" spans="1:13" x14ac:dyDescent="0.25">
      <c r="A179" s="9">
        <v>2022</v>
      </c>
      <c r="B179" s="10" t="s">
        <v>315</v>
      </c>
      <c r="C179" s="9" t="s">
        <v>265</v>
      </c>
      <c r="D179" s="30" t="str">
        <f>IFERROR(VLOOKUP(C179,'Sector &amp; Policy Match'!$A$1:$B$42,2,0),"")</f>
        <v/>
      </c>
      <c r="E179" s="9" t="s">
        <v>113</v>
      </c>
      <c r="F179" s="10" t="str">
        <f>VLOOKUP(E179,'Sector &amp; Policy Match'!$G$1:$H$8,2,0)</f>
        <v>Early Facility Retirement</v>
      </c>
      <c r="G179" s="10"/>
      <c r="H179" s="9">
        <v>2023</v>
      </c>
      <c r="I179" s="9">
        <v>2027</v>
      </c>
      <c r="J179" s="11">
        <v>0.15</v>
      </c>
      <c r="K179" s="9">
        <v>11</v>
      </c>
      <c r="L179" s="18">
        <f t="shared" si="3"/>
        <v>73.333333333333343</v>
      </c>
      <c r="M179" s="13">
        <v>2060</v>
      </c>
    </row>
    <row r="180" spans="1:13" x14ac:dyDescent="0.25">
      <c r="A180" s="9">
        <v>2022</v>
      </c>
      <c r="B180" s="10" t="s">
        <v>315</v>
      </c>
      <c r="C180" s="9" t="s">
        <v>205</v>
      </c>
      <c r="D180" s="30" t="str">
        <f>IFERROR(VLOOKUP(C180,'Sector &amp; Policy Match'!$A$1:$B$42,2,0),"")</f>
        <v>refined petroleum and coke 19</v>
      </c>
      <c r="E180" s="9" t="s">
        <v>113</v>
      </c>
      <c r="F180" s="10" t="str">
        <f>VLOOKUP(E180,'Sector &amp; Policy Match'!$G$1:$H$8,2,0)</f>
        <v>Early Facility Retirement</v>
      </c>
      <c r="G180" s="10"/>
      <c r="H180" s="9">
        <v>2023</v>
      </c>
      <c r="I180" s="9">
        <v>2027</v>
      </c>
      <c r="J180" s="11">
        <v>0.15</v>
      </c>
      <c r="K180" s="16">
        <f>BIFUbC!B10/SUM(BIFUbC!B10:B11)*K179</f>
        <v>9.0436350305554072</v>
      </c>
      <c r="L180" s="18">
        <f t="shared" si="3"/>
        <v>60.290900203702719</v>
      </c>
      <c r="M180" s="13">
        <v>2060</v>
      </c>
    </row>
    <row r="181" spans="1:13" x14ac:dyDescent="0.25">
      <c r="A181" s="9">
        <v>2022</v>
      </c>
      <c r="B181" s="10" t="s">
        <v>315</v>
      </c>
      <c r="C181" s="9" t="s">
        <v>125</v>
      </c>
      <c r="D181" s="30" t="str">
        <f>IFERROR(VLOOKUP(C181,'Sector &amp; Policy Match'!$A$1:$B$42,2,0),"")</f>
        <v>chemicals 20</v>
      </c>
      <c r="E181" s="9" t="s">
        <v>113</v>
      </c>
      <c r="F181" s="10" t="str">
        <f>VLOOKUP(E181,'Sector &amp; Policy Match'!$G$1:$H$8,2,0)</f>
        <v>Early Facility Retirement</v>
      </c>
      <c r="G181" s="10"/>
      <c r="H181" s="9">
        <v>2023</v>
      </c>
      <c r="I181" s="9">
        <v>2027</v>
      </c>
      <c r="J181" s="11">
        <v>0.15</v>
      </c>
      <c r="K181" s="16">
        <f>BIFUbC!B11/SUM(BIFUbC!B10:B11)*K179</f>
        <v>1.9563649694445919</v>
      </c>
      <c r="L181" s="18">
        <f t="shared" si="3"/>
        <v>13.042433129630613</v>
      </c>
      <c r="M181" s="13">
        <v>2060</v>
      </c>
    </row>
    <row r="182" spans="1:13" x14ac:dyDescent="0.25">
      <c r="A182" s="2">
        <v>2022</v>
      </c>
      <c r="B182" s="1" t="s">
        <v>316</v>
      </c>
      <c r="C182" s="32" t="s">
        <v>317</v>
      </c>
      <c r="D182" s="15" t="str">
        <f>IFERROR(VLOOKUP(C182,'Sector &amp; Policy Match'!$A$1:$B$42,2,0),"")</f>
        <v>机械行业</v>
      </c>
      <c r="E182" s="2" t="s">
        <v>113</v>
      </c>
      <c r="F182" s="1" t="str">
        <f>VLOOKUP(E182,'Sector &amp; Policy Match'!$G$1:$H$8,2,0)</f>
        <v>Early Facility Retirement</v>
      </c>
      <c r="H182" s="2">
        <v>2023</v>
      </c>
      <c r="I182" s="2">
        <v>2027</v>
      </c>
      <c r="J182" s="6">
        <v>0.45</v>
      </c>
      <c r="K182" s="2">
        <v>9</v>
      </c>
      <c r="L182" s="39">
        <f t="shared" si="3"/>
        <v>20</v>
      </c>
      <c r="M182" s="7">
        <v>2060</v>
      </c>
    </row>
    <row r="183" spans="1:13" x14ac:dyDescent="0.25">
      <c r="A183" s="2">
        <v>2022</v>
      </c>
      <c r="B183" s="1" t="s">
        <v>318</v>
      </c>
      <c r="C183" s="2" t="s">
        <v>317</v>
      </c>
      <c r="D183" s="15" t="str">
        <f>IFERROR(VLOOKUP(C183,'Sector &amp; Policy Match'!$A$1:$B$42,2,0),"")</f>
        <v>机械行业</v>
      </c>
      <c r="E183" s="2" t="s">
        <v>113</v>
      </c>
      <c r="F183" s="1" t="str">
        <f>VLOOKUP(E183,'Sector &amp; Policy Match'!$G$1:$H$8,2,0)</f>
        <v>Early Facility Retirement</v>
      </c>
      <c r="H183" s="2">
        <v>2023</v>
      </c>
      <c r="I183" s="2">
        <v>2027</v>
      </c>
      <c r="J183" s="6">
        <v>0.08</v>
      </c>
      <c r="K183" s="2">
        <v>26</v>
      </c>
      <c r="L183" s="39">
        <f t="shared" si="3"/>
        <v>325</v>
      </c>
      <c r="M183" s="7">
        <v>2060</v>
      </c>
    </row>
    <row r="184" spans="1:13" x14ac:dyDescent="0.25">
      <c r="A184" s="2">
        <v>2022</v>
      </c>
      <c r="B184" s="1" t="s">
        <v>319</v>
      </c>
      <c r="C184" s="2" t="s">
        <v>205</v>
      </c>
      <c r="D184" s="29" t="str">
        <f>IFERROR(VLOOKUP(C184,'Sector &amp; Policy Match'!$A$1:$B$42,2,0),"")</f>
        <v>refined petroleum and coke 19</v>
      </c>
      <c r="E184" s="2" t="s">
        <v>113</v>
      </c>
      <c r="F184" s="1" t="str">
        <f>VLOOKUP(E184,'Sector &amp; Policy Match'!$G$1:$H$8,2,0)</f>
        <v>Early Facility Retirement</v>
      </c>
      <c r="H184" s="2">
        <v>2023</v>
      </c>
      <c r="I184" s="2">
        <v>2027</v>
      </c>
      <c r="J184" s="6">
        <v>0.5</v>
      </c>
      <c r="K184" s="2">
        <v>60</v>
      </c>
      <c r="L184" s="39">
        <f t="shared" si="3"/>
        <v>120</v>
      </c>
      <c r="M184" s="7">
        <v>2060</v>
      </c>
    </row>
    <row r="185" spans="1:13" x14ac:dyDescent="0.25">
      <c r="A185" s="2">
        <v>2022</v>
      </c>
      <c r="B185" s="1" t="s">
        <v>320</v>
      </c>
      <c r="C185" s="2" t="s">
        <v>317</v>
      </c>
      <c r="D185" s="15" t="str">
        <f>IFERROR(VLOOKUP(C185,'Sector &amp; Policy Match'!$A$1:$B$42,2,0),"")</f>
        <v>机械行业</v>
      </c>
      <c r="E185" s="2" t="s">
        <v>113</v>
      </c>
      <c r="F185" s="1" t="str">
        <f>VLOOKUP(E185,'Sector &amp; Policy Match'!$G$1:$H$8,2,0)</f>
        <v>Early Facility Retirement</v>
      </c>
      <c r="H185" s="2">
        <v>2023</v>
      </c>
      <c r="I185" s="2">
        <v>2027</v>
      </c>
      <c r="J185" s="6">
        <v>0.03</v>
      </c>
      <c r="K185" s="2">
        <v>19</v>
      </c>
      <c r="L185" s="39">
        <f t="shared" si="3"/>
        <v>633.33333333333337</v>
      </c>
      <c r="M185" s="7">
        <v>2060</v>
      </c>
    </row>
    <row r="186" spans="1:13" x14ac:dyDescent="0.25">
      <c r="A186" s="2">
        <v>2022</v>
      </c>
      <c r="B186" s="1" t="s">
        <v>321</v>
      </c>
      <c r="C186" s="2" t="s">
        <v>317</v>
      </c>
      <c r="D186" s="15" t="str">
        <f>IFERROR(VLOOKUP(C186,'Sector &amp; Policy Match'!$A$1:$B$42,2,0),"")</f>
        <v>机械行业</v>
      </c>
      <c r="E186" s="2" t="s">
        <v>113</v>
      </c>
      <c r="F186" s="1" t="str">
        <f>VLOOKUP(E186,'Sector &amp; Policy Match'!$G$1:$H$8,2,0)</f>
        <v>Early Facility Retirement</v>
      </c>
      <c r="H186" s="2">
        <v>2023</v>
      </c>
      <c r="I186" s="2">
        <v>2027</v>
      </c>
      <c r="J186" s="6">
        <v>0.7</v>
      </c>
      <c r="K186" s="2">
        <v>33</v>
      </c>
      <c r="L186" s="39">
        <f t="shared" si="3"/>
        <v>47.142857142857146</v>
      </c>
      <c r="M186" s="7">
        <v>2060</v>
      </c>
    </row>
    <row r="187" spans="1:13" x14ac:dyDescent="0.25">
      <c r="A187" s="2">
        <v>2022</v>
      </c>
      <c r="B187" s="1" t="s">
        <v>322</v>
      </c>
      <c r="C187" s="2" t="s">
        <v>119</v>
      </c>
      <c r="D187" s="29" t="str">
        <f>IFERROR(VLOOKUP(C187,'Sector &amp; Policy Match'!$A$1:$B$42,2,0),"")</f>
        <v>iron and steel 241</v>
      </c>
      <c r="E187" s="2" t="s">
        <v>113</v>
      </c>
      <c r="F187" s="1" t="str">
        <f>VLOOKUP(E187,'Sector &amp; Policy Match'!$G$1:$H$8,2,0)</f>
        <v>Early Facility Retirement</v>
      </c>
      <c r="H187" s="2">
        <v>2023</v>
      </c>
      <c r="I187" s="2">
        <v>2027</v>
      </c>
      <c r="J187" s="6">
        <v>0.8</v>
      </c>
      <c r="K187" s="2">
        <v>10</v>
      </c>
      <c r="L187" s="39">
        <f t="shared" si="3"/>
        <v>12.5</v>
      </c>
      <c r="M187" s="7">
        <v>2060</v>
      </c>
    </row>
    <row r="188" spans="1:13" x14ac:dyDescent="0.25">
      <c r="A188" s="2">
        <v>2022</v>
      </c>
      <c r="B188" s="1" t="s">
        <v>323</v>
      </c>
      <c r="C188" s="2" t="s">
        <v>317</v>
      </c>
      <c r="D188" s="15" t="str">
        <f>IFERROR(VLOOKUP(C188,'Sector &amp; Policy Match'!$A$1:$B$42,2,0),"")</f>
        <v>机械行业</v>
      </c>
      <c r="E188" s="2" t="s">
        <v>113</v>
      </c>
      <c r="F188" s="1" t="str">
        <f>VLOOKUP(E188,'Sector &amp; Policy Match'!$G$1:$H$8,2,0)</f>
        <v>Early Facility Retirement</v>
      </c>
      <c r="H188" s="2">
        <v>2023</v>
      </c>
      <c r="I188" s="2">
        <v>2027</v>
      </c>
      <c r="J188" s="6">
        <v>0.3</v>
      </c>
      <c r="K188" s="2">
        <v>50</v>
      </c>
      <c r="L188" s="39">
        <f t="shared" si="3"/>
        <v>166.66666666666669</v>
      </c>
      <c r="M188" s="7">
        <v>2060</v>
      </c>
    </row>
    <row r="189" spans="1:13" x14ac:dyDescent="0.25">
      <c r="A189" s="2">
        <v>2022</v>
      </c>
      <c r="B189" s="1" t="s">
        <v>324</v>
      </c>
      <c r="C189" s="2" t="s">
        <v>119</v>
      </c>
      <c r="D189" s="29" t="str">
        <f>IFERROR(VLOOKUP(C189,'Sector &amp; Policy Match'!$A$1:$B$42,2,0),"")</f>
        <v>iron and steel 241</v>
      </c>
      <c r="E189" s="2" t="s">
        <v>113</v>
      </c>
      <c r="F189" s="1" t="str">
        <f>VLOOKUP(E189,'Sector &amp; Policy Match'!$G$1:$H$8,2,0)</f>
        <v>Early Facility Retirement</v>
      </c>
      <c r="H189" s="2">
        <v>2023</v>
      </c>
      <c r="I189" s="2">
        <v>2027</v>
      </c>
      <c r="J189" s="6">
        <v>0.01</v>
      </c>
      <c r="K189" s="2">
        <v>11</v>
      </c>
      <c r="L189" s="39">
        <f t="shared" si="3"/>
        <v>1100</v>
      </c>
      <c r="M189" s="7">
        <v>2060</v>
      </c>
    </row>
    <row r="190" spans="1:13" x14ac:dyDescent="0.25">
      <c r="A190" s="2">
        <v>2022</v>
      </c>
      <c r="B190" s="1" t="s">
        <v>325</v>
      </c>
      <c r="C190" s="2" t="s">
        <v>229</v>
      </c>
      <c r="D190" s="29" t="str">
        <f>IFERROR(VLOOKUP(C190,'Sector &amp; Policy Match'!$A$1:$B$42,2,0),"")</f>
        <v>coal mining 05</v>
      </c>
      <c r="E190" s="2" t="s">
        <v>113</v>
      </c>
      <c r="F190" s="1" t="str">
        <f>VLOOKUP(E190,'Sector &amp; Policy Match'!$G$1:$H$8,2,0)</f>
        <v>Early Facility Retirement</v>
      </c>
      <c r="H190" s="2">
        <v>2023</v>
      </c>
      <c r="I190" s="2">
        <v>2027</v>
      </c>
      <c r="J190" s="6">
        <v>0.35</v>
      </c>
      <c r="K190" s="2">
        <v>37</v>
      </c>
      <c r="L190" s="39">
        <f t="shared" si="3"/>
        <v>105.71428571428572</v>
      </c>
      <c r="M190" s="7">
        <v>2060</v>
      </c>
    </row>
    <row r="191" spans="1:13" x14ac:dyDescent="0.25">
      <c r="A191" s="2">
        <v>2022</v>
      </c>
      <c r="B191" s="1" t="s">
        <v>326</v>
      </c>
      <c r="C191" s="2" t="s">
        <v>184</v>
      </c>
      <c r="D191" s="29" t="str">
        <f>IFERROR(VLOOKUP(C191,'Sector &amp; Policy Match'!$A$1:$B$42,2,0),"")</f>
        <v>textiles apparel and leather 13T15</v>
      </c>
      <c r="E191" s="2" t="s">
        <v>113</v>
      </c>
      <c r="F191" s="1" t="str">
        <f>VLOOKUP(E191,'Sector &amp; Policy Match'!$G$1:$H$8,2,0)</f>
        <v>Early Facility Retirement</v>
      </c>
      <c r="H191" s="2">
        <v>2023</v>
      </c>
      <c r="I191" s="2">
        <v>2027</v>
      </c>
      <c r="J191" s="6">
        <v>0.3</v>
      </c>
      <c r="K191" s="2">
        <v>96</v>
      </c>
      <c r="L191" s="39">
        <f t="shared" si="3"/>
        <v>320</v>
      </c>
      <c r="M191" s="7">
        <v>2060</v>
      </c>
    </row>
    <row r="192" spans="1:13" x14ac:dyDescent="0.25">
      <c r="A192" s="2">
        <v>2022</v>
      </c>
      <c r="B192" s="1" t="s">
        <v>327</v>
      </c>
      <c r="C192" s="2" t="s">
        <v>328</v>
      </c>
      <c r="D192" s="29" t="str">
        <f>IFERROR(VLOOKUP(C192,'Sector &amp; Policy Match'!$A$1:$B$42,2,0),"")</f>
        <v>computers and electronics 26</v>
      </c>
      <c r="E192" s="2" t="s">
        <v>113</v>
      </c>
      <c r="F192" s="1" t="str">
        <f>VLOOKUP(E192,'Sector &amp; Policy Match'!$G$1:$H$8,2,0)</f>
        <v>Early Facility Retirement</v>
      </c>
      <c r="H192" s="2">
        <v>2023</v>
      </c>
      <c r="I192" s="2">
        <v>2027</v>
      </c>
      <c r="J192" s="6">
        <v>0.21</v>
      </c>
      <c r="K192" s="2">
        <v>11</v>
      </c>
      <c r="L192" s="39">
        <f t="shared" si="3"/>
        <v>52.38095238095238</v>
      </c>
      <c r="M192" s="7">
        <v>2060</v>
      </c>
    </row>
    <row r="193" spans="1:13" x14ac:dyDescent="0.25">
      <c r="A193" s="2">
        <v>2022</v>
      </c>
      <c r="B193" s="1" t="s">
        <v>329</v>
      </c>
      <c r="C193" s="2" t="s">
        <v>317</v>
      </c>
      <c r="D193" s="15" t="str">
        <f>IFERROR(VLOOKUP(C193,'Sector &amp; Policy Match'!$A$1:$B$42,2,0),"")</f>
        <v>机械行业</v>
      </c>
      <c r="E193" s="2" t="s">
        <v>113</v>
      </c>
      <c r="F193" s="1" t="str">
        <f>VLOOKUP(E193,'Sector &amp; Policy Match'!$G$1:$H$8,2,0)</f>
        <v>Early Facility Retirement</v>
      </c>
      <c r="H193" s="2">
        <v>2023</v>
      </c>
      <c r="I193" s="2">
        <v>2027</v>
      </c>
      <c r="J193" s="6">
        <v>0.8</v>
      </c>
      <c r="K193" s="2">
        <v>9</v>
      </c>
      <c r="L193" s="39">
        <f t="shared" si="3"/>
        <v>11.25</v>
      </c>
      <c r="M193" s="7">
        <v>2060</v>
      </c>
    </row>
    <row r="194" spans="1:13" x14ac:dyDescent="0.25">
      <c r="A194" s="2">
        <v>2022</v>
      </c>
      <c r="B194" s="1" t="s">
        <v>330</v>
      </c>
      <c r="C194" s="2" t="s">
        <v>317</v>
      </c>
      <c r="D194" s="15" t="str">
        <f>IFERROR(VLOOKUP(C194,'Sector &amp; Policy Match'!$A$1:$B$42,2,0),"")</f>
        <v>机械行业</v>
      </c>
      <c r="E194" s="2" t="s">
        <v>113</v>
      </c>
      <c r="F194" s="1" t="str">
        <f>VLOOKUP(E194,'Sector &amp; Policy Match'!$G$1:$H$8,2,0)</f>
        <v>Early Facility Retirement</v>
      </c>
      <c r="H194" s="2">
        <v>2023</v>
      </c>
      <c r="I194" s="2">
        <v>2027</v>
      </c>
      <c r="J194" s="6">
        <v>0.05</v>
      </c>
      <c r="K194" s="2">
        <v>11</v>
      </c>
      <c r="L194" s="39">
        <f t="shared" ref="L194:L249" si="4">(1-IF(G194="≤1%",0,G194))/(J194-IF(G194="≤1%",0,G194))*K194</f>
        <v>220</v>
      </c>
      <c r="M194" s="7">
        <v>2060</v>
      </c>
    </row>
    <row r="195" spans="1:13" x14ac:dyDescent="0.25">
      <c r="A195" s="2">
        <v>2022</v>
      </c>
      <c r="B195" s="1" t="s">
        <v>331</v>
      </c>
      <c r="C195" s="2" t="s">
        <v>328</v>
      </c>
      <c r="D195" s="29" t="str">
        <f>IFERROR(VLOOKUP(C195,'Sector &amp; Policy Match'!$A$1:$B$42,2,0),"")</f>
        <v>computers and electronics 26</v>
      </c>
      <c r="E195" s="2" t="s">
        <v>113</v>
      </c>
      <c r="F195" s="1" t="str">
        <f>VLOOKUP(E195,'Sector &amp; Policy Match'!$G$1:$H$8,2,0)</f>
        <v>Early Facility Retirement</v>
      </c>
      <c r="H195" s="2">
        <v>2023</v>
      </c>
      <c r="I195" s="2">
        <v>2027</v>
      </c>
      <c r="J195" s="6">
        <v>0.2</v>
      </c>
      <c r="K195" s="2">
        <v>30</v>
      </c>
      <c r="L195" s="39">
        <f t="shared" si="4"/>
        <v>150</v>
      </c>
      <c r="M195" s="7">
        <v>2060</v>
      </c>
    </row>
    <row r="196" spans="1:13" x14ac:dyDescent="0.25">
      <c r="A196" s="2">
        <v>2022</v>
      </c>
      <c r="B196" s="1" t="s">
        <v>332</v>
      </c>
      <c r="C196" s="2" t="s">
        <v>333</v>
      </c>
      <c r="D196" s="29" t="str">
        <f>IFERROR(VLOOKUP(C196,'Sector &amp; Policy Match'!$A$1:$B$42,2,0),"")</f>
        <v>appliances and electrical equipment 27</v>
      </c>
      <c r="E196" s="2" t="s">
        <v>113</v>
      </c>
      <c r="F196" s="1" t="str">
        <f>VLOOKUP(E196,'Sector &amp; Policy Match'!$G$1:$H$8,2,0)</f>
        <v>Early Facility Retirement</v>
      </c>
      <c r="H196" s="2">
        <v>2023</v>
      </c>
      <c r="I196" s="2">
        <v>2027</v>
      </c>
      <c r="J196" s="6">
        <v>0.9</v>
      </c>
      <c r="K196" s="2">
        <v>450</v>
      </c>
      <c r="L196" s="39">
        <f t="shared" si="4"/>
        <v>500</v>
      </c>
      <c r="M196" s="7">
        <v>2060</v>
      </c>
    </row>
    <row r="197" spans="1:13" x14ac:dyDescent="0.25">
      <c r="A197" s="2">
        <v>2022</v>
      </c>
      <c r="B197" s="1" t="s">
        <v>334</v>
      </c>
      <c r="C197" s="2" t="s">
        <v>143</v>
      </c>
      <c r="D197" s="29" t="str">
        <f>IFERROR(VLOOKUP(C197,'Sector &amp; Policy Match'!$A$1:$B$42,2,0),"")</f>
        <v>电力、热力生产</v>
      </c>
      <c r="E197" s="2" t="s">
        <v>244</v>
      </c>
      <c r="F197" s="1" t="str">
        <f>VLOOKUP(E197,'Sector &amp; Policy Match'!$G$1:$H$8,2,0)</f>
        <v>Early Facility Retirement</v>
      </c>
      <c r="H197" s="2">
        <v>2023</v>
      </c>
      <c r="I197" s="2">
        <v>2027</v>
      </c>
      <c r="J197" s="6">
        <v>0.06</v>
      </c>
      <c r="K197" s="2">
        <v>20</v>
      </c>
      <c r="L197" s="39">
        <f t="shared" si="4"/>
        <v>333.33333333333337</v>
      </c>
      <c r="M197" s="7">
        <v>2060</v>
      </c>
    </row>
    <row r="198" spans="1:13" x14ac:dyDescent="0.25">
      <c r="A198" s="2">
        <v>2022</v>
      </c>
      <c r="B198" s="1" t="s">
        <v>335</v>
      </c>
      <c r="C198" s="2" t="s">
        <v>143</v>
      </c>
      <c r="D198" s="29" t="str">
        <f>IFERROR(VLOOKUP(C198,'Sector &amp; Policy Match'!$A$1:$B$42,2,0),"")</f>
        <v>电力、热力生产</v>
      </c>
      <c r="E198" s="2" t="s">
        <v>244</v>
      </c>
      <c r="F198" s="1" t="str">
        <f>VLOOKUP(E198,'Sector &amp; Policy Match'!$G$1:$H$8,2,0)</f>
        <v>Early Facility Retirement</v>
      </c>
      <c r="H198" s="2">
        <v>2023</v>
      </c>
      <c r="I198" s="2">
        <v>2027</v>
      </c>
      <c r="J198" s="6">
        <v>0.25</v>
      </c>
      <c r="K198" s="2">
        <v>11</v>
      </c>
      <c r="L198" s="39">
        <f t="shared" si="4"/>
        <v>44</v>
      </c>
      <c r="M198" s="7">
        <v>2060</v>
      </c>
    </row>
    <row r="199" spans="1:13" x14ac:dyDescent="0.25">
      <c r="A199" s="2">
        <v>2022</v>
      </c>
      <c r="B199" s="1" t="s">
        <v>336</v>
      </c>
      <c r="C199" s="2" t="s">
        <v>143</v>
      </c>
      <c r="D199" s="29" t="str">
        <f>IFERROR(VLOOKUP(C199,'Sector &amp; Policy Match'!$A$1:$B$42,2,0),"")</f>
        <v>电力、热力生产</v>
      </c>
      <c r="E199" s="2" t="s">
        <v>244</v>
      </c>
      <c r="F199" s="1" t="str">
        <f>VLOOKUP(E199,'Sector &amp; Policy Match'!$G$1:$H$8,2,0)</f>
        <v>Early Facility Retirement</v>
      </c>
      <c r="H199" s="2">
        <v>2023</v>
      </c>
      <c r="I199" s="2">
        <v>2027</v>
      </c>
      <c r="J199" s="6">
        <v>0.08</v>
      </c>
      <c r="K199" s="2">
        <v>12</v>
      </c>
      <c r="L199" s="39">
        <f t="shared" si="4"/>
        <v>150</v>
      </c>
      <c r="M199" s="7">
        <v>2060</v>
      </c>
    </row>
    <row r="200" spans="1:13" x14ac:dyDescent="0.25">
      <c r="A200" s="2">
        <v>2022</v>
      </c>
      <c r="B200" s="1" t="s">
        <v>337</v>
      </c>
      <c r="C200" s="2" t="s">
        <v>143</v>
      </c>
      <c r="D200" s="29" t="str">
        <f>IFERROR(VLOOKUP(C200,'Sector &amp; Policy Match'!$A$1:$B$42,2,0),"")</f>
        <v>电力、热力生产</v>
      </c>
      <c r="E200" s="2" t="s">
        <v>244</v>
      </c>
      <c r="F200" s="1" t="str">
        <f>VLOOKUP(E200,'Sector &amp; Policy Match'!$G$1:$H$8,2,0)</f>
        <v>Early Facility Retirement</v>
      </c>
      <c r="H200" s="2">
        <v>2023</v>
      </c>
      <c r="I200" s="2">
        <v>2027</v>
      </c>
      <c r="J200" s="6">
        <v>0.05</v>
      </c>
      <c r="K200" s="2">
        <v>69</v>
      </c>
      <c r="L200" s="39">
        <f t="shared" si="4"/>
        <v>1380</v>
      </c>
      <c r="M200" s="7">
        <v>2060</v>
      </c>
    </row>
    <row r="201" spans="1:13" x14ac:dyDescent="0.25">
      <c r="A201" s="2">
        <v>2022</v>
      </c>
      <c r="B201" s="1" t="s">
        <v>338</v>
      </c>
      <c r="C201" s="2" t="s">
        <v>143</v>
      </c>
      <c r="D201" s="29" t="str">
        <f>IFERROR(VLOOKUP(C201,'Sector &amp; Policy Match'!$A$1:$B$42,2,0),"")</f>
        <v>电力、热力生产</v>
      </c>
      <c r="E201" s="2" t="s">
        <v>244</v>
      </c>
      <c r="F201" s="1" t="str">
        <f>VLOOKUP(E201,'Sector &amp; Policy Match'!$G$1:$H$8,2,0)</f>
        <v>Early Facility Retirement</v>
      </c>
      <c r="H201" s="2">
        <v>2023</v>
      </c>
      <c r="I201" s="2">
        <v>2027</v>
      </c>
      <c r="J201" s="6">
        <v>0.05</v>
      </c>
      <c r="K201" s="2">
        <v>10</v>
      </c>
      <c r="L201" s="39">
        <f t="shared" si="4"/>
        <v>200</v>
      </c>
      <c r="M201" s="7">
        <v>2060</v>
      </c>
    </row>
    <row r="202" spans="1:13" x14ac:dyDescent="0.25">
      <c r="A202" s="2">
        <v>2022</v>
      </c>
      <c r="B202" s="1" t="s">
        <v>339</v>
      </c>
      <c r="C202" s="2" t="s">
        <v>143</v>
      </c>
      <c r="D202" s="29" t="str">
        <f>IFERROR(VLOOKUP(C202,'Sector &amp; Policy Match'!$A$1:$B$42,2,0),"")</f>
        <v>电力、热力生产</v>
      </c>
      <c r="E202" s="2" t="s">
        <v>244</v>
      </c>
      <c r="F202" s="1" t="str">
        <f>VLOOKUP(E202,'Sector &amp; Policy Match'!$G$1:$H$8,2,0)</f>
        <v>Early Facility Retirement</v>
      </c>
      <c r="H202" s="2">
        <v>2023</v>
      </c>
      <c r="I202" s="2">
        <v>2027</v>
      </c>
      <c r="J202" s="6">
        <v>0.1</v>
      </c>
      <c r="K202" s="2">
        <v>12</v>
      </c>
      <c r="L202" s="39">
        <f t="shared" si="4"/>
        <v>120</v>
      </c>
      <c r="M202" s="7">
        <v>2060</v>
      </c>
    </row>
    <row r="203" spans="1:13" x14ac:dyDescent="0.25">
      <c r="A203" s="2">
        <v>2022</v>
      </c>
      <c r="B203" s="1" t="s">
        <v>340</v>
      </c>
      <c r="C203" s="2" t="s">
        <v>143</v>
      </c>
      <c r="D203" s="29" t="str">
        <f>IFERROR(VLOOKUP(C203,'Sector &amp; Policy Match'!$A$1:$B$42,2,0),"")</f>
        <v>电力、热力生产</v>
      </c>
      <c r="E203" s="2" t="s">
        <v>244</v>
      </c>
      <c r="F203" s="1" t="str">
        <f>VLOOKUP(E203,'Sector &amp; Policy Match'!$G$1:$H$8,2,0)</f>
        <v>Early Facility Retirement</v>
      </c>
      <c r="H203" s="2">
        <v>2023</v>
      </c>
      <c r="I203" s="2">
        <v>2027</v>
      </c>
      <c r="J203" s="6">
        <v>0.08</v>
      </c>
      <c r="K203" s="2">
        <v>85</v>
      </c>
      <c r="L203" s="39">
        <f t="shared" si="4"/>
        <v>1062.5</v>
      </c>
      <c r="M203" s="7">
        <v>2060</v>
      </c>
    </row>
    <row r="204" spans="1:13" x14ac:dyDescent="0.25">
      <c r="A204" s="2">
        <v>2022</v>
      </c>
      <c r="B204" s="1" t="s">
        <v>341</v>
      </c>
      <c r="C204" s="2" t="s">
        <v>143</v>
      </c>
      <c r="D204" s="29" t="str">
        <f>IFERROR(VLOOKUP(C204,'Sector &amp; Policy Match'!$A$1:$B$42,2,0),"")</f>
        <v>电力、热力生产</v>
      </c>
      <c r="E204" s="2" t="s">
        <v>244</v>
      </c>
      <c r="F204" s="1" t="str">
        <f>VLOOKUP(E204,'Sector &amp; Policy Match'!$G$1:$H$8,2,0)</f>
        <v>Early Facility Retirement</v>
      </c>
      <c r="H204" s="2">
        <v>2023</v>
      </c>
      <c r="I204" s="2">
        <v>2027</v>
      </c>
      <c r="J204" s="6">
        <v>0.04</v>
      </c>
      <c r="K204" s="2">
        <v>9</v>
      </c>
      <c r="L204" s="39">
        <f t="shared" si="4"/>
        <v>225</v>
      </c>
      <c r="M204" s="7">
        <v>2060</v>
      </c>
    </row>
    <row r="205" spans="1:13" x14ac:dyDescent="0.25">
      <c r="A205" s="2">
        <v>2022</v>
      </c>
      <c r="B205" s="1" t="s">
        <v>342</v>
      </c>
      <c r="C205" s="2" t="s">
        <v>143</v>
      </c>
      <c r="D205" s="29" t="str">
        <f>IFERROR(VLOOKUP(C205,'Sector &amp; Policy Match'!$A$1:$B$42,2,0),"")</f>
        <v>电力、热力生产</v>
      </c>
      <c r="E205" s="2" t="s">
        <v>244</v>
      </c>
      <c r="F205" s="1" t="str">
        <f>VLOOKUP(E205,'Sector &amp; Policy Match'!$G$1:$H$8,2,0)</f>
        <v>Early Facility Retirement</v>
      </c>
      <c r="H205" s="2">
        <v>2023</v>
      </c>
      <c r="I205" s="2">
        <v>2027</v>
      </c>
      <c r="J205" s="6">
        <v>0.02</v>
      </c>
      <c r="K205" s="2">
        <v>19</v>
      </c>
      <c r="L205" s="39">
        <f t="shared" si="4"/>
        <v>950</v>
      </c>
      <c r="M205" s="7">
        <v>2060</v>
      </c>
    </row>
    <row r="206" spans="1:13" x14ac:dyDescent="0.25">
      <c r="A206" s="2">
        <v>2022</v>
      </c>
      <c r="B206" s="1" t="s">
        <v>343</v>
      </c>
      <c r="C206" s="2" t="s">
        <v>143</v>
      </c>
      <c r="D206" s="29" t="str">
        <f>IFERROR(VLOOKUP(C206,'Sector &amp; Policy Match'!$A$1:$B$42,2,0),"")</f>
        <v>电力、热力生产</v>
      </c>
      <c r="E206" s="2" t="s">
        <v>244</v>
      </c>
      <c r="F206" s="1" t="str">
        <f>VLOOKUP(E206,'Sector &amp; Policy Match'!$G$1:$H$8,2,0)</f>
        <v>Early Facility Retirement</v>
      </c>
      <c r="H206" s="2">
        <v>2023</v>
      </c>
      <c r="I206" s="2">
        <v>2027</v>
      </c>
      <c r="J206" s="6">
        <v>0.01</v>
      </c>
      <c r="K206" s="2">
        <v>10</v>
      </c>
      <c r="L206" s="39">
        <f t="shared" si="4"/>
        <v>1000</v>
      </c>
      <c r="M206" s="7">
        <v>2060</v>
      </c>
    </row>
    <row r="207" spans="1:13" x14ac:dyDescent="0.25">
      <c r="A207" s="2">
        <v>2022</v>
      </c>
      <c r="B207" s="1" t="s">
        <v>344</v>
      </c>
      <c r="C207" s="2" t="s">
        <v>119</v>
      </c>
      <c r="D207" s="29" t="str">
        <f>IFERROR(VLOOKUP(C207,'Sector &amp; Policy Match'!$A$1:$B$42,2,0),"")</f>
        <v>iron and steel 241</v>
      </c>
      <c r="E207" s="2" t="s">
        <v>146</v>
      </c>
      <c r="F207" s="1" t="str">
        <f>VLOOKUP(E207,'Sector &amp; Policy Match'!$G$1:$H$8,2,0)</f>
        <v>Improvement in Eqpt Efficiency Standards</v>
      </c>
      <c r="H207" s="2">
        <v>2023</v>
      </c>
      <c r="I207" s="2">
        <v>2027</v>
      </c>
      <c r="J207" s="6">
        <v>0.05</v>
      </c>
      <c r="K207" s="2">
        <v>31</v>
      </c>
      <c r="L207" s="39">
        <f t="shared" si="4"/>
        <v>620</v>
      </c>
      <c r="M207" s="7">
        <v>2060</v>
      </c>
    </row>
    <row r="208" spans="1:13" x14ac:dyDescent="0.25">
      <c r="A208" s="2">
        <v>2022</v>
      </c>
      <c r="B208" s="1" t="s">
        <v>345</v>
      </c>
      <c r="C208" s="2" t="s">
        <v>153</v>
      </c>
      <c r="D208" s="15" t="str">
        <f>IFERROR(VLOOKUP(C208,'Sector &amp; Policy Match'!$A$1:$B$42,2,0),"")</f>
        <v>空调系统</v>
      </c>
      <c r="E208" s="2" t="s">
        <v>146</v>
      </c>
      <c r="F208" s="1" t="str">
        <f>VLOOKUP(E208,'Sector &amp; Policy Match'!$G$1:$H$8,2,0)</f>
        <v>Improvement in Eqpt Efficiency Standards</v>
      </c>
      <c r="H208" s="2">
        <v>2023</v>
      </c>
      <c r="I208" s="2">
        <v>2027</v>
      </c>
      <c r="J208" s="6">
        <v>0.1</v>
      </c>
      <c r="K208" s="2">
        <v>89</v>
      </c>
      <c r="L208" s="39">
        <f t="shared" si="4"/>
        <v>890</v>
      </c>
      <c r="M208" s="7">
        <v>2060</v>
      </c>
    </row>
    <row r="209" spans="1:13" x14ac:dyDescent="0.25">
      <c r="A209" s="2">
        <v>2022</v>
      </c>
      <c r="B209" s="1" t="s">
        <v>346</v>
      </c>
      <c r="C209" s="2" t="s">
        <v>213</v>
      </c>
      <c r="D209" s="15" t="str">
        <f>IFERROR(VLOOKUP(C209,'Sector &amp; Policy Match'!$A$1:$B$42,2,0),"")</f>
        <v>风机系统</v>
      </c>
      <c r="E209" s="2" t="s">
        <v>146</v>
      </c>
      <c r="F209" s="1" t="str">
        <f>VLOOKUP(E209,'Sector &amp; Policy Match'!$G$1:$H$8,2,0)</f>
        <v>Improvement in Eqpt Efficiency Standards</v>
      </c>
      <c r="H209" s="2">
        <v>2023</v>
      </c>
      <c r="I209" s="2">
        <v>2027</v>
      </c>
      <c r="J209" s="6">
        <v>0.25</v>
      </c>
      <c r="K209" s="2">
        <v>77</v>
      </c>
      <c r="L209" s="39">
        <f t="shared" si="4"/>
        <v>308</v>
      </c>
      <c r="M209" s="7">
        <v>2060</v>
      </c>
    </row>
    <row r="210" spans="1:13" x14ac:dyDescent="0.25">
      <c r="A210" s="2">
        <v>2022</v>
      </c>
      <c r="B210" s="1" t="s">
        <v>347</v>
      </c>
      <c r="C210" s="2" t="s">
        <v>143</v>
      </c>
      <c r="D210" s="29" t="str">
        <f>IFERROR(VLOOKUP(C210,'Sector &amp; Policy Match'!$A$1:$B$42,2,0),"")</f>
        <v>电力、热力生产</v>
      </c>
      <c r="E210" s="2" t="s">
        <v>146</v>
      </c>
      <c r="F210" s="1" t="str">
        <f>VLOOKUP(E210,'Sector &amp; Policy Match'!$G$1:$H$8,2,0)</f>
        <v>Improvement in Eqpt Efficiency Standards</v>
      </c>
      <c r="H210" s="2">
        <v>2023</v>
      </c>
      <c r="I210" s="2">
        <v>2027</v>
      </c>
      <c r="J210" s="6">
        <v>0.05</v>
      </c>
      <c r="K210" s="2">
        <v>11</v>
      </c>
      <c r="L210" s="39">
        <f t="shared" si="4"/>
        <v>220</v>
      </c>
      <c r="M210" s="7">
        <v>2060</v>
      </c>
    </row>
    <row r="211" spans="1:13" x14ac:dyDescent="0.25">
      <c r="A211" s="2">
        <v>2022</v>
      </c>
      <c r="B211" s="1" t="s">
        <v>348</v>
      </c>
      <c r="C211" s="2" t="s">
        <v>130</v>
      </c>
      <c r="D211" s="15" t="str">
        <f>IFERROR(VLOOKUP(C211,'Sector &amp; Policy Match'!$A$1:$B$42,2,0),"")</f>
        <v>工业锅炉</v>
      </c>
      <c r="E211" s="2" t="s">
        <v>146</v>
      </c>
      <c r="F211" s="1" t="str">
        <f>VLOOKUP(E211,'Sector &amp; Policy Match'!$G$1:$H$8,2,0)</f>
        <v>Improvement in Eqpt Efficiency Standards</v>
      </c>
      <c r="H211" s="2">
        <v>2023</v>
      </c>
      <c r="I211" s="2">
        <v>2027</v>
      </c>
      <c r="J211" s="6">
        <v>0.05</v>
      </c>
      <c r="K211" s="2">
        <v>15</v>
      </c>
      <c r="L211" s="39">
        <f t="shared" si="4"/>
        <v>300</v>
      </c>
      <c r="M211" s="7">
        <v>2060</v>
      </c>
    </row>
    <row r="212" spans="1:13" x14ac:dyDescent="0.25">
      <c r="A212" s="2">
        <v>2022</v>
      </c>
      <c r="B212" s="1" t="s">
        <v>349</v>
      </c>
      <c r="C212" s="2" t="s">
        <v>130</v>
      </c>
      <c r="D212" s="15" t="str">
        <f>IFERROR(VLOOKUP(C212,'Sector &amp; Policy Match'!$A$1:$B$42,2,0),"")</f>
        <v>工业锅炉</v>
      </c>
      <c r="E212" s="2" t="s">
        <v>146</v>
      </c>
      <c r="F212" s="1" t="str">
        <f>VLOOKUP(E212,'Sector &amp; Policy Match'!$G$1:$H$8,2,0)</f>
        <v>Improvement in Eqpt Efficiency Standards</v>
      </c>
      <c r="H212" s="2">
        <v>2023</v>
      </c>
      <c r="I212" s="2">
        <v>2027</v>
      </c>
      <c r="J212" s="6">
        <v>0.16</v>
      </c>
      <c r="K212" s="2">
        <v>11</v>
      </c>
      <c r="L212" s="39">
        <f t="shared" si="4"/>
        <v>68.75</v>
      </c>
      <c r="M212" s="7">
        <v>2060</v>
      </c>
    </row>
    <row r="213" spans="1:13" x14ac:dyDescent="0.25">
      <c r="A213" s="2">
        <v>2022</v>
      </c>
      <c r="B213" s="1" t="s">
        <v>350</v>
      </c>
      <c r="C213" s="2" t="s">
        <v>130</v>
      </c>
      <c r="D213" s="15" t="str">
        <f>IFERROR(VLOOKUP(C213,'Sector &amp; Policy Match'!$A$1:$B$42,2,0),"")</f>
        <v>工业锅炉</v>
      </c>
      <c r="E213" s="2" t="s">
        <v>137</v>
      </c>
      <c r="F213" s="1" t="str">
        <f>VLOOKUP(E213,'Sector &amp; Policy Match'!$G$1:$H$8,2,0)</f>
        <v>Cogeneration and Waste Heat Recovery</v>
      </c>
      <c r="H213" s="2">
        <v>2023</v>
      </c>
      <c r="I213" s="2">
        <v>2027</v>
      </c>
      <c r="J213" s="6">
        <v>0.3</v>
      </c>
      <c r="K213" s="2">
        <v>33</v>
      </c>
      <c r="L213" s="39">
        <f t="shared" si="4"/>
        <v>110</v>
      </c>
      <c r="M213" s="7">
        <v>2060</v>
      </c>
    </row>
    <row r="214" spans="1:13" x14ac:dyDescent="0.25">
      <c r="A214" s="2">
        <v>2022</v>
      </c>
      <c r="B214" s="1" t="s">
        <v>351</v>
      </c>
      <c r="C214" s="2" t="s">
        <v>238</v>
      </c>
      <c r="D214" s="15" t="str">
        <f>IFERROR(VLOOKUP(C214,'Sector &amp; Policy Match'!$A$1:$B$42,2,0),"")</f>
        <v>工业炉窑</v>
      </c>
      <c r="E214" s="2" t="s">
        <v>146</v>
      </c>
      <c r="F214" s="1" t="str">
        <f>VLOOKUP(E214,'Sector &amp; Policy Match'!$G$1:$H$8,2,0)</f>
        <v>Improvement in Eqpt Efficiency Standards</v>
      </c>
      <c r="H214" s="2">
        <v>2023</v>
      </c>
      <c r="I214" s="2">
        <v>2027</v>
      </c>
      <c r="J214" s="6">
        <v>0.05</v>
      </c>
      <c r="K214" s="2">
        <v>30</v>
      </c>
      <c r="L214" s="39">
        <f t="shared" si="4"/>
        <v>600</v>
      </c>
      <c r="M214" s="7">
        <v>2060</v>
      </c>
    </row>
    <row r="215" spans="1:13" x14ac:dyDescent="0.25">
      <c r="A215" s="2">
        <v>2022</v>
      </c>
      <c r="B215" s="1" t="s">
        <v>352</v>
      </c>
      <c r="C215" s="2" t="s">
        <v>150</v>
      </c>
      <c r="D215" s="15" t="str">
        <f>IFERROR(VLOOKUP(C215,'Sector &amp; Policy Match'!$A$1:$B$42,2,0),"")</f>
        <v>电动机系统</v>
      </c>
      <c r="E215" s="2" t="s">
        <v>146</v>
      </c>
      <c r="F215" s="1" t="str">
        <f>VLOOKUP(E215,'Sector &amp; Policy Match'!$G$1:$H$8,2,0)</f>
        <v>Improvement in Eqpt Efficiency Standards</v>
      </c>
      <c r="H215" s="2">
        <v>2023</v>
      </c>
      <c r="I215" s="2">
        <v>2027</v>
      </c>
      <c r="J215" s="6">
        <v>0.05</v>
      </c>
      <c r="K215" s="2">
        <v>13</v>
      </c>
      <c r="L215" s="39">
        <f t="shared" si="4"/>
        <v>260</v>
      </c>
      <c r="M215" s="7">
        <v>2060</v>
      </c>
    </row>
    <row r="216" spans="1:13" x14ac:dyDescent="0.25">
      <c r="A216" s="2">
        <v>2022</v>
      </c>
      <c r="B216" s="1" t="s">
        <v>353</v>
      </c>
      <c r="D216" s="29" t="str">
        <f>IFERROR(VLOOKUP(C216,'Sector &amp; Policy Match'!$A$1:$B$42,2,0),"")</f>
        <v/>
      </c>
      <c r="E216" s="2" t="s">
        <v>146</v>
      </c>
      <c r="F216" s="1" t="str">
        <f>VLOOKUP(E216,'Sector &amp; Policy Match'!$G$1:$H$8,2,0)</f>
        <v>Improvement in Eqpt Efficiency Standards</v>
      </c>
      <c r="H216" s="2">
        <v>2023</v>
      </c>
      <c r="I216" s="2">
        <v>2027</v>
      </c>
      <c r="J216" s="6">
        <v>0.01</v>
      </c>
      <c r="K216" s="2">
        <v>81</v>
      </c>
      <c r="L216" s="39">
        <f t="shared" si="4"/>
        <v>8100</v>
      </c>
      <c r="M216" s="7">
        <v>2060</v>
      </c>
    </row>
    <row r="217" spans="1:13" x14ac:dyDescent="0.25">
      <c r="A217" s="2">
        <v>2022</v>
      </c>
      <c r="B217" s="1" t="s">
        <v>354</v>
      </c>
      <c r="C217" s="2" t="s">
        <v>355</v>
      </c>
      <c r="D217" s="15" t="str">
        <f>IFERROR(VLOOKUP(C217,'Sector &amp; Policy Match'!$A$1:$B$42,2,0),"")</f>
        <v>工业水泵</v>
      </c>
      <c r="E217" s="2" t="s">
        <v>146</v>
      </c>
      <c r="F217" s="1" t="str">
        <f>VLOOKUP(E217,'Sector &amp; Policy Match'!$G$1:$H$8,2,0)</f>
        <v>Improvement in Eqpt Efficiency Standards</v>
      </c>
      <c r="H217" s="2">
        <v>2023</v>
      </c>
      <c r="I217" s="2">
        <v>2027</v>
      </c>
      <c r="J217" s="6">
        <v>0.15</v>
      </c>
      <c r="K217" s="2">
        <v>46</v>
      </c>
      <c r="L217" s="39">
        <f t="shared" si="4"/>
        <v>306.66666666666669</v>
      </c>
      <c r="M217" s="7">
        <v>2060</v>
      </c>
    </row>
    <row r="218" spans="1:13" x14ac:dyDescent="0.25">
      <c r="A218" s="2">
        <v>2022</v>
      </c>
      <c r="B218" s="1" t="s">
        <v>356</v>
      </c>
      <c r="C218" s="2" t="s">
        <v>150</v>
      </c>
      <c r="D218" s="15" t="str">
        <f>IFERROR(VLOOKUP(C218,'Sector &amp; Policy Match'!$A$1:$B$42,2,0),"")</f>
        <v>电动机系统</v>
      </c>
      <c r="E218" s="2" t="s">
        <v>146</v>
      </c>
      <c r="F218" s="1" t="str">
        <f>VLOOKUP(E218,'Sector &amp; Policy Match'!$G$1:$H$8,2,0)</f>
        <v>Improvement in Eqpt Efficiency Standards</v>
      </c>
      <c r="H218" s="2">
        <v>2023</v>
      </c>
      <c r="I218" s="2">
        <v>2027</v>
      </c>
      <c r="J218" s="6">
        <v>0.4</v>
      </c>
      <c r="K218" s="2">
        <v>20</v>
      </c>
      <c r="L218" s="39">
        <f t="shared" si="4"/>
        <v>50</v>
      </c>
      <c r="M218" s="7">
        <v>2060</v>
      </c>
    </row>
    <row r="219" spans="1:13" x14ac:dyDescent="0.25">
      <c r="A219" s="2">
        <v>2022</v>
      </c>
      <c r="B219" s="1" t="s">
        <v>357</v>
      </c>
      <c r="C219" s="33" t="s">
        <v>378</v>
      </c>
      <c r="D219" s="15" t="str">
        <f>IFERROR(VLOOKUP(C219,'Sector &amp; Policy Match'!$A$1:$B$42,2,0),"")</f>
        <v>压缩空气系统</v>
      </c>
      <c r="E219" s="2" t="s">
        <v>146</v>
      </c>
      <c r="F219" s="1" t="str">
        <f>VLOOKUP(E219,'Sector &amp; Policy Match'!$G$1:$H$8,2,0)</f>
        <v>Improvement in Eqpt Efficiency Standards</v>
      </c>
      <c r="H219" s="2">
        <v>2023</v>
      </c>
      <c r="I219" s="2">
        <v>2027</v>
      </c>
      <c r="J219" s="6">
        <v>0.1</v>
      </c>
      <c r="K219" s="2">
        <v>9</v>
      </c>
      <c r="L219" s="39">
        <f t="shared" si="4"/>
        <v>90</v>
      </c>
      <c r="M219" s="7">
        <v>2060</v>
      </c>
    </row>
    <row r="220" spans="1:13" x14ac:dyDescent="0.25">
      <c r="A220" s="2">
        <v>2022</v>
      </c>
      <c r="B220" s="1" t="s">
        <v>358</v>
      </c>
      <c r="C220" s="2" t="s">
        <v>205</v>
      </c>
      <c r="D220" s="29" t="str">
        <f>IFERROR(VLOOKUP(C220,'Sector &amp; Policy Match'!$A$1:$B$42,2,0),"")</f>
        <v>refined petroleum and coke 19</v>
      </c>
      <c r="E220" s="2" t="s">
        <v>146</v>
      </c>
      <c r="F220" s="1" t="str">
        <f>VLOOKUP(E220,'Sector &amp; Policy Match'!$G$1:$H$8,2,0)</f>
        <v>Improvement in Eqpt Efficiency Standards</v>
      </c>
      <c r="H220" s="2">
        <v>2023</v>
      </c>
      <c r="I220" s="2">
        <v>2027</v>
      </c>
      <c r="J220" s="6">
        <v>0.48</v>
      </c>
      <c r="K220" s="2">
        <v>15</v>
      </c>
      <c r="L220" s="39">
        <f t="shared" si="4"/>
        <v>31.250000000000004</v>
      </c>
      <c r="M220" s="7">
        <v>2060</v>
      </c>
    </row>
    <row r="221" spans="1:13" x14ac:dyDescent="0.25">
      <c r="A221" s="2">
        <v>2022</v>
      </c>
      <c r="B221" s="1" t="s">
        <v>359</v>
      </c>
      <c r="D221" s="29" t="str">
        <f>IFERROR(VLOOKUP(C221,'Sector &amp; Policy Match'!$A$1:$B$42,2,0),"")</f>
        <v/>
      </c>
      <c r="E221" s="2" t="s">
        <v>137</v>
      </c>
      <c r="F221" s="1" t="str">
        <f>VLOOKUP(E221,'Sector &amp; Policy Match'!$G$1:$H$8,2,0)</f>
        <v>Cogeneration and Waste Heat Recovery</v>
      </c>
      <c r="H221" s="2">
        <v>2023</v>
      </c>
      <c r="I221" s="2">
        <v>2027</v>
      </c>
      <c r="J221" s="6">
        <v>0.2</v>
      </c>
      <c r="K221" s="2">
        <v>67</v>
      </c>
      <c r="L221" s="39">
        <f t="shared" si="4"/>
        <v>335</v>
      </c>
      <c r="M221" s="7">
        <v>2060</v>
      </c>
    </row>
    <row r="222" spans="1:13" x14ac:dyDescent="0.25">
      <c r="A222" s="2">
        <v>2022</v>
      </c>
      <c r="B222" s="1" t="s">
        <v>360</v>
      </c>
      <c r="C222" s="2" t="s">
        <v>361</v>
      </c>
      <c r="D222" s="15" t="str">
        <f>IFERROR(VLOOKUP(C222,'Sector &amp; Policy Match'!$A$1:$B$42,2,0),"")</f>
        <v>冷却塔</v>
      </c>
      <c r="E222" s="2" t="s">
        <v>146</v>
      </c>
      <c r="F222" s="1" t="str">
        <f>VLOOKUP(E222,'Sector &amp; Policy Match'!$G$1:$H$8,2,0)</f>
        <v>Improvement in Eqpt Efficiency Standards</v>
      </c>
      <c r="H222" s="2">
        <v>2023</v>
      </c>
      <c r="I222" s="2">
        <v>2027</v>
      </c>
      <c r="J222" s="6">
        <v>0.5</v>
      </c>
      <c r="K222" s="2">
        <v>9</v>
      </c>
      <c r="L222" s="39">
        <f t="shared" si="4"/>
        <v>18</v>
      </c>
      <c r="M222" s="7">
        <v>2060</v>
      </c>
    </row>
    <row r="223" spans="1:13" x14ac:dyDescent="0.25">
      <c r="A223" s="2">
        <v>2022</v>
      </c>
      <c r="B223" s="1" t="s">
        <v>362</v>
      </c>
      <c r="C223" s="2" t="s">
        <v>150</v>
      </c>
      <c r="D223" s="15" t="str">
        <f>IFERROR(VLOOKUP(C223,'Sector &amp; Policy Match'!$A$1:$B$42,2,0),"")</f>
        <v>电动机系统</v>
      </c>
      <c r="E223" s="2" t="s">
        <v>146</v>
      </c>
      <c r="F223" s="1" t="str">
        <f>VLOOKUP(E223,'Sector &amp; Policy Match'!$G$1:$H$8,2,0)</f>
        <v>Improvement in Eqpt Efficiency Standards</v>
      </c>
      <c r="H223" s="2">
        <v>2023</v>
      </c>
      <c r="I223" s="2">
        <v>2027</v>
      </c>
      <c r="J223" s="6">
        <v>0.15</v>
      </c>
      <c r="K223" s="2">
        <v>24</v>
      </c>
      <c r="L223" s="39">
        <f t="shared" si="4"/>
        <v>160</v>
      </c>
      <c r="M223" s="7">
        <v>2060</v>
      </c>
    </row>
    <row r="224" spans="1:13" x14ac:dyDescent="0.25">
      <c r="A224" s="9">
        <v>2022</v>
      </c>
      <c r="B224" s="10" t="s">
        <v>363</v>
      </c>
      <c r="C224" s="9" t="s">
        <v>364</v>
      </c>
      <c r="D224" s="30" t="str">
        <f>IFERROR(VLOOKUP(C224,'Sector &amp; Policy Match'!$A$1:$B$42,2,0),"")</f>
        <v/>
      </c>
      <c r="E224" s="9" t="s">
        <v>146</v>
      </c>
      <c r="F224" s="10" t="str">
        <f>VLOOKUP(E224,'Sector &amp; Policy Match'!$G$1:$H$8,2,0)</f>
        <v>Improvement in Eqpt Efficiency Standards</v>
      </c>
      <c r="G224" s="10"/>
      <c r="H224" s="9">
        <v>2023</v>
      </c>
      <c r="I224" s="9">
        <v>2027</v>
      </c>
      <c r="J224" s="11">
        <v>0.3</v>
      </c>
      <c r="K224" s="9">
        <v>9</v>
      </c>
      <c r="L224" s="18">
        <f t="shared" si="4"/>
        <v>30</v>
      </c>
      <c r="M224" s="13">
        <v>2060</v>
      </c>
    </row>
    <row r="225" spans="1:13" x14ac:dyDescent="0.25">
      <c r="A225" s="9">
        <v>2022</v>
      </c>
      <c r="B225" s="10" t="s">
        <v>363</v>
      </c>
      <c r="C225" s="9" t="s">
        <v>205</v>
      </c>
      <c r="D225" s="30" t="str">
        <f>IFERROR(VLOOKUP(C225,'Sector &amp; Policy Match'!$A$1:$B$42,2,0),"")</f>
        <v>refined petroleum and coke 19</v>
      </c>
      <c r="E225" s="9" t="s">
        <v>146</v>
      </c>
      <c r="F225" s="10" t="str">
        <f>VLOOKUP(E225,'Sector &amp; Policy Match'!$G$1:$H$8,2,0)</f>
        <v>Improvement in Eqpt Efficiency Standards</v>
      </c>
      <c r="G225" s="10"/>
      <c r="H225" s="9">
        <v>2023</v>
      </c>
      <c r="I225" s="9">
        <v>2027</v>
      </c>
      <c r="J225" s="11">
        <v>0.3</v>
      </c>
      <c r="K225" s="16">
        <f>BIFUbC!B10/SUM(BIFUbC!B10:B11,BIFUbC!B15)*K224</f>
        <v>5.7371102356383297</v>
      </c>
      <c r="L225" s="18">
        <f t="shared" si="4"/>
        <v>19.1237007854611</v>
      </c>
      <c r="M225" s="13">
        <v>2060</v>
      </c>
    </row>
    <row r="226" spans="1:13" x14ac:dyDescent="0.25">
      <c r="A226" s="9">
        <v>2022</v>
      </c>
      <c r="B226" s="10" t="s">
        <v>363</v>
      </c>
      <c r="C226" s="9" t="s">
        <v>125</v>
      </c>
      <c r="D226" s="30" t="str">
        <f>IFERROR(VLOOKUP(C226,'Sector &amp; Policy Match'!$A$1:$B$42,2,0),"")</f>
        <v>chemicals 20</v>
      </c>
      <c r="E226" s="9" t="s">
        <v>146</v>
      </c>
      <c r="F226" s="10" t="str">
        <f>VLOOKUP(E226,'Sector &amp; Policy Match'!$G$1:$H$8,2,0)</f>
        <v>Improvement in Eqpt Efficiency Standards</v>
      </c>
      <c r="G226" s="10"/>
      <c r="H226" s="9">
        <v>2023</v>
      </c>
      <c r="I226" s="9">
        <v>2027</v>
      </c>
      <c r="J226" s="11">
        <v>0.3</v>
      </c>
      <c r="K226" s="16">
        <f>BIFUbC!B11/SUM(BIFUbC!B10:B11,BIFUbC!B15)*K224</f>
        <v>1.2410807659666834</v>
      </c>
      <c r="L226" s="18">
        <f t="shared" si="4"/>
        <v>4.1369358865556114</v>
      </c>
      <c r="M226" s="13">
        <v>2060</v>
      </c>
    </row>
    <row r="227" spans="1:13" x14ac:dyDescent="0.25">
      <c r="A227" s="9">
        <v>2022</v>
      </c>
      <c r="B227" s="10" t="s">
        <v>363</v>
      </c>
      <c r="C227" s="9" t="s">
        <v>119</v>
      </c>
      <c r="D227" s="30" t="str">
        <f>IFERROR(VLOOKUP(C227,'Sector &amp; Policy Match'!$A$1:$B$42,2,0),"")</f>
        <v>iron and steel 241</v>
      </c>
      <c r="E227" s="9" t="s">
        <v>146</v>
      </c>
      <c r="F227" s="10" t="str">
        <f>VLOOKUP(E227,'Sector &amp; Policy Match'!$G$1:$H$8,2,0)</f>
        <v>Improvement in Eqpt Efficiency Standards</v>
      </c>
      <c r="G227" s="10"/>
      <c r="H227" s="9">
        <v>2023</v>
      </c>
      <c r="I227" s="9">
        <v>2027</v>
      </c>
      <c r="J227" s="11">
        <v>0.3</v>
      </c>
      <c r="K227" s="16">
        <f>BIFUbC!B15/SUM(BIFUbC!B10:B11,BIFUbC!B15)*K224</f>
        <v>2.0218089983949872</v>
      </c>
      <c r="L227" s="18">
        <f t="shared" si="4"/>
        <v>6.7393633279832912</v>
      </c>
      <c r="M227" s="13">
        <v>2060</v>
      </c>
    </row>
    <row r="228" spans="1:13" x14ac:dyDescent="0.25">
      <c r="A228" s="9">
        <v>2022</v>
      </c>
      <c r="B228" s="10" t="s">
        <v>365</v>
      </c>
      <c r="C228" s="9" t="s">
        <v>366</v>
      </c>
      <c r="D228" s="30" t="str">
        <f>IFERROR(VLOOKUP(C228,'Sector &amp; Policy Match'!$A$1:$B$42,2,0),"")</f>
        <v/>
      </c>
      <c r="E228" s="9" t="s">
        <v>367</v>
      </c>
      <c r="F228" s="10" t="str">
        <f>VLOOKUP(E228,'Sector &amp; Policy Match'!$G$1:$H$8,2,0)</f>
        <v>Early Facility Retirement</v>
      </c>
      <c r="G228" s="10"/>
      <c r="H228" s="9">
        <v>2023</v>
      </c>
      <c r="I228" s="9">
        <v>2027</v>
      </c>
      <c r="J228" s="11">
        <v>0.1</v>
      </c>
      <c r="K228" s="9">
        <v>480</v>
      </c>
      <c r="L228" s="18">
        <f t="shared" si="4"/>
        <v>4800</v>
      </c>
      <c r="M228" s="13">
        <v>2060</v>
      </c>
    </row>
    <row r="229" spans="1:13" x14ac:dyDescent="0.25">
      <c r="A229" s="9">
        <v>2022</v>
      </c>
      <c r="B229" s="10" t="s">
        <v>365</v>
      </c>
      <c r="C229" s="9" t="s">
        <v>119</v>
      </c>
      <c r="D229" s="30" t="str">
        <f>IFERROR(VLOOKUP(C229,'Sector &amp; Policy Match'!$A$1:$B$42,2,0),"")</f>
        <v>iron and steel 241</v>
      </c>
      <c r="E229" s="9" t="s">
        <v>367</v>
      </c>
      <c r="F229" s="10" t="str">
        <f>VLOOKUP(E229,'Sector &amp; Policy Match'!$G$1:$H$8,2,0)</f>
        <v>Early Facility Retirement</v>
      </c>
      <c r="G229" s="10"/>
      <c r="H229" s="9">
        <v>2023</v>
      </c>
      <c r="I229" s="9">
        <v>2027</v>
      </c>
      <c r="J229" s="11">
        <v>0.1</v>
      </c>
      <c r="K229" s="18">
        <f>BIFUbC!B15/SUM(BIFUbC!B15:B16,BIFUbC!B10:B11)*K228</f>
        <v>103.68249627695344</v>
      </c>
      <c r="L229" s="18">
        <f t="shared" si="4"/>
        <v>1036.8249627695345</v>
      </c>
      <c r="M229" s="13">
        <v>2060</v>
      </c>
    </row>
    <row r="230" spans="1:13" x14ac:dyDescent="0.25">
      <c r="A230" s="9">
        <v>2022</v>
      </c>
      <c r="B230" s="10" t="s">
        <v>365</v>
      </c>
      <c r="C230" s="9" t="s">
        <v>134</v>
      </c>
      <c r="D230" s="30" t="str">
        <f>IFERROR(VLOOKUP(C230,'Sector &amp; Policy Match'!$A$1:$B$42,2,0),"")</f>
        <v>other metals 242</v>
      </c>
      <c r="E230" s="9" t="s">
        <v>367</v>
      </c>
      <c r="F230" s="10" t="str">
        <f>VLOOKUP(E230,'Sector &amp; Policy Match'!$G$1:$H$8,2,0)</f>
        <v>Early Facility Retirement</v>
      </c>
      <c r="G230" s="10"/>
      <c r="H230" s="9">
        <v>2023</v>
      </c>
      <c r="I230" s="9">
        <v>2027</v>
      </c>
      <c r="J230" s="11">
        <v>0.1</v>
      </c>
      <c r="K230" s="18">
        <f>BIFUbC!B16/SUM(BIFUbC!B15:B16,BIFUbC!B10:B11)*K228</f>
        <v>18.461611738123647</v>
      </c>
      <c r="L230" s="18">
        <f t="shared" si="4"/>
        <v>184.61611738123648</v>
      </c>
      <c r="M230" s="13">
        <v>2060</v>
      </c>
    </row>
    <row r="231" spans="1:13" x14ac:dyDescent="0.25">
      <c r="A231" s="9">
        <v>2022</v>
      </c>
      <c r="B231" s="10" t="s">
        <v>365</v>
      </c>
      <c r="C231" s="9" t="s">
        <v>205</v>
      </c>
      <c r="D231" s="30" t="str">
        <f>IFERROR(VLOOKUP(C231,'Sector &amp; Policy Match'!$A$1:$B$42,2,0),"")</f>
        <v>refined petroleum and coke 19</v>
      </c>
      <c r="E231" s="9" t="s">
        <v>367</v>
      </c>
      <c r="F231" s="10" t="str">
        <f>VLOOKUP(E231,'Sector &amp; Policy Match'!$G$1:$H$8,2,0)</f>
        <v>Early Facility Retirement</v>
      </c>
      <c r="G231" s="10"/>
      <c r="H231" s="9">
        <v>2023</v>
      </c>
      <c r="I231" s="9">
        <v>2027</v>
      </c>
      <c r="J231" s="11">
        <v>0.1</v>
      </c>
      <c r="K231" s="18">
        <f>BIFUbC!B10/SUM(BIFUbC!B15:B16,BIFUbC!B10:B11)*K228</f>
        <v>294.21073460413646</v>
      </c>
      <c r="L231" s="18">
        <f t="shared" si="4"/>
        <v>2942.1073460413645</v>
      </c>
      <c r="M231" s="13">
        <v>2060</v>
      </c>
    </row>
    <row r="232" spans="1:13" x14ac:dyDescent="0.25">
      <c r="A232" s="9">
        <v>2022</v>
      </c>
      <c r="B232" s="10" t="s">
        <v>365</v>
      </c>
      <c r="C232" s="9" t="s">
        <v>125</v>
      </c>
      <c r="D232" s="30" t="str">
        <f>IFERROR(VLOOKUP(C232,'Sector &amp; Policy Match'!$A$1:$B$42,2,0),"")</f>
        <v>chemicals 20</v>
      </c>
      <c r="E232" s="9" t="s">
        <v>367</v>
      </c>
      <c r="F232" s="10" t="str">
        <f>VLOOKUP(E232,'Sector &amp; Policy Match'!$G$1:$H$8,2,0)</f>
        <v>Early Facility Retirement</v>
      </c>
      <c r="G232" s="10"/>
      <c r="H232" s="9">
        <v>2023</v>
      </c>
      <c r="I232" s="9">
        <v>2027</v>
      </c>
      <c r="J232" s="11">
        <v>0.1</v>
      </c>
      <c r="K232" s="18">
        <f>BIFUbC!B11/SUM(BIFUbC!B15:B16,BIFUbC!B10:B11)*K228</f>
        <v>63.645157380786451</v>
      </c>
      <c r="L232" s="18">
        <f t="shared" si="4"/>
        <v>636.45157380786452</v>
      </c>
      <c r="M232" s="13">
        <v>2060</v>
      </c>
    </row>
    <row r="233" spans="1:13" x14ac:dyDescent="0.25">
      <c r="A233" s="9">
        <v>2022</v>
      </c>
      <c r="B233" s="10" t="s">
        <v>368</v>
      </c>
      <c r="C233" s="9" t="s">
        <v>369</v>
      </c>
      <c r="D233" s="30" t="str">
        <f>IFERROR(VLOOKUP(C233,'Sector &amp; Policy Match'!$A$1:$B$42,2,0),"")</f>
        <v/>
      </c>
      <c r="E233" s="9" t="s">
        <v>367</v>
      </c>
      <c r="F233" s="10" t="str">
        <f>VLOOKUP(E233,'Sector &amp; Policy Match'!$G$1:$H$8,2,0)</f>
        <v>Early Facility Retirement</v>
      </c>
      <c r="G233" s="10"/>
      <c r="H233" s="9">
        <v>2023</v>
      </c>
      <c r="I233" s="9">
        <v>2027</v>
      </c>
      <c r="J233" s="11">
        <v>0.01</v>
      </c>
      <c r="K233" s="9">
        <v>90</v>
      </c>
      <c r="L233" s="18">
        <f t="shared" si="4"/>
        <v>9000</v>
      </c>
      <c r="M233" s="13">
        <v>2060</v>
      </c>
    </row>
    <row r="234" spans="1:13" x14ac:dyDescent="0.25">
      <c r="A234" s="9">
        <v>2022</v>
      </c>
      <c r="B234" s="10" t="s">
        <v>368</v>
      </c>
      <c r="C234" s="9" t="s">
        <v>119</v>
      </c>
      <c r="D234" s="30" t="str">
        <f>IFERROR(VLOOKUP(C234,'Sector &amp; Policy Match'!$A$1:$B$42,2,0),"")</f>
        <v>iron and steel 241</v>
      </c>
      <c r="E234" s="9" t="s">
        <v>367</v>
      </c>
      <c r="F234" s="10" t="str">
        <f>VLOOKUP(E234,'Sector &amp; Policy Match'!$G$1:$H$8,2,0)</f>
        <v>Early Facility Retirement</v>
      </c>
      <c r="G234" s="10"/>
      <c r="H234" s="9">
        <v>2023</v>
      </c>
      <c r="I234" s="9">
        <v>2027</v>
      </c>
      <c r="J234" s="11">
        <v>0.01</v>
      </c>
      <c r="K234" s="12">
        <f>BIFUbC!B15/SUM(BIFUbC!B10:B11,BIFUbC!B15)*K233</f>
        <v>20.218089983949874</v>
      </c>
      <c r="L234" s="18">
        <f t="shared" si="4"/>
        <v>2021.8089983949874</v>
      </c>
      <c r="M234" s="13">
        <v>2060</v>
      </c>
    </row>
    <row r="235" spans="1:13" x14ac:dyDescent="0.25">
      <c r="A235" s="9">
        <v>2022</v>
      </c>
      <c r="B235" s="10" t="s">
        <v>368</v>
      </c>
      <c r="C235" s="9" t="s">
        <v>205</v>
      </c>
      <c r="D235" s="30" t="str">
        <f>IFERROR(VLOOKUP(C235,'Sector &amp; Policy Match'!$A$1:$B$42,2,0),"")</f>
        <v>refined petroleum and coke 19</v>
      </c>
      <c r="E235" s="9" t="s">
        <v>367</v>
      </c>
      <c r="F235" s="10" t="str">
        <f>VLOOKUP(E235,'Sector &amp; Policy Match'!$G$1:$H$8,2,0)</f>
        <v>Early Facility Retirement</v>
      </c>
      <c r="G235" s="10"/>
      <c r="H235" s="9">
        <v>2023</v>
      </c>
      <c r="I235" s="9">
        <v>2027</v>
      </c>
      <c r="J235" s="11">
        <v>0.01</v>
      </c>
      <c r="K235" s="12">
        <f>BIFUbC!B10/SUM(BIFUbC!B10:B11,BIFUbC!B15)*K233</f>
        <v>57.371102356383297</v>
      </c>
      <c r="L235" s="18">
        <f t="shared" si="4"/>
        <v>5737.1102356383299</v>
      </c>
      <c r="M235" s="13">
        <v>2060</v>
      </c>
    </row>
    <row r="236" spans="1:13" x14ac:dyDescent="0.25">
      <c r="A236" s="9">
        <v>2022</v>
      </c>
      <c r="B236" s="10" t="s">
        <v>368</v>
      </c>
      <c r="C236" s="9" t="s">
        <v>125</v>
      </c>
      <c r="D236" s="30" t="str">
        <f>IFERROR(VLOOKUP(C236,'Sector &amp; Policy Match'!$A$1:$B$42,2,0),"")</f>
        <v>chemicals 20</v>
      </c>
      <c r="E236" s="9" t="s">
        <v>367</v>
      </c>
      <c r="F236" s="10" t="str">
        <f>VLOOKUP(E236,'Sector &amp; Policy Match'!$G$1:$H$8,2,0)</f>
        <v>Early Facility Retirement</v>
      </c>
      <c r="G236" s="10"/>
      <c r="H236" s="9">
        <v>2023</v>
      </c>
      <c r="I236" s="9">
        <v>2027</v>
      </c>
      <c r="J236" s="11">
        <v>0.01</v>
      </c>
      <c r="K236" s="12">
        <f>BIFUbC!B11/SUM(BIFUbC!B10:B11,BIFUbC!B15)*K233</f>
        <v>12.410807659666833</v>
      </c>
      <c r="L236" s="18">
        <f t="shared" si="4"/>
        <v>1241.0807659666834</v>
      </c>
      <c r="M236" s="13">
        <v>2060</v>
      </c>
    </row>
    <row r="237" spans="1:13" x14ac:dyDescent="0.25">
      <c r="A237" s="2">
        <v>2022</v>
      </c>
      <c r="B237" s="1" t="s">
        <v>370</v>
      </c>
      <c r="C237" s="2" t="s">
        <v>143</v>
      </c>
      <c r="D237" s="29" t="str">
        <f>IFERROR(VLOOKUP(C237,'Sector &amp; Policy Match'!$A$1:$B$42,2,0),"")</f>
        <v>电力、热力生产</v>
      </c>
      <c r="E237" s="2" t="s">
        <v>367</v>
      </c>
      <c r="F237" s="1" t="str">
        <f>VLOOKUP(E237,'Sector &amp; Policy Match'!$G$1:$H$8,2,0)</f>
        <v>Early Facility Retirement</v>
      </c>
      <c r="H237" s="2">
        <v>2023</v>
      </c>
      <c r="I237" s="2">
        <v>2027</v>
      </c>
      <c r="J237" s="6">
        <v>0.1</v>
      </c>
      <c r="K237" s="2">
        <v>11</v>
      </c>
      <c r="L237" s="39">
        <f t="shared" si="4"/>
        <v>110</v>
      </c>
      <c r="M237" s="7">
        <v>2060</v>
      </c>
    </row>
    <row r="238" spans="1:13" x14ac:dyDescent="0.25">
      <c r="A238" s="2">
        <v>2022</v>
      </c>
      <c r="B238" s="1" t="s">
        <v>371</v>
      </c>
      <c r="C238" s="2" t="s">
        <v>229</v>
      </c>
      <c r="D238" s="29" t="str">
        <f>IFERROR(VLOOKUP(C238,'Sector &amp; Policy Match'!$A$1:$B$42,2,0),"")</f>
        <v>coal mining 05</v>
      </c>
      <c r="E238" s="2" t="s">
        <v>367</v>
      </c>
      <c r="F238" s="1" t="str">
        <f>VLOOKUP(E238,'Sector &amp; Policy Match'!$G$1:$H$8,2,0)</f>
        <v>Early Facility Retirement</v>
      </c>
      <c r="H238" s="2">
        <v>2023</v>
      </c>
      <c r="I238" s="2">
        <v>2027</v>
      </c>
      <c r="J238" s="6">
        <v>0.65</v>
      </c>
      <c r="K238" s="2">
        <v>8</v>
      </c>
      <c r="L238" s="39">
        <f t="shared" si="4"/>
        <v>12.307692307692307</v>
      </c>
      <c r="M238" s="7">
        <v>2060</v>
      </c>
    </row>
    <row r="239" spans="1:13" x14ac:dyDescent="0.25">
      <c r="A239" s="9">
        <v>2022</v>
      </c>
      <c r="B239" s="10" t="s">
        <v>372</v>
      </c>
      <c r="C239" s="9" t="s">
        <v>373</v>
      </c>
      <c r="D239" s="30" t="str">
        <f>IFERROR(VLOOKUP(C239,'Sector &amp; Policy Match'!$A$1:$B$42,2,0),"")</f>
        <v/>
      </c>
      <c r="E239" s="9" t="s">
        <v>367</v>
      </c>
      <c r="F239" s="10" t="str">
        <f>VLOOKUP(E239,'Sector &amp; Policy Match'!$G$1:$H$8,2,0)</f>
        <v>Early Facility Retirement</v>
      </c>
      <c r="G239" s="10"/>
      <c r="H239" s="9">
        <v>2023</v>
      </c>
      <c r="I239" s="9">
        <v>2027</v>
      </c>
      <c r="J239" s="11">
        <v>0.1</v>
      </c>
      <c r="K239" s="9">
        <v>35</v>
      </c>
      <c r="L239" s="18">
        <f t="shared" si="4"/>
        <v>350</v>
      </c>
      <c r="M239" s="13">
        <v>2060</v>
      </c>
    </row>
    <row r="240" spans="1:13" x14ac:dyDescent="0.25">
      <c r="A240" s="9">
        <v>2022</v>
      </c>
      <c r="B240" s="10" t="s">
        <v>372</v>
      </c>
      <c r="C240" s="9" t="s">
        <v>134</v>
      </c>
      <c r="D240" s="30" t="str">
        <f>IFERROR(VLOOKUP(C240,'Sector &amp; Policy Match'!$A$1:$B$42,2,0),"")</f>
        <v>other metals 242</v>
      </c>
      <c r="E240" s="9" t="s">
        <v>367</v>
      </c>
      <c r="F240" s="10" t="str">
        <f>VLOOKUP(E240,'Sector &amp; Policy Match'!$G$1:$H$8,2,0)</f>
        <v>Early Facility Retirement</v>
      </c>
      <c r="G240" s="10"/>
      <c r="H240" s="9">
        <v>2023</v>
      </c>
      <c r="I240" s="9">
        <v>2027</v>
      </c>
      <c r="J240" s="11">
        <v>0.1</v>
      </c>
      <c r="K240" s="18">
        <f>BIFUbC!B16/SUM(BIFUbC!B16,BIFUbC!B10:B11)*K239</f>
        <v>1.7170511720599391</v>
      </c>
      <c r="L240" s="18">
        <f t="shared" si="4"/>
        <v>17.170511720599389</v>
      </c>
      <c r="M240" s="13">
        <v>2060</v>
      </c>
    </row>
    <row r="241" spans="1:13" x14ac:dyDescent="0.25">
      <c r="A241" s="9">
        <v>2022</v>
      </c>
      <c r="B241" s="10" t="s">
        <v>372</v>
      </c>
      <c r="C241" s="9" t="s">
        <v>205</v>
      </c>
      <c r="D241" s="30" t="str">
        <f>IFERROR(VLOOKUP(C241,'Sector &amp; Policy Match'!$A$1:$B$42,2,0),"")</f>
        <v>refined petroleum and coke 19</v>
      </c>
      <c r="E241" s="9" t="s">
        <v>367</v>
      </c>
      <c r="F241" s="10" t="str">
        <f>VLOOKUP(E241,'Sector &amp; Policy Match'!$G$1:$H$8,2,0)</f>
        <v>Early Facility Retirement</v>
      </c>
      <c r="G241" s="10"/>
      <c r="H241" s="9">
        <v>2023</v>
      </c>
      <c r="I241" s="9">
        <v>2027</v>
      </c>
      <c r="J241" s="11">
        <v>0.1</v>
      </c>
      <c r="K241" s="18">
        <f>BIFUbC!B10/SUM(BIFUbC!B16,BIFUbC!B10:B11)*K239</f>
        <v>27.363531085503798</v>
      </c>
      <c r="L241" s="18">
        <f t="shared" si="4"/>
        <v>273.63531085503797</v>
      </c>
      <c r="M241" s="13">
        <v>2060</v>
      </c>
    </row>
    <row r="242" spans="1:13" x14ac:dyDescent="0.25">
      <c r="A242" s="9">
        <v>2022</v>
      </c>
      <c r="B242" s="10" t="s">
        <v>372</v>
      </c>
      <c r="C242" s="9" t="s">
        <v>125</v>
      </c>
      <c r="D242" s="30" t="str">
        <f>IFERROR(VLOOKUP(C242,'Sector &amp; Policy Match'!$A$1:$B$42,2,0),"")</f>
        <v>chemicals 20</v>
      </c>
      <c r="E242" s="9" t="s">
        <v>367</v>
      </c>
      <c r="F242" s="10" t="str">
        <f>VLOOKUP(E242,'Sector &amp; Policy Match'!$G$1:$H$8,2,0)</f>
        <v>Early Facility Retirement</v>
      </c>
      <c r="G242" s="10"/>
      <c r="H242" s="9">
        <v>2023</v>
      </c>
      <c r="I242" s="9">
        <v>2027</v>
      </c>
      <c r="J242" s="11">
        <v>0.1</v>
      </c>
      <c r="K242" s="18">
        <f>BIFUbC!B11/SUM(BIFUbC!B16,BIFUbC!B10:B11)*K239</f>
        <v>5.9194177424362611</v>
      </c>
      <c r="L242" s="18">
        <f t="shared" si="4"/>
        <v>59.194177424362607</v>
      </c>
      <c r="M242" s="13">
        <v>2060</v>
      </c>
    </row>
    <row r="243" spans="1:13" x14ac:dyDescent="0.25">
      <c r="A243" s="9">
        <v>2022</v>
      </c>
      <c r="B243" s="10" t="s">
        <v>374</v>
      </c>
      <c r="C243" s="9" t="s">
        <v>364</v>
      </c>
      <c r="D243" s="30" t="str">
        <f>IFERROR(VLOOKUP(C243,'Sector &amp; Policy Match'!$A$1:$B$42,2,0),"")</f>
        <v/>
      </c>
      <c r="E243" s="9" t="s">
        <v>367</v>
      </c>
      <c r="F243" s="10" t="str">
        <f>VLOOKUP(E243,'Sector &amp; Policy Match'!$G$1:$H$8,2,0)</f>
        <v>Early Facility Retirement</v>
      </c>
      <c r="G243" s="10"/>
      <c r="H243" s="9">
        <v>2023</v>
      </c>
      <c r="I243" s="9">
        <v>2027</v>
      </c>
      <c r="J243" s="11">
        <v>0.01</v>
      </c>
      <c r="K243" s="9">
        <v>39</v>
      </c>
      <c r="L243" s="18">
        <f t="shared" si="4"/>
        <v>3900</v>
      </c>
      <c r="M243" s="13">
        <v>2060</v>
      </c>
    </row>
    <row r="244" spans="1:13" x14ac:dyDescent="0.25">
      <c r="A244" s="9">
        <v>2022</v>
      </c>
      <c r="B244" s="10" t="s">
        <v>374</v>
      </c>
      <c r="C244" s="9" t="s">
        <v>205</v>
      </c>
      <c r="D244" s="30" t="str">
        <f>IFERROR(VLOOKUP(C244,'Sector &amp; Policy Match'!$A$1:$B$42,2,0),"")</f>
        <v>refined petroleum and coke 19</v>
      </c>
      <c r="E244" s="9" t="s">
        <v>367</v>
      </c>
      <c r="F244" s="10" t="str">
        <f>VLOOKUP(E244,'Sector &amp; Policy Match'!$G$1:$H$8,2,0)</f>
        <v>Early Facility Retirement</v>
      </c>
      <c r="G244" s="10"/>
      <c r="H244" s="9">
        <v>2023</v>
      </c>
      <c r="I244" s="9">
        <v>2027</v>
      </c>
      <c r="J244" s="11">
        <v>0.01</v>
      </c>
      <c r="K244" s="18">
        <f>BIFUbC!B10/SUM(BIFUbC!B10:B11,BIFUbC!B15)*K243</f>
        <v>24.86081102109943</v>
      </c>
      <c r="L244" s="18">
        <f t="shared" si="4"/>
        <v>2486.081102109943</v>
      </c>
      <c r="M244" s="13">
        <v>2060</v>
      </c>
    </row>
    <row r="245" spans="1:13" x14ac:dyDescent="0.25">
      <c r="A245" s="9">
        <v>2022</v>
      </c>
      <c r="B245" s="10" t="s">
        <v>374</v>
      </c>
      <c r="C245" s="9" t="s">
        <v>125</v>
      </c>
      <c r="D245" s="30" t="str">
        <f>IFERROR(VLOOKUP(C245,'Sector &amp; Policy Match'!$A$1:$B$42,2,0),"")</f>
        <v>chemicals 20</v>
      </c>
      <c r="E245" s="9" t="s">
        <v>367</v>
      </c>
      <c r="F245" s="10" t="str">
        <f>VLOOKUP(E245,'Sector &amp; Policy Match'!$G$1:$H$8,2,0)</f>
        <v>Early Facility Retirement</v>
      </c>
      <c r="G245" s="10"/>
      <c r="H245" s="9">
        <v>2023</v>
      </c>
      <c r="I245" s="9">
        <v>2027</v>
      </c>
      <c r="J245" s="11">
        <v>0.01</v>
      </c>
      <c r="K245" s="18">
        <f>BIFUbC!B11/SUM(BIFUbC!B10:B11,BIFUbC!B15)*K243</f>
        <v>5.3780166525222945</v>
      </c>
      <c r="L245" s="18">
        <f t="shared" si="4"/>
        <v>537.80166525222944</v>
      </c>
      <c r="M245" s="13">
        <v>2060</v>
      </c>
    </row>
    <row r="246" spans="1:13" x14ac:dyDescent="0.25">
      <c r="A246" s="9">
        <v>2022</v>
      </c>
      <c r="B246" s="10" t="s">
        <v>374</v>
      </c>
      <c r="C246" s="9" t="s">
        <v>119</v>
      </c>
      <c r="D246" s="30" t="str">
        <f>IFERROR(VLOOKUP(C246,'Sector &amp; Policy Match'!$A$1:$B$42,2,0),"")</f>
        <v>iron and steel 241</v>
      </c>
      <c r="E246" s="9" t="s">
        <v>367</v>
      </c>
      <c r="F246" s="10" t="str">
        <f>VLOOKUP(E246,'Sector &amp; Policy Match'!$G$1:$H$8,2,0)</f>
        <v>Early Facility Retirement</v>
      </c>
      <c r="G246" s="10"/>
      <c r="H246" s="9">
        <v>2023</v>
      </c>
      <c r="I246" s="9">
        <v>2027</v>
      </c>
      <c r="J246" s="11">
        <v>0.01</v>
      </c>
      <c r="K246" s="18">
        <f>BIFUbC!B15/SUM(BIFUbC!B10:B11,BIFUbC!B15)*K243</f>
        <v>8.7611723263782775</v>
      </c>
      <c r="L246" s="18">
        <f t="shared" si="4"/>
        <v>876.11723263782778</v>
      </c>
      <c r="M246" s="13">
        <v>2060</v>
      </c>
    </row>
    <row r="247" spans="1:13" x14ac:dyDescent="0.25">
      <c r="A247" s="2">
        <v>2022</v>
      </c>
      <c r="B247" s="1" t="s">
        <v>375</v>
      </c>
      <c r="C247" s="2" t="s">
        <v>125</v>
      </c>
      <c r="D247" s="29" t="str">
        <f>IFERROR(VLOOKUP(C247,'Sector &amp; Policy Match'!$A$1:$B$42,2,0),"")</f>
        <v>chemicals 20</v>
      </c>
      <c r="E247" s="2" t="s">
        <v>113</v>
      </c>
      <c r="F247" s="1" t="str">
        <f>VLOOKUP(E247,'Sector &amp; Policy Match'!$G$1:$H$8,2,0)</f>
        <v>Early Facility Retirement</v>
      </c>
      <c r="H247" s="2">
        <v>2023</v>
      </c>
      <c r="I247" s="2">
        <v>2027</v>
      </c>
      <c r="J247" s="6">
        <v>0.1</v>
      </c>
      <c r="K247" s="2">
        <v>9</v>
      </c>
      <c r="L247" s="39">
        <f t="shared" si="4"/>
        <v>90</v>
      </c>
      <c r="M247" s="7">
        <v>2060</v>
      </c>
    </row>
    <row r="248" spans="1:13" x14ac:dyDescent="0.25">
      <c r="A248" s="2">
        <v>2022</v>
      </c>
      <c r="B248" s="1" t="s">
        <v>376</v>
      </c>
      <c r="C248" s="2" t="s">
        <v>143</v>
      </c>
      <c r="D248" s="29" t="str">
        <f>IFERROR(VLOOKUP(C248,'Sector &amp; Policy Match'!$A$1:$B$42,2,0),"")</f>
        <v>电力、热力生产</v>
      </c>
      <c r="E248" s="2" t="s">
        <v>113</v>
      </c>
      <c r="F248" s="1" t="str">
        <f>VLOOKUP(E248,'Sector &amp; Policy Match'!$G$1:$H$8,2,0)</f>
        <v>Early Facility Retirement</v>
      </c>
      <c r="H248" s="2">
        <v>2023</v>
      </c>
      <c r="I248" s="2">
        <v>2027</v>
      </c>
      <c r="J248" s="6">
        <v>0.5</v>
      </c>
      <c r="K248" s="2">
        <v>35</v>
      </c>
      <c r="L248" s="39">
        <f t="shared" si="4"/>
        <v>70</v>
      </c>
      <c r="M248" s="7">
        <v>2060</v>
      </c>
    </row>
    <row r="249" spans="1:13" x14ac:dyDescent="0.25">
      <c r="A249" s="2">
        <v>2022</v>
      </c>
      <c r="B249" s="1" t="s">
        <v>377</v>
      </c>
      <c r="C249" s="2" t="s">
        <v>143</v>
      </c>
      <c r="D249" s="29" t="str">
        <f>IFERROR(VLOOKUP(C249,'Sector &amp; Policy Match'!$A$1:$B$42,2,0),"")</f>
        <v>电力、热力生产</v>
      </c>
      <c r="E249" s="2" t="s">
        <v>113</v>
      </c>
      <c r="F249" s="1" t="str">
        <f>VLOOKUP(E249,'Sector &amp; Policy Match'!$G$1:$H$8,2,0)</f>
        <v>Early Facility Retirement</v>
      </c>
      <c r="H249" s="2">
        <v>2023</v>
      </c>
      <c r="I249" s="2">
        <v>2027</v>
      </c>
      <c r="J249" s="6">
        <v>0.2</v>
      </c>
      <c r="K249" s="2">
        <v>9</v>
      </c>
      <c r="L249" s="39">
        <f t="shared" si="4"/>
        <v>45</v>
      </c>
      <c r="M249" s="7">
        <v>2060</v>
      </c>
    </row>
  </sheetData>
  <autoFilter ref="A1:M249" xr:uid="{00000000-0001-0000-0000-000000000000}">
    <filterColumn colId="0">
      <filters>
        <filter val="2022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FBBBD-9468-4731-B53B-7A22E5C2748A}">
  <dimension ref="A1:R1225"/>
  <sheetViews>
    <sheetView topLeftCell="F1" workbookViewId="0">
      <selection activeCell="A181" sqref="A181"/>
    </sheetView>
  </sheetViews>
  <sheetFormatPr defaultColWidth="9" defaultRowHeight="13.5" x14ac:dyDescent="0.15"/>
  <cols>
    <col min="1" max="1" width="10.375" style="5" customWidth="1"/>
    <col min="2" max="2" width="13.375" style="21" customWidth="1"/>
    <col min="3" max="3" width="32.375" style="5" customWidth="1"/>
    <col min="4" max="4" width="16.125" style="21" bestFit="1" customWidth="1"/>
    <col min="5" max="5" width="18.625" style="21" bestFit="1" customWidth="1"/>
    <col min="6" max="6" width="9" style="5"/>
    <col min="7" max="7" width="13" style="21" bestFit="1" customWidth="1"/>
    <col min="8" max="8" width="15.125" style="21" bestFit="1" customWidth="1"/>
    <col min="9" max="9" width="30.75" style="21" customWidth="1"/>
    <col min="10" max="10" width="14.25" style="5" customWidth="1"/>
    <col min="11" max="11" width="9.5" style="5" bestFit="1" customWidth="1"/>
    <col min="12" max="12" width="9" style="5"/>
    <col min="13" max="13" width="9" style="20"/>
    <col min="14" max="14" width="11.25" style="21" customWidth="1"/>
    <col min="15" max="15" width="32.5" style="21" customWidth="1"/>
    <col min="16" max="16" width="38.25" style="21" customWidth="1"/>
    <col min="17" max="18" width="17.875" style="21" customWidth="1"/>
    <col min="19" max="16384" width="9" style="5"/>
  </cols>
  <sheetData>
    <row r="1" spans="1:18" ht="31.5" customHeight="1" x14ac:dyDescent="0.15">
      <c r="A1" s="37" t="s">
        <v>428</v>
      </c>
      <c r="B1" s="37" t="s">
        <v>58</v>
      </c>
      <c r="C1" s="37" t="s">
        <v>32</v>
      </c>
      <c r="D1" s="38" t="s">
        <v>437</v>
      </c>
      <c r="E1" s="37" t="s">
        <v>433</v>
      </c>
      <c r="G1" s="37" t="s">
        <v>58</v>
      </c>
      <c r="H1" s="37" t="s">
        <v>11</v>
      </c>
      <c r="I1" s="37" t="s">
        <v>30</v>
      </c>
      <c r="J1" s="37" t="s">
        <v>424</v>
      </c>
      <c r="K1" s="37" t="s">
        <v>425</v>
      </c>
      <c r="M1" s="37" t="s">
        <v>428</v>
      </c>
      <c r="N1" s="37" t="s">
        <v>58</v>
      </c>
      <c r="O1" s="37" t="s">
        <v>30</v>
      </c>
      <c r="P1" s="37" t="s">
        <v>32</v>
      </c>
      <c r="Q1" s="38" t="s">
        <v>437</v>
      </c>
      <c r="R1" s="37" t="s">
        <v>433</v>
      </c>
    </row>
    <row r="2" spans="1:18" ht="14.25" x14ac:dyDescent="0.2">
      <c r="A2" s="46">
        <v>2020</v>
      </c>
      <c r="B2" s="24" t="s">
        <v>57</v>
      </c>
      <c r="C2" s="25" t="s">
        <v>103</v>
      </c>
      <c r="D2" s="46">
        <f>SUMIFS(工业节能技术装备推荐目录!K:K,工业节能技术装备推荐目录!C:C,用能设备节能分配!B2,工业节能技术装备推荐目录!F:F,用能设备节能分配!C2,工业节能技术装备推荐目录!A:A,用能设备节能分配!A2)</f>
        <v>36</v>
      </c>
      <c r="E2" s="47">
        <f>SUMIFS(工业节能技术装备推荐目录!L:L,工业节能技术装备推荐目录!C:C,用能设备节能分配!B2,工业节能技术装备推荐目录!F:F,用能设备节能分配!C2,工业节能技术装备推荐目录!A:A,用能设备节能分配!A2)</f>
        <v>153</v>
      </c>
      <c r="G2" s="26" t="s">
        <v>385</v>
      </c>
      <c r="H2" s="26" t="s">
        <v>386</v>
      </c>
      <c r="I2" s="40" t="str">
        <f>VLOOKUP(H2,'Sector &amp; Policy Match'!$A$1:$B$42,2,0)</f>
        <v>电力、热力生产</v>
      </c>
      <c r="J2" s="43">
        <f>IFERROR(VLOOKUP(I2,BIFUbC!$A$1:$B$27,2,0),0)</f>
        <v>2269430122869799.5</v>
      </c>
      <c r="K2" s="44">
        <f>J2/SUM($J$2:$J$8)</f>
        <v>2.4815537505006428E-2</v>
      </c>
      <c r="M2" s="46">
        <v>2020</v>
      </c>
      <c r="N2" s="26" t="s">
        <v>57</v>
      </c>
      <c r="O2" s="26" t="str">
        <f>I$3</f>
        <v>refined petroleum and coke 19</v>
      </c>
      <c r="P2" s="26" t="s">
        <v>103</v>
      </c>
      <c r="Q2" s="47">
        <f t="shared" ref="Q2:Q65" si="0">SUMIFS(D:D,B:B,N2,C:C,P2,A:A,M2)*SUMIFS(K:K,G:G,N2,I:I,O2)</f>
        <v>21.434633836608366</v>
      </c>
      <c r="R2" s="47">
        <f t="shared" ref="R2:R65" si="1">SUMIFS(E:E,B:B,N2,C:C,P2,A:A,M2)*SUMIFS(K:K,G:G,N2,I:I,O2)</f>
        <v>91.097193805585562</v>
      </c>
    </row>
    <row r="3" spans="1:18" ht="14.25" x14ac:dyDescent="0.2">
      <c r="A3" s="46">
        <v>2020</v>
      </c>
      <c r="B3" s="24" t="s">
        <v>57</v>
      </c>
      <c r="C3" s="25" t="s">
        <v>104</v>
      </c>
      <c r="D3" s="46">
        <f>SUMIFS(工业节能技术装备推荐目录!K:K,工业节能技术装备推荐目录!C:C,用能设备节能分配!B3,工业节能技术装备推荐目录!F:F,用能设备节能分配!C3,工业节能技术装备推荐目录!A:A,用能设备节能分配!A3)</f>
        <v>0</v>
      </c>
      <c r="E3" s="47">
        <f>SUMIFS(工业节能技术装备推荐目录!L:L,工业节能技术装备推荐目录!C:C,用能设备节能分配!B3,工业节能技术装备推荐目录!F:F,用能设备节能分配!C3,工业节能技术装备推荐目录!A:A,用能设备节能分配!A3)</f>
        <v>0</v>
      </c>
      <c r="G3" s="26" t="s">
        <v>385</v>
      </c>
      <c r="H3" s="26" t="s">
        <v>387</v>
      </c>
      <c r="I3" s="40" t="str">
        <f>VLOOKUP(H3,'Sector &amp; Policy Match'!$A$1:$B$42,2,0)</f>
        <v>refined petroleum and coke 19</v>
      </c>
      <c r="J3" s="43">
        <f>IFERROR(VLOOKUP(I3,BIFUbC!$A$1:$B$27,2,0),0)</f>
        <v>5.445110491278732E+16</v>
      </c>
      <c r="K3" s="44">
        <f t="shared" ref="K3:K8" si="2">J3/SUM($J$2:$J$8)</f>
        <v>0.5954064954613435</v>
      </c>
      <c r="M3" s="46">
        <v>2020</v>
      </c>
      <c r="N3" s="26" t="s">
        <v>57</v>
      </c>
      <c r="O3" s="26" t="str">
        <f t="shared" ref="O3:O5" si="3">I$3</f>
        <v>refined petroleum and coke 19</v>
      </c>
      <c r="P3" s="26" t="s">
        <v>104</v>
      </c>
      <c r="Q3" s="47">
        <f t="shared" si="0"/>
        <v>0</v>
      </c>
      <c r="R3" s="47">
        <f t="shared" si="1"/>
        <v>0</v>
      </c>
    </row>
    <row r="4" spans="1:18" ht="14.25" x14ac:dyDescent="0.2">
      <c r="A4" s="46">
        <v>2020</v>
      </c>
      <c r="B4" s="24" t="s">
        <v>57</v>
      </c>
      <c r="C4" s="25" t="s">
        <v>102</v>
      </c>
      <c r="D4" s="46">
        <f>SUMIFS(工业节能技术装备推荐目录!K:K,工业节能技术装备推荐目录!C:C,用能设备节能分配!B4,工业节能技术装备推荐目录!F:F,用能设备节能分配!C4,工业节能技术装备推荐目录!A:A,用能设备节能分配!A4)</f>
        <v>66</v>
      </c>
      <c r="E4" s="47">
        <f>SUMIFS(工业节能技术装备推荐目录!L:L,工业节能技术装备推荐目录!C:C,用能设备节能分配!B4,工业节能技术装备推荐目录!F:F,用能设备节能分配!C4,工业节能技术装备推荐目录!A:A,用能设备节能分配!A4)</f>
        <v>660</v>
      </c>
      <c r="G4" s="26" t="s">
        <v>385</v>
      </c>
      <c r="H4" s="26" t="s">
        <v>388</v>
      </c>
      <c r="I4" s="40" t="str">
        <f>VLOOKUP(H4,'Sector &amp; Policy Match'!$A$1:$B$42,2,0)</f>
        <v>chemicals 20</v>
      </c>
      <c r="J4" s="43">
        <f>IFERROR(VLOOKUP(I4,BIFUbC!$A$1:$B$27,2,0),0)</f>
        <v>1.1779139012024814E+16</v>
      </c>
      <c r="K4" s="44">
        <f t="shared" si="2"/>
        <v>0.12880135104576476</v>
      </c>
      <c r="M4" s="46">
        <v>2020</v>
      </c>
      <c r="N4" s="26" t="s">
        <v>57</v>
      </c>
      <c r="O4" s="26" t="str">
        <f t="shared" si="3"/>
        <v>refined petroleum and coke 19</v>
      </c>
      <c r="P4" s="26" t="s">
        <v>102</v>
      </c>
      <c r="Q4" s="47">
        <f t="shared" si="0"/>
        <v>39.296828700448671</v>
      </c>
      <c r="R4" s="47">
        <f t="shared" si="1"/>
        <v>392.96828700448668</v>
      </c>
    </row>
    <row r="5" spans="1:18" ht="14.25" x14ac:dyDescent="0.2">
      <c r="A5" s="46">
        <v>2020</v>
      </c>
      <c r="B5" s="24" t="s">
        <v>57</v>
      </c>
      <c r="C5" s="25" t="s">
        <v>105</v>
      </c>
      <c r="D5" s="46">
        <f>SUMIFS(工业节能技术装备推荐目录!K:K,工业节能技术装备推荐目录!C:C,用能设备节能分配!B5,工业节能技术装备推荐目录!F:F,用能设备节能分配!C5,工业节能技术装备推荐目录!A:A,用能设备节能分配!A5)</f>
        <v>154.4</v>
      </c>
      <c r="E5" s="47">
        <f>SUMIFS(工业节能技术装备推荐目录!L:L,工业节能技术装备推荐目录!C:C,用能设备节能分配!B5,工业节能技术装备推荐目录!F:F,用能设备节能分配!C5,工业节能技术装备推荐目录!A:A,用能设备节能分配!A5)</f>
        <v>417.90526315789475</v>
      </c>
      <c r="G5" s="26" t="s">
        <v>385</v>
      </c>
      <c r="H5" s="26" t="s">
        <v>389</v>
      </c>
      <c r="I5" s="40" t="str">
        <f>VLOOKUP(H5,'Sector &amp; Policy Match'!$A$1:$B$42,2,0)</f>
        <v>iron and steel 241</v>
      </c>
      <c r="J5" s="43">
        <f>IFERROR(VLOOKUP(I5,BIFUbC!$A$1:$B$27,2,0),0)</f>
        <v>1.918905674870198E+16</v>
      </c>
      <c r="K5" s="44">
        <f t="shared" si="2"/>
        <v>0.20982657832661111</v>
      </c>
      <c r="M5" s="46">
        <v>2020</v>
      </c>
      <c r="N5" s="26" t="s">
        <v>57</v>
      </c>
      <c r="O5" s="26" t="str">
        <f t="shared" si="3"/>
        <v>refined petroleum and coke 19</v>
      </c>
      <c r="P5" s="26" t="s">
        <v>105</v>
      </c>
      <c r="Q5" s="47">
        <f t="shared" si="0"/>
        <v>91.930762899231439</v>
      </c>
      <c r="R5" s="47">
        <f t="shared" si="1"/>
        <v>248.82350817169262</v>
      </c>
    </row>
    <row r="6" spans="1:18" ht="14.25" x14ac:dyDescent="0.2">
      <c r="A6" s="46">
        <v>2020</v>
      </c>
      <c r="B6" s="24" t="s">
        <v>13</v>
      </c>
      <c r="C6" s="25" t="s">
        <v>103</v>
      </c>
      <c r="D6" s="46">
        <f>SUMIFS(工业节能技术装备推荐目录!K:K,工业节能技术装备推荐目录!C:C,用能设备节能分配!B6,工业节能技术装备推荐目录!F:F,用能设备节能分配!C6,工业节能技术装备推荐目录!A:A,用能设备节能分配!A6)</f>
        <v>0</v>
      </c>
      <c r="E6" s="47">
        <f>SUMIFS(工业节能技术装备推荐目录!L:L,工业节能技术装备推荐目录!C:C,用能设备节能分配!B6,工业节能技术装备推荐目录!F:F,用能设备节能分配!C6,工业节能技术装备推荐目录!A:A,用能设备节能分配!A6)</f>
        <v>0</v>
      </c>
      <c r="G6" s="26" t="s">
        <v>385</v>
      </c>
      <c r="H6" s="26" t="s">
        <v>390</v>
      </c>
      <c r="I6" s="40" t="str">
        <f>VLOOKUP(H6,'Sector &amp; Policy Match'!$A$1:$B$42,2,0)</f>
        <v>textiles apparel and leather 13T15</v>
      </c>
      <c r="J6" s="43">
        <f>IFERROR(VLOOKUP(I6,BIFUbC!$A$1:$B$27,2,0),0)</f>
        <v>1373651344239264.8</v>
      </c>
      <c r="K6" s="44">
        <f t="shared" si="2"/>
        <v>1.5020465317815665E-2</v>
      </c>
      <c r="M6" s="46">
        <v>2020</v>
      </c>
      <c r="N6" s="26" t="s">
        <v>57</v>
      </c>
      <c r="O6" s="26" t="str">
        <f>I$4</f>
        <v>chemicals 20</v>
      </c>
      <c r="P6" s="26" t="str">
        <f>P2</f>
        <v>Early Facility Retirement</v>
      </c>
      <c r="Q6" s="47">
        <f t="shared" si="0"/>
        <v>4.6368486376475317</v>
      </c>
      <c r="R6" s="47">
        <f t="shared" si="1"/>
        <v>19.70660671000201</v>
      </c>
    </row>
    <row r="7" spans="1:18" ht="14.25" x14ac:dyDescent="0.2">
      <c r="A7" s="46">
        <v>2020</v>
      </c>
      <c r="B7" s="24" t="s">
        <v>13</v>
      </c>
      <c r="C7" s="25" t="s">
        <v>104</v>
      </c>
      <c r="D7" s="46">
        <f>SUMIFS(工业节能技术装备推荐目录!K:K,工业节能技术装备推荐目录!C:C,用能设备节能分配!B7,工业节能技术装备推荐目录!F:F,用能设备节能分配!C7,工业节能技术装备推荐目录!A:A,用能设备节能分配!A7)</f>
        <v>0</v>
      </c>
      <c r="E7" s="47">
        <f>SUMIFS(工业节能技术装备推荐目录!L:L,工业节能技术装备推荐目录!C:C,用能设备节能分配!B7,工业节能技术装备推荐目录!F:F,用能设备节能分配!C7,工业节能技术装备推荐目录!A:A,用能设备节能分配!A7)</f>
        <v>0</v>
      </c>
      <c r="G7" s="26" t="s">
        <v>385</v>
      </c>
      <c r="H7" s="26" t="s">
        <v>391</v>
      </c>
      <c r="I7" s="40" t="str">
        <f>VLOOKUP(H7,'Sector &amp; Policy Match'!$A$1:$B$42,2,0)</f>
        <v>pulp paper and printing 17T18</v>
      </c>
      <c r="J7" s="43">
        <f>IFERROR(VLOOKUP(I7,BIFUbC!$A$1:$B$27,2,0),0)</f>
        <v>871528323453208.75</v>
      </c>
      <c r="K7" s="44">
        <f t="shared" si="2"/>
        <v>9.529900735599459E-3</v>
      </c>
      <c r="M7" s="46">
        <v>2020</v>
      </c>
      <c r="N7" s="26" t="s">
        <v>57</v>
      </c>
      <c r="O7" s="26" t="str">
        <f t="shared" ref="O7:O9" si="4">I$4</f>
        <v>chemicals 20</v>
      </c>
      <c r="P7" s="26" t="str">
        <f t="shared" ref="P7:P70" si="5">P3</f>
        <v>Installation and System Integration</v>
      </c>
      <c r="Q7" s="47">
        <f t="shared" si="0"/>
        <v>0</v>
      </c>
      <c r="R7" s="47">
        <f t="shared" si="1"/>
        <v>0</v>
      </c>
    </row>
    <row r="8" spans="1:18" ht="14.25" x14ac:dyDescent="0.2">
      <c r="A8" s="46">
        <v>2020</v>
      </c>
      <c r="B8" s="24" t="s">
        <v>13</v>
      </c>
      <c r="C8" s="25" t="s">
        <v>102</v>
      </c>
      <c r="D8" s="46">
        <f>SUMIFS(工业节能技术装备推荐目录!K:K,工业节能技术装备推荐目录!C:C,用能设备节能分配!B8,工业节能技术装备推荐目录!F:F,用能设备节能分配!C8,工业节能技术装备推荐目录!A:A,用能设备节能分配!A8)</f>
        <v>38</v>
      </c>
      <c r="E8" s="47">
        <f>SUMIFS(工业节能技术装备推荐目录!L:L,工业节能技术装备推荐目录!C:C,用能设备节能分配!B8,工业节能技术装备推荐目录!F:F,用能设备节能分配!C8,工业节能技术装备推荐目录!A:A,用能设备节能分配!A8)</f>
        <v>253.33333333333334</v>
      </c>
      <c r="G8" s="26" t="s">
        <v>385</v>
      </c>
      <c r="H8" s="26" t="s">
        <v>392</v>
      </c>
      <c r="I8" s="40" t="str">
        <f>VLOOKUP(H8,'Sector &amp; Policy Match'!$A$1:$B$42,2,0)</f>
        <v>food beverage and tobacco 10T12</v>
      </c>
      <c r="J8" s="43">
        <f>IFERROR(VLOOKUP(I8,BIFUbC!$A$1:$B$27,2,0),0)</f>
        <v>1518072891591473.5</v>
      </c>
      <c r="K8" s="44">
        <f t="shared" si="2"/>
        <v>1.6599671607858996E-2</v>
      </c>
      <c r="M8" s="46">
        <v>2020</v>
      </c>
      <c r="N8" s="26" t="s">
        <v>57</v>
      </c>
      <c r="O8" s="26" t="str">
        <f t="shared" si="4"/>
        <v>chemicals 20</v>
      </c>
      <c r="P8" s="26" t="str">
        <f t="shared" si="5"/>
        <v>Cogeneration and Waste Heat Recovery</v>
      </c>
      <c r="Q8" s="47">
        <f t="shared" si="0"/>
        <v>8.5008891690204749</v>
      </c>
      <c r="R8" s="47">
        <f t="shared" si="1"/>
        <v>85.008891690204749</v>
      </c>
    </row>
    <row r="9" spans="1:18" ht="14.25" x14ac:dyDescent="0.2">
      <c r="A9" s="46">
        <v>2020</v>
      </c>
      <c r="B9" s="24" t="s">
        <v>13</v>
      </c>
      <c r="C9" s="25" t="s">
        <v>105</v>
      </c>
      <c r="D9" s="46">
        <f>SUMIFS(工业节能技术装备推荐目录!K:K,工业节能技术装备推荐目录!C:C,用能设备节能分配!B9,工业节能技术装备推荐目录!F:F,用能设备节能分配!C9,工业节能技术装备推荐目录!A:A,用能设备节能分配!A9)</f>
        <v>0</v>
      </c>
      <c r="E9" s="47">
        <f>SUMIFS(工业节能技术装备推荐目录!L:L,工业节能技术装备推荐目录!C:C,用能设备节能分配!B9,工业节能技术装备推荐目录!F:F,用能设备节能分配!C9,工业节能技术装备推荐目录!A:A,用能设备节能分配!A9)</f>
        <v>0</v>
      </c>
      <c r="G9" s="26" t="s">
        <v>394</v>
      </c>
      <c r="H9" s="26" t="s">
        <v>387</v>
      </c>
      <c r="I9" s="40" t="str">
        <f>VLOOKUP(H9,'Sector &amp; Policy Match'!$A$1:$B$42,2,0)</f>
        <v>refined petroleum and coke 19</v>
      </c>
      <c r="J9" s="43">
        <f>IFERROR(VLOOKUP(I9,BIFUbC!$A$1:$B$27,2,0),0)</f>
        <v>5.445110491278732E+16</v>
      </c>
      <c r="K9" s="44">
        <f>J9/SUM($J$9:$J$15)</f>
        <v>0.58802908624232775</v>
      </c>
      <c r="M9" s="46">
        <v>2020</v>
      </c>
      <c r="N9" s="26" t="s">
        <v>57</v>
      </c>
      <c r="O9" s="26" t="str">
        <f t="shared" si="4"/>
        <v>chemicals 20</v>
      </c>
      <c r="P9" s="26" t="str">
        <f t="shared" si="5"/>
        <v>Improvement in Eqpt Efficiency Standards</v>
      </c>
      <c r="Q9" s="47">
        <f t="shared" si="0"/>
        <v>19.886928601466082</v>
      </c>
      <c r="R9" s="47">
        <f t="shared" si="1"/>
        <v>53.826762503872708</v>
      </c>
    </row>
    <row r="10" spans="1:18" ht="14.25" x14ac:dyDescent="0.2">
      <c r="A10" s="46">
        <v>2020</v>
      </c>
      <c r="B10" s="24" t="s">
        <v>61</v>
      </c>
      <c r="C10" s="25" t="s">
        <v>103</v>
      </c>
      <c r="D10" s="46">
        <f>SUMIFS(工业节能技术装备推荐目录!K:K,工业节能技术装备推荐目录!C:C,用能设备节能分配!B10,工业节能技术装备推荐目录!F:F,用能设备节能分配!C10,工业节能技术装备推荐目录!A:A,用能设备节能分配!A10)</f>
        <v>0</v>
      </c>
      <c r="E10" s="47">
        <f>SUMIFS(工业节能技术装备推荐目录!L:L,工业节能技术装备推荐目录!C:C,用能设备节能分配!B10,工业节能技术装备推荐目录!F:F,用能设备节能分配!C10,工业节能技术装备推荐目录!A:A,用能设备节能分配!A10)</f>
        <v>0</v>
      </c>
      <c r="G10" s="26" t="s">
        <v>394</v>
      </c>
      <c r="H10" s="26" t="s">
        <v>388</v>
      </c>
      <c r="I10" s="40" t="str">
        <f>VLOOKUP(H10,'Sector &amp; Policy Match'!$A$1:$B$42,2,0)</f>
        <v>chemicals 20</v>
      </c>
      <c r="J10" s="43">
        <f>IFERROR(VLOOKUP(I10,BIFUbC!$A$1:$B$27,2,0),0)</f>
        <v>1.1779139012024814E+16</v>
      </c>
      <c r="K10" s="44">
        <f t="shared" ref="K10:K15" si="6">J10/SUM($J$9:$J$15)</f>
        <v>0.12720543248950106</v>
      </c>
      <c r="M10" s="46">
        <v>2020</v>
      </c>
      <c r="N10" s="26" t="s">
        <v>57</v>
      </c>
      <c r="O10" s="26" t="str">
        <f>I$5</f>
        <v>iron and steel 241</v>
      </c>
      <c r="P10" s="26" t="str">
        <f t="shared" si="5"/>
        <v>Early Facility Retirement</v>
      </c>
      <c r="Q10" s="47">
        <f t="shared" si="0"/>
        <v>7.5537568197580001</v>
      </c>
      <c r="R10" s="47">
        <f t="shared" si="1"/>
        <v>32.103466483971502</v>
      </c>
    </row>
    <row r="11" spans="1:18" ht="14.25" x14ac:dyDescent="0.2">
      <c r="A11" s="46">
        <v>2020</v>
      </c>
      <c r="B11" s="24" t="s">
        <v>61</v>
      </c>
      <c r="C11" s="25" t="s">
        <v>104</v>
      </c>
      <c r="D11" s="46">
        <f>SUMIFS(工业节能技术装备推荐目录!K:K,工业节能技术装备推荐目录!C:C,用能设备节能分配!B11,工业节能技术装备推荐目录!F:F,用能设备节能分配!C11,工业节能技术装备推荐目录!A:A,用能设备节能分配!A11)</f>
        <v>0</v>
      </c>
      <c r="E11" s="47">
        <f>SUMIFS(工业节能技术装备推荐目录!L:L,工业节能技术装备推荐目录!C:C,用能设备节能分配!B11,工业节能技术装备推荐目录!F:F,用能设备节能分配!C11,工业节能技术装备推荐目录!A:A,用能设备节能分配!A11)</f>
        <v>0</v>
      </c>
      <c r="G11" s="26" t="s">
        <v>394</v>
      </c>
      <c r="H11" s="26" t="s">
        <v>389</v>
      </c>
      <c r="I11" s="40" t="str">
        <f>VLOOKUP(H11,'Sector &amp; Policy Match'!$A$1:$B$42,2,0)</f>
        <v>iron and steel 241</v>
      </c>
      <c r="J11" s="43">
        <f>IFERROR(VLOOKUP(I11,BIFUbC!$A$1:$B$27,2,0),0)</f>
        <v>1.918905674870198E+16</v>
      </c>
      <c r="K11" s="44">
        <f t="shared" si="6"/>
        <v>0.20722671328459166</v>
      </c>
      <c r="M11" s="46">
        <v>2020</v>
      </c>
      <c r="N11" s="26" t="s">
        <v>57</v>
      </c>
      <c r="O11" s="26" t="str">
        <f t="shared" ref="O11:O13" si="7">I$5</f>
        <v>iron and steel 241</v>
      </c>
      <c r="P11" s="26" t="str">
        <f t="shared" si="5"/>
        <v>Installation and System Integration</v>
      </c>
      <c r="Q11" s="47">
        <f t="shared" si="0"/>
        <v>0</v>
      </c>
      <c r="R11" s="47">
        <f t="shared" si="1"/>
        <v>0</v>
      </c>
    </row>
    <row r="12" spans="1:18" ht="14.25" x14ac:dyDescent="0.2">
      <c r="A12" s="46">
        <v>2020</v>
      </c>
      <c r="B12" s="24" t="s">
        <v>61</v>
      </c>
      <c r="C12" s="25" t="s">
        <v>102</v>
      </c>
      <c r="D12" s="46">
        <f>SUMIFS(工业节能技术装备推荐目录!K:K,工业节能技术装备推荐目录!C:C,用能设备节能分配!B12,工业节能技术装备推荐目录!F:F,用能设备节能分配!C12,工业节能技术装备推荐目录!A:A,用能设备节能分配!A12)</f>
        <v>36</v>
      </c>
      <c r="E12" s="47">
        <f>SUMIFS(工业节能技术装备推荐目录!L:L,工业节能技术装备推荐目录!C:C,用能设备节能分配!B12,工业节能技术装备推荐目录!F:F,用能设备节能分配!C12,工业节能技术装备推荐目录!A:A,用能设备节能分配!A12)</f>
        <v>240</v>
      </c>
      <c r="G12" s="26" t="s">
        <v>394</v>
      </c>
      <c r="H12" s="26" t="s">
        <v>395</v>
      </c>
      <c r="I12" s="40" t="str">
        <f>VLOOKUP(H12,'Sector &amp; Policy Match'!$A$1:$B$42,2,0)</f>
        <v>other metals 242</v>
      </c>
      <c r="J12" s="43">
        <f>IFERROR(VLOOKUP(I12,BIFUbC!$A$1:$B$27,2,0),0)</f>
        <v>3416786131084909.5</v>
      </c>
      <c r="K12" s="44">
        <f t="shared" si="6"/>
        <v>3.689860159431739E-2</v>
      </c>
      <c r="M12" s="46">
        <v>2020</v>
      </c>
      <c r="N12" s="26" t="s">
        <v>57</v>
      </c>
      <c r="O12" s="26" t="str">
        <f t="shared" si="7"/>
        <v>iron and steel 241</v>
      </c>
      <c r="P12" s="26" t="str">
        <f t="shared" si="5"/>
        <v>Cogeneration and Waste Heat Recovery</v>
      </c>
      <c r="Q12" s="47">
        <f t="shared" si="0"/>
        <v>13.848554169556333</v>
      </c>
      <c r="R12" s="47">
        <f t="shared" si="1"/>
        <v>138.48554169556334</v>
      </c>
    </row>
    <row r="13" spans="1:18" ht="14.25" x14ac:dyDescent="0.2">
      <c r="A13" s="46">
        <v>2020</v>
      </c>
      <c r="B13" s="24" t="s">
        <v>61</v>
      </c>
      <c r="C13" s="25" t="s">
        <v>105</v>
      </c>
      <c r="D13" s="46">
        <f>SUMIFS(工业节能技术装备推荐目录!K:K,工业节能技术装备推荐目录!C:C,用能设备节能分配!B13,工业节能技术装备推荐目录!F:F,用能设备节能分配!C13,工业节能技术装备推荐目录!A:A,用能设备节能分配!A13)</f>
        <v>0</v>
      </c>
      <c r="E13" s="47">
        <f>SUMIFS(工业节能技术装备推荐目录!L:L,工业节能技术装备推荐目录!C:C,用能设备节能分配!B13,工业节能技术装备推荐目录!F:F,用能设备节能分配!C13,工业节能技术装备推荐目录!A:A,用能设备节能分配!A13)</f>
        <v>0</v>
      </c>
      <c r="G13" s="26" t="s">
        <v>394</v>
      </c>
      <c r="H13" s="26" t="s">
        <v>391</v>
      </c>
      <c r="I13" s="40" t="str">
        <f>VLOOKUP(H13,'Sector &amp; Policy Match'!$A$1:$B$42,2,0)</f>
        <v>pulp paper and printing 17T18</v>
      </c>
      <c r="J13" s="43">
        <f>IFERROR(VLOOKUP(I13,BIFUbC!$A$1:$B$27,2,0),0)</f>
        <v>871528323453208.75</v>
      </c>
      <c r="K13" s="44">
        <f t="shared" si="6"/>
        <v>9.4118200998001469E-3</v>
      </c>
      <c r="M13" s="46">
        <v>2020</v>
      </c>
      <c r="N13" s="26" t="s">
        <v>57</v>
      </c>
      <c r="O13" s="26" t="str">
        <f t="shared" si="7"/>
        <v>iron and steel 241</v>
      </c>
      <c r="P13" s="26" t="str">
        <f t="shared" si="5"/>
        <v>Improvement in Eqpt Efficiency Standards</v>
      </c>
      <c r="Q13" s="47">
        <f>SUMIFS(D:D,B:B,N13,C:C,P13,A:A,M13)*SUMIFS(K:K,G:G,N13,I:I,O13)</f>
        <v>32.39722369362876</v>
      </c>
      <c r="R13" s="47">
        <f t="shared" si="1"/>
        <v>87.687631433103036</v>
      </c>
    </row>
    <row r="14" spans="1:18" ht="14.25" x14ac:dyDescent="0.2">
      <c r="A14" s="46">
        <v>2020</v>
      </c>
      <c r="B14" s="24" t="s">
        <v>62</v>
      </c>
      <c r="C14" s="25" t="s">
        <v>103</v>
      </c>
      <c r="D14" s="46">
        <f>SUMIFS(工业节能技术装备推荐目录!K:K,工业节能技术装备推荐目录!C:C,用能设备节能分配!B14,工业节能技术装备推荐目录!F:F,用能设备节能分配!C14,工业节能技术装备推荐目录!A:A,用能设备节能分配!A14)</f>
        <v>0</v>
      </c>
      <c r="E14" s="47">
        <f>SUMIFS(工业节能技术装备推荐目录!L:L,工业节能技术装备推荐目录!C:C,用能设备节能分配!B14,工业节能技术装备推荐目录!F:F,用能设备节能分配!C14,工业节能技术装备推荐目录!A:A,用能设备节能分配!A14)</f>
        <v>0</v>
      </c>
      <c r="G14" s="26" t="s">
        <v>394</v>
      </c>
      <c r="H14" s="26" t="s">
        <v>390</v>
      </c>
      <c r="I14" s="40" t="str">
        <f>VLOOKUP(H14,'Sector &amp; Policy Match'!$A$1:$B$42,2,0)</f>
        <v>textiles apparel and leather 13T15</v>
      </c>
      <c r="J14" s="43">
        <f>IFERROR(VLOOKUP(I14,BIFUbC!$A$1:$B$27,2,0),0)</f>
        <v>1373651344239264.8</v>
      </c>
      <c r="K14" s="44">
        <f t="shared" si="6"/>
        <v>1.4834353610680698E-2</v>
      </c>
      <c r="M14" s="46">
        <v>2020</v>
      </c>
      <c r="N14" s="26" t="s">
        <v>57</v>
      </c>
      <c r="O14" s="26" t="str">
        <f>I$6</f>
        <v>textiles apparel and leather 13T15</v>
      </c>
      <c r="P14" s="26" t="str">
        <f t="shared" si="5"/>
        <v>Early Facility Retirement</v>
      </c>
      <c r="Q14" s="47">
        <f t="shared" si="0"/>
        <v>0.54073675144136391</v>
      </c>
      <c r="R14" s="47">
        <f t="shared" si="1"/>
        <v>2.2981311936257969</v>
      </c>
    </row>
    <row r="15" spans="1:18" ht="14.25" x14ac:dyDescent="0.2">
      <c r="A15" s="46">
        <v>2020</v>
      </c>
      <c r="B15" s="24" t="s">
        <v>62</v>
      </c>
      <c r="C15" s="25" t="s">
        <v>104</v>
      </c>
      <c r="D15" s="46">
        <f>SUMIFS(工业节能技术装备推荐目录!K:K,工业节能技术装备推荐目录!C:C,用能设备节能分配!B15,工业节能技术装备推荐目录!F:F,用能设备节能分配!C15,工业节能技术装备推荐目录!A:A,用能设备节能分配!A15)</f>
        <v>0</v>
      </c>
      <c r="E15" s="47">
        <f>SUMIFS(工业节能技术装备推荐目录!L:L,工业节能技术装备推荐目录!C:C,用能设备节能分配!B15,工业节能技术装备推荐目录!F:F,用能设备节能分配!C15,工业节能技术装备推荐目录!A:A,用能设备节能分配!A15)</f>
        <v>0</v>
      </c>
      <c r="G15" s="26" t="s">
        <v>394</v>
      </c>
      <c r="H15" s="26" t="s">
        <v>392</v>
      </c>
      <c r="I15" s="40" t="str">
        <f>VLOOKUP(H15,'Sector &amp; Policy Match'!$A$1:$B$42,2,0)</f>
        <v>food beverage and tobacco 10T12</v>
      </c>
      <c r="J15" s="43">
        <f>IFERROR(VLOOKUP(I15,BIFUbC!$A$1:$B$27,2,0),0)</f>
        <v>1518072891591473.5</v>
      </c>
      <c r="K15" s="44">
        <f t="shared" si="6"/>
        <v>1.6393992678781201E-2</v>
      </c>
      <c r="M15" s="46">
        <v>2020</v>
      </c>
      <c r="N15" s="26" t="s">
        <v>57</v>
      </c>
      <c r="O15" s="26" t="str">
        <f t="shared" ref="O15:O17" si="8">I$6</f>
        <v>textiles apparel and leather 13T15</v>
      </c>
      <c r="P15" s="26" t="str">
        <f t="shared" si="5"/>
        <v>Installation and System Integration</v>
      </c>
      <c r="Q15" s="47">
        <f t="shared" si="0"/>
        <v>0</v>
      </c>
      <c r="R15" s="47">
        <f t="shared" si="1"/>
        <v>0</v>
      </c>
    </row>
    <row r="16" spans="1:18" ht="14.25" x14ac:dyDescent="0.2">
      <c r="A16" s="46">
        <v>2020</v>
      </c>
      <c r="B16" s="24" t="s">
        <v>62</v>
      </c>
      <c r="C16" s="25" t="s">
        <v>102</v>
      </c>
      <c r="D16" s="46">
        <f>SUMIFS(工业节能技术装备推荐目录!K:K,工业节能技术装备推荐目录!C:C,用能设备节能分配!B16,工业节能技术装备推荐目录!F:F,用能设备节能分配!C16,工业节能技术装备推荐目录!A:A,用能设备节能分配!A16)</f>
        <v>0</v>
      </c>
      <c r="E16" s="47">
        <f>SUMIFS(工业节能技术装备推荐目录!L:L,工业节能技术装备推荐目录!C:C,用能设备节能分配!B16,工业节能技术装备推荐目录!F:F,用能设备节能分配!C16,工业节能技术装备推荐目录!A:A,用能设备节能分配!A16)</f>
        <v>0</v>
      </c>
      <c r="G16" s="26" t="s">
        <v>396</v>
      </c>
      <c r="H16" s="26" t="s">
        <v>397</v>
      </c>
      <c r="I16" s="40" t="str">
        <f>VLOOKUP(H16,'Sector &amp; Policy Match'!$A$1:$B$42,2,0)</f>
        <v>nonroad vehicles 30</v>
      </c>
      <c r="J16" s="43">
        <f>IFERROR(VLOOKUP(I16,BIFUbC!$A$1:$B$27,2,0),0)</f>
        <v>154446348219385.75</v>
      </c>
      <c r="K16" s="44">
        <f>J16/SUM($J$16:$J$17)</f>
        <v>6.3718737345548088E-2</v>
      </c>
      <c r="M16" s="46">
        <v>2020</v>
      </c>
      <c r="N16" s="26" t="s">
        <v>57</v>
      </c>
      <c r="O16" s="26" t="str">
        <f t="shared" si="8"/>
        <v>textiles apparel and leather 13T15</v>
      </c>
      <c r="P16" s="26" t="str">
        <f t="shared" si="5"/>
        <v>Cogeneration and Waste Heat Recovery</v>
      </c>
      <c r="Q16" s="47">
        <f t="shared" si="0"/>
        <v>0.99135071097583383</v>
      </c>
      <c r="R16" s="47">
        <f t="shared" si="1"/>
        <v>9.9135071097583385</v>
      </c>
    </row>
    <row r="17" spans="1:18" ht="14.25" x14ac:dyDescent="0.2">
      <c r="A17" s="46">
        <v>2020</v>
      </c>
      <c r="B17" s="24" t="s">
        <v>62</v>
      </c>
      <c r="C17" s="25" t="s">
        <v>105</v>
      </c>
      <c r="D17" s="46">
        <f>SUMIFS(工业节能技术装备推荐目录!K:K,工业节能技术装备推荐目录!C:C,用能设备节能分配!B17,工业节能技术装备推荐目录!F:F,用能设备节能分配!C17,工业节能技术装备推荐目录!A:A,用能设备节能分配!A17)</f>
        <v>6.6</v>
      </c>
      <c r="E17" s="47">
        <f>SUMIFS(工业节能技术装备推荐目录!L:L,工业节能技术装备推荐目录!C:C,用能设备节能分配!B17,工业节能技术装备推荐目录!F:F,用能设备节能分配!C17,工业节能技术装备推荐目录!A:A,用能设备节能分配!A17)</f>
        <v>33</v>
      </c>
      <c r="G17" s="26" t="s">
        <v>396</v>
      </c>
      <c r="H17" s="26" t="s">
        <v>386</v>
      </c>
      <c r="I17" s="40" t="str">
        <f>VLOOKUP(H17,'Sector &amp; Policy Match'!$A$1:$B$42,2,0)</f>
        <v>电力、热力生产</v>
      </c>
      <c r="J17" s="43">
        <f>IFERROR(VLOOKUP(I17,BIFUbC!$A$1:$B$27,2,0),0)</f>
        <v>2269430122869799.5</v>
      </c>
      <c r="K17" s="44">
        <f>J17/SUM($J$16:$J$17)</f>
        <v>0.936281262654452</v>
      </c>
      <c r="M17" s="46">
        <v>2020</v>
      </c>
      <c r="N17" s="26" t="s">
        <v>57</v>
      </c>
      <c r="O17" s="26" t="str">
        <f t="shared" si="8"/>
        <v>textiles apparel and leather 13T15</v>
      </c>
      <c r="P17" s="26" t="str">
        <f t="shared" si="5"/>
        <v>Improvement in Eqpt Efficiency Standards</v>
      </c>
      <c r="Q17" s="47">
        <f t="shared" si="0"/>
        <v>2.3191598450707387</v>
      </c>
      <c r="R17" s="47">
        <f t="shared" si="1"/>
        <v>6.2771315113957868</v>
      </c>
    </row>
    <row r="18" spans="1:18" ht="14.25" x14ac:dyDescent="0.2">
      <c r="A18" s="46">
        <v>2020</v>
      </c>
      <c r="B18" s="24" t="s">
        <v>63</v>
      </c>
      <c r="C18" s="25" t="s">
        <v>103</v>
      </c>
      <c r="D18" s="46">
        <f>SUMIFS(工业节能技术装备推荐目录!K:K,工业节能技术装备推荐目录!C:C,用能设备节能分配!B18,工业节能技术装备推荐目录!F:F,用能设备节能分配!C18,工业节能技术装备推荐目录!A:A,用能设备节能分配!A18)</f>
        <v>0</v>
      </c>
      <c r="E18" s="47">
        <f>SUMIFS(工业节能技术装备推荐目录!L:L,工业节能技术装备推荐目录!C:C,用能设备节能分配!B18,工业节能技术装备推荐目录!F:F,用能设备节能分配!C18,工业节能技术装备推荐目录!A:A,用能设备节能分配!A18)</f>
        <v>0</v>
      </c>
      <c r="G18" s="26" t="s">
        <v>398</v>
      </c>
      <c r="H18" s="26" t="s">
        <v>386</v>
      </c>
      <c r="I18" s="40" t="str">
        <f>VLOOKUP(H18,'Sector &amp; Policy Match'!$A$1:$B$42,2,0)</f>
        <v>电力、热力生产</v>
      </c>
      <c r="J18" s="43">
        <f>IFERROR(VLOOKUP(I18,BIFUbC!$A$1:$B$27,2,0),0)</f>
        <v>2269430122869799.5</v>
      </c>
      <c r="K18" s="44">
        <f>J18/SUM($J$18:$J$23)</f>
        <v>5.7386898899393836E-2</v>
      </c>
      <c r="M18" s="46">
        <v>2020</v>
      </c>
      <c r="N18" s="26" t="s">
        <v>57</v>
      </c>
      <c r="O18" s="26" t="str">
        <f>I$7</f>
        <v>pulp paper and printing 17T18</v>
      </c>
      <c r="P18" s="26" t="str">
        <f t="shared" si="5"/>
        <v>Early Facility Retirement</v>
      </c>
      <c r="Q18" s="47">
        <f t="shared" si="0"/>
        <v>0.34307642648158054</v>
      </c>
      <c r="R18" s="47">
        <f t="shared" si="1"/>
        <v>1.4580748125467171</v>
      </c>
    </row>
    <row r="19" spans="1:18" ht="14.25" x14ac:dyDescent="0.2">
      <c r="A19" s="46">
        <v>2020</v>
      </c>
      <c r="B19" s="24" t="s">
        <v>63</v>
      </c>
      <c r="C19" s="25" t="s">
        <v>104</v>
      </c>
      <c r="D19" s="46">
        <f>SUMIFS(工业节能技术装备推荐目录!K:K,工业节能技术装备推荐目录!C:C,用能设备节能分配!B19,工业节能技术装备推荐目录!F:F,用能设备节能分配!C19,工业节能技术装备推荐目录!A:A,用能设备节能分配!A19)</f>
        <v>0</v>
      </c>
      <c r="E19" s="47">
        <f>SUMIFS(工业节能技术装备推荐目录!L:L,工业节能技术装备推荐目录!C:C,用能设备节能分配!B19,工业节能技术装备推荐目录!F:F,用能设备节能分配!C19,工业节能技术装备推荐目录!A:A,用能设备节能分配!A19)</f>
        <v>0</v>
      </c>
      <c r="G19" s="26" t="s">
        <v>398</v>
      </c>
      <c r="H19" s="26" t="s">
        <v>390</v>
      </c>
      <c r="I19" s="40" t="str">
        <f>VLOOKUP(H19,'Sector &amp; Policy Match'!$A$1:$B$42,2,0)</f>
        <v>textiles apparel and leather 13T15</v>
      </c>
      <c r="J19" s="43">
        <f>IFERROR(VLOOKUP(I19,BIFUbC!$A$1:$B$27,2,0),0)</f>
        <v>1373651344239264.8</v>
      </c>
      <c r="K19" s="44">
        <f t="shared" ref="K19:K23" si="9">J19/SUM($J$18:$J$23)</f>
        <v>3.4735412216698458E-2</v>
      </c>
      <c r="M19" s="46">
        <v>2020</v>
      </c>
      <c r="N19" s="26" t="s">
        <v>57</v>
      </c>
      <c r="O19" s="26" t="str">
        <f t="shared" ref="O19:O21" si="10">I$7</f>
        <v>pulp paper and printing 17T18</v>
      </c>
      <c r="P19" s="26" t="str">
        <f t="shared" si="5"/>
        <v>Installation and System Integration</v>
      </c>
      <c r="Q19" s="47">
        <f t="shared" si="0"/>
        <v>0</v>
      </c>
      <c r="R19" s="47">
        <f t="shared" si="1"/>
        <v>0</v>
      </c>
    </row>
    <row r="20" spans="1:18" ht="14.25" x14ac:dyDescent="0.2">
      <c r="A20" s="46">
        <v>2020</v>
      </c>
      <c r="B20" s="24" t="s">
        <v>63</v>
      </c>
      <c r="C20" s="25" t="s">
        <v>102</v>
      </c>
      <c r="D20" s="46">
        <f>SUMIFS(工业节能技术装备推荐目录!K:K,工业节能技术装备推荐目录!C:C,用能设备节能分配!B20,工业节能技术装备推荐目录!F:F,用能设备节能分配!C20,工业节能技术装备推荐目录!A:A,用能设备节能分配!A20)</f>
        <v>0</v>
      </c>
      <c r="E20" s="47">
        <f>SUMIFS(工业节能技术装备推荐目录!L:L,工业节能技术装备推荐目录!C:C,用能设备节能分配!B20,工业节能技术装备推荐目录!F:F,用能设备节能分配!C20,工业节能技术装备推荐目录!A:A,用能设备节能分配!A20)</f>
        <v>0</v>
      </c>
      <c r="G20" s="26" t="s">
        <v>398</v>
      </c>
      <c r="H20" s="26" t="s">
        <v>392</v>
      </c>
      <c r="I20" s="40" t="str">
        <f>VLOOKUP(H20,'Sector &amp; Policy Match'!$A$1:$B$42,2,0)</f>
        <v>food beverage and tobacco 10T12</v>
      </c>
      <c r="J20" s="43">
        <f>IFERROR(VLOOKUP(I20,BIFUbC!$A$1:$B$27,2,0),0)</f>
        <v>1518072891591473.5</v>
      </c>
      <c r="K20" s="44">
        <f t="shared" si="9"/>
        <v>3.8387388390485555E-2</v>
      </c>
      <c r="M20" s="46">
        <v>2020</v>
      </c>
      <c r="N20" s="26" t="s">
        <v>57</v>
      </c>
      <c r="O20" s="26" t="str">
        <f t="shared" si="10"/>
        <v>pulp paper and printing 17T18</v>
      </c>
      <c r="P20" s="26" t="str">
        <f t="shared" si="5"/>
        <v>Cogeneration and Waste Heat Recovery</v>
      </c>
      <c r="Q20" s="47">
        <f t="shared" si="0"/>
        <v>0.62897344854956427</v>
      </c>
      <c r="R20" s="47">
        <f t="shared" si="1"/>
        <v>6.289734485495643</v>
      </c>
    </row>
    <row r="21" spans="1:18" ht="14.25" x14ac:dyDescent="0.2">
      <c r="A21" s="46">
        <v>2020</v>
      </c>
      <c r="B21" s="24" t="s">
        <v>63</v>
      </c>
      <c r="C21" s="25" t="s">
        <v>105</v>
      </c>
      <c r="D21" s="46">
        <f>SUMIFS(工业节能技术装备推荐目录!K:K,工业节能技术装备推荐目录!C:C,用能设备节能分配!B21,工业节能技术装备推荐目录!F:F,用能设备节能分配!C21,工业节能技术装备推荐目录!A:A,用能设备节能分配!A21)</f>
        <v>43.2</v>
      </c>
      <c r="E21" s="47">
        <f>SUMIFS(工业节能技术装备推荐目录!L:L,工业节能技术装备推荐目录!C:C,用能设备节能分配!B21,工业节能技术装备推荐目录!F:F,用能设备节能分配!C21,工业节能技术装备推荐目录!A:A,用能设备节能分配!A21)</f>
        <v>304.11111111111109</v>
      </c>
      <c r="G21" s="26" t="s">
        <v>398</v>
      </c>
      <c r="H21" s="26" t="s">
        <v>388</v>
      </c>
      <c r="I21" s="40" t="str">
        <f>VLOOKUP(H21,'Sector &amp; Policy Match'!$A$1:$B$42,2,0)</f>
        <v>chemicals 20</v>
      </c>
      <c r="J21" s="43">
        <f>IFERROR(VLOOKUP(I21,BIFUbC!$A$1:$B$27,2,0),0)</f>
        <v>1.1779139012024814E+16</v>
      </c>
      <c r="K21" s="44">
        <f t="shared" si="9"/>
        <v>0.29785815072824567</v>
      </c>
      <c r="M21" s="46">
        <v>2020</v>
      </c>
      <c r="N21" s="26" t="s">
        <v>57</v>
      </c>
      <c r="O21" s="26" t="str">
        <f t="shared" si="10"/>
        <v>pulp paper and printing 17T18</v>
      </c>
      <c r="P21" s="26" t="str">
        <f t="shared" si="5"/>
        <v>Improvement in Eqpt Efficiency Standards</v>
      </c>
      <c r="Q21" s="47">
        <f t="shared" si="0"/>
        <v>1.4714166735765566</v>
      </c>
      <c r="R21" s="47">
        <f t="shared" si="1"/>
        <v>3.9825956747793065</v>
      </c>
    </row>
    <row r="22" spans="1:18" ht="14.25" x14ac:dyDescent="0.2">
      <c r="A22" s="46">
        <v>2020</v>
      </c>
      <c r="B22" s="24" t="s">
        <v>18</v>
      </c>
      <c r="C22" s="25" t="s">
        <v>103</v>
      </c>
      <c r="D22" s="46">
        <f>SUMIFS(工业节能技术装备推荐目录!K:K,工业节能技术装备推荐目录!C:C,用能设备节能分配!B22,工业节能技术装备推荐目录!F:F,用能设备节能分配!C22,工业节能技术装备推荐目录!A:A,用能设备节能分配!A22)</f>
        <v>0</v>
      </c>
      <c r="E22" s="47">
        <f>SUMIFS(工业节能技术装备推荐目录!L:L,工业节能技术装备推荐目录!C:C,用能设备节能分配!B22,工业节能技术装备推荐目录!F:F,用能设备节能分配!C22,工业节能技术装备推荐目录!A:A,用能设备节能分配!A22)</f>
        <v>0</v>
      </c>
      <c r="G22" s="26" t="s">
        <v>398</v>
      </c>
      <c r="H22" s="26" t="s">
        <v>389</v>
      </c>
      <c r="I22" s="40" t="str">
        <f>VLOOKUP(H22,'Sector &amp; Policy Match'!$A$1:$B$42,2,0)</f>
        <v>iron and steel 241</v>
      </c>
      <c r="J22" s="43">
        <f>IFERROR(VLOOKUP(I22,BIFUbC!$A$1:$B$27,2,0),0)</f>
        <v>1.918905674870198E+16</v>
      </c>
      <c r="K22" s="44">
        <f t="shared" si="9"/>
        <v>0.48523215080091231</v>
      </c>
      <c r="M22" s="46">
        <v>2020</v>
      </c>
      <c r="N22" s="26" t="s">
        <v>57</v>
      </c>
      <c r="O22" s="26" t="str">
        <f>I$8</f>
        <v>food beverage and tobacco 10T12</v>
      </c>
      <c r="P22" s="26" t="str">
        <f t="shared" si="5"/>
        <v>Early Facility Retirement</v>
      </c>
      <c r="Q22" s="47">
        <f t="shared" si="0"/>
        <v>0.59758817788292384</v>
      </c>
      <c r="R22" s="47">
        <f t="shared" si="1"/>
        <v>2.5397497560024265</v>
      </c>
    </row>
    <row r="23" spans="1:18" ht="14.25" x14ac:dyDescent="0.2">
      <c r="A23" s="46">
        <v>2020</v>
      </c>
      <c r="B23" s="24" t="s">
        <v>18</v>
      </c>
      <c r="C23" s="25" t="s">
        <v>104</v>
      </c>
      <c r="D23" s="46">
        <f>SUMIFS(工业节能技术装备推荐目录!K:K,工业节能技术装备推荐目录!C:C,用能设备节能分配!B23,工业节能技术装备推荐目录!F:F,用能设备节能分配!C23,工业节能技术装备推荐目录!A:A,用能设备节能分配!A23)</f>
        <v>67.5</v>
      </c>
      <c r="E23" s="47">
        <f>SUMIFS(工业节能技术装备推荐目录!L:L,工业节能技术装备推荐目录!C:C,用能设备节能分配!B23,工业节能技术装备推荐目录!F:F,用能设备节能分配!C23,工业节能技术装备推荐目录!A:A,用能设备节能分配!A23)</f>
        <v>422.00000000000006</v>
      </c>
      <c r="G23" s="26" t="s">
        <v>398</v>
      </c>
      <c r="H23" s="26" t="s">
        <v>395</v>
      </c>
      <c r="I23" s="40" t="str">
        <f>VLOOKUP(H23,'Sector &amp; Policy Match'!$A$1:$B$42,2,0)</f>
        <v>other metals 242</v>
      </c>
      <c r="J23" s="43">
        <f>IFERROR(VLOOKUP(I23,BIFUbC!$A$1:$B$27,2,0),0)</f>
        <v>3416786131084909.5</v>
      </c>
      <c r="K23" s="44">
        <f t="shared" si="9"/>
        <v>8.639999896426423E-2</v>
      </c>
      <c r="M23" s="46">
        <v>2020</v>
      </c>
      <c r="N23" s="26" t="s">
        <v>57</v>
      </c>
      <c r="O23" s="26" t="str">
        <f t="shared" ref="O23:O24" si="11">I$8</f>
        <v>food beverage and tobacco 10T12</v>
      </c>
      <c r="P23" s="26" t="str">
        <f t="shared" si="5"/>
        <v>Installation and System Integration</v>
      </c>
      <c r="Q23" s="47">
        <f t="shared" si="0"/>
        <v>0</v>
      </c>
      <c r="R23" s="47">
        <f t="shared" si="1"/>
        <v>0</v>
      </c>
    </row>
    <row r="24" spans="1:18" ht="14.25" x14ac:dyDescent="0.2">
      <c r="A24" s="46">
        <v>2020</v>
      </c>
      <c r="B24" s="24" t="s">
        <v>18</v>
      </c>
      <c r="C24" s="25" t="s">
        <v>102</v>
      </c>
      <c r="D24" s="46">
        <f>SUMIFS(工业节能技术装备推荐目录!K:K,工业节能技术装备推荐目录!C:C,用能设备节能分配!B24,工业节能技术装备推荐目录!F:F,用能设备节能分配!C24,工业节能技术装备推荐目录!A:A,用能设备节能分配!A24)</f>
        <v>0</v>
      </c>
      <c r="E24" s="47">
        <f>SUMIFS(工业节能技术装备推荐目录!L:L,工业节能技术装备推荐目录!C:C,用能设备节能分配!B24,工业节能技术装备推荐目录!F:F,用能设备节能分配!C24,工业节能技术装备推荐目录!A:A,用能设备节能分配!A24)</f>
        <v>0</v>
      </c>
      <c r="G24" s="26" t="s">
        <v>404</v>
      </c>
      <c r="H24" s="26" t="s">
        <v>405</v>
      </c>
      <c r="I24" s="40" t="str">
        <f>VLOOKUP(H24,'Sector &amp; Policy Match'!$A$1:$B$42,2,0)</f>
        <v>coal mining 05</v>
      </c>
      <c r="J24" s="43">
        <f>IFERROR(VLOOKUP(I24,BIFUbC!$A$1:$B$27,2,0),0)</f>
        <v>1.8369744355334368E+16</v>
      </c>
      <c r="K24" s="44">
        <f>J24/SUM($J$24:$J$28)</f>
        <v>0.17320392669285661</v>
      </c>
      <c r="M24" s="46">
        <v>2020</v>
      </c>
      <c r="N24" s="26" t="s">
        <v>57</v>
      </c>
      <c r="O24" s="26" t="str">
        <f t="shared" si="11"/>
        <v>food beverage and tobacco 10T12</v>
      </c>
      <c r="P24" s="26" t="str">
        <f t="shared" si="5"/>
        <v>Cogeneration and Waste Heat Recovery</v>
      </c>
      <c r="Q24" s="47">
        <f t="shared" si="0"/>
        <v>1.0955783261186938</v>
      </c>
      <c r="R24" s="47">
        <f t="shared" si="1"/>
        <v>10.955783261186937</v>
      </c>
    </row>
    <row r="25" spans="1:18" ht="14.25" x14ac:dyDescent="0.2">
      <c r="A25" s="46">
        <v>2020</v>
      </c>
      <c r="B25" s="24" t="s">
        <v>18</v>
      </c>
      <c r="C25" s="25" t="s">
        <v>105</v>
      </c>
      <c r="D25" s="46">
        <f>SUMIFS(工业节能技术装备推荐目录!K:K,工业节能技术装备推荐目录!C:C,用能设备节能分配!B25,工业节能技术装备推荐目录!F:F,用能设备节能分配!C25,工业节能技术装备推荐目录!A:A,用能设备节能分配!A25)</f>
        <v>21.5</v>
      </c>
      <c r="E25" s="47">
        <f>SUMIFS(工业节能技术装备推荐目录!L:L,工业节能技术装备推荐目录!C:C,用能设备节能分配!B25,工业节能技术装备推荐目录!F:F,用能设备节能分配!C25,工业节能技术装备推荐目录!A:A,用能设备节能分配!A25)</f>
        <v>143.33333333333334</v>
      </c>
      <c r="G25" s="26" t="s">
        <v>404</v>
      </c>
      <c r="H25" s="26" t="s">
        <v>387</v>
      </c>
      <c r="I25" s="40" t="str">
        <f>VLOOKUP(H25,'Sector &amp; Policy Match'!$A$1:$B$42,2,0)</f>
        <v>refined petroleum and coke 19</v>
      </c>
      <c r="J25" s="43">
        <f>IFERROR(VLOOKUP(I25,BIFUbC!$A$1:$B$27,2,0),0)</f>
        <v>5.445110491278732E+16</v>
      </c>
      <c r="K25" s="44">
        <f t="shared" ref="K25:K27" si="12">J25/SUM($J$24:$J$28)</f>
        <v>0.51340644710282868</v>
      </c>
      <c r="M25" s="46">
        <v>2020</v>
      </c>
      <c r="N25" s="26" t="s">
        <v>57</v>
      </c>
      <c r="O25" s="26" t="str">
        <f>I$8</f>
        <v>food beverage and tobacco 10T12</v>
      </c>
      <c r="P25" s="26" t="str">
        <f t="shared" si="5"/>
        <v>Improvement in Eqpt Efficiency Standards</v>
      </c>
      <c r="Q25" s="47">
        <f t="shared" si="0"/>
        <v>2.5629892962534289</v>
      </c>
      <c r="R25" s="47">
        <f t="shared" si="1"/>
        <v>6.9370901316169471</v>
      </c>
    </row>
    <row r="26" spans="1:18" ht="14.25" x14ac:dyDescent="0.2">
      <c r="A26" s="46">
        <v>2020</v>
      </c>
      <c r="B26" s="24" t="s">
        <v>17</v>
      </c>
      <c r="C26" s="25" t="s">
        <v>103</v>
      </c>
      <c r="D26" s="46">
        <f>SUMIFS(工业节能技术装备推荐目录!K:K,工业节能技术装备推荐目录!C:C,用能设备节能分配!B26,工业节能技术装备推荐目录!F:F,用能设备节能分配!C26,工业节能技术装备推荐目录!A:A,用能设备节能分配!A26)</f>
        <v>0</v>
      </c>
      <c r="E26" s="47">
        <f>SUMIFS(工业节能技术装备推荐目录!L:L,工业节能技术装备推荐目录!C:C,用能设备节能分配!B26,工业节能技术装备推荐目录!F:F,用能设备节能分配!C26,工业节能技术装备推荐目录!A:A,用能设备节能分配!A26)</f>
        <v>0</v>
      </c>
      <c r="G26" s="26" t="s">
        <v>404</v>
      </c>
      <c r="H26" s="26" t="s">
        <v>388</v>
      </c>
      <c r="I26" s="40" t="str">
        <f>VLOOKUP(H26,'Sector &amp; Policy Match'!$A$1:$B$42,2,0)</f>
        <v>chemicals 20</v>
      </c>
      <c r="J26" s="43">
        <f>IFERROR(VLOOKUP(I26,BIFUbC!$A$1:$B$27,2,0),0)</f>
        <v>1.1779139012024814E+16</v>
      </c>
      <c r="K26" s="44">
        <f t="shared" si="12"/>
        <v>0.11106268494973714</v>
      </c>
      <c r="M26" s="46">
        <v>2020</v>
      </c>
      <c r="N26" s="26" t="str">
        <f>G$9</f>
        <v>工业循环水</v>
      </c>
      <c r="O26" s="26" t="str">
        <f>I$9</f>
        <v>refined petroleum and coke 19</v>
      </c>
      <c r="P26" s="26" t="str">
        <f t="shared" si="5"/>
        <v>Early Facility Retirement</v>
      </c>
      <c r="Q26" s="47">
        <f t="shared" si="0"/>
        <v>0</v>
      </c>
      <c r="R26" s="47">
        <f t="shared" si="1"/>
        <v>0</v>
      </c>
    </row>
    <row r="27" spans="1:18" ht="14.25" x14ac:dyDescent="0.2">
      <c r="A27" s="46">
        <v>2020</v>
      </c>
      <c r="B27" s="24" t="s">
        <v>17</v>
      </c>
      <c r="C27" s="25" t="s">
        <v>104</v>
      </c>
      <c r="D27" s="46">
        <f>SUMIFS(工业节能技术装备推荐目录!K:K,工业节能技术装备推荐目录!C:C,用能设备节能分配!B27,工业节能技术装备推荐目录!F:F,用能设备节能分配!C27,工业节能技术装备推荐目录!A:A,用能设备节能分配!A27)</f>
        <v>84.7</v>
      </c>
      <c r="E27" s="47">
        <f>SUMIFS(工业节能技术装备推荐目录!L:L,工业节能技术装备推荐目录!C:C,用能设备节能分配!B27,工业节能技术装备推荐目录!F:F,用能设备节能分配!C27,工业节能技术装备推荐目录!A:A,用能设备节能分配!A27)</f>
        <v>861.83333333333326</v>
      </c>
      <c r="G27" s="26" t="s">
        <v>404</v>
      </c>
      <c r="H27" s="26" t="s">
        <v>389</v>
      </c>
      <c r="I27" s="40" t="str">
        <f>VLOOKUP(H27,'Sector &amp; Policy Match'!$A$1:$B$42,2,0)</f>
        <v>iron and steel 241</v>
      </c>
      <c r="J27" s="43">
        <f>IFERROR(VLOOKUP(I27,BIFUbC!$A$1:$B$27,2,0),0)</f>
        <v>1.918905674870198E+16</v>
      </c>
      <c r="K27" s="44">
        <f t="shared" si="12"/>
        <v>0.18092902732432969</v>
      </c>
      <c r="M27" s="46">
        <v>2020</v>
      </c>
      <c r="N27" s="26" t="str">
        <f t="shared" ref="N27:N53" si="13">G$9</f>
        <v>工业循环水</v>
      </c>
      <c r="O27" s="26" t="str">
        <f t="shared" ref="O27:O29" si="14">I$9</f>
        <v>refined petroleum and coke 19</v>
      </c>
      <c r="P27" s="26" t="str">
        <f t="shared" si="5"/>
        <v>Installation and System Integration</v>
      </c>
      <c r="Q27" s="47">
        <f t="shared" si="0"/>
        <v>0</v>
      </c>
      <c r="R27" s="47">
        <f t="shared" si="1"/>
        <v>0</v>
      </c>
    </row>
    <row r="28" spans="1:18" ht="14.25" x14ac:dyDescent="0.2">
      <c r="A28" s="46">
        <v>2020</v>
      </c>
      <c r="B28" s="24" t="s">
        <v>17</v>
      </c>
      <c r="C28" s="25" t="s">
        <v>102</v>
      </c>
      <c r="D28" s="46">
        <f>SUMIFS(工业节能技术装备推荐目录!K:K,工业节能技术装备推荐目录!C:C,用能设备节能分配!B28,工业节能技术装备推荐目录!F:F,用能设备节能分配!C28,工业节能技术装备推荐目录!A:A,用能设备节能分配!A28)</f>
        <v>0</v>
      </c>
      <c r="E28" s="47">
        <f>SUMIFS(工业节能技术装备推荐目录!L:L,工业节能技术装备推荐目录!C:C,用能设备节能分配!B28,工业节能技术装备推荐目录!F:F,用能设备节能分配!C28,工业节能技术装备推荐目录!A:A,用能设备节能分配!A28)</f>
        <v>0</v>
      </c>
      <c r="G28" s="26" t="s">
        <v>404</v>
      </c>
      <c r="H28" s="26" t="s">
        <v>386</v>
      </c>
      <c r="I28" s="40" t="str">
        <f>VLOOKUP(H28,'Sector &amp; Policy Match'!$A$1:$B$42,2,0)</f>
        <v>电力、热力生产</v>
      </c>
      <c r="J28" s="43">
        <f>IFERROR(VLOOKUP(I28,BIFUbC!$A$1:$B$27,2,0),0)</f>
        <v>2269430122869799.5</v>
      </c>
      <c r="K28" s="44">
        <f>J28/SUM($J$24:$J$28)</f>
        <v>2.1397913930247862E-2</v>
      </c>
      <c r="M28" s="46">
        <v>2020</v>
      </c>
      <c r="N28" s="26" t="str">
        <f t="shared" si="13"/>
        <v>工业循环水</v>
      </c>
      <c r="O28" s="26" t="str">
        <f t="shared" si="14"/>
        <v>refined petroleum and coke 19</v>
      </c>
      <c r="P28" s="26" t="str">
        <f t="shared" si="5"/>
        <v>Cogeneration and Waste Heat Recovery</v>
      </c>
      <c r="Q28" s="47">
        <f t="shared" si="0"/>
        <v>22.345105277208454</v>
      </c>
      <c r="R28" s="47">
        <f t="shared" si="1"/>
        <v>148.96736851472303</v>
      </c>
    </row>
    <row r="29" spans="1:18" ht="14.25" x14ac:dyDescent="0.2">
      <c r="A29" s="46">
        <v>2020</v>
      </c>
      <c r="B29" s="24" t="s">
        <v>17</v>
      </c>
      <c r="C29" s="25" t="s">
        <v>105</v>
      </c>
      <c r="D29" s="46">
        <f>SUMIFS(工业节能技术装备推荐目录!K:K,工业节能技术装备推荐目录!C:C,用能设备节能分配!B29,工业节能技术装备推荐目录!F:F,用能设备节能分配!C29,工业节能技术装备推荐目录!A:A,用能设备节能分配!A29)</f>
        <v>0</v>
      </c>
      <c r="E29" s="47">
        <f>SUMIFS(工业节能技术装备推荐目录!L:L,工业节能技术装备推荐目录!C:C,用能设备节能分配!B29,工业节能技术装备推荐目录!F:F,用能设备节能分配!C29,工业节能技术装备推荐目录!A:A,用能设备节能分配!A29)</f>
        <v>0</v>
      </c>
      <c r="G29" s="26" t="s">
        <v>406</v>
      </c>
      <c r="H29" s="26" t="s">
        <v>387</v>
      </c>
      <c r="I29" s="40" t="str">
        <f>VLOOKUP(H29,'Sector &amp; Policy Match'!$A$1:$B$42,2,0)</f>
        <v>refined petroleum and coke 19</v>
      </c>
      <c r="J29" s="43">
        <f>IFERROR(VLOOKUP(I29,BIFUbC!$A$1:$B$27,2,0),0)</f>
        <v>5.445110491278732E+16</v>
      </c>
      <c r="K29" s="44">
        <f>J29/SUM($J$29:$J$34)</f>
        <v>0.67597695023623472</v>
      </c>
      <c r="M29" s="46">
        <v>2020</v>
      </c>
      <c r="N29" s="26" t="str">
        <f t="shared" si="13"/>
        <v>工业循环水</v>
      </c>
      <c r="O29" s="26" t="str">
        <f t="shared" si="14"/>
        <v>refined petroleum and coke 19</v>
      </c>
      <c r="P29" s="26" t="str">
        <f t="shared" si="5"/>
        <v>Improvement in Eqpt Efficiency Standards</v>
      </c>
      <c r="Q29" s="47">
        <f t="shared" si="0"/>
        <v>0</v>
      </c>
      <c r="R29" s="47">
        <f t="shared" si="1"/>
        <v>0</v>
      </c>
    </row>
    <row r="30" spans="1:18" ht="14.25" x14ac:dyDescent="0.2">
      <c r="A30" s="46">
        <v>2020</v>
      </c>
      <c r="B30" s="24" t="s">
        <v>20</v>
      </c>
      <c r="C30" s="25" t="s">
        <v>103</v>
      </c>
      <c r="D30" s="46">
        <f>SUMIFS(工业节能技术装备推荐目录!K:K,工业节能技术装备推荐目录!C:C,用能设备节能分配!B30,工业节能技术装备推荐目录!F:F,用能设备节能分配!C30,工业节能技术装备推荐目录!A:A,用能设备节能分配!A30)</f>
        <v>0</v>
      </c>
      <c r="E30" s="47">
        <f>SUMIFS(工业节能技术装备推荐目录!L:L,工业节能技术装备推荐目录!C:C,用能设备节能分配!B30,工业节能技术装备推荐目录!F:F,用能设备节能分配!C30,工业节能技术装备推荐目录!A:A,用能设备节能分配!A30)</f>
        <v>0</v>
      </c>
      <c r="G30" s="26" t="s">
        <v>406</v>
      </c>
      <c r="H30" s="26" t="s">
        <v>389</v>
      </c>
      <c r="I30" s="40" t="str">
        <f>VLOOKUP(H30,'Sector &amp; Policy Match'!$A$1:$B$42,2,0)</f>
        <v>iron and steel 241</v>
      </c>
      <c r="J30" s="43">
        <f>IFERROR(VLOOKUP(I30,BIFUbC!$A$1:$B$27,2,0),0)</f>
        <v>1.918905674870198E+16</v>
      </c>
      <c r="K30" s="44">
        <f t="shared" ref="K30:K34" si="15">J30/SUM($J$29:$J$34)</f>
        <v>0.23822032775410959</v>
      </c>
      <c r="M30" s="46">
        <v>2020</v>
      </c>
      <c r="N30" s="26" t="str">
        <f t="shared" si="13"/>
        <v>工业循环水</v>
      </c>
      <c r="O30" s="26" t="str">
        <f>I$10</f>
        <v>chemicals 20</v>
      </c>
      <c r="P30" s="26" t="str">
        <f t="shared" si="5"/>
        <v>Early Facility Retirement</v>
      </c>
      <c r="Q30" s="47">
        <f t="shared" si="0"/>
        <v>0</v>
      </c>
      <c r="R30" s="47">
        <f t="shared" si="1"/>
        <v>0</v>
      </c>
    </row>
    <row r="31" spans="1:18" ht="14.25" x14ac:dyDescent="0.2">
      <c r="A31" s="46">
        <v>2020</v>
      </c>
      <c r="B31" s="24" t="s">
        <v>20</v>
      </c>
      <c r="C31" s="25" t="s">
        <v>104</v>
      </c>
      <c r="D31" s="46">
        <f>SUMIFS(工业节能技术装备推荐目录!K:K,工业节能技术装备推荐目录!C:C,用能设备节能分配!B31,工业节能技术装备推荐目录!F:F,用能设备节能分配!C31,工业节能技术装备推荐目录!A:A,用能设备节能分配!A31)</f>
        <v>0</v>
      </c>
      <c r="E31" s="47">
        <f>SUMIFS(工业节能技术装备推荐目录!L:L,工业节能技术装备推荐目录!C:C,用能设备节能分配!B31,工业节能技术装备推荐目录!F:F,用能设备节能分配!C31,工业节能技术装备推荐目录!A:A,用能设备节能分配!A31)</f>
        <v>0</v>
      </c>
      <c r="G31" s="26" t="s">
        <v>406</v>
      </c>
      <c r="H31" s="26" t="s">
        <v>395</v>
      </c>
      <c r="I31" s="40" t="str">
        <f>VLOOKUP(H31,'Sector &amp; Policy Match'!$A$1:$B$42,2,0)</f>
        <v>other metals 242</v>
      </c>
      <c r="J31" s="43">
        <f>IFERROR(VLOOKUP(I31,BIFUbC!$A$1:$B$27,2,0),0)</f>
        <v>3416786131084909.5</v>
      </c>
      <c r="K31" s="44">
        <f t="shared" si="15"/>
        <v>4.2417296622347091E-2</v>
      </c>
      <c r="M31" s="46">
        <v>2020</v>
      </c>
      <c r="N31" s="26" t="str">
        <f t="shared" si="13"/>
        <v>工业循环水</v>
      </c>
      <c r="O31" s="26" t="str">
        <f t="shared" ref="O31:O33" si="16">I$10</f>
        <v>chemicals 20</v>
      </c>
      <c r="P31" s="26" t="str">
        <f t="shared" si="5"/>
        <v>Installation and System Integration</v>
      </c>
      <c r="Q31" s="47">
        <f t="shared" si="0"/>
        <v>0</v>
      </c>
      <c r="R31" s="47">
        <f t="shared" si="1"/>
        <v>0</v>
      </c>
    </row>
    <row r="32" spans="1:18" ht="14.25" x14ac:dyDescent="0.2">
      <c r="A32" s="46">
        <v>2020</v>
      </c>
      <c r="B32" s="24" t="s">
        <v>20</v>
      </c>
      <c r="C32" s="25" t="s">
        <v>102</v>
      </c>
      <c r="D32" s="46">
        <f>SUMIFS(工业节能技术装备推荐目录!K:K,工业节能技术装备推荐目录!C:C,用能设备节能分配!B32,工业节能技术装备推荐目录!F:F,用能设备节能分配!C32,工业节能技术装备推荐目录!A:A,用能设备节能分配!A32)</f>
        <v>0</v>
      </c>
      <c r="E32" s="47">
        <f>SUMIFS(工业节能技术装备推荐目录!L:L,工业节能技术装备推荐目录!C:C,用能设备节能分配!B32,工业节能技术装备推荐目录!F:F,用能设备节能分配!C32,工业节能技术装备推荐目录!A:A,用能设备节能分配!A32)</f>
        <v>0</v>
      </c>
      <c r="G32" s="26" t="s">
        <v>406</v>
      </c>
      <c r="H32" s="26" t="s">
        <v>391</v>
      </c>
      <c r="I32" s="40" t="str">
        <f>VLOOKUP(H32,'Sector &amp; Policy Match'!$A$1:$B$42,2,0)</f>
        <v>pulp paper and printing 17T18</v>
      </c>
      <c r="J32" s="43">
        <f>IFERROR(VLOOKUP(I32,BIFUbC!$A$1:$B$27,2,0),0)</f>
        <v>871528323453208.75</v>
      </c>
      <c r="K32" s="44">
        <f t="shared" si="15"/>
        <v>1.0819487668358526E-2</v>
      </c>
      <c r="M32" s="46">
        <v>2020</v>
      </c>
      <c r="N32" s="26" t="str">
        <f t="shared" si="13"/>
        <v>工业循环水</v>
      </c>
      <c r="O32" s="26" t="str">
        <f t="shared" si="16"/>
        <v>chemicals 20</v>
      </c>
      <c r="P32" s="26" t="str">
        <f t="shared" si="5"/>
        <v>Cogeneration and Waste Heat Recovery</v>
      </c>
      <c r="Q32" s="47">
        <f t="shared" si="0"/>
        <v>4.8338064346010405</v>
      </c>
      <c r="R32" s="47">
        <f t="shared" si="1"/>
        <v>32.225376230673604</v>
      </c>
    </row>
    <row r="33" spans="1:18" ht="14.25" x14ac:dyDescent="0.2">
      <c r="A33" s="46">
        <v>2020</v>
      </c>
      <c r="B33" s="24" t="s">
        <v>20</v>
      </c>
      <c r="C33" s="25" t="s">
        <v>105</v>
      </c>
      <c r="D33" s="46">
        <f>SUMIFS(工业节能技术装备推荐目录!K:K,工业节能技术装备推荐目录!C:C,用能设备节能分配!B33,工业节能技术装备推荐目录!F:F,用能设备节能分配!C33,工业节能技术装备推荐目录!A:A,用能设备节能分配!A33)</f>
        <v>0</v>
      </c>
      <c r="E33" s="47">
        <f>SUMIFS(工业节能技术装备推荐目录!L:L,工业节能技术装备推荐目录!C:C,用能设备节能分配!B33,工业节能技术装备推荐目录!F:F,用能设备节能分配!C33,工业节能技术装备推荐目录!A:A,用能设备节能分配!A33)</f>
        <v>0</v>
      </c>
      <c r="G33" s="26" t="s">
        <v>406</v>
      </c>
      <c r="H33" s="26" t="s">
        <v>386</v>
      </c>
      <c r="I33" s="40" t="str">
        <f>VLOOKUP(H33,'Sector &amp; Policy Match'!$A$1:$B$42,2,0)</f>
        <v>电力、热力生产</v>
      </c>
      <c r="J33" s="43">
        <f>IFERROR(VLOOKUP(I33,BIFUbC!$A$1:$B$27,2,0),0)</f>
        <v>2269430122869799.5</v>
      </c>
      <c r="K33" s="44">
        <f t="shared" si="15"/>
        <v>2.8173578032784894E-2</v>
      </c>
      <c r="M33" s="46">
        <v>2020</v>
      </c>
      <c r="N33" s="26" t="str">
        <f t="shared" si="13"/>
        <v>工业循环水</v>
      </c>
      <c r="O33" s="26" t="str">
        <f t="shared" si="16"/>
        <v>chemicals 20</v>
      </c>
      <c r="P33" s="26" t="str">
        <f t="shared" si="5"/>
        <v>Improvement in Eqpt Efficiency Standards</v>
      </c>
      <c r="Q33" s="47">
        <f t="shared" si="0"/>
        <v>0</v>
      </c>
      <c r="R33" s="47">
        <f t="shared" si="1"/>
        <v>0</v>
      </c>
    </row>
    <row r="34" spans="1:18" ht="14.25" x14ac:dyDescent="0.2">
      <c r="A34" s="46">
        <v>2020</v>
      </c>
      <c r="B34" s="24" t="s">
        <v>22</v>
      </c>
      <c r="C34" s="25" t="s">
        <v>103</v>
      </c>
      <c r="D34" s="46">
        <f>SUMIFS(工业节能技术装备推荐目录!K:K,工业节能技术装备推荐目录!C:C,用能设备节能分配!B34,工业节能技术装备推荐目录!F:F,用能设备节能分配!C34,工业节能技术装备推荐目录!A:A,用能设备节能分配!A34)</f>
        <v>0</v>
      </c>
      <c r="E34" s="47">
        <f>SUMIFS(工业节能技术装备推荐目录!L:L,工业节能技术装备推荐目录!C:C,用能设备节能分配!B34,工业节能技术装备推荐目录!F:F,用能设备节能分配!C34,工业节能技术装备推荐目录!A:A,用能设备节能分配!A34)</f>
        <v>0</v>
      </c>
      <c r="G34" s="26" t="s">
        <v>406</v>
      </c>
      <c r="H34" s="26" t="s">
        <v>407</v>
      </c>
      <c r="I34" s="40" t="str">
        <f>VLOOKUP(H34,'Sector &amp; Policy Match'!$A$1:$B$42,2,0)</f>
        <v>water and waste 36T39</v>
      </c>
      <c r="J34" s="43">
        <f>IFERROR(VLOOKUP(I34,BIFUbC!$A$1:$B$27,2,0),0)</f>
        <v>353812120372585</v>
      </c>
      <c r="K34" s="44">
        <f t="shared" si="15"/>
        <v>4.3923596861651388E-3</v>
      </c>
      <c r="M34" s="46">
        <v>2020</v>
      </c>
      <c r="N34" s="26" t="str">
        <f t="shared" si="13"/>
        <v>工业循环水</v>
      </c>
      <c r="O34" s="26" t="str">
        <f>I$11</f>
        <v>iron and steel 241</v>
      </c>
      <c r="P34" s="26" t="str">
        <f t="shared" si="5"/>
        <v>Early Facility Retirement</v>
      </c>
      <c r="Q34" s="47">
        <f t="shared" si="0"/>
        <v>0</v>
      </c>
      <c r="R34" s="47">
        <f t="shared" si="1"/>
        <v>0</v>
      </c>
    </row>
    <row r="35" spans="1:18" ht="14.25" x14ac:dyDescent="0.2">
      <c r="A35" s="46">
        <v>2020</v>
      </c>
      <c r="B35" s="24" t="s">
        <v>22</v>
      </c>
      <c r="C35" s="25" t="s">
        <v>104</v>
      </c>
      <c r="D35" s="46">
        <f>SUMIFS(工业节能技术装备推荐目录!K:K,工业节能技术装备推荐目录!C:C,用能设备节能分配!B35,工业节能技术装备推荐目录!F:F,用能设备节能分配!C35,工业节能技术装备推荐目录!A:A,用能设备节能分配!A35)</f>
        <v>0</v>
      </c>
      <c r="E35" s="47">
        <f>SUMIFS(工业节能技术装备推荐目录!L:L,工业节能技术装备推荐目录!C:C,用能设备节能分配!B35,工业节能技术装备推荐目录!F:F,用能设备节能分配!C35,工业节能技术装备推荐目录!A:A,用能设备节能分配!A35)</f>
        <v>0</v>
      </c>
      <c r="G35" s="26" t="s">
        <v>409</v>
      </c>
      <c r="H35" s="26" t="s">
        <v>389</v>
      </c>
      <c r="I35" s="40" t="str">
        <f>VLOOKUP(H35,'Sector &amp; Policy Match'!$A$1:$B$42,2,0)</f>
        <v>iron and steel 241</v>
      </c>
      <c r="J35" s="43">
        <f>IFERROR(VLOOKUP(I35,BIFUbC!$A$1:$B$27,2,0),0)</f>
        <v>1.918905674870198E+16</v>
      </c>
      <c r="K35" s="44">
        <f>J35/SUM($J$35:$J$38)</f>
        <v>0.22874759942410136</v>
      </c>
      <c r="M35" s="46">
        <v>2020</v>
      </c>
      <c r="N35" s="26" t="str">
        <f t="shared" si="13"/>
        <v>工业循环水</v>
      </c>
      <c r="O35" s="26" t="str">
        <f t="shared" ref="O35:O37" si="17">I$11</f>
        <v>iron and steel 241</v>
      </c>
      <c r="P35" s="26" t="str">
        <f t="shared" si="5"/>
        <v>Installation and System Integration</v>
      </c>
      <c r="Q35" s="47">
        <f t="shared" si="0"/>
        <v>0</v>
      </c>
      <c r="R35" s="47">
        <f t="shared" si="1"/>
        <v>0</v>
      </c>
    </row>
    <row r="36" spans="1:18" ht="14.25" x14ac:dyDescent="0.2">
      <c r="A36" s="46">
        <v>2020</v>
      </c>
      <c r="B36" s="24" t="s">
        <v>22</v>
      </c>
      <c r="C36" s="25" t="s">
        <v>102</v>
      </c>
      <c r="D36" s="46">
        <f>SUMIFS(工业节能技术装备推荐目录!K:K,工业节能技术装备推荐目录!C:C,用能设备节能分配!B36,工业节能技术装备推荐目录!F:F,用能设备节能分配!C36,工业节能技术装备推荐目录!A:A,用能设备节能分配!A36)</f>
        <v>0</v>
      </c>
      <c r="E36" s="47">
        <f>SUMIFS(工业节能技术装备推荐目录!L:L,工业节能技术装备推荐目录!C:C,用能设备节能分配!B36,工业节能技术装备推荐目录!F:F,用能设备节能分配!C36,工业节能技术装备推荐目录!A:A,用能设备节能分配!A36)</f>
        <v>0</v>
      </c>
      <c r="G36" s="26" t="s">
        <v>409</v>
      </c>
      <c r="H36" s="26" t="s">
        <v>387</v>
      </c>
      <c r="I36" s="40" t="str">
        <f>VLOOKUP(H36,'Sector &amp; Policy Match'!$A$1:$B$42,2,0)</f>
        <v>refined petroleum and coke 19</v>
      </c>
      <c r="J36" s="43">
        <f>IFERROR(VLOOKUP(I36,BIFUbC!$A$1:$B$27,2,0),0)</f>
        <v>5.445110491278732E+16</v>
      </c>
      <c r="K36" s="44">
        <f t="shared" ref="K36:K38" si="18">J36/SUM($J$35:$J$38)</f>
        <v>0.64909701909305839</v>
      </c>
      <c r="M36" s="46">
        <v>2020</v>
      </c>
      <c r="N36" s="26" t="str">
        <f t="shared" si="13"/>
        <v>工业循环水</v>
      </c>
      <c r="O36" s="26" t="str">
        <f t="shared" si="17"/>
        <v>iron and steel 241</v>
      </c>
      <c r="P36" s="26" t="str">
        <f t="shared" si="5"/>
        <v>Cogeneration and Waste Heat Recovery</v>
      </c>
      <c r="Q36" s="47">
        <f t="shared" si="0"/>
        <v>7.8746151048144828</v>
      </c>
      <c r="R36" s="47">
        <f t="shared" si="1"/>
        <v>52.497434032096557</v>
      </c>
    </row>
    <row r="37" spans="1:18" ht="14.25" x14ac:dyDescent="0.2">
      <c r="A37" s="46">
        <v>2020</v>
      </c>
      <c r="B37" s="24" t="s">
        <v>22</v>
      </c>
      <c r="C37" s="25" t="s">
        <v>105</v>
      </c>
      <c r="D37" s="46">
        <f>SUMIFS(工业节能技术装备推荐目录!K:K,工业节能技术装备推荐目录!C:C,用能设备节能分配!B37,工业节能技术装备推荐目录!F:F,用能设备节能分配!C37,工业节能技术装备推荐目录!A:A,用能设备节能分配!A37)</f>
        <v>0</v>
      </c>
      <c r="E37" s="47">
        <f>SUMIFS(工业节能技术装备推荐目录!L:L,工业节能技术装备推荐目录!C:C,用能设备节能分配!B37,工业节能技术装备推荐目录!F:F,用能设备节能分配!C37,工业节能技术装备推荐目录!A:A,用能设备节能分配!A37)</f>
        <v>0</v>
      </c>
      <c r="G37" s="26" t="s">
        <v>409</v>
      </c>
      <c r="H37" s="26" t="s">
        <v>395</v>
      </c>
      <c r="I37" s="40" t="str">
        <f>VLOOKUP(H37,'Sector &amp; Policy Match'!$A$1:$B$42,2,0)</f>
        <v>other metals 242</v>
      </c>
      <c r="J37" s="43">
        <f>IFERROR(VLOOKUP(I37,BIFUbC!$A$1:$B$27,2,0),0)</f>
        <v>3416786131084909.5</v>
      </c>
      <c r="K37" s="44">
        <f t="shared" si="18"/>
        <v>4.0730591162804551E-2</v>
      </c>
      <c r="M37" s="46">
        <v>2020</v>
      </c>
      <c r="N37" s="26" t="str">
        <f t="shared" si="13"/>
        <v>工业循环水</v>
      </c>
      <c r="O37" s="26" t="str">
        <f t="shared" si="17"/>
        <v>iron and steel 241</v>
      </c>
      <c r="P37" s="26" t="str">
        <f t="shared" si="5"/>
        <v>Improvement in Eqpt Efficiency Standards</v>
      </c>
      <c r="Q37" s="47">
        <f t="shared" si="0"/>
        <v>0</v>
      </c>
      <c r="R37" s="47">
        <f t="shared" si="1"/>
        <v>0</v>
      </c>
    </row>
    <row r="38" spans="1:18" ht="14.25" x14ac:dyDescent="0.2">
      <c r="A38" s="46">
        <v>2020</v>
      </c>
      <c r="B38" s="24" t="s">
        <v>78</v>
      </c>
      <c r="C38" s="25" t="s">
        <v>103</v>
      </c>
      <c r="D38" s="46">
        <f>SUMIFS(工业节能技术装备推荐目录!K:K,工业节能技术装备推荐目录!C:C,用能设备节能分配!B38,工业节能技术装备推荐目录!F:F,用能设备节能分配!C38,工业节能技术装备推荐目录!A:A,用能设备节能分配!A38)</f>
        <v>0</v>
      </c>
      <c r="E38" s="47">
        <f>SUMIFS(工业节能技术装备推荐目录!L:L,工业节能技术装备推荐目录!C:C,用能设备节能分配!B38,工业节能技术装备推荐目录!F:F,用能设备节能分配!C38,工业节能技术装备推荐目录!A:A,用能设备节能分配!A38)</f>
        <v>0</v>
      </c>
      <c r="G38" s="26" t="s">
        <v>409</v>
      </c>
      <c r="H38" s="26" t="s">
        <v>410</v>
      </c>
      <c r="I38" s="40" t="str">
        <f>VLOOKUP(H38,'Sector &amp; Policy Match'!$A$1:$B$42,2,0)</f>
        <v>cement and other nonmetallic minerals 239</v>
      </c>
      <c r="J38" s="43">
        <f>IFERROR(VLOOKUP(I38,BIFUbC!$A$1:$B$27,2,0),0)</f>
        <v>6830519428995158</v>
      </c>
      <c r="K38" s="44">
        <f t="shared" si="18"/>
        <v>8.1424790320035759E-2</v>
      </c>
      <c r="M38" s="46">
        <v>2020</v>
      </c>
      <c r="N38" s="26" t="str">
        <f t="shared" si="13"/>
        <v>工业循环水</v>
      </c>
      <c r="O38" s="26" t="str">
        <f>I$12</f>
        <v>other metals 242</v>
      </c>
      <c r="P38" s="26" t="str">
        <f t="shared" si="5"/>
        <v>Early Facility Retirement</v>
      </c>
      <c r="Q38" s="47">
        <f t="shared" si="0"/>
        <v>0</v>
      </c>
      <c r="R38" s="47">
        <f t="shared" si="1"/>
        <v>0</v>
      </c>
    </row>
    <row r="39" spans="1:18" ht="14.25" x14ac:dyDescent="0.2">
      <c r="A39" s="46">
        <v>2020</v>
      </c>
      <c r="B39" s="24" t="s">
        <v>78</v>
      </c>
      <c r="C39" s="25" t="s">
        <v>104</v>
      </c>
      <c r="D39" s="46">
        <f>SUMIFS(工业节能技术装备推荐目录!K:K,工业节能技术装备推荐目录!C:C,用能设备节能分配!B39,工业节能技术装备推荐目录!F:F,用能设备节能分配!C39,工业节能技术装备推荐目录!A:A,用能设备节能分配!A39)</f>
        <v>0</v>
      </c>
      <c r="E39" s="47">
        <f>SUMIFS(工业节能技术装备推荐目录!L:L,工业节能技术装备推荐目录!C:C,用能设备节能分配!B39,工业节能技术装备推荐目录!F:F,用能设备节能分配!C39,工业节能技术装备推荐目录!A:A,用能设备节能分配!A39)</f>
        <v>0</v>
      </c>
      <c r="G39" s="26" t="s">
        <v>411</v>
      </c>
      <c r="H39" s="26" t="s">
        <v>405</v>
      </c>
      <c r="I39" s="40" t="str">
        <f>VLOOKUP(H39,'Sector &amp; Policy Match'!$A$1:$B$42,2,0)</f>
        <v>coal mining 05</v>
      </c>
      <c r="J39" s="43">
        <f>IFERROR(VLOOKUP(I39,BIFUbC!$A$1:$B$27,2,0),0)</f>
        <v>1.8369744355334368E+16</v>
      </c>
      <c r="K39" s="44">
        <f>J39/SUM($J$39:$J$43)</f>
        <v>0.18802941128430944</v>
      </c>
      <c r="M39" s="46">
        <v>2020</v>
      </c>
      <c r="N39" s="26" t="str">
        <f t="shared" si="13"/>
        <v>工业循环水</v>
      </c>
      <c r="O39" s="26" t="str">
        <f t="shared" ref="O39:O41" si="19">I$12</f>
        <v>other metals 242</v>
      </c>
      <c r="P39" s="26" t="str">
        <f t="shared" si="5"/>
        <v>Installation and System Integration</v>
      </c>
      <c r="Q39" s="47">
        <f t="shared" si="0"/>
        <v>0</v>
      </c>
      <c r="R39" s="47">
        <f t="shared" si="1"/>
        <v>0</v>
      </c>
    </row>
    <row r="40" spans="1:18" ht="14.25" x14ac:dyDescent="0.2">
      <c r="A40" s="46">
        <v>2020</v>
      </c>
      <c r="B40" s="24" t="s">
        <v>78</v>
      </c>
      <c r="C40" s="25" t="s">
        <v>102</v>
      </c>
      <c r="D40" s="46">
        <f>SUMIFS(工业节能技术装备推荐目录!K:K,工业节能技术装备推荐目录!C:C,用能设备节能分配!B40,工业节能技术装备推荐目录!F:F,用能设备节能分配!C40,工业节能技术装备推荐目录!A:A,用能设备节能分配!A40)</f>
        <v>0</v>
      </c>
      <c r="E40" s="47">
        <f>SUMIFS(工业节能技术装备推荐目录!L:L,工业节能技术装备推荐目录!C:C,用能设备节能分配!B40,工业节能技术装备推荐目录!F:F,用能设备节能分配!C40,工业节能技术装备推荐目录!A:A,用能设备节能分配!A40)</f>
        <v>0</v>
      </c>
      <c r="G40" s="26" t="s">
        <v>411</v>
      </c>
      <c r="H40" s="26" t="s">
        <v>389</v>
      </c>
      <c r="I40" s="40" t="str">
        <f>VLOOKUP(H40,'Sector &amp; Policy Match'!$A$1:$B$42,2,0)</f>
        <v>iron and steel 241</v>
      </c>
      <c r="J40" s="43">
        <f>IFERROR(VLOOKUP(I40,BIFUbC!$A$1:$B$27,2,0),0)</f>
        <v>1.918905674870198E+16</v>
      </c>
      <c r="K40" s="44">
        <f t="shared" ref="K40:K43" si="20">J40/SUM($J$39:$J$43)</f>
        <v>0.19641574611852911</v>
      </c>
      <c r="M40" s="46">
        <v>2020</v>
      </c>
      <c r="N40" s="26" t="str">
        <f t="shared" si="13"/>
        <v>工业循环水</v>
      </c>
      <c r="O40" s="26" t="str">
        <f t="shared" si="19"/>
        <v>other metals 242</v>
      </c>
      <c r="P40" s="26" t="str">
        <f t="shared" si="5"/>
        <v>Cogeneration and Waste Heat Recovery</v>
      </c>
      <c r="Q40" s="47">
        <f t="shared" si="0"/>
        <v>1.4021468605840608</v>
      </c>
      <c r="R40" s="47">
        <f t="shared" si="1"/>
        <v>9.3476457372270723</v>
      </c>
    </row>
    <row r="41" spans="1:18" ht="14.25" x14ac:dyDescent="0.2">
      <c r="A41" s="46">
        <v>2020</v>
      </c>
      <c r="B41" s="24" t="s">
        <v>78</v>
      </c>
      <c r="C41" s="25" t="s">
        <v>105</v>
      </c>
      <c r="D41" s="46">
        <f>SUMIFS(工业节能技术装备推荐目录!K:K,工业节能技术装备推荐目录!C:C,用能设备节能分配!B41,工业节能技术装备推荐目录!F:F,用能设备节能分配!C41,工业节能技术装备推荐目录!A:A,用能设备节能分配!A41)</f>
        <v>0</v>
      </c>
      <c r="E41" s="47">
        <f>SUMIFS(工业节能技术装备推荐目录!L:L,工业节能技术装备推荐目录!C:C,用能设备节能分配!B41,工业节能技术装备推荐目录!F:F,用能设备节能分配!C41,工业节能技术装备推荐目录!A:A,用能设备节能分配!A41)</f>
        <v>0</v>
      </c>
      <c r="G41" s="26" t="s">
        <v>411</v>
      </c>
      <c r="H41" s="26" t="s">
        <v>395</v>
      </c>
      <c r="I41" s="40" t="str">
        <f>VLOOKUP(H41,'Sector &amp; Policy Match'!$A$1:$B$42,2,0)</f>
        <v>other metals 242</v>
      </c>
      <c r="J41" s="43">
        <f>IFERROR(VLOOKUP(I41,BIFUbC!$A$1:$B$27,2,0),0)</f>
        <v>3416786131084909.5</v>
      </c>
      <c r="K41" s="44">
        <f t="shared" si="20"/>
        <v>3.4973610535071316E-2</v>
      </c>
      <c r="M41" s="46">
        <v>2020</v>
      </c>
      <c r="N41" s="26" t="str">
        <f t="shared" si="13"/>
        <v>工业循环水</v>
      </c>
      <c r="O41" s="26" t="str">
        <f t="shared" si="19"/>
        <v>other metals 242</v>
      </c>
      <c r="P41" s="26" t="str">
        <f t="shared" si="5"/>
        <v>Improvement in Eqpt Efficiency Standards</v>
      </c>
      <c r="Q41" s="47">
        <f t="shared" si="0"/>
        <v>0</v>
      </c>
      <c r="R41" s="47">
        <f t="shared" si="1"/>
        <v>0</v>
      </c>
    </row>
    <row r="42" spans="1:18" ht="14.25" x14ac:dyDescent="0.2">
      <c r="A42" s="46">
        <v>2020</v>
      </c>
      <c r="B42" s="24" t="s">
        <v>21</v>
      </c>
      <c r="C42" s="25" t="s">
        <v>103</v>
      </c>
      <c r="D42" s="46">
        <f>SUMIFS(工业节能技术装备推荐目录!K:K,工业节能技术装备推荐目录!C:C,用能设备节能分配!B42,工业节能技术装备推荐目录!F:F,用能设备节能分配!C42,工业节能技术装备推荐目录!A:A,用能设备节能分配!A42)</f>
        <v>0</v>
      </c>
      <c r="E42" s="47">
        <f>SUMIFS(工业节能技术装备推荐目录!L:L,工业节能技术装备推荐目录!C:C,用能设备节能分配!B42,工业节能技术装备推荐目录!F:F,用能设备节能分配!C42,工业节能技术装备推荐目录!A:A,用能设备节能分配!A42)</f>
        <v>0</v>
      </c>
      <c r="G42" s="26" t="s">
        <v>411</v>
      </c>
      <c r="H42" s="26" t="s">
        <v>387</v>
      </c>
      <c r="I42" s="40" t="str">
        <f>VLOOKUP(H42,'Sector &amp; Policy Match'!$A$1:$B$42,2,0)</f>
        <v>refined petroleum and coke 19</v>
      </c>
      <c r="J42" s="43">
        <f>IFERROR(VLOOKUP(I42,BIFUbC!$A$1:$B$27,2,0),0)</f>
        <v>5.445110491278732E+16</v>
      </c>
      <c r="K42" s="44">
        <f t="shared" si="20"/>
        <v>0.55735175201599629</v>
      </c>
      <c r="M42" s="46">
        <v>2020</v>
      </c>
      <c r="N42" s="26" t="str">
        <f t="shared" si="13"/>
        <v>工业循环水</v>
      </c>
      <c r="O42" s="26" t="str">
        <f>I$13</f>
        <v>pulp paper and printing 17T18</v>
      </c>
      <c r="P42" s="26" t="str">
        <f t="shared" si="5"/>
        <v>Early Facility Retirement</v>
      </c>
      <c r="Q42" s="47">
        <f t="shared" si="0"/>
        <v>0</v>
      </c>
      <c r="R42" s="47">
        <f t="shared" si="1"/>
        <v>0</v>
      </c>
    </row>
    <row r="43" spans="1:18" ht="14.25" x14ac:dyDescent="0.2">
      <c r="A43" s="46">
        <v>2020</v>
      </c>
      <c r="B43" s="24" t="s">
        <v>21</v>
      </c>
      <c r="C43" s="25" t="s">
        <v>104</v>
      </c>
      <c r="D43" s="46">
        <f>SUMIFS(工业节能技术装备推荐目录!K:K,工业节能技术装备推荐目录!C:C,用能设备节能分配!B43,工业节能技术装备推荐目录!F:F,用能设备节能分配!C43,工业节能技术装备推荐目录!A:A,用能设备节能分配!A43)</f>
        <v>0</v>
      </c>
      <c r="E43" s="47">
        <f>SUMIFS(工业节能技术装备推荐目录!L:L,工业节能技术装备推荐目录!C:C,用能设备节能分配!B43,工业节能技术装备推荐目录!F:F,用能设备节能分配!C43,工业节能技术装备推荐目录!A:A,用能设备节能分配!A43)</f>
        <v>0</v>
      </c>
      <c r="G43" s="26" t="s">
        <v>411</v>
      </c>
      <c r="H43" s="26" t="s">
        <v>386</v>
      </c>
      <c r="I43" s="40" t="str">
        <f>VLOOKUP(H43,'Sector &amp; Policy Match'!$A$1:$B$42,2,0)</f>
        <v>电力、热力生产</v>
      </c>
      <c r="J43" s="43">
        <f>IFERROR(VLOOKUP(I43,BIFUbC!$A$1:$B$27,2,0),0)</f>
        <v>2269430122869799.5</v>
      </c>
      <c r="K43" s="44">
        <f t="shared" si="20"/>
        <v>2.3229480046093934E-2</v>
      </c>
      <c r="M43" s="46">
        <v>2020</v>
      </c>
      <c r="N43" s="26" t="str">
        <f t="shared" si="13"/>
        <v>工业循环水</v>
      </c>
      <c r="O43" s="26" t="str">
        <f t="shared" ref="O43:O45" si="21">I$13</f>
        <v>pulp paper and printing 17T18</v>
      </c>
      <c r="P43" s="26" t="str">
        <f t="shared" si="5"/>
        <v>Installation and System Integration</v>
      </c>
      <c r="Q43" s="47">
        <f t="shared" si="0"/>
        <v>0</v>
      </c>
      <c r="R43" s="47">
        <f t="shared" si="1"/>
        <v>0</v>
      </c>
    </row>
    <row r="44" spans="1:18" ht="14.25" x14ac:dyDescent="0.2">
      <c r="A44" s="46">
        <v>2020</v>
      </c>
      <c r="B44" s="24" t="s">
        <v>21</v>
      </c>
      <c r="C44" s="25" t="s">
        <v>102</v>
      </c>
      <c r="D44" s="46">
        <f>SUMIFS(工业节能技术装备推荐目录!K:K,工业节能技术装备推荐目录!C:C,用能设备节能分配!B44,工业节能技术装备推荐目录!F:F,用能设备节能分配!C44,工业节能技术装备推荐目录!A:A,用能设备节能分配!A44)</f>
        <v>0</v>
      </c>
      <c r="E44" s="47">
        <f>SUMIFS(工业节能技术装备推荐目录!L:L,工业节能技术装备推荐目录!C:C,用能设备节能分配!B44,工业节能技术装备推荐目录!F:F,用能设备节能分配!C44,工业节能技术装备推荐目录!A:A,用能设备节能分配!A44)</f>
        <v>0</v>
      </c>
      <c r="G44" s="26" t="s">
        <v>84</v>
      </c>
      <c r="H44" s="26" t="s">
        <v>412</v>
      </c>
      <c r="I44" s="40" t="str">
        <f>VLOOKUP(H44,'Sector &amp; Policy Match'!$A$1:$B$42,2,0)</f>
        <v>other manufacturing 31T33</v>
      </c>
      <c r="J44" s="43">
        <f>IFERROR(VLOOKUP(I44,BIFUbC!$A$1:$B$27,2,0),0)</f>
        <v>512263455152634.81</v>
      </c>
      <c r="K44" s="44">
        <f>J44/SUM($J$44:$J$48)</f>
        <v>0.30719252397667313</v>
      </c>
      <c r="M44" s="46">
        <v>2020</v>
      </c>
      <c r="N44" s="26" t="str">
        <f t="shared" si="13"/>
        <v>工业循环水</v>
      </c>
      <c r="O44" s="26" t="str">
        <f t="shared" si="21"/>
        <v>pulp paper and printing 17T18</v>
      </c>
      <c r="P44" s="26" t="str">
        <f t="shared" si="5"/>
        <v>Cogeneration and Waste Heat Recovery</v>
      </c>
      <c r="Q44" s="47">
        <f t="shared" si="0"/>
        <v>0.35764916379240558</v>
      </c>
      <c r="R44" s="47">
        <f t="shared" si="1"/>
        <v>2.3843277586160374</v>
      </c>
    </row>
    <row r="45" spans="1:18" ht="14.25" x14ac:dyDescent="0.2">
      <c r="A45" s="46">
        <v>2020</v>
      </c>
      <c r="B45" s="24" t="s">
        <v>21</v>
      </c>
      <c r="C45" s="25" t="s">
        <v>105</v>
      </c>
      <c r="D45" s="46">
        <f>SUMIFS(工业节能技术装备推荐目录!K:K,工业节能技术装备推荐目录!C:C,用能设备节能分配!B45,工业节能技术装备推荐目录!F:F,用能设备节能分配!C45,工业节能技术装备推荐目录!A:A,用能设备节能分配!A45)</f>
        <v>0</v>
      </c>
      <c r="E45" s="47">
        <f>SUMIFS(工业节能技术装备推荐目录!L:L,工业节能技术装备推荐目录!C:C,用能设备节能分配!B45,工业节能技术装备推荐目录!F:F,用能设备节能分配!C45,工业节能技术装备推荐目录!A:A,用能设备节能分配!A45)</f>
        <v>0</v>
      </c>
      <c r="G45" s="26" t="s">
        <v>84</v>
      </c>
      <c r="H45" s="26" t="s">
        <v>413</v>
      </c>
      <c r="I45" s="40" t="str">
        <f>VLOOKUP(H45,'Sector &amp; Policy Match'!$A$1:$B$42,2,0)</f>
        <v>glass and glass products 231</v>
      </c>
      <c r="J45" s="43">
        <f>IFERROR(VLOOKUP(I45,BIFUbC!$A$1:$B$27,2,0),0)</f>
        <v>278650345382189.97</v>
      </c>
      <c r="K45" s="44">
        <f t="shared" ref="K45:K48" si="22">J45/SUM($J$44:$J$48)</f>
        <v>0.16710015528908134</v>
      </c>
      <c r="M45" s="46">
        <v>2020</v>
      </c>
      <c r="N45" s="26" t="str">
        <f t="shared" si="13"/>
        <v>工业循环水</v>
      </c>
      <c r="O45" s="26" t="str">
        <f t="shared" si="21"/>
        <v>pulp paper and printing 17T18</v>
      </c>
      <c r="P45" s="26" t="str">
        <f t="shared" si="5"/>
        <v>Improvement in Eqpt Efficiency Standards</v>
      </c>
      <c r="Q45" s="47">
        <f t="shared" si="0"/>
        <v>0</v>
      </c>
      <c r="R45" s="47">
        <f t="shared" si="1"/>
        <v>0</v>
      </c>
    </row>
    <row r="46" spans="1:18" ht="14.25" x14ac:dyDescent="0.2">
      <c r="A46" s="46">
        <v>2020</v>
      </c>
      <c r="B46" s="24" t="s">
        <v>82</v>
      </c>
      <c r="C46" s="25" t="s">
        <v>103</v>
      </c>
      <c r="D46" s="46">
        <f>SUMIFS(工业节能技术装备推荐目录!K:K,工业节能技术装备推荐目录!C:C,用能设备节能分配!B46,工业节能技术装备推荐目录!F:F,用能设备节能分配!C46,工业节能技术装备推荐目录!A:A,用能设备节能分配!A46)</f>
        <v>0</v>
      </c>
      <c r="E46" s="47">
        <f>SUMIFS(工业节能技术装备推荐目录!L:L,工业节能技术装备推荐目录!C:C,用能设备节能分配!B46,工业节能技术装备推荐目录!F:F,用能设备节能分配!C46,工业节能技术装备推荐目录!A:A,用能设备节能分配!A46)</f>
        <v>0</v>
      </c>
      <c r="G46" s="26" t="s">
        <v>84</v>
      </c>
      <c r="H46" s="26" t="s">
        <v>414</v>
      </c>
      <c r="I46" s="40" t="str">
        <f>VLOOKUP(H46,'Sector &amp; Policy Match'!$A$1:$B$42,2,0)</f>
        <v>computers and electronics 27</v>
      </c>
      <c r="J46" s="43">
        <f>IFERROR(VLOOKUP(I46,BIFUbC!$A$1:$B$27,2,0),0)</f>
        <v>0</v>
      </c>
      <c r="K46" s="44">
        <f t="shared" si="22"/>
        <v>0</v>
      </c>
      <c r="M46" s="46">
        <v>2020</v>
      </c>
      <c r="N46" s="26" t="str">
        <f t="shared" si="13"/>
        <v>工业循环水</v>
      </c>
      <c r="O46" s="26" t="str">
        <f>I$14</f>
        <v>textiles apparel and leather 13T15</v>
      </c>
      <c r="P46" s="26" t="str">
        <f t="shared" si="5"/>
        <v>Early Facility Retirement</v>
      </c>
      <c r="Q46" s="47">
        <f t="shared" si="0"/>
        <v>0</v>
      </c>
      <c r="R46" s="47">
        <f t="shared" si="1"/>
        <v>0</v>
      </c>
    </row>
    <row r="47" spans="1:18" ht="14.25" x14ac:dyDescent="0.2">
      <c r="A47" s="46">
        <v>2020</v>
      </c>
      <c r="B47" s="24" t="s">
        <v>82</v>
      </c>
      <c r="C47" s="25" t="s">
        <v>104</v>
      </c>
      <c r="D47" s="46">
        <f>SUMIFS(工业节能技术装备推荐目录!K:K,工业节能技术装备推荐目录!C:C,用能设备节能分配!B47,工业节能技术装备推荐目录!F:F,用能设备节能分配!C47,工业节能技术装备推荐目录!A:A,用能设备节能分配!A47)</f>
        <v>0</v>
      </c>
      <c r="E47" s="47">
        <f>SUMIFS(工业节能技术装备推荐目录!L:L,工业节能技术装备推荐目录!C:C,用能设备节能分配!B47,工业节能技术装备推荐目录!F:F,用能设备节能分配!C47,工业节能技术装备推荐目录!A:A,用能设备节能分配!A47)</f>
        <v>0</v>
      </c>
      <c r="G47" s="26" t="s">
        <v>84</v>
      </c>
      <c r="H47" s="26" t="s">
        <v>416</v>
      </c>
      <c r="I47" s="40" t="str">
        <f>VLOOKUP(H47,'Sector &amp; Policy Match'!$A$1:$B$42,2,0)</f>
        <v>appliances and electrical equipment 27</v>
      </c>
      <c r="J47" s="43">
        <f>IFERROR(VLOOKUP(I47,BIFUbC!$A$1:$B$27,2,0),0)</f>
        <v>367780850463982.5</v>
      </c>
      <c r="K47" s="44">
        <f t="shared" si="22"/>
        <v>0.2205496538703012</v>
      </c>
      <c r="M47" s="46">
        <v>2020</v>
      </c>
      <c r="N47" s="26" t="str">
        <f t="shared" si="13"/>
        <v>工业循环水</v>
      </c>
      <c r="O47" s="26" t="str">
        <f t="shared" ref="O47:O49" si="23">I$14</f>
        <v>textiles apparel and leather 13T15</v>
      </c>
      <c r="P47" s="26" t="str">
        <f t="shared" si="5"/>
        <v>Installation and System Integration</v>
      </c>
      <c r="Q47" s="47">
        <f t="shared" si="0"/>
        <v>0</v>
      </c>
      <c r="R47" s="47">
        <f t="shared" si="1"/>
        <v>0</v>
      </c>
    </row>
    <row r="48" spans="1:18" ht="14.25" x14ac:dyDescent="0.2">
      <c r="A48" s="46">
        <v>2020</v>
      </c>
      <c r="B48" s="24" t="s">
        <v>82</v>
      </c>
      <c r="C48" s="25" t="s">
        <v>102</v>
      </c>
      <c r="D48" s="46">
        <f>SUMIFS(工业节能技术装备推荐目录!K:K,工业节能技术装备推荐目录!C:C,用能设备节能分配!B48,工业节能技术装备推荐目录!F:F,用能设备节能分配!C48,工业节能技术装备推荐目录!A:A,用能设备节能分配!A48)</f>
        <v>0</v>
      </c>
      <c r="E48" s="47">
        <f>SUMIFS(工业节能技术装备推荐目录!L:L,工业节能技术装备推荐目录!C:C,用能设备节能分配!B48,工业节能技术装备推荐目录!F:F,用能设备节能分配!C48,工业节能技术装备推荐目录!A:A,用能设备节能分配!A48)</f>
        <v>0</v>
      </c>
      <c r="G48" s="26" t="s">
        <v>84</v>
      </c>
      <c r="H48" s="26" t="s">
        <v>417</v>
      </c>
      <c r="I48" s="40" t="str">
        <f>VLOOKUP(H48,'Sector &amp; Policy Match'!$A$1:$B$42,2,0)</f>
        <v>road vehicles 29</v>
      </c>
      <c r="J48" s="43">
        <f>IFERROR(VLOOKUP(I48,BIFUbC!$A$1:$B$27,2,0),0)</f>
        <v>508870198956766.19</v>
      </c>
      <c r="K48" s="44">
        <f t="shared" si="22"/>
        <v>0.3051576668639443</v>
      </c>
      <c r="M48" s="46">
        <v>2020</v>
      </c>
      <c r="N48" s="26" t="str">
        <f t="shared" si="13"/>
        <v>工业循环水</v>
      </c>
      <c r="O48" s="26" t="str">
        <f t="shared" si="23"/>
        <v>textiles apparel and leather 13T15</v>
      </c>
      <c r="P48" s="26" t="str">
        <f t="shared" si="5"/>
        <v>Cogeneration and Waste Heat Recovery</v>
      </c>
      <c r="Q48" s="47">
        <f t="shared" si="0"/>
        <v>0.56370543720586652</v>
      </c>
      <c r="R48" s="47">
        <f t="shared" si="1"/>
        <v>3.7580362480391103</v>
      </c>
    </row>
    <row r="49" spans="1:18" ht="14.25" x14ac:dyDescent="0.2">
      <c r="A49" s="46">
        <v>2020</v>
      </c>
      <c r="B49" s="24" t="s">
        <v>82</v>
      </c>
      <c r="C49" s="25" t="s">
        <v>105</v>
      </c>
      <c r="D49" s="46">
        <f>SUMIFS(工业节能技术装备推荐目录!K:K,工业节能技术装备推荐目录!C:C,用能设备节能分配!B49,工业节能技术装备推荐目录!F:F,用能设备节能分配!C49,工业节能技术装备推荐目录!A:A,用能设备节能分配!A49)</f>
        <v>0</v>
      </c>
      <c r="E49" s="47">
        <f>SUMIFS(工业节能技术装备推荐目录!L:L,工业节能技术装备推荐目录!C:C,用能设备节能分配!B49,工业节能技术装备推荐目录!F:F,用能设备节能分配!C49,工业节能技术装备推荐目录!A:A,用能设备节能分配!A49)</f>
        <v>0</v>
      </c>
      <c r="G49" s="26" t="s">
        <v>418</v>
      </c>
      <c r="H49" s="26" t="s">
        <v>419</v>
      </c>
      <c r="I49" s="40" t="str">
        <f>VLOOKUP(H49,'Sector &amp; Policy Match'!$A$1:$B$42,2,0)</f>
        <v>agriculture and forestry 01T03</v>
      </c>
      <c r="J49" s="43">
        <f>IFERROR(VLOOKUP(I49,BIFUbC!$A$1:$B$27,2,0),0)</f>
        <v>1655905952087749.5</v>
      </c>
      <c r="K49" s="44">
        <f>J49/SUM($J$49:$J$56)</f>
        <v>3.0095728687897661E-2</v>
      </c>
      <c r="M49" s="46">
        <v>2020</v>
      </c>
      <c r="N49" s="26" t="str">
        <f t="shared" si="13"/>
        <v>工业循环水</v>
      </c>
      <c r="O49" s="26" t="str">
        <f t="shared" si="23"/>
        <v>textiles apparel and leather 13T15</v>
      </c>
      <c r="P49" s="26" t="str">
        <f t="shared" si="5"/>
        <v>Improvement in Eqpt Efficiency Standards</v>
      </c>
      <c r="Q49" s="47">
        <f t="shared" si="0"/>
        <v>0</v>
      </c>
      <c r="R49" s="47">
        <f t="shared" si="1"/>
        <v>0</v>
      </c>
    </row>
    <row r="50" spans="1:18" ht="14.25" x14ac:dyDescent="0.2">
      <c r="A50" s="46">
        <v>2020</v>
      </c>
      <c r="B50" s="26" t="s">
        <v>84</v>
      </c>
      <c r="C50" s="25" t="s">
        <v>103</v>
      </c>
      <c r="D50" s="46">
        <f>SUMIFS(工业节能技术装备推荐目录!K:K,工业节能技术装备推荐目录!C:C,用能设备节能分配!B50,工业节能技术装备推荐目录!F:F,用能设备节能分配!C50,工业节能技术装备推荐目录!A:A,用能设备节能分配!A50)</f>
        <v>0</v>
      </c>
      <c r="E50" s="47">
        <f>SUMIFS(工业节能技术装备推荐目录!L:L,工业节能技术装备推荐目录!C:C,用能设备节能分配!B50,工业节能技术装备推荐目录!F:F,用能设备节能分配!C50,工业节能技术装备推荐目录!A:A,用能设备节能分配!A50)</f>
        <v>0</v>
      </c>
      <c r="G50" s="26" t="s">
        <v>418</v>
      </c>
      <c r="H50" s="26" t="s">
        <v>405</v>
      </c>
      <c r="I50" s="40" t="str">
        <f>VLOOKUP(H50,'Sector &amp; Policy Match'!$A$1:$B$42,2,0)</f>
        <v>coal mining 05</v>
      </c>
      <c r="J50" s="43">
        <f>IFERROR(VLOOKUP(I50,BIFUbC!$A$1:$B$27,2,0),0)</f>
        <v>1.8369744355334368E+16</v>
      </c>
      <c r="K50" s="44">
        <f t="shared" ref="K50:K56" si="24">J50/SUM($J$49:$J$56)</f>
        <v>0.33386608791831074</v>
      </c>
      <c r="M50" s="46">
        <v>2020</v>
      </c>
      <c r="N50" s="26" t="str">
        <f t="shared" si="13"/>
        <v>工业循环水</v>
      </c>
      <c r="O50" s="26" t="str">
        <f>I$15</f>
        <v>food beverage and tobacco 10T12</v>
      </c>
      <c r="P50" s="26" t="str">
        <f t="shared" si="5"/>
        <v>Early Facility Retirement</v>
      </c>
      <c r="Q50" s="47">
        <f t="shared" si="0"/>
        <v>0</v>
      </c>
      <c r="R50" s="47">
        <f t="shared" si="1"/>
        <v>0</v>
      </c>
    </row>
    <row r="51" spans="1:18" ht="14.25" x14ac:dyDescent="0.2">
      <c r="A51" s="46">
        <v>2020</v>
      </c>
      <c r="B51" s="26" t="s">
        <v>84</v>
      </c>
      <c r="C51" s="25" t="s">
        <v>104</v>
      </c>
      <c r="D51" s="46">
        <f>SUMIFS(工业节能技术装备推荐目录!K:K,工业节能技术装备推荐目录!C:C,用能设备节能分配!B51,工业节能技术装备推荐目录!F:F,用能设备节能分配!C51,工业节能技术装备推荐目录!A:A,用能设备节能分配!A51)</f>
        <v>0</v>
      </c>
      <c r="E51" s="47">
        <f>SUMIFS(工业节能技术装备推荐目录!L:L,工业节能技术装备推荐目录!C:C,用能设备节能分配!B51,工业节能技术装备推荐目录!F:F,用能设备节能分配!C51,工业节能技术装备推荐目录!A:A,用能设备节能分配!A51)</f>
        <v>0</v>
      </c>
      <c r="G51" s="26" t="s">
        <v>418</v>
      </c>
      <c r="H51" s="26" t="s">
        <v>420</v>
      </c>
      <c r="I51" s="40" t="str">
        <f>VLOOKUP(H51,'Sector &amp; Policy Match'!$A$1:$B$42,2,0)</f>
        <v>oil and gas extraction 06</v>
      </c>
      <c r="J51" s="43">
        <f>IFERROR(VLOOKUP(I51,BIFUbC!$A$1:$B$27,2,0),0)</f>
        <v>782569708608316.88</v>
      </c>
      <c r="K51" s="44">
        <f t="shared" si="24"/>
        <v>1.4223033379370914E-2</v>
      </c>
      <c r="M51" s="46">
        <v>2020</v>
      </c>
      <c r="N51" s="26" t="str">
        <f t="shared" si="13"/>
        <v>工业循环水</v>
      </c>
      <c r="O51" s="26" t="str">
        <f t="shared" ref="O51:O53" si="25">I$15</f>
        <v>food beverage and tobacco 10T12</v>
      </c>
      <c r="P51" s="26" t="str">
        <f t="shared" si="5"/>
        <v>Installation and System Integration</v>
      </c>
      <c r="Q51" s="47">
        <f t="shared" si="0"/>
        <v>0</v>
      </c>
      <c r="R51" s="47">
        <f t="shared" si="1"/>
        <v>0</v>
      </c>
    </row>
    <row r="52" spans="1:18" ht="14.25" x14ac:dyDescent="0.2">
      <c r="A52" s="46">
        <v>2020</v>
      </c>
      <c r="B52" s="26" t="s">
        <v>84</v>
      </c>
      <c r="C52" s="25" t="s">
        <v>102</v>
      </c>
      <c r="D52" s="46">
        <f>SUMIFS(工业节能技术装备推荐目录!K:K,工业节能技术装备推荐目录!C:C,用能设备节能分配!B52,工业节能技术装备推荐目录!F:F,用能设备节能分配!C52,工业节能技术装备推荐目录!A:A,用能设备节能分配!A52)</f>
        <v>0</v>
      </c>
      <c r="E52" s="47">
        <f>SUMIFS(工业节能技术装备推荐目录!L:L,工业节能技术装备推荐目录!C:C,用能设备节能分配!B52,工业节能技术装备推荐目录!F:F,用能设备节能分配!C52,工业节能技术装备推荐目录!A:A,用能设备节能分配!A52)</f>
        <v>0</v>
      </c>
      <c r="G52" s="26" t="s">
        <v>418</v>
      </c>
      <c r="H52" s="26" t="s">
        <v>421</v>
      </c>
      <c r="I52" s="40" t="str">
        <f>VLOOKUP(H52,'Sector &amp; Policy Match'!$A$1:$B$42,2,0)</f>
        <v>other mining and quarrying 07T08</v>
      </c>
      <c r="J52" s="43">
        <f>IFERROR(VLOOKUP(I52,BIFUbC!$A$1:$B$27,2,0),0)</f>
        <v>621636505214392.13</v>
      </c>
      <c r="K52" s="44">
        <f t="shared" si="24"/>
        <v>1.1298107588681354E-2</v>
      </c>
      <c r="M52" s="46">
        <v>2020</v>
      </c>
      <c r="N52" s="26" t="str">
        <f t="shared" si="13"/>
        <v>工业循环水</v>
      </c>
      <c r="O52" s="26" t="str">
        <f t="shared" si="25"/>
        <v>food beverage and tobacco 10T12</v>
      </c>
      <c r="P52" s="26" t="str">
        <f t="shared" si="5"/>
        <v>Cogeneration and Waste Heat Recovery</v>
      </c>
      <c r="Q52" s="47">
        <f t="shared" si="0"/>
        <v>0.62297172179368565</v>
      </c>
      <c r="R52" s="47">
        <f t="shared" si="1"/>
        <v>4.1531448119579046</v>
      </c>
    </row>
    <row r="53" spans="1:18" ht="14.25" x14ac:dyDescent="0.2">
      <c r="A53" s="46">
        <v>2020</v>
      </c>
      <c r="B53" s="26" t="s">
        <v>84</v>
      </c>
      <c r="C53" s="25" t="s">
        <v>105</v>
      </c>
      <c r="D53" s="46">
        <f>SUMIFS(工业节能技术装备推荐目录!K:K,工业节能技术装备推荐目录!C:C,用能设备节能分配!B53,工业节能技术装备推荐目录!F:F,用能设备节能分配!C53,工业节能技术装备推荐目录!A:A,用能设备节能分配!A53)</f>
        <v>0</v>
      </c>
      <c r="E53" s="47">
        <f>SUMIFS(工业节能技术装备推荐目录!L:L,工业节能技术装备推荐目录!C:C,用能设备节能分配!B53,工业节能技术装备推荐目录!F:F,用能设备节能分配!C53,工业节能技术装备推荐目录!A:A,用能设备节能分配!A53)</f>
        <v>0</v>
      </c>
      <c r="G53" s="26" t="s">
        <v>418</v>
      </c>
      <c r="H53" s="26" t="s">
        <v>388</v>
      </c>
      <c r="I53" s="40" t="str">
        <f>VLOOKUP(H53,'Sector &amp; Policy Match'!$A$1:$B$42,2,0)</f>
        <v>chemicals 20</v>
      </c>
      <c r="J53" s="43">
        <f>IFERROR(VLOOKUP(I53,BIFUbC!$A$1:$B$27,2,0),0)</f>
        <v>1.1779139012024814E+16</v>
      </c>
      <c r="K53" s="44">
        <f t="shared" si="24"/>
        <v>0.21408327655080739</v>
      </c>
      <c r="M53" s="46">
        <v>2020</v>
      </c>
      <c r="N53" s="26" t="str">
        <f t="shared" si="13"/>
        <v>工业循环水</v>
      </c>
      <c r="O53" s="26" t="str">
        <f t="shared" si="25"/>
        <v>food beverage and tobacco 10T12</v>
      </c>
      <c r="P53" s="26" t="str">
        <f t="shared" si="5"/>
        <v>Improvement in Eqpt Efficiency Standards</v>
      </c>
      <c r="Q53" s="47">
        <f t="shared" si="0"/>
        <v>0</v>
      </c>
      <c r="R53" s="47">
        <f t="shared" si="1"/>
        <v>0</v>
      </c>
    </row>
    <row r="54" spans="1:18" ht="14.25" x14ac:dyDescent="0.2">
      <c r="A54" s="46">
        <v>2020</v>
      </c>
      <c r="B54" s="26" t="s">
        <v>24</v>
      </c>
      <c r="C54" s="25" t="s">
        <v>103</v>
      </c>
      <c r="D54" s="46">
        <f>SUMIFS(工业节能技术装备推荐目录!K:K,工业节能技术装备推荐目录!C:C,用能设备节能分配!B54,工业节能技术装备推荐目录!F:F,用能设备节能分配!C54,工业节能技术装备推荐目录!A:A,用能设备节能分配!A54)</f>
        <v>0</v>
      </c>
      <c r="E54" s="47">
        <f>SUMIFS(工业节能技术装备推荐目录!L:L,工业节能技术装备推荐目录!C:C,用能设备节能分配!B54,工业节能技术装备推荐目录!F:F,用能设备节能分配!C54,工业节能技术装备推荐目录!A:A,用能设备节能分配!A54)</f>
        <v>0</v>
      </c>
      <c r="G54" s="26" t="s">
        <v>418</v>
      </c>
      <c r="H54" s="26" t="s">
        <v>389</v>
      </c>
      <c r="I54" s="40" t="str">
        <f>VLOOKUP(H54,'Sector &amp; Policy Match'!$A$1:$B$42,2,0)</f>
        <v>iron and steel 241</v>
      </c>
      <c r="J54" s="43">
        <f>IFERROR(VLOOKUP(I54,BIFUbC!$A$1:$B$27,2,0),0)</f>
        <v>1.918905674870198E+16</v>
      </c>
      <c r="K54" s="44">
        <f t="shared" si="24"/>
        <v>0.34875691156100341</v>
      </c>
      <c r="M54" s="46">
        <v>2020</v>
      </c>
      <c r="N54" s="26" t="str">
        <f>G$16</f>
        <v>微型燃气轮机</v>
      </c>
      <c r="O54" s="26" t="str">
        <f>I$16</f>
        <v>nonroad vehicles 30</v>
      </c>
      <c r="P54" s="26" t="str">
        <f t="shared" si="5"/>
        <v>Early Facility Retirement</v>
      </c>
      <c r="Q54" s="47">
        <f t="shared" si="0"/>
        <v>0</v>
      </c>
      <c r="R54" s="47">
        <f t="shared" si="1"/>
        <v>0</v>
      </c>
    </row>
    <row r="55" spans="1:18" ht="14.25" x14ac:dyDescent="0.2">
      <c r="A55" s="46">
        <v>2020</v>
      </c>
      <c r="B55" s="26" t="s">
        <v>24</v>
      </c>
      <c r="C55" s="25" t="s">
        <v>104</v>
      </c>
      <c r="D55" s="46">
        <f>SUMIFS(工业节能技术装备推荐目录!K:K,工业节能技术装备推荐目录!C:C,用能设备节能分配!B55,工业节能技术装备推荐目录!F:F,用能设备节能分配!C55,工业节能技术装备推荐目录!A:A,用能设备节能分配!A55)</f>
        <v>0</v>
      </c>
      <c r="E55" s="47">
        <f>SUMIFS(工业节能技术装备推荐目录!L:L,工业节能技术装备推荐目录!C:C,用能设备节能分配!B55,工业节能技术装备推荐目录!F:F,用能设备节能分配!C55,工业节能技术装备推荐目录!A:A,用能设备节能分配!A55)</f>
        <v>0</v>
      </c>
      <c r="G55" s="26" t="s">
        <v>418</v>
      </c>
      <c r="H55" s="26" t="s">
        <v>386</v>
      </c>
      <c r="I55" s="40" t="str">
        <f>VLOOKUP(H55,'Sector &amp; Policy Match'!$A$1:$B$42,2,0)</f>
        <v>电力、热力生产</v>
      </c>
      <c r="J55" s="43">
        <f>IFERROR(VLOOKUP(I55,BIFUbC!$A$1:$B$27,2,0),0)</f>
        <v>2269430122869799.5</v>
      </c>
      <c r="K55" s="44">
        <f t="shared" si="24"/>
        <v>4.1246396371677749E-2</v>
      </c>
      <c r="M55" s="46">
        <v>2020</v>
      </c>
      <c r="N55" s="26" t="str">
        <f t="shared" ref="N55:N57" si="26">G$16</f>
        <v>微型燃气轮机</v>
      </c>
      <c r="O55" s="26" t="str">
        <f t="shared" ref="O55:O56" si="27">I$16</f>
        <v>nonroad vehicles 30</v>
      </c>
      <c r="P55" s="26" t="str">
        <f t="shared" si="5"/>
        <v>Installation and System Integration</v>
      </c>
      <c r="Q55" s="47">
        <f t="shared" si="0"/>
        <v>0</v>
      </c>
      <c r="R55" s="47">
        <f t="shared" si="1"/>
        <v>0</v>
      </c>
    </row>
    <row r="56" spans="1:18" ht="14.25" x14ac:dyDescent="0.2">
      <c r="A56" s="46">
        <v>2020</v>
      </c>
      <c r="B56" s="26" t="s">
        <v>24</v>
      </c>
      <c r="C56" s="25" t="s">
        <v>102</v>
      </c>
      <c r="D56" s="46">
        <f>SUMIFS(工业节能技术装备推荐目录!K:K,工业节能技术装备推荐目录!C:C,用能设备节能分配!B56,工业节能技术装备推荐目录!F:F,用能设备节能分配!C56,工业节能技术装备推荐目录!A:A,用能设备节能分配!A56)</f>
        <v>0</v>
      </c>
      <c r="E56" s="47">
        <f>SUMIFS(工业节能技术装备推荐目录!L:L,工业节能技术装备推荐目录!C:C,用能设备节能分配!B56,工业节能技术装备推荐目录!F:F,用能设备节能分配!C56,工业节能技术装备推荐目录!A:A,用能设备节能分配!A56)</f>
        <v>0</v>
      </c>
      <c r="G56" s="26" t="s">
        <v>418</v>
      </c>
      <c r="H56" s="26" t="s">
        <v>407</v>
      </c>
      <c r="I56" s="40" t="str">
        <f>VLOOKUP(H56,'Sector &amp; Policy Match'!$A$1:$B$42,2,0)</f>
        <v>water and waste 36T39</v>
      </c>
      <c r="J56" s="43">
        <f>IFERROR(VLOOKUP(I56,BIFUbC!$A$1:$B$27,2,0),0)</f>
        <v>353812120372585</v>
      </c>
      <c r="K56" s="44">
        <f t="shared" si="24"/>
        <v>6.4304579422508395E-3</v>
      </c>
      <c r="M56" s="46">
        <v>2020</v>
      </c>
      <c r="N56" s="26" t="str">
        <f t="shared" si="26"/>
        <v>微型燃气轮机</v>
      </c>
      <c r="O56" s="26" t="str">
        <f t="shared" si="27"/>
        <v>nonroad vehicles 30</v>
      </c>
      <c r="P56" s="26" t="str">
        <f t="shared" si="5"/>
        <v>Cogeneration and Waste Heat Recovery</v>
      </c>
      <c r="Q56" s="47">
        <f t="shared" si="0"/>
        <v>2.2938745444397313</v>
      </c>
      <c r="R56" s="47">
        <f t="shared" si="1"/>
        <v>15.292496962931541</v>
      </c>
    </row>
    <row r="57" spans="1:18" ht="14.25" x14ac:dyDescent="0.2">
      <c r="A57" s="46">
        <v>2020</v>
      </c>
      <c r="B57" s="26" t="s">
        <v>24</v>
      </c>
      <c r="C57" s="25" t="s">
        <v>105</v>
      </c>
      <c r="D57" s="46">
        <f>SUMIFS(工业节能技术装备推荐目录!K:K,工业节能技术装备推荐目录!C:C,用能设备节能分配!B57,工业节能技术装备推荐目录!F:F,用能设备节能分配!C57,工业节能技术装备推荐目录!A:A,用能设备节能分配!A57)</f>
        <v>0</v>
      </c>
      <c r="E57" s="47">
        <f>SUMIFS(工业节能技术装备推荐目录!L:L,工业节能技术装备推荐目录!C:C,用能设备节能分配!B57,工业节能技术装备推荐目录!F:F,用能设备节能分配!C57,工业节能技术装备推荐目录!A:A,用能设备节能分配!A57)</f>
        <v>0</v>
      </c>
      <c r="G57" s="26" t="s">
        <v>423</v>
      </c>
      <c r="H57" s="26" t="s">
        <v>387</v>
      </c>
      <c r="I57" s="40" t="str">
        <f>VLOOKUP(H57,'Sector &amp; Policy Match'!$A$1:$B$42,2,0)</f>
        <v>refined petroleum and coke 19</v>
      </c>
      <c r="J57" s="43">
        <f>IFERROR(VLOOKUP(I57,BIFUbC!$A$1:$B$27,2,0),0)</f>
        <v>5.445110491278732E+16</v>
      </c>
      <c r="K57" s="44">
        <f>J57/SUM($J$57:$J$61)</f>
        <v>0.69099232935191457</v>
      </c>
      <c r="M57" s="46">
        <v>2020</v>
      </c>
      <c r="N57" s="26" t="str">
        <f t="shared" si="26"/>
        <v>微型燃气轮机</v>
      </c>
      <c r="O57" s="26" t="str">
        <f>I$16</f>
        <v>nonroad vehicles 30</v>
      </c>
      <c r="P57" s="26" t="str">
        <f t="shared" si="5"/>
        <v>Improvement in Eqpt Efficiency Standards</v>
      </c>
      <c r="Q57" s="47">
        <f t="shared" si="0"/>
        <v>0</v>
      </c>
      <c r="R57" s="47">
        <f t="shared" si="1"/>
        <v>0</v>
      </c>
    </row>
    <row r="58" spans="1:18" ht="14.25" x14ac:dyDescent="0.2">
      <c r="A58" s="46">
        <v>2020</v>
      </c>
      <c r="B58" s="26" t="s">
        <v>96</v>
      </c>
      <c r="C58" s="25" t="s">
        <v>103</v>
      </c>
      <c r="D58" s="46">
        <f>SUMIFS(工业节能技术装备推荐目录!K:K,工业节能技术装备推荐目录!C:C,用能设备节能分配!B58,工业节能技术装备推荐目录!F:F,用能设备节能分配!C58,工业节能技术装备推荐目录!A:A,用能设备节能分配!A58)</f>
        <v>0</v>
      </c>
      <c r="E58" s="47">
        <f>SUMIFS(工业节能技术装备推荐目录!L:L,工业节能技术装备推荐目录!C:C,用能设备节能分配!B58,工业节能技术装备推荐目录!F:F,用能设备节能分配!C58,工业节能技术装备推荐目录!A:A,用能设备节能分配!A58)</f>
        <v>0</v>
      </c>
      <c r="G58" s="26" t="s">
        <v>423</v>
      </c>
      <c r="H58" s="26" t="s">
        <v>386</v>
      </c>
      <c r="I58" s="40" t="str">
        <f>VLOOKUP(H58,'Sector &amp; Policy Match'!$A$1:$B$42,2,0)</f>
        <v>电力、热力生产</v>
      </c>
      <c r="J58" s="43">
        <f>IFERROR(VLOOKUP(I58,BIFUbC!$A$1:$B$27,2,0),0)</f>
        <v>2269430122869799.5</v>
      </c>
      <c r="K58" s="44">
        <f t="shared" ref="K58:K61" si="28">J58/SUM($J$57:$J$61)</f>
        <v>2.8799393683835741E-2</v>
      </c>
      <c r="M58" s="46">
        <v>2020</v>
      </c>
      <c r="N58" s="26" t="str">
        <f>G$19</f>
        <v>压缩空气系统</v>
      </c>
      <c r="O58" s="26" t="str">
        <f>I$19</f>
        <v>textiles apparel and leather 13T15</v>
      </c>
      <c r="P58" s="26" t="str">
        <f t="shared" si="5"/>
        <v>Early Facility Retirement</v>
      </c>
      <c r="Q58" s="47">
        <f t="shared" si="0"/>
        <v>0</v>
      </c>
      <c r="R58" s="47">
        <f t="shared" si="1"/>
        <v>0</v>
      </c>
    </row>
    <row r="59" spans="1:18" ht="14.25" x14ac:dyDescent="0.2">
      <c r="A59" s="46">
        <v>2020</v>
      </c>
      <c r="B59" s="26" t="s">
        <v>96</v>
      </c>
      <c r="C59" s="25" t="s">
        <v>104</v>
      </c>
      <c r="D59" s="46">
        <f>SUMIFS(工业节能技术装备推荐目录!K:K,工业节能技术装备推荐目录!C:C,用能设备节能分配!B59,工业节能技术装备推荐目录!F:F,用能设备节能分配!C59,工业节能技术装备推荐目录!A:A,用能设备节能分配!A59)</f>
        <v>0</v>
      </c>
      <c r="E59" s="47">
        <f>SUMIFS(工业节能技术装备推荐目录!L:L,工业节能技术装备推荐目录!C:C,用能设备节能分配!B59,工业节能技术装备推荐目录!F:F,用能设备节能分配!C59,工业节能技术装备推荐目录!A:A,用能设备节能分配!A59)</f>
        <v>0</v>
      </c>
      <c r="G59" s="26" t="s">
        <v>423</v>
      </c>
      <c r="H59" s="26" t="s">
        <v>389</v>
      </c>
      <c r="I59" s="40" t="str">
        <f>VLOOKUP(H59,'Sector &amp; Policy Match'!$A$1:$B$42,2,0)</f>
        <v>iron and steel 241</v>
      </c>
      <c r="J59" s="43">
        <f>IFERROR(VLOOKUP(I59,BIFUbC!$A$1:$B$27,2,0),0)</f>
        <v>1.918905674870198E+16</v>
      </c>
      <c r="K59" s="44">
        <f t="shared" si="28"/>
        <v>0.24351188175316152</v>
      </c>
      <c r="M59" s="46">
        <v>2020</v>
      </c>
      <c r="N59" s="26" t="str">
        <f t="shared" ref="N59:N77" si="29">G$19</f>
        <v>压缩空气系统</v>
      </c>
      <c r="O59" s="26" t="str">
        <f t="shared" ref="O59:O61" si="30">I$19</f>
        <v>textiles apparel and leather 13T15</v>
      </c>
      <c r="P59" s="26" t="str">
        <f t="shared" si="5"/>
        <v>Installation and System Integration</v>
      </c>
      <c r="Q59" s="47">
        <f t="shared" si="0"/>
        <v>0</v>
      </c>
      <c r="R59" s="47">
        <f t="shared" si="1"/>
        <v>0</v>
      </c>
    </row>
    <row r="60" spans="1:18" ht="14.25" x14ac:dyDescent="0.2">
      <c r="A60" s="46">
        <v>2020</v>
      </c>
      <c r="B60" s="26" t="s">
        <v>96</v>
      </c>
      <c r="C60" s="25" t="s">
        <v>102</v>
      </c>
      <c r="D60" s="46">
        <f>SUMIFS(工业节能技术装备推荐目录!K:K,工业节能技术装备推荐目录!C:C,用能设备节能分配!B60,工业节能技术装备推荐目录!F:F,用能设备节能分配!C60,工业节能技术装备推荐目录!A:A,用能设备节能分配!A60)</f>
        <v>0</v>
      </c>
      <c r="E60" s="47">
        <f>SUMIFS(工业节能技术装备推荐目录!L:L,工业节能技术装备推荐目录!C:C,用能设备节能分配!B60,工业节能技术装备推荐目录!F:F,用能设备节能分配!C60,工业节能技术装备推荐目录!A:A,用能设备节能分配!A60)</f>
        <v>0</v>
      </c>
      <c r="G60" s="26" t="s">
        <v>423</v>
      </c>
      <c r="H60" s="26" t="s">
        <v>392</v>
      </c>
      <c r="I60" s="40" t="str">
        <f>VLOOKUP(H60,'Sector &amp; Policy Match'!$A$1:$B$42,2,0)</f>
        <v>food beverage and tobacco 10T12</v>
      </c>
      <c r="J60" s="43">
        <f>IFERROR(VLOOKUP(I60,BIFUbC!$A$1:$B$27,2,0),0)</f>
        <v>1518072891591473.5</v>
      </c>
      <c r="K60" s="44">
        <f t="shared" si="28"/>
        <v>1.9264562678147724E-2</v>
      </c>
      <c r="M60" s="46">
        <v>2020</v>
      </c>
      <c r="N60" s="26" t="str">
        <f t="shared" si="29"/>
        <v>压缩空气系统</v>
      </c>
      <c r="O60" s="26" t="str">
        <f t="shared" si="30"/>
        <v>textiles apparel and leather 13T15</v>
      </c>
      <c r="P60" s="26" t="str">
        <f t="shared" si="5"/>
        <v>Cogeneration and Waste Heat Recovery</v>
      </c>
      <c r="Q60" s="47">
        <f t="shared" si="0"/>
        <v>0</v>
      </c>
      <c r="R60" s="47">
        <f t="shared" si="1"/>
        <v>0</v>
      </c>
    </row>
    <row r="61" spans="1:18" ht="14.25" x14ac:dyDescent="0.2">
      <c r="A61" s="46">
        <v>2020</v>
      </c>
      <c r="B61" s="26" t="s">
        <v>96</v>
      </c>
      <c r="C61" s="25" t="s">
        <v>105</v>
      </c>
      <c r="D61" s="46">
        <f>SUMIFS(工业节能技术装备推荐目录!K:K,工业节能技术装备推荐目录!C:C,用能设备节能分配!B61,工业节能技术装备推荐目录!F:F,用能设备节能分配!C61,工业节能技术装备推荐目录!A:A,用能设备节能分配!A61)</f>
        <v>0</v>
      </c>
      <c r="E61" s="47">
        <f>SUMIFS(工业节能技术装备推荐目录!L:L,工业节能技术装备推荐目录!C:C,用能设备节能分配!B61,工业节能技术装备推荐目录!F:F,用能设备节能分配!C61,工业节能技术装备推荐目录!A:A,用能设备节能分配!A61)</f>
        <v>0</v>
      </c>
      <c r="G61" s="26" t="s">
        <v>423</v>
      </c>
      <c r="H61" s="26" t="s">
        <v>390</v>
      </c>
      <c r="I61" s="40" t="str">
        <f>VLOOKUP(H61,'Sector &amp; Policy Match'!$A$1:$B$42,2,0)</f>
        <v>textiles apparel and leather 13T15</v>
      </c>
      <c r="J61" s="43">
        <f>IFERROR(VLOOKUP(I61,BIFUbC!$A$1:$B$27,2,0),0)</f>
        <v>1373651344239264.8</v>
      </c>
      <c r="K61" s="44">
        <f t="shared" si="28"/>
        <v>1.7431832532940426E-2</v>
      </c>
      <c r="M61" s="46">
        <v>2020</v>
      </c>
      <c r="N61" s="26" t="str">
        <f t="shared" si="29"/>
        <v>压缩空气系统</v>
      </c>
      <c r="O61" s="26" t="str">
        <f t="shared" si="30"/>
        <v>textiles apparel and leather 13T15</v>
      </c>
      <c r="P61" s="26" t="str">
        <f t="shared" si="5"/>
        <v>Improvement in Eqpt Efficiency Standards</v>
      </c>
      <c r="Q61" s="47">
        <f t="shared" si="0"/>
        <v>0.22925372063020982</v>
      </c>
      <c r="R61" s="47">
        <f t="shared" si="1"/>
        <v>1.1462686031510492</v>
      </c>
    </row>
    <row r="62" spans="1:18" ht="14.25" x14ac:dyDescent="0.2">
      <c r="A62" s="20">
        <v>2021</v>
      </c>
      <c r="B62" s="24" t="s">
        <v>57</v>
      </c>
      <c r="C62" s="25" t="s">
        <v>103</v>
      </c>
      <c r="D62" s="46">
        <f>SUMIFS(工业节能技术装备推荐目录!K:K,工业节能技术装备推荐目录!C:C,用能设备节能分配!B62,工业节能技术装备推荐目录!F:F,用能设备节能分配!C62,工业节能技术装备推荐目录!A:A,用能设备节能分配!A62)</f>
        <v>0</v>
      </c>
      <c r="E62" s="47">
        <f>SUMIFS(工业节能技术装备推荐目录!L:L,工业节能技术装备推荐目录!C:C,用能设备节能分配!B62,工业节能技术装备推荐目录!F:F,用能设备节能分配!C62,工业节能技术装备推荐目录!A:A,用能设备节能分配!A62)</f>
        <v>0</v>
      </c>
      <c r="G62" s="48" t="s">
        <v>401</v>
      </c>
      <c r="H62" s="48" t="s">
        <v>402</v>
      </c>
      <c r="I62" s="49"/>
      <c r="J62" s="43"/>
      <c r="K62" s="23"/>
      <c r="M62" s="46">
        <v>2020</v>
      </c>
      <c r="N62" s="26" t="str">
        <f t="shared" si="29"/>
        <v>压缩空气系统</v>
      </c>
      <c r="O62" s="26" t="str">
        <f>I$20</f>
        <v>food beverage and tobacco 10T12</v>
      </c>
      <c r="P62" s="26" t="str">
        <f t="shared" si="5"/>
        <v>Early Facility Retirement</v>
      </c>
      <c r="Q62" s="47">
        <f t="shared" si="0"/>
        <v>0</v>
      </c>
      <c r="R62" s="47">
        <f t="shared" si="1"/>
        <v>0</v>
      </c>
    </row>
    <row r="63" spans="1:18" ht="14.25" x14ac:dyDescent="0.2">
      <c r="A63" s="20">
        <v>2021</v>
      </c>
      <c r="B63" s="24" t="s">
        <v>57</v>
      </c>
      <c r="C63" s="25" t="s">
        <v>104</v>
      </c>
      <c r="D63" s="46">
        <f>SUMIFS(工业节能技术装备推荐目录!K:K,工业节能技术装备推荐目录!C:C,用能设备节能分配!B63,工业节能技术装备推荐目录!F:F,用能设备节能分配!C63,工业节能技术装备推荐目录!A:A,用能设备节能分配!A63)</f>
        <v>0</v>
      </c>
      <c r="E63" s="47">
        <f>SUMIFS(工业节能技术装备推荐目录!L:L,工业节能技术装备推荐目录!C:C,用能设备节能分配!B63,工业节能技术装备推荐目录!F:F,用能设备节能分配!C63,工业节能技术装备推荐目录!A:A,用能设备节能分配!A63)</f>
        <v>0</v>
      </c>
      <c r="G63" s="48" t="s">
        <v>21</v>
      </c>
      <c r="H63" s="48" t="s">
        <v>426</v>
      </c>
      <c r="I63" s="49"/>
      <c r="J63" s="43"/>
      <c r="K63" s="23"/>
      <c r="M63" s="46">
        <v>2020</v>
      </c>
      <c r="N63" s="26" t="str">
        <f t="shared" si="29"/>
        <v>压缩空气系统</v>
      </c>
      <c r="O63" s="26" t="str">
        <f t="shared" ref="O63:O65" si="31">I$20</f>
        <v>food beverage and tobacco 10T12</v>
      </c>
      <c r="P63" s="26" t="str">
        <f t="shared" si="5"/>
        <v>Installation and System Integration</v>
      </c>
      <c r="Q63" s="47">
        <f t="shared" si="0"/>
        <v>0</v>
      </c>
      <c r="R63" s="47">
        <f t="shared" si="1"/>
        <v>0</v>
      </c>
    </row>
    <row r="64" spans="1:18" ht="14.25" x14ac:dyDescent="0.2">
      <c r="A64" s="20">
        <v>2021</v>
      </c>
      <c r="B64" s="24" t="s">
        <v>57</v>
      </c>
      <c r="C64" s="25" t="s">
        <v>102</v>
      </c>
      <c r="D64" s="46">
        <f>SUMIFS(工业节能技术装备推荐目录!K:K,工业节能技术装备推荐目录!C:C,用能设备节能分配!B64,工业节能技术装备推荐目录!F:F,用能设备节能分配!C64,工业节能技术装备推荐目录!A:A,用能设备节能分配!A64)</f>
        <v>0</v>
      </c>
      <c r="E64" s="47">
        <f>SUMIFS(工业节能技术装备推荐目录!L:L,工业节能技术装备推荐目录!C:C,用能设备节能分配!B64,工业节能技术装备推荐目录!F:F,用能设备节能分配!C64,工业节能技术装备推荐目录!A:A,用能设备节能分配!A64)</f>
        <v>0</v>
      </c>
      <c r="G64" s="41" t="s">
        <v>399</v>
      </c>
      <c r="H64" s="41" t="s">
        <v>400</v>
      </c>
      <c r="I64" s="42"/>
      <c r="J64" s="43"/>
      <c r="K64" s="23"/>
      <c r="M64" s="46">
        <v>2020</v>
      </c>
      <c r="N64" s="26" t="str">
        <f t="shared" si="29"/>
        <v>压缩空气系统</v>
      </c>
      <c r="O64" s="26" t="str">
        <f t="shared" si="31"/>
        <v>food beverage and tobacco 10T12</v>
      </c>
      <c r="P64" s="26" t="str">
        <f t="shared" si="5"/>
        <v>Cogeneration and Waste Heat Recovery</v>
      </c>
      <c r="Q64" s="47">
        <f t="shared" si="0"/>
        <v>0</v>
      </c>
      <c r="R64" s="47">
        <f t="shared" si="1"/>
        <v>0</v>
      </c>
    </row>
    <row r="65" spans="1:18" ht="14.25" x14ac:dyDescent="0.2">
      <c r="A65" s="20">
        <v>2021</v>
      </c>
      <c r="B65" s="24" t="s">
        <v>57</v>
      </c>
      <c r="C65" s="25" t="s">
        <v>105</v>
      </c>
      <c r="D65" s="46">
        <f>SUMIFS(工业节能技术装备推荐目录!K:K,工业节能技术装备推荐目录!C:C,用能设备节能分配!B65,工业节能技术装备推荐目录!F:F,用能设备节能分配!C65,工业节能技术装备推荐目录!A:A,用能设备节能分配!A65)</f>
        <v>1.94</v>
      </c>
      <c r="E65" s="47">
        <f>SUMIFS(工业节能技术装备推荐目录!L:L,工业节能技术装备推荐目录!C:C,用能设备节能分配!B65,工业节能技术装备推荐目录!F:F,用能设备节能分配!C65,工业节能技术装备推荐目录!A:A,用能设备节能分配!A65)</f>
        <v>10.993333333333334</v>
      </c>
      <c r="G65" s="41" t="s">
        <v>403</v>
      </c>
      <c r="H65" s="41" t="s">
        <v>400</v>
      </c>
      <c r="I65" s="42"/>
      <c r="J65" s="43"/>
      <c r="K65" s="23"/>
      <c r="M65" s="46">
        <v>2020</v>
      </c>
      <c r="N65" s="26" t="str">
        <f t="shared" si="29"/>
        <v>压缩空气系统</v>
      </c>
      <c r="O65" s="26" t="str">
        <f t="shared" si="31"/>
        <v>food beverage and tobacco 10T12</v>
      </c>
      <c r="P65" s="26" t="str">
        <f t="shared" si="5"/>
        <v>Improvement in Eqpt Efficiency Standards</v>
      </c>
      <c r="Q65" s="47">
        <f t="shared" si="0"/>
        <v>0.25335676337720464</v>
      </c>
      <c r="R65" s="47">
        <f t="shared" si="1"/>
        <v>1.2667838168860233</v>
      </c>
    </row>
    <row r="66" spans="1:18" ht="14.25" x14ac:dyDescent="0.2">
      <c r="A66" s="20">
        <v>2021</v>
      </c>
      <c r="B66" s="24" t="s">
        <v>13</v>
      </c>
      <c r="C66" s="25" t="s">
        <v>103</v>
      </c>
      <c r="D66" s="46">
        <f>SUMIFS(工业节能技术装备推荐目录!K:K,工业节能技术装备推荐目录!C:C,用能设备节能分配!B66,工业节能技术装备推荐目录!F:F,用能设备节能分配!C66,工业节能技术装备推荐目录!A:A,用能设备节能分配!A66)</f>
        <v>0</v>
      </c>
      <c r="E66" s="47">
        <f>SUMIFS(工业节能技术装备推荐目录!L:L,工业节能技术装备推荐目录!C:C,用能设备节能分配!B66,工业节能技术装备推荐目录!F:F,用能设备节能分配!C66,工业节能技术装备推荐目录!A:A,用能设备节能分配!A66)</f>
        <v>0</v>
      </c>
      <c r="G66" s="41" t="s">
        <v>63</v>
      </c>
      <c r="H66" s="41"/>
      <c r="I66" s="45" t="s">
        <v>99</v>
      </c>
      <c r="J66" s="43">
        <f>VLOOKUP(I66,BIFUbC!$A$1:$B$27,2,0)</f>
        <v>1655905952087749.5</v>
      </c>
      <c r="K66" s="44">
        <f t="shared" ref="K66:K90" si="32">J66/SUM($J$66:$J$90)</f>
        <v>1.2849640396955837E-2</v>
      </c>
      <c r="M66" s="46">
        <v>2020</v>
      </c>
      <c r="N66" s="26" t="str">
        <f t="shared" si="29"/>
        <v>压缩空气系统</v>
      </c>
      <c r="O66" s="26" t="str">
        <f>I$21</f>
        <v>chemicals 20</v>
      </c>
      <c r="P66" s="26" t="str">
        <f t="shared" si="5"/>
        <v>Early Facility Retirement</v>
      </c>
      <c r="Q66" s="47">
        <f t="shared" ref="Q66:Q129" si="33">SUMIFS(D:D,B:B,N66,C:C,P66,A:A,M66)*SUMIFS(K:K,G:G,N66,I:I,O66)</f>
        <v>0</v>
      </c>
      <c r="R66" s="47">
        <f t="shared" ref="R66:R129" si="34">SUMIFS(E:E,B:B,N66,C:C,P66,A:A,M66)*SUMIFS(K:K,G:G,N66,I:I,O66)</f>
        <v>0</v>
      </c>
    </row>
    <row r="67" spans="1:18" ht="14.25" x14ac:dyDescent="0.2">
      <c r="A67" s="20">
        <v>2021</v>
      </c>
      <c r="B67" s="24" t="s">
        <v>13</v>
      </c>
      <c r="C67" s="25" t="s">
        <v>104</v>
      </c>
      <c r="D67" s="46">
        <f>SUMIFS(工业节能技术装备推荐目录!K:K,工业节能技术装备推荐目录!C:C,用能设备节能分配!B67,工业节能技术装备推荐目录!F:F,用能设备节能分配!C67,工业节能技术装备推荐目录!A:A,用能设备节能分配!A67)</f>
        <v>0</v>
      </c>
      <c r="E67" s="47">
        <f>SUMIFS(工业节能技术装备推荐目录!L:L,工业节能技术装备推荐目录!C:C,用能设备节能分配!B67,工业节能技术装备推荐目录!F:F,用能设备节能分配!C67,工业节能技术装备推荐目录!A:A,用能设备节能分配!A67)</f>
        <v>0</v>
      </c>
      <c r="G67" s="41" t="s">
        <v>63</v>
      </c>
      <c r="H67" s="41"/>
      <c r="I67" s="45" t="s">
        <v>35</v>
      </c>
      <c r="J67" s="43">
        <f>VLOOKUP(I67,BIFUbC!$A$1:$B$27,2,0)</f>
        <v>1.8369744355334368E+16</v>
      </c>
      <c r="K67" s="44">
        <f t="shared" si="32"/>
        <v>0.14254711075375584</v>
      </c>
      <c r="M67" s="46">
        <v>2020</v>
      </c>
      <c r="N67" s="26" t="str">
        <f t="shared" si="29"/>
        <v>压缩空气系统</v>
      </c>
      <c r="O67" s="26" t="str">
        <f t="shared" ref="O67:O69" si="35">I$21</f>
        <v>chemicals 20</v>
      </c>
      <c r="P67" s="26" t="str">
        <f t="shared" si="5"/>
        <v>Installation and System Integration</v>
      </c>
      <c r="Q67" s="47">
        <f t="shared" si="33"/>
        <v>0</v>
      </c>
      <c r="R67" s="47">
        <f t="shared" si="34"/>
        <v>0</v>
      </c>
    </row>
    <row r="68" spans="1:18" ht="14.25" x14ac:dyDescent="0.2">
      <c r="A68" s="20">
        <v>2021</v>
      </c>
      <c r="B68" s="24" t="s">
        <v>13</v>
      </c>
      <c r="C68" s="25" t="s">
        <v>102</v>
      </c>
      <c r="D68" s="46">
        <f>SUMIFS(工业节能技术装备推荐目录!K:K,工业节能技术装备推荐目录!C:C,用能设备节能分配!B68,工业节能技术装备推荐目录!F:F,用能设备节能分配!C68,工业节能技术装备推荐目录!A:A,用能设备节能分配!A68)</f>
        <v>0.499</v>
      </c>
      <c r="E68" s="47">
        <f>SUMIFS(工业节能技术装备推荐目录!L:L,工业节能技术装备推荐目录!C:C,用能设备节能分配!B68,工业节能技术装备推荐目录!F:F,用能设备节能分配!C68,工业节能技术装备推荐目录!A:A,用能设备节能分配!A68)</f>
        <v>1.6657266187050364</v>
      </c>
      <c r="G68" s="41" t="s">
        <v>63</v>
      </c>
      <c r="H68" s="41"/>
      <c r="I68" s="45" t="s">
        <v>67</v>
      </c>
      <c r="J68" s="43">
        <f>VLOOKUP(I68,BIFUbC!$A$1:$B$27,2,0)</f>
        <v>782569708608316.88</v>
      </c>
      <c r="K68" s="44">
        <f t="shared" si="32"/>
        <v>6.0726512447697965E-3</v>
      </c>
      <c r="M68" s="46">
        <v>2020</v>
      </c>
      <c r="N68" s="26" t="str">
        <f t="shared" si="29"/>
        <v>压缩空气系统</v>
      </c>
      <c r="O68" s="26" t="str">
        <f t="shared" si="35"/>
        <v>chemicals 20</v>
      </c>
      <c r="P68" s="26" t="str">
        <f t="shared" si="5"/>
        <v>Cogeneration and Waste Heat Recovery</v>
      </c>
      <c r="Q68" s="47">
        <f t="shared" si="33"/>
        <v>0</v>
      </c>
      <c r="R68" s="47">
        <f t="shared" si="34"/>
        <v>0</v>
      </c>
    </row>
    <row r="69" spans="1:18" ht="14.25" x14ac:dyDescent="0.2">
      <c r="A69" s="20">
        <v>2021</v>
      </c>
      <c r="B69" s="24" t="s">
        <v>13</v>
      </c>
      <c r="C69" s="25" t="s">
        <v>105</v>
      </c>
      <c r="D69" s="46">
        <f>SUMIFS(工业节能技术装备推荐目录!K:K,工业节能技术装备推荐目录!C:C,用能设备节能分配!B69,工业节能技术装备推荐目录!F:F,用能设备节能分配!C69,工业节能技术装备推荐目录!A:A,用能设备节能分配!A69)</f>
        <v>0</v>
      </c>
      <c r="E69" s="47">
        <f>SUMIFS(工业节能技术装备推荐目录!L:L,工业节能技术装备推荐目录!C:C,用能设备节能分配!B69,工业节能技术装备推荐目录!F:F,用能设备节能分配!C69,工业节能技术装备推荐目录!A:A,用能设备节能分配!A69)</f>
        <v>0</v>
      </c>
      <c r="G69" s="41" t="s">
        <v>63</v>
      </c>
      <c r="H69" s="41"/>
      <c r="I69" s="45" t="s">
        <v>100</v>
      </c>
      <c r="J69" s="43">
        <f>VLOOKUP(I69,BIFUbC!$A$1:$B$27,2,0)</f>
        <v>621636505214392.13</v>
      </c>
      <c r="K69" s="44">
        <f t="shared" si="32"/>
        <v>4.8238280317516565E-3</v>
      </c>
      <c r="M69" s="46">
        <v>2020</v>
      </c>
      <c r="N69" s="26" t="str">
        <f t="shared" si="29"/>
        <v>压缩空气系统</v>
      </c>
      <c r="O69" s="26" t="str">
        <f t="shared" si="35"/>
        <v>chemicals 20</v>
      </c>
      <c r="P69" s="26" t="str">
        <f t="shared" si="5"/>
        <v>Improvement in Eqpt Efficiency Standards</v>
      </c>
      <c r="Q69" s="47">
        <f t="shared" si="33"/>
        <v>1.9658637948064213</v>
      </c>
      <c r="R69" s="47">
        <f t="shared" si="34"/>
        <v>9.8293189740321072</v>
      </c>
    </row>
    <row r="70" spans="1:18" ht="14.25" x14ac:dyDescent="0.2">
      <c r="A70" s="20">
        <v>2021</v>
      </c>
      <c r="B70" s="24" t="s">
        <v>61</v>
      </c>
      <c r="C70" s="25" t="s">
        <v>103</v>
      </c>
      <c r="D70" s="46">
        <f>SUMIFS(工业节能技术装备推荐目录!K:K,工业节能技术装备推荐目录!C:C,用能设备节能分配!B70,工业节能技术装备推荐目录!F:F,用能设备节能分配!C70,工业节能技术装备推荐目录!A:A,用能设备节能分配!A70)</f>
        <v>0</v>
      </c>
      <c r="E70" s="47">
        <f>SUMIFS(工业节能技术装备推荐目录!L:L,工业节能技术装备推荐目录!C:C,用能设备节能分配!B70,工业节能技术装备推荐目录!F:F,用能设备节能分配!C70,工业节能技术装备推荐目录!A:A,用能设备节能分配!A70)</f>
        <v>0</v>
      </c>
      <c r="G70" s="41" t="s">
        <v>63</v>
      </c>
      <c r="H70" s="41"/>
      <c r="I70" s="45" t="s">
        <v>101</v>
      </c>
      <c r="J70" s="43">
        <f>VLOOKUP(I70,BIFUbC!$A$1:$B$27,2,0)</f>
        <v>1518072891591473.5</v>
      </c>
      <c r="K70" s="44">
        <f t="shared" si="32"/>
        <v>1.1780071645206371E-2</v>
      </c>
      <c r="M70" s="46">
        <v>2020</v>
      </c>
      <c r="N70" s="26" t="str">
        <f t="shared" si="29"/>
        <v>压缩空气系统</v>
      </c>
      <c r="O70" s="26" t="str">
        <f>I$22</f>
        <v>iron and steel 241</v>
      </c>
      <c r="P70" s="26" t="str">
        <f t="shared" si="5"/>
        <v>Early Facility Retirement</v>
      </c>
      <c r="Q70" s="47">
        <f t="shared" si="33"/>
        <v>0</v>
      </c>
      <c r="R70" s="47">
        <f t="shared" si="34"/>
        <v>0</v>
      </c>
    </row>
    <row r="71" spans="1:18" ht="14.25" x14ac:dyDescent="0.2">
      <c r="A71" s="20">
        <v>2021</v>
      </c>
      <c r="B71" s="24" t="s">
        <v>61</v>
      </c>
      <c r="C71" s="25" t="s">
        <v>104</v>
      </c>
      <c r="D71" s="46">
        <f>SUMIFS(工业节能技术装备推荐目录!K:K,工业节能技术装备推荐目录!C:C,用能设备节能分配!B71,工业节能技术装备推荐目录!F:F,用能设备节能分配!C71,工业节能技术装备推荐目录!A:A,用能设备节能分配!A71)</f>
        <v>0</v>
      </c>
      <c r="E71" s="47">
        <f>SUMIFS(工业节能技术装备推荐目录!L:L,工业节能技术装备推荐目录!C:C,用能设备节能分配!B71,工业节能技术装备推荐目录!F:F,用能设备节能分配!C71,工业节能技术装备推荐目录!A:A,用能设备节能分配!A71)</f>
        <v>0</v>
      </c>
      <c r="G71" s="41" t="s">
        <v>63</v>
      </c>
      <c r="H71" s="41"/>
      <c r="I71" s="45" t="s">
        <v>72</v>
      </c>
      <c r="J71" s="43">
        <f>VLOOKUP(I71,BIFUbC!$A$1:$B$27,2,0)</f>
        <v>1373651344239264.8</v>
      </c>
      <c r="K71" s="44">
        <f t="shared" si="32"/>
        <v>1.0659376990592634E-2</v>
      </c>
      <c r="M71" s="46">
        <v>2020</v>
      </c>
      <c r="N71" s="26" t="str">
        <f t="shared" si="29"/>
        <v>压缩空气系统</v>
      </c>
      <c r="O71" s="26" t="str">
        <f t="shared" ref="O71:O73" si="36">I$22</f>
        <v>iron and steel 241</v>
      </c>
      <c r="P71" s="26" t="str">
        <f t="shared" ref="P71:P134" si="37">P67</f>
        <v>Installation and System Integration</v>
      </c>
      <c r="Q71" s="47">
        <f t="shared" si="33"/>
        <v>0</v>
      </c>
      <c r="R71" s="47">
        <f t="shared" si="34"/>
        <v>0</v>
      </c>
    </row>
    <row r="72" spans="1:18" ht="14.25" x14ac:dyDescent="0.2">
      <c r="A72" s="20">
        <v>2021</v>
      </c>
      <c r="B72" s="24" t="s">
        <v>61</v>
      </c>
      <c r="C72" s="25" t="s">
        <v>102</v>
      </c>
      <c r="D72" s="46">
        <f>SUMIFS(工业节能技术装备推荐目录!K:K,工业节能技术装备推荐目录!C:C,用能设备节能分配!B72,工业节能技术装备推荐目录!F:F,用能设备节能分配!C72,工业节能技术装备推荐目录!A:A,用能设备节能分配!A72)</f>
        <v>0</v>
      </c>
      <c r="E72" s="47">
        <f>SUMIFS(工业节能技术装备推荐目录!L:L,工业节能技术装备推荐目录!C:C,用能设备节能分配!B72,工业节能技术装备推荐目录!F:F,用能设备节能分配!C72,工业节能技术装备推荐目录!A:A,用能设备节能分配!A72)</f>
        <v>0</v>
      </c>
      <c r="G72" s="41" t="s">
        <v>63</v>
      </c>
      <c r="H72" s="41"/>
      <c r="I72" s="45" t="s">
        <v>38</v>
      </c>
      <c r="J72" s="43">
        <f>VLOOKUP(I72,BIFUbC!$A$1:$B$27,2,0)</f>
        <v>203671056181528.22</v>
      </c>
      <c r="K72" s="44">
        <f t="shared" si="32"/>
        <v>1.5804640522616722E-3</v>
      </c>
      <c r="M72" s="46">
        <v>2020</v>
      </c>
      <c r="N72" s="26" t="str">
        <f t="shared" si="29"/>
        <v>压缩空气系统</v>
      </c>
      <c r="O72" s="26" t="str">
        <f t="shared" si="36"/>
        <v>iron and steel 241</v>
      </c>
      <c r="P72" s="26" t="str">
        <f t="shared" si="37"/>
        <v>Cogeneration and Waste Heat Recovery</v>
      </c>
      <c r="Q72" s="47">
        <f t="shared" si="33"/>
        <v>0</v>
      </c>
      <c r="R72" s="47">
        <f t="shared" si="34"/>
        <v>0</v>
      </c>
    </row>
    <row r="73" spans="1:18" ht="14.25" x14ac:dyDescent="0.2">
      <c r="A73" s="20">
        <v>2021</v>
      </c>
      <c r="B73" s="24" t="s">
        <v>61</v>
      </c>
      <c r="C73" s="25" t="s">
        <v>105</v>
      </c>
      <c r="D73" s="46">
        <f>SUMIFS(工业节能技术装备推荐目录!K:K,工业节能技术装备推荐目录!C:C,用能设备节能分配!B73,工业节能技术装备推荐目录!F:F,用能设备节能分配!C73,工业节能技术装备推荐目录!A:A,用能设备节能分配!A73)</f>
        <v>0</v>
      </c>
      <c r="E73" s="47">
        <f>SUMIFS(工业节能技术装备推荐目录!L:L,工业节能技术装备推荐目录!C:C,用能设备节能分配!B73,工业节能技术装备推荐目录!F:F,用能设备节能分配!C73,工业节能技术装备推荐目录!A:A,用能设备节能分配!A73)</f>
        <v>0</v>
      </c>
      <c r="G73" s="41" t="s">
        <v>63</v>
      </c>
      <c r="H73" s="41"/>
      <c r="I73" s="45" t="s">
        <v>68</v>
      </c>
      <c r="J73" s="43">
        <f>VLOOKUP(I73,BIFUbC!$A$1:$B$27,2,0)</f>
        <v>871528323453208.75</v>
      </c>
      <c r="K73" s="44">
        <f t="shared" si="32"/>
        <v>6.7629598999968434E-3</v>
      </c>
      <c r="M73" s="46">
        <v>2020</v>
      </c>
      <c r="N73" s="26" t="str">
        <f t="shared" si="29"/>
        <v>压缩空气系统</v>
      </c>
      <c r="O73" s="26" t="str">
        <f t="shared" si="36"/>
        <v>iron and steel 241</v>
      </c>
      <c r="P73" s="26" t="str">
        <f t="shared" si="37"/>
        <v>Improvement in Eqpt Efficiency Standards</v>
      </c>
      <c r="Q73" s="47">
        <f t="shared" si="33"/>
        <v>3.2025321952860213</v>
      </c>
      <c r="R73" s="47">
        <f t="shared" si="34"/>
        <v>16.012660976430105</v>
      </c>
    </row>
    <row r="74" spans="1:18" ht="14.25" x14ac:dyDescent="0.2">
      <c r="A74" s="20">
        <v>2021</v>
      </c>
      <c r="B74" s="24" t="s">
        <v>62</v>
      </c>
      <c r="C74" s="25" t="s">
        <v>103</v>
      </c>
      <c r="D74" s="46">
        <f>SUMIFS(工业节能技术装备推荐目录!K:K,工业节能技术装备推荐目录!C:C,用能设备节能分配!B74,工业节能技术装备推荐目录!F:F,用能设备节能分配!C74,工业节能技术装备推荐目录!A:A,用能设备节能分配!A74)</f>
        <v>0</v>
      </c>
      <c r="E74" s="47">
        <f>SUMIFS(工业节能技术装备推荐目录!L:L,工业节能技术装备推荐目录!C:C,用能设备节能分配!B74,工业节能技术装备推荐目录!F:F,用能设备节能分配!C74,工业节能技术装备推荐目录!A:A,用能设备节能分配!A74)</f>
        <v>0</v>
      </c>
      <c r="G74" s="41" t="s">
        <v>63</v>
      </c>
      <c r="H74" s="41"/>
      <c r="I74" s="45" t="s">
        <v>40</v>
      </c>
      <c r="J74" s="43">
        <f>VLOOKUP(I74,BIFUbC!$A$1:$B$27,2,0)</f>
        <v>5.445110491278732E+16</v>
      </c>
      <c r="K74" s="44">
        <f t="shared" si="32"/>
        <v>0.42253433322350614</v>
      </c>
      <c r="M74" s="46">
        <v>2020</v>
      </c>
      <c r="N74" s="26" t="str">
        <f t="shared" si="29"/>
        <v>压缩空气系统</v>
      </c>
      <c r="O74" s="26" t="str">
        <f>I$23</f>
        <v>other metals 242</v>
      </c>
      <c r="P74" s="26" t="str">
        <f t="shared" si="37"/>
        <v>Early Facility Retirement</v>
      </c>
      <c r="Q74" s="47">
        <f t="shared" si="33"/>
        <v>0</v>
      </c>
      <c r="R74" s="47">
        <f t="shared" si="34"/>
        <v>0</v>
      </c>
    </row>
    <row r="75" spans="1:18" ht="14.25" x14ac:dyDescent="0.2">
      <c r="A75" s="20">
        <v>2021</v>
      </c>
      <c r="B75" s="24" t="s">
        <v>62</v>
      </c>
      <c r="C75" s="25" t="s">
        <v>104</v>
      </c>
      <c r="D75" s="46">
        <f>SUMIFS(工业节能技术装备推荐目录!K:K,工业节能技术装备推荐目录!C:C,用能设备节能分配!B75,工业节能技术装备推荐目录!F:F,用能设备节能分配!C75,工业节能技术装备推荐目录!A:A,用能设备节能分配!A75)</f>
        <v>32.46</v>
      </c>
      <c r="E75" s="47">
        <f>SUMIFS(工业节能技术装备推荐目录!L:L,工业节能技术装备推荐目录!C:C,用能设备节能分配!B75,工业节能技术装备推荐目录!F:F,用能设备节能分配!C75,工业节能技术装备推荐目录!A:A,用能设备节能分配!A75)</f>
        <v>120.62637931034484</v>
      </c>
      <c r="G75" s="41" t="s">
        <v>63</v>
      </c>
      <c r="H75" s="41"/>
      <c r="I75" s="45" t="s">
        <v>41</v>
      </c>
      <c r="J75" s="43">
        <f>VLOOKUP(I75,BIFUbC!$A$1:$B$27,2,0)</f>
        <v>1.1779139012024814E+16</v>
      </c>
      <c r="K75" s="44">
        <f t="shared" si="32"/>
        <v>9.1404768670251019E-2</v>
      </c>
      <c r="M75" s="46">
        <v>2020</v>
      </c>
      <c r="N75" s="26" t="str">
        <f t="shared" si="29"/>
        <v>压缩空气系统</v>
      </c>
      <c r="O75" s="26" t="str">
        <f t="shared" ref="O75:O77" si="38">I$23</f>
        <v>other metals 242</v>
      </c>
      <c r="P75" s="26" t="str">
        <f t="shared" si="37"/>
        <v>Installation and System Integration</v>
      </c>
      <c r="Q75" s="47">
        <f t="shared" si="33"/>
        <v>0</v>
      </c>
      <c r="R75" s="47">
        <f t="shared" si="34"/>
        <v>0</v>
      </c>
    </row>
    <row r="76" spans="1:18" ht="14.25" x14ac:dyDescent="0.2">
      <c r="A76" s="20">
        <v>2021</v>
      </c>
      <c r="B76" s="24" t="s">
        <v>62</v>
      </c>
      <c r="C76" s="25" t="s">
        <v>102</v>
      </c>
      <c r="D76" s="46">
        <f>SUMIFS(工业节能技术装备推荐目录!K:K,工业节能技术装备推荐目录!C:C,用能设备节能分配!B76,工业节能技术装备推荐目录!F:F,用能设备节能分配!C76,工业节能技术装备推荐目录!A:A,用能设备节能分配!A76)</f>
        <v>0</v>
      </c>
      <c r="E76" s="47">
        <f>SUMIFS(工业节能技术装备推荐目录!L:L,工业节能技术装备推荐目录!C:C,用能设备节能分配!B76,工业节能技术装备推荐目录!F:F,用能设备节能分配!C76,工业节能技术装备推荐目录!A:A,用能设备节能分配!A76)</f>
        <v>0</v>
      </c>
      <c r="G76" s="41" t="s">
        <v>63</v>
      </c>
      <c r="H76" s="41"/>
      <c r="I76" s="45" t="s">
        <v>42</v>
      </c>
      <c r="J76" s="43">
        <f>VLOOKUP(I76,BIFUbC!$A$1:$B$27,2,0)</f>
        <v>643092814091311</v>
      </c>
      <c r="K76" s="44">
        <f t="shared" si="32"/>
        <v>4.9903265294270896E-3</v>
      </c>
      <c r="M76" s="46">
        <v>2020</v>
      </c>
      <c r="N76" s="26" t="str">
        <f t="shared" si="29"/>
        <v>压缩空气系统</v>
      </c>
      <c r="O76" s="26" t="str">
        <f t="shared" si="38"/>
        <v>other metals 242</v>
      </c>
      <c r="P76" s="26" t="str">
        <f t="shared" si="37"/>
        <v>Cogeneration and Waste Heat Recovery</v>
      </c>
      <c r="Q76" s="47">
        <f t="shared" si="33"/>
        <v>0</v>
      </c>
      <c r="R76" s="47">
        <f t="shared" si="34"/>
        <v>0</v>
      </c>
    </row>
    <row r="77" spans="1:18" ht="14.25" x14ac:dyDescent="0.2">
      <c r="A77" s="20">
        <v>2021</v>
      </c>
      <c r="B77" s="24" t="s">
        <v>62</v>
      </c>
      <c r="C77" s="25" t="s">
        <v>105</v>
      </c>
      <c r="D77" s="46">
        <f>SUMIFS(工业节能技术装备推荐目录!K:K,工业节能技术装备推荐目录!C:C,用能设备节能分配!B77,工业节能技术装备推荐目录!F:F,用能设备节能分配!C77,工业节能技术装备推荐目录!A:A,用能设备节能分配!A77)</f>
        <v>5.4</v>
      </c>
      <c r="E77" s="47">
        <f>SUMIFS(工业节能技术装备推荐目录!L:L,工业节能技术装备推荐目录!C:C,用能设备节能分配!B77,工业节能技术装备推荐目录!F:F,用能设备节能分配!C77,工业节能技术装备推荐目录!A:A,用能设备节能分配!A77)</f>
        <v>120</v>
      </c>
      <c r="G77" s="41" t="s">
        <v>63</v>
      </c>
      <c r="H77" s="41"/>
      <c r="I77" s="45" t="s">
        <v>43</v>
      </c>
      <c r="J77" s="43">
        <f>VLOOKUP(I77,BIFUbC!$A$1:$B$27,2,0)</f>
        <v>278650345382189.97</v>
      </c>
      <c r="K77" s="44">
        <f t="shared" si="32"/>
        <v>2.1622947427263938E-3</v>
      </c>
      <c r="M77" s="46">
        <v>2020</v>
      </c>
      <c r="N77" s="26" t="str">
        <f t="shared" si="29"/>
        <v>压缩空气系统</v>
      </c>
      <c r="O77" s="26" t="str">
        <f t="shared" si="38"/>
        <v>other metals 242</v>
      </c>
      <c r="P77" s="26" t="str">
        <f t="shared" si="37"/>
        <v>Improvement in Eqpt Efficiency Standards</v>
      </c>
      <c r="Q77" s="47">
        <f t="shared" si="33"/>
        <v>0.57023999316414387</v>
      </c>
      <c r="R77" s="47">
        <f t="shared" si="34"/>
        <v>2.8511999658207197</v>
      </c>
    </row>
    <row r="78" spans="1:18" ht="14.25" x14ac:dyDescent="0.2">
      <c r="A78" s="20">
        <v>2021</v>
      </c>
      <c r="B78" s="24" t="s">
        <v>63</v>
      </c>
      <c r="C78" s="25" t="s">
        <v>103</v>
      </c>
      <c r="D78" s="46">
        <f>SUMIFS(工业节能技术装备推荐目录!K:K,工业节能技术装备推荐目录!C:C,用能设备节能分配!B78,工业节能技术装备推荐目录!F:F,用能设备节能分配!C78,工业节能技术装备推荐目录!A:A,用能设备节能分配!A78)</f>
        <v>0.93</v>
      </c>
      <c r="E78" s="47">
        <f>SUMIFS(工业节能技术装备推荐目录!L:L,工业节能技术装备推荐目录!C:C,用能设备节能分配!B78,工业节能技术装备推荐目录!F:F,用能设备节能分配!C78,工业节能技术装备推荐目录!A:A,用能设备节能分配!A78)</f>
        <v>4.6500000000000004</v>
      </c>
      <c r="G78" s="41" t="s">
        <v>63</v>
      </c>
      <c r="H78" s="41"/>
      <c r="I78" s="45" t="s">
        <v>56</v>
      </c>
      <c r="J78" s="43">
        <f>VLOOKUP(I78,BIFUbC!$A$1:$B$27,2,0)</f>
        <v>6830519428995158</v>
      </c>
      <c r="K78" s="44">
        <f t="shared" si="32"/>
        <v>5.3004047890732396E-2</v>
      </c>
      <c r="M78" s="46">
        <v>2020</v>
      </c>
      <c r="N78" s="26" t="str">
        <f>G$24</f>
        <v>风机系统</v>
      </c>
      <c r="O78" s="26" t="str">
        <f>I$24</f>
        <v>coal mining 05</v>
      </c>
      <c r="P78" s="26" t="str">
        <f t="shared" si="37"/>
        <v>Early Facility Retirement</v>
      </c>
      <c r="Q78" s="47">
        <f t="shared" si="33"/>
        <v>0</v>
      </c>
      <c r="R78" s="47">
        <f t="shared" si="34"/>
        <v>0</v>
      </c>
    </row>
    <row r="79" spans="1:18" ht="14.25" x14ac:dyDescent="0.2">
      <c r="A79" s="20">
        <v>2021</v>
      </c>
      <c r="B79" s="24" t="s">
        <v>63</v>
      </c>
      <c r="C79" s="25" t="s">
        <v>104</v>
      </c>
      <c r="D79" s="46">
        <f>SUMIFS(工业节能技术装备推荐目录!K:K,工业节能技术装备推荐目录!C:C,用能设备节能分配!B79,工业节能技术装备推荐目录!F:F,用能设备节能分配!C79,工业节能技术装备推荐目录!A:A,用能设备节能分配!A79)</f>
        <v>0</v>
      </c>
      <c r="E79" s="47">
        <f>SUMIFS(工业节能技术装备推荐目录!L:L,工业节能技术装备推荐目录!C:C,用能设备节能分配!B79,工业节能技术装备推荐目录!F:F,用能设备节能分配!C79,工业节能技术装备推荐目录!A:A,用能设备节能分配!A79)</f>
        <v>0</v>
      </c>
      <c r="G79" s="41" t="s">
        <v>63</v>
      </c>
      <c r="H79" s="41"/>
      <c r="I79" s="45" t="s">
        <v>45</v>
      </c>
      <c r="J79" s="43">
        <f>VLOOKUP(I79,BIFUbC!$A$1:$B$27,2,0)</f>
        <v>1.918905674870198E+16</v>
      </c>
      <c r="K79" s="44">
        <f t="shared" si="32"/>
        <v>0.14890488102100419</v>
      </c>
      <c r="M79" s="46">
        <v>2020</v>
      </c>
      <c r="N79" s="26" t="str">
        <f t="shared" ref="N79:N93" si="39">G$24</f>
        <v>风机系统</v>
      </c>
      <c r="O79" s="26" t="str">
        <f t="shared" ref="O79:O81" si="40">I$24</f>
        <v>coal mining 05</v>
      </c>
      <c r="P79" s="26" t="str">
        <f t="shared" si="37"/>
        <v>Installation and System Integration</v>
      </c>
      <c r="Q79" s="47">
        <f t="shared" si="33"/>
        <v>0</v>
      </c>
      <c r="R79" s="47">
        <f t="shared" si="34"/>
        <v>0</v>
      </c>
    </row>
    <row r="80" spans="1:18" ht="14.25" x14ac:dyDescent="0.2">
      <c r="A80" s="20">
        <v>2021</v>
      </c>
      <c r="B80" s="24" t="s">
        <v>63</v>
      </c>
      <c r="C80" s="25" t="s">
        <v>102</v>
      </c>
      <c r="D80" s="46">
        <f>SUMIFS(工业节能技术装备推荐目录!K:K,工业节能技术装备推荐目录!C:C,用能设备节能分配!B80,工业节能技术装备推荐目录!F:F,用能设备节能分配!C80,工业节能技术装备推荐目录!A:A,用能设备节能分配!A80)</f>
        <v>0</v>
      </c>
      <c r="E80" s="47">
        <f>SUMIFS(工业节能技术装备推荐目录!L:L,工业节能技术装备推荐目录!C:C,用能设备节能分配!B80,工业节能技术装备推荐目录!F:F,用能设备节能分配!C80,工业节能技术装备推荐目录!A:A,用能设备节能分配!A80)</f>
        <v>0</v>
      </c>
      <c r="G80" s="41" t="s">
        <v>63</v>
      </c>
      <c r="H80" s="41"/>
      <c r="I80" s="45" t="s">
        <v>46</v>
      </c>
      <c r="J80" s="43">
        <f>VLOOKUP(I80,BIFUbC!$A$1:$B$27,2,0)</f>
        <v>3416786131084909.5</v>
      </c>
      <c r="K80" s="44">
        <f t="shared" si="32"/>
        <v>2.6513868763134028E-2</v>
      </c>
      <c r="M80" s="46">
        <v>2020</v>
      </c>
      <c r="N80" s="26" t="str">
        <f t="shared" si="39"/>
        <v>风机系统</v>
      </c>
      <c r="O80" s="26" t="str">
        <f t="shared" si="40"/>
        <v>coal mining 05</v>
      </c>
      <c r="P80" s="26" t="str">
        <f t="shared" si="37"/>
        <v>Cogeneration and Waste Heat Recovery</v>
      </c>
      <c r="Q80" s="47">
        <f t="shared" si="33"/>
        <v>0</v>
      </c>
      <c r="R80" s="47">
        <f t="shared" si="34"/>
        <v>0</v>
      </c>
    </row>
    <row r="81" spans="1:18" ht="14.25" x14ac:dyDescent="0.2">
      <c r="A81" s="20">
        <v>2021</v>
      </c>
      <c r="B81" s="24" t="s">
        <v>63</v>
      </c>
      <c r="C81" s="25" t="s">
        <v>105</v>
      </c>
      <c r="D81" s="46">
        <f>SUMIFS(工业节能技术装备推荐目录!K:K,工业节能技术装备推荐目录!C:C,用能设备节能分配!B81,工业节能技术装备推荐目录!F:F,用能设备节能分配!C81,工业节能技术装备推荐目录!A:A,用能设备节能分配!A81)</f>
        <v>282.68</v>
      </c>
      <c r="E81" s="47">
        <f>SUMIFS(工业节能技术装备推荐目录!L:L,工业节能技术装备推荐目录!C:C,用能设备节能分配!B81,工业节能技术装备推荐目录!F:F,用能设备节能分配!C81,工业节能技术装备推荐目录!A:A,用能设备节能分配!A81)</f>
        <v>2246.4766666666674</v>
      </c>
      <c r="G81" s="41" t="s">
        <v>63</v>
      </c>
      <c r="H81" s="41"/>
      <c r="I81" s="45" t="s">
        <v>47</v>
      </c>
      <c r="J81" s="43">
        <f>VLOOKUP(I81,BIFUbC!$A$1:$B$27,2,0)</f>
        <v>1014026847678253.3</v>
      </c>
      <c r="K81" s="44">
        <f t="shared" si="32"/>
        <v>7.8687321155505984E-3</v>
      </c>
      <c r="M81" s="46">
        <v>2020</v>
      </c>
      <c r="N81" s="26" t="str">
        <f t="shared" si="39"/>
        <v>风机系统</v>
      </c>
      <c r="O81" s="26" t="str">
        <f t="shared" si="40"/>
        <v>coal mining 05</v>
      </c>
      <c r="P81" s="26" t="str">
        <f t="shared" si="37"/>
        <v>Improvement in Eqpt Efficiency Standards</v>
      </c>
      <c r="Q81" s="47">
        <f t="shared" si="33"/>
        <v>0</v>
      </c>
      <c r="R81" s="47">
        <f t="shared" si="34"/>
        <v>0</v>
      </c>
    </row>
    <row r="82" spans="1:18" ht="14.25" x14ac:dyDescent="0.2">
      <c r="A82" s="20">
        <v>2021</v>
      </c>
      <c r="B82" s="24" t="s">
        <v>18</v>
      </c>
      <c r="C82" s="25" t="s">
        <v>103</v>
      </c>
      <c r="D82" s="46">
        <f>SUMIFS(工业节能技术装备推荐目录!K:K,工业节能技术装备推荐目录!C:C,用能设备节能分配!B82,工业节能技术装备推荐目录!F:F,用能设备节能分配!C82,工业节能技术装备推荐目录!A:A,用能设备节能分配!A82)</f>
        <v>0</v>
      </c>
      <c r="E82" s="47">
        <f>SUMIFS(工业节能技术装备推荐目录!L:L,工业节能技术装备推荐目录!C:C,用能设备节能分配!B82,工业节能技术装备推荐目录!F:F,用能设备节能分配!C82,工业节能技术装备推荐目录!A:A,用能设备节能分配!A82)</f>
        <v>0</v>
      </c>
      <c r="G82" s="41" t="s">
        <v>63</v>
      </c>
      <c r="H82" s="41"/>
      <c r="I82" s="45" t="s">
        <v>48</v>
      </c>
      <c r="J82" s="43">
        <f>VLOOKUP(I82,BIFUbC!$A$1:$B$27,2,0)</f>
        <v>690652312197501.25</v>
      </c>
      <c r="K82" s="44">
        <f t="shared" si="32"/>
        <v>5.3593827837111873E-3</v>
      </c>
      <c r="M82" s="46">
        <v>2020</v>
      </c>
      <c r="N82" s="26" t="str">
        <f t="shared" si="39"/>
        <v>风机系统</v>
      </c>
      <c r="O82" s="26" t="str">
        <f>I$25</f>
        <v>refined petroleum and coke 19</v>
      </c>
      <c r="P82" s="26" t="str">
        <f t="shared" si="37"/>
        <v>Early Facility Retirement</v>
      </c>
      <c r="Q82" s="47">
        <f t="shared" si="33"/>
        <v>0</v>
      </c>
      <c r="R82" s="47">
        <f t="shared" si="34"/>
        <v>0</v>
      </c>
    </row>
    <row r="83" spans="1:18" ht="14.25" x14ac:dyDescent="0.2">
      <c r="A83" s="20">
        <v>2021</v>
      </c>
      <c r="B83" s="24" t="s">
        <v>18</v>
      </c>
      <c r="C83" s="25" t="s">
        <v>104</v>
      </c>
      <c r="D83" s="46">
        <f>SUMIFS(工业节能技术装备推荐目录!K:K,工业节能技术装备推荐目录!C:C,用能设备节能分配!B83,工业节能技术装备推荐目录!F:F,用能设备节能分配!C83,工业节能技术装备推荐目录!A:A,用能设备节能分配!A83)</f>
        <v>20.190000000000001</v>
      </c>
      <c r="E83" s="47">
        <f>SUMIFS(工业节能技术装备推荐目录!L:L,工业节能技术装备推荐目录!C:C,用能设备节能分配!B83,工业节能技术装备推荐目录!F:F,用能设备节能分配!C83,工业节能技术装备推荐目录!A:A,用能设备节能分配!A83)</f>
        <v>150.65</v>
      </c>
      <c r="G83" s="41" t="s">
        <v>63</v>
      </c>
      <c r="H83" s="41"/>
      <c r="I83" s="45" t="s">
        <v>49</v>
      </c>
      <c r="J83" s="43">
        <f>VLOOKUP(I83,BIFUbC!$A$1:$B$27,2,0)</f>
        <v>367780850463982.5</v>
      </c>
      <c r="K83" s="44">
        <f t="shared" si="32"/>
        <v>2.8539372464906339E-3</v>
      </c>
      <c r="M83" s="46">
        <v>2020</v>
      </c>
      <c r="N83" s="26" t="str">
        <f t="shared" si="39"/>
        <v>风机系统</v>
      </c>
      <c r="O83" s="26" t="str">
        <f t="shared" ref="O83:O85" si="41">I$25</f>
        <v>refined petroleum and coke 19</v>
      </c>
      <c r="P83" s="26" t="str">
        <f t="shared" si="37"/>
        <v>Installation and System Integration</v>
      </c>
      <c r="Q83" s="47">
        <f t="shared" si="33"/>
        <v>0</v>
      </c>
      <c r="R83" s="47">
        <f t="shared" si="34"/>
        <v>0</v>
      </c>
    </row>
    <row r="84" spans="1:18" ht="14.25" x14ac:dyDescent="0.2">
      <c r="A84" s="20">
        <v>2021</v>
      </c>
      <c r="B84" s="24" t="s">
        <v>18</v>
      </c>
      <c r="C84" s="25" t="s">
        <v>102</v>
      </c>
      <c r="D84" s="46">
        <f>SUMIFS(工业节能技术装备推荐目录!K:K,工业节能技术装备推荐目录!C:C,用能设备节能分配!B84,工业节能技术装备推荐目录!F:F,用能设备节能分配!C84,工业节能技术装备推荐目录!A:A,用能设备节能分配!A84)</f>
        <v>0</v>
      </c>
      <c r="E84" s="47">
        <f>SUMIFS(工业节能技术装备推荐目录!L:L,工业节能技术装备推荐目录!C:C,用能设备节能分配!B84,工业节能技术装备推荐目录!F:F,用能设备节能分配!C84,工业节能技术装备推荐目录!A:A,用能设备节能分配!A84)</f>
        <v>0</v>
      </c>
      <c r="G84" s="41" t="s">
        <v>63</v>
      </c>
      <c r="H84" s="41"/>
      <c r="I84" s="45" t="s">
        <v>50</v>
      </c>
      <c r="J84" s="43">
        <f>VLOOKUP(I84,BIFUbC!$A$1:$B$27,2,0)</f>
        <v>227496994874726.28</v>
      </c>
      <c r="K84" s="44">
        <f t="shared" si="32"/>
        <v>1.7653506057169056E-3</v>
      </c>
      <c r="M84" s="46">
        <v>2020</v>
      </c>
      <c r="N84" s="26" t="str">
        <f t="shared" si="39"/>
        <v>风机系统</v>
      </c>
      <c r="O84" s="26" t="str">
        <f t="shared" si="41"/>
        <v>refined petroleum and coke 19</v>
      </c>
      <c r="P84" s="26" t="str">
        <f t="shared" si="37"/>
        <v>Cogeneration and Waste Heat Recovery</v>
      </c>
      <c r="Q84" s="47">
        <f t="shared" si="33"/>
        <v>0</v>
      </c>
      <c r="R84" s="47">
        <f t="shared" si="34"/>
        <v>0</v>
      </c>
    </row>
    <row r="85" spans="1:18" ht="14.25" x14ac:dyDescent="0.2">
      <c r="A85" s="20">
        <v>2021</v>
      </c>
      <c r="B85" s="24" t="s">
        <v>18</v>
      </c>
      <c r="C85" s="25" t="s">
        <v>105</v>
      </c>
      <c r="D85" s="46">
        <f>SUMIFS(工业节能技术装备推荐目录!K:K,工业节能技术装备推荐目录!C:C,用能设备节能分配!B85,工业节能技术装备推荐目录!F:F,用能设备节能分配!C85,工业节能技术装备推荐目录!A:A,用能设备节能分配!A85)</f>
        <v>92.45</v>
      </c>
      <c r="E85" s="47">
        <f>SUMIFS(工业节能技术装备推荐目录!L:L,工业节能技术装备推荐目录!C:C,用能设备节能分配!B85,工业节能技术装备推荐目录!F:F,用能设备节能分配!C85,工业节能技术装备推荐目录!A:A,用能设备节能分配!A85)</f>
        <v>2686.15</v>
      </c>
      <c r="G85" s="41" t="s">
        <v>63</v>
      </c>
      <c r="H85" s="41"/>
      <c r="I85" s="45" t="s">
        <v>81</v>
      </c>
      <c r="J85" s="43">
        <f>VLOOKUP(I85,BIFUbC!$A$1:$B$27,2,0)</f>
        <v>508870198956766.19</v>
      </c>
      <c r="K85" s="44">
        <f t="shared" si="32"/>
        <v>3.9487744198743683E-3</v>
      </c>
      <c r="M85" s="46">
        <v>2020</v>
      </c>
      <c r="N85" s="26" t="str">
        <f t="shared" si="39"/>
        <v>风机系统</v>
      </c>
      <c r="O85" s="26" t="str">
        <f t="shared" si="41"/>
        <v>refined petroleum and coke 19</v>
      </c>
      <c r="P85" s="26" t="str">
        <f t="shared" si="37"/>
        <v>Improvement in Eqpt Efficiency Standards</v>
      </c>
      <c r="Q85" s="47">
        <f t="shared" si="33"/>
        <v>0</v>
      </c>
      <c r="R85" s="47">
        <f t="shared" si="34"/>
        <v>0</v>
      </c>
    </row>
    <row r="86" spans="1:18" ht="14.25" x14ac:dyDescent="0.2">
      <c r="A86" s="20">
        <v>2021</v>
      </c>
      <c r="B86" s="24" t="s">
        <v>17</v>
      </c>
      <c r="C86" s="25" t="s">
        <v>103</v>
      </c>
      <c r="D86" s="46">
        <f>SUMIFS(工业节能技术装备推荐目录!K:K,工业节能技术装备推荐目录!C:C,用能设备节能分配!B86,工业节能技术装备推荐目录!F:F,用能设备节能分配!C86,工业节能技术装备推荐目录!A:A,用能设备节能分配!A86)</f>
        <v>0</v>
      </c>
      <c r="E86" s="47">
        <f>SUMIFS(工业节能技术装备推荐目录!L:L,工业节能技术装备推荐目录!C:C,用能设备节能分配!B86,工业节能技术装备推荐目录!F:F,用能设备节能分配!C86,工业节能技术装备推荐目录!A:A,用能设备节能分配!A86)</f>
        <v>0</v>
      </c>
      <c r="G86" s="41" t="s">
        <v>63</v>
      </c>
      <c r="H86" s="41"/>
      <c r="I86" s="45" t="s">
        <v>71</v>
      </c>
      <c r="J86" s="43">
        <f>VLOOKUP(I86,BIFUbC!$A$1:$B$27,2,0)</f>
        <v>154446348219385.75</v>
      </c>
      <c r="K86" s="44">
        <f t="shared" si="32"/>
        <v>1.1984859603529953E-3</v>
      </c>
      <c r="M86" s="46">
        <v>2020</v>
      </c>
      <c r="N86" s="26" t="str">
        <f t="shared" si="39"/>
        <v>风机系统</v>
      </c>
      <c r="O86" s="26" t="str">
        <f>I$26</f>
        <v>chemicals 20</v>
      </c>
      <c r="P86" s="26" t="str">
        <f t="shared" si="37"/>
        <v>Early Facility Retirement</v>
      </c>
      <c r="Q86" s="47">
        <f t="shared" si="33"/>
        <v>0</v>
      </c>
      <c r="R86" s="47">
        <f t="shared" si="34"/>
        <v>0</v>
      </c>
    </row>
    <row r="87" spans="1:18" ht="14.25" x14ac:dyDescent="0.2">
      <c r="A87" s="20">
        <v>2021</v>
      </c>
      <c r="B87" s="24" t="s">
        <v>17</v>
      </c>
      <c r="C87" s="25" t="s">
        <v>104</v>
      </c>
      <c r="D87" s="46">
        <f>SUMIFS(工业节能技术装备推荐目录!K:K,工业节能技术装备推荐目录!C:C,用能设备节能分配!B87,工业节能技术装备推荐目录!F:F,用能设备节能分配!C87,工业节能技术装备推荐目录!A:A,用能设备节能分配!A87)</f>
        <v>179.21</v>
      </c>
      <c r="E87" s="47">
        <f>SUMIFS(工业节能技术装备推荐目录!L:L,工业节能技术装备推荐目录!C:C,用能设备节能分配!B87,工业节能技术装备推荐目录!F:F,用能设备节能分配!C87,工业节能技术装备推荐目录!A:A,用能设备节能分配!A87)</f>
        <v>1267.6085714285714</v>
      </c>
      <c r="G87" s="41" t="s">
        <v>63</v>
      </c>
      <c r="H87" s="41"/>
      <c r="I87" s="45" t="s">
        <v>53</v>
      </c>
      <c r="J87" s="43">
        <f>VLOOKUP(I87,BIFUbC!$A$1:$B$27,2,0)</f>
        <v>512263455152634.81</v>
      </c>
      <c r="K87" s="44">
        <f t="shared" si="32"/>
        <v>3.9751056990371021E-3</v>
      </c>
      <c r="M87" s="46">
        <v>2020</v>
      </c>
      <c r="N87" s="26" t="str">
        <f t="shared" si="39"/>
        <v>风机系统</v>
      </c>
      <c r="O87" s="26" t="str">
        <f t="shared" ref="O87:O89" si="42">I$26</f>
        <v>chemicals 20</v>
      </c>
      <c r="P87" s="26" t="str">
        <f t="shared" si="37"/>
        <v>Installation and System Integration</v>
      </c>
      <c r="Q87" s="47">
        <f t="shared" si="33"/>
        <v>0</v>
      </c>
      <c r="R87" s="47">
        <f t="shared" si="34"/>
        <v>0</v>
      </c>
    </row>
    <row r="88" spans="1:18" ht="14.25" x14ac:dyDescent="0.2">
      <c r="A88" s="20">
        <v>2021</v>
      </c>
      <c r="B88" s="24" t="s">
        <v>17</v>
      </c>
      <c r="C88" s="25" t="s">
        <v>102</v>
      </c>
      <c r="D88" s="46">
        <f>SUMIFS(工业节能技术装备推荐目录!K:K,工业节能技术装备推荐目录!C:C,用能设备节能分配!B88,工业节能技术装备推荐目录!F:F,用能设备节能分配!C88,工业节能技术装备推荐目录!A:A,用能设备节能分配!A88)</f>
        <v>0</v>
      </c>
      <c r="E88" s="47">
        <f>SUMIFS(工业节能技术装备推荐目录!L:L,工业节能技术装备推荐目录!C:C,用能设备节能分配!B88,工业节能技术装备推荐目录!F:F,用能设备节能分配!C88,工业节能技术装备推荐目录!A:A,用能设备节能分配!A88)</f>
        <v>0</v>
      </c>
      <c r="G88" s="41" t="s">
        <v>63</v>
      </c>
      <c r="H88" s="41"/>
      <c r="I88" s="45" t="s">
        <v>76</v>
      </c>
      <c r="J88" s="43">
        <f>VLOOKUP(I88,BIFUbC!$A$1:$B$27,2,0)</f>
        <v>1228810914133124</v>
      </c>
      <c r="K88" s="44">
        <f t="shared" si="32"/>
        <v>9.535431853818525E-3</v>
      </c>
      <c r="M88" s="46">
        <v>2020</v>
      </c>
      <c r="N88" s="26" t="str">
        <f t="shared" si="39"/>
        <v>风机系统</v>
      </c>
      <c r="O88" s="26" t="str">
        <f t="shared" si="42"/>
        <v>chemicals 20</v>
      </c>
      <c r="P88" s="26" t="str">
        <f t="shared" si="37"/>
        <v>Cogeneration and Waste Heat Recovery</v>
      </c>
      <c r="Q88" s="47">
        <f t="shared" si="33"/>
        <v>0</v>
      </c>
      <c r="R88" s="47">
        <f t="shared" si="34"/>
        <v>0</v>
      </c>
    </row>
    <row r="89" spans="1:18" ht="14.25" x14ac:dyDescent="0.2">
      <c r="A89" s="20">
        <v>2021</v>
      </c>
      <c r="B89" s="24" t="s">
        <v>17</v>
      </c>
      <c r="C89" s="25" t="s">
        <v>105</v>
      </c>
      <c r="D89" s="46">
        <f>SUMIFS(工业节能技术装备推荐目录!K:K,工业节能技术装备推荐目录!C:C,用能设备节能分配!B89,工业节能技术装备推荐目录!F:F,用能设备节能分配!C89,工业节能技术装备推荐目录!A:A,用能设备节能分配!A89)</f>
        <v>0</v>
      </c>
      <c r="E89" s="47">
        <f>SUMIFS(工业节能技术装备推荐目录!L:L,工业节能技术装备推荐目录!C:C,用能设备节能分配!B89,工业节能技术装备推荐目录!F:F,用能设备节能分配!C89,工业节能技术装备推荐目录!A:A,用能设备节能分配!A89)</f>
        <v>0</v>
      </c>
      <c r="G89" s="41" t="s">
        <v>63</v>
      </c>
      <c r="H89" s="41"/>
      <c r="I89" s="45" t="s">
        <v>83</v>
      </c>
      <c r="J89" s="43">
        <f>VLOOKUP(I89,BIFUbC!$A$1:$B$27,2,0)</f>
        <v>353812120372585</v>
      </c>
      <c r="K89" s="44">
        <f t="shared" si="32"/>
        <v>2.7455415020038827E-3</v>
      </c>
      <c r="M89" s="46">
        <v>2020</v>
      </c>
      <c r="N89" s="26" t="str">
        <f t="shared" si="39"/>
        <v>风机系统</v>
      </c>
      <c r="O89" s="26" t="str">
        <f t="shared" si="42"/>
        <v>chemicals 20</v>
      </c>
      <c r="P89" s="26" t="str">
        <f t="shared" si="37"/>
        <v>Improvement in Eqpt Efficiency Standards</v>
      </c>
      <c r="Q89" s="47">
        <f t="shared" si="33"/>
        <v>0</v>
      </c>
      <c r="R89" s="47">
        <f t="shared" si="34"/>
        <v>0</v>
      </c>
    </row>
    <row r="90" spans="1:18" ht="14.25" x14ac:dyDescent="0.2">
      <c r="A90" s="20">
        <v>2021</v>
      </c>
      <c r="B90" s="24" t="s">
        <v>20</v>
      </c>
      <c r="C90" s="25" t="s">
        <v>103</v>
      </c>
      <c r="D90" s="46">
        <f>SUMIFS(工业节能技术装备推荐目录!K:K,工业节能技术装备推荐目录!C:C,用能设备节能分配!B90,工业节能技术装备推荐目录!F:F,用能设备节能分配!C90,工业节能技术装备推荐目录!A:A,用能设备节能分配!A90)</f>
        <v>0</v>
      </c>
      <c r="E90" s="47">
        <f>SUMIFS(工业节能技术装备推荐目录!L:L,工业节能技术装备推荐目录!C:C,用能设备节能分配!B90,工业节能技术装备推荐目录!F:F,用能设备节能分配!C90,工业节能技术装备推荐目录!A:A,用能设备节能分配!A90)</f>
        <v>0</v>
      </c>
      <c r="G90" s="41" t="s">
        <v>63</v>
      </c>
      <c r="H90" s="41"/>
      <c r="I90" s="45" t="s">
        <v>55</v>
      </c>
      <c r="J90" s="43">
        <f>VLOOKUP(I90,BIFUbC!$A$1:$B$27,2,0)</f>
        <v>1824593180755313</v>
      </c>
      <c r="K90" s="44">
        <f t="shared" si="32"/>
        <v>1.4158633957371753E-2</v>
      </c>
      <c r="M90" s="46">
        <v>2020</v>
      </c>
      <c r="N90" s="26" t="str">
        <f t="shared" si="39"/>
        <v>风机系统</v>
      </c>
      <c r="O90" s="26" t="str">
        <f>I$27</f>
        <v>iron and steel 241</v>
      </c>
      <c r="P90" s="26" t="str">
        <f t="shared" si="37"/>
        <v>Early Facility Retirement</v>
      </c>
      <c r="Q90" s="47">
        <f t="shared" si="33"/>
        <v>0</v>
      </c>
      <c r="R90" s="47">
        <f t="shared" si="34"/>
        <v>0</v>
      </c>
    </row>
    <row r="91" spans="1:18" ht="14.25" x14ac:dyDescent="0.2">
      <c r="A91" s="20">
        <v>2021</v>
      </c>
      <c r="B91" s="24" t="s">
        <v>20</v>
      </c>
      <c r="C91" s="25" t="s">
        <v>104</v>
      </c>
      <c r="D91" s="46">
        <f>SUMIFS(工业节能技术装备推荐目录!K:K,工业节能技术装备推荐目录!C:C,用能设备节能分配!B91,工业节能技术装备推荐目录!F:F,用能设备节能分配!C91,工业节能技术装备推荐目录!A:A,用能设备节能分配!A91)</f>
        <v>0</v>
      </c>
      <c r="E91" s="47">
        <f>SUMIFS(工业节能技术装备推荐目录!L:L,工业节能技术装备推荐目录!C:C,用能设备节能分配!B91,工业节能技术装备推荐目录!F:F,用能设备节能分配!C91,工业节能技术装备推荐目录!A:A,用能设备节能分配!A91)</f>
        <v>0</v>
      </c>
      <c r="G91" s="41" t="s">
        <v>17</v>
      </c>
      <c r="H91" s="41"/>
      <c r="I91" s="45" t="s">
        <v>99</v>
      </c>
      <c r="J91" s="43">
        <f>VLOOKUP(I91,BIFUbC!$A$1:$B$27,2,0)</f>
        <v>1655905952087749.5</v>
      </c>
      <c r="K91" s="44">
        <f t="shared" ref="K91:K115" si="43">J91/SUM($J$91:$J$115)</f>
        <v>1.2849640396955837E-2</v>
      </c>
      <c r="M91" s="46">
        <v>2020</v>
      </c>
      <c r="N91" s="26" t="str">
        <f t="shared" si="39"/>
        <v>风机系统</v>
      </c>
      <c r="O91" s="26" t="str">
        <f t="shared" ref="O91:O93" si="44">I$27</f>
        <v>iron and steel 241</v>
      </c>
      <c r="P91" s="26" t="str">
        <f t="shared" si="37"/>
        <v>Installation and System Integration</v>
      </c>
      <c r="Q91" s="47">
        <f t="shared" si="33"/>
        <v>0</v>
      </c>
      <c r="R91" s="47">
        <f t="shared" si="34"/>
        <v>0</v>
      </c>
    </row>
    <row r="92" spans="1:18" ht="14.25" x14ac:dyDescent="0.2">
      <c r="A92" s="20">
        <v>2021</v>
      </c>
      <c r="B92" s="24" t="s">
        <v>20</v>
      </c>
      <c r="C92" s="25" t="s">
        <v>102</v>
      </c>
      <c r="D92" s="46">
        <f>SUMIFS(工业节能技术装备推荐目录!K:K,工业节能技术装备推荐目录!C:C,用能设备节能分配!B92,工业节能技术装备推荐目录!F:F,用能设备节能分配!C92,工业节能技术装备推荐目录!A:A,用能设备节能分配!A92)</f>
        <v>0</v>
      </c>
      <c r="E92" s="47">
        <f>SUMIFS(工业节能技术装备推荐目录!L:L,工业节能技术装备推荐目录!C:C,用能设备节能分配!B92,工业节能技术装备推荐目录!F:F,用能设备节能分配!C92,工业节能技术装备推荐目录!A:A,用能设备节能分配!A92)</f>
        <v>0</v>
      </c>
      <c r="G92" s="41" t="s">
        <v>17</v>
      </c>
      <c r="H92" s="41"/>
      <c r="I92" s="45" t="s">
        <v>35</v>
      </c>
      <c r="J92" s="43">
        <f>VLOOKUP(I92,BIFUbC!$A$1:$B$27,2,0)</f>
        <v>1.8369744355334368E+16</v>
      </c>
      <c r="K92" s="44">
        <f t="shared" si="43"/>
        <v>0.14254711075375584</v>
      </c>
      <c r="M92" s="46">
        <v>2020</v>
      </c>
      <c r="N92" s="26" t="str">
        <f t="shared" si="39"/>
        <v>风机系统</v>
      </c>
      <c r="O92" s="26" t="str">
        <f t="shared" si="44"/>
        <v>iron and steel 241</v>
      </c>
      <c r="P92" s="26" t="str">
        <f t="shared" si="37"/>
        <v>Cogeneration and Waste Heat Recovery</v>
      </c>
      <c r="Q92" s="47">
        <f t="shared" si="33"/>
        <v>0</v>
      </c>
      <c r="R92" s="47">
        <f t="shared" si="34"/>
        <v>0</v>
      </c>
    </row>
    <row r="93" spans="1:18" ht="14.25" x14ac:dyDescent="0.2">
      <c r="A93" s="20">
        <v>2021</v>
      </c>
      <c r="B93" s="24" t="s">
        <v>20</v>
      </c>
      <c r="C93" s="25" t="s">
        <v>105</v>
      </c>
      <c r="D93" s="46">
        <f>SUMIFS(工业节能技术装备推荐目录!K:K,工业节能技术装备推荐目录!C:C,用能设备节能分配!B93,工业节能技术装备推荐目录!F:F,用能设备节能分配!C93,工业节能技术装备推荐目录!A:A,用能设备节能分配!A93)</f>
        <v>60</v>
      </c>
      <c r="E93" s="47">
        <f>SUMIFS(工业节能技术装备推荐目录!L:L,工业节能技术装备推荐目录!C:C,用能设备节能分配!B93,工业节能技术装备推荐目录!F:F,用能设备节能分配!C93,工业节能技术装备推荐目录!A:A,用能设备节能分配!A93)</f>
        <v>300</v>
      </c>
      <c r="G93" s="41" t="s">
        <v>17</v>
      </c>
      <c r="H93" s="41"/>
      <c r="I93" s="45" t="s">
        <v>67</v>
      </c>
      <c r="J93" s="43">
        <f>VLOOKUP(I93,BIFUbC!$A$1:$B$27,2,0)</f>
        <v>782569708608316.88</v>
      </c>
      <c r="K93" s="44">
        <f t="shared" si="43"/>
        <v>6.0726512447697965E-3</v>
      </c>
      <c r="M93" s="46">
        <v>2020</v>
      </c>
      <c r="N93" s="26" t="str">
        <f t="shared" si="39"/>
        <v>风机系统</v>
      </c>
      <c r="O93" s="26" t="str">
        <f t="shared" si="44"/>
        <v>iron and steel 241</v>
      </c>
      <c r="P93" s="26" t="str">
        <f t="shared" si="37"/>
        <v>Improvement in Eqpt Efficiency Standards</v>
      </c>
      <c r="Q93" s="47">
        <f t="shared" si="33"/>
        <v>0</v>
      </c>
      <c r="R93" s="47">
        <f t="shared" si="34"/>
        <v>0</v>
      </c>
    </row>
    <row r="94" spans="1:18" ht="14.25" x14ac:dyDescent="0.2">
      <c r="A94" s="20">
        <v>2021</v>
      </c>
      <c r="B94" s="24" t="s">
        <v>22</v>
      </c>
      <c r="C94" s="25" t="s">
        <v>103</v>
      </c>
      <c r="D94" s="46">
        <f>SUMIFS(工业节能技术装备推荐目录!K:K,工业节能技术装备推荐目录!C:C,用能设备节能分配!B94,工业节能技术装备推荐目录!F:F,用能设备节能分配!C94,工业节能技术装备推荐目录!A:A,用能设备节能分配!A94)</f>
        <v>0</v>
      </c>
      <c r="E94" s="47">
        <f>SUMIFS(工业节能技术装备推荐目录!L:L,工业节能技术装备推荐目录!C:C,用能设备节能分配!B94,工业节能技术装备推荐目录!F:F,用能设备节能分配!C94,工业节能技术装备推荐目录!A:A,用能设备节能分配!A94)</f>
        <v>0</v>
      </c>
      <c r="G94" s="41" t="s">
        <v>17</v>
      </c>
      <c r="H94" s="41"/>
      <c r="I94" s="45" t="s">
        <v>100</v>
      </c>
      <c r="J94" s="43">
        <f>VLOOKUP(I94,BIFUbC!$A$1:$B$27,2,0)</f>
        <v>621636505214392.13</v>
      </c>
      <c r="K94" s="44">
        <f t="shared" si="43"/>
        <v>4.8238280317516565E-3</v>
      </c>
      <c r="M94" s="46">
        <v>2020</v>
      </c>
      <c r="N94" s="26" t="str">
        <f>G$29</f>
        <v>汽轮机</v>
      </c>
      <c r="O94" s="26" t="str">
        <f>I$29</f>
        <v>refined petroleum and coke 19</v>
      </c>
      <c r="P94" s="26" t="str">
        <f t="shared" si="37"/>
        <v>Early Facility Retirement</v>
      </c>
      <c r="Q94" s="47">
        <f t="shared" si="33"/>
        <v>0</v>
      </c>
      <c r="R94" s="47">
        <f t="shared" si="34"/>
        <v>0</v>
      </c>
    </row>
    <row r="95" spans="1:18" ht="14.25" x14ac:dyDescent="0.2">
      <c r="A95" s="20">
        <v>2021</v>
      </c>
      <c r="B95" s="24" t="s">
        <v>22</v>
      </c>
      <c r="C95" s="25" t="s">
        <v>104</v>
      </c>
      <c r="D95" s="46">
        <f>SUMIFS(工业节能技术装备推荐目录!K:K,工业节能技术装备推荐目录!C:C,用能设备节能分配!B95,工业节能技术装备推荐目录!F:F,用能设备节能分配!C95,工业节能技术装备推荐目录!A:A,用能设备节能分配!A95)</f>
        <v>0</v>
      </c>
      <c r="E95" s="47">
        <f>SUMIFS(工业节能技术装备推荐目录!L:L,工业节能技术装备推荐目录!C:C,用能设备节能分配!B95,工业节能技术装备推荐目录!F:F,用能设备节能分配!C95,工业节能技术装备推荐目录!A:A,用能设备节能分配!A95)</f>
        <v>0</v>
      </c>
      <c r="G95" s="41" t="s">
        <v>17</v>
      </c>
      <c r="H95" s="41"/>
      <c r="I95" s="45" t="s">
        <v>101</v>
      </c>
      <c r="J95" s="43">
        <f>VLOOKUP(I95,BIFUbC!$A$1:$B$27,2,0)</f>
        <v>1518072891591473.5</v>
      </c>
      <c r="K95" s="44">
        <f t="shared" si="43"/>
        <v>1.1780071645206371E-2</v>
      </c>
      <c r="M95" s="46">
        <v>2020</v>
      </c>
      <c r="N95" s="26" t="str">
        <f t="shared" ref="N95:N113" si="45">G$29</f>
        <v>汽轮机</v>
      </c>
      <c r="O95" s="26" t="str">
        <f t="shared" ref="O95:O97" si="46">I$29</f>
        <v>refined petroleum and coke 19</v>
      </c>
      <c r="P95" s="26" t="str">
        <f t="shared" si="37"/>
        <v>Installation and System Integration</v>
      </c>
      <c r="Q95" s="47">
        <f t="shared" si="33"/>
        <v>0</v>
      </c>
      <c r="R95" s="47">
        <f t="shared" si="34"/>
        <v>0</v>
      </c>
    </row>
    <row r="96" spans="1:18" ht="14.25" x14ac:dyDescent="0.2">
      <c r="A96" s="20">
        <v>2021</v>
      </c>
      <c r="B96" s="24" t="s">
        <v>22</v>
      </c>
      <c r="C96" s="25" t="s">
        <v>102</v>
      </c>
      <c r="D96" s="46">
        <f>SUMIFS(工业节能技术装备推荐目录!K:K,工业节能技术装备推荐目录!C:C,用能设备节能分配!B96,工业节能技术装备推荐目录!F:F,用能设备节能分配!C96,工业节能技术装备推荐目录!A:A,用能设备节能分配!A96)</f>
        <v>0</v>
      </c>
      <c r="E96" s="47">
        <f>SUMIFS(工业节能技术装备推荐目录!L:L,工业节能技术装备推荐目录!C:C,用能设备节能分配!B96,工业节能技术装备推荐目录!F:F,用能设备节能分配!C96,工业节能技术装备推荐目录!A:A,用能设备节能分配!A96)</f>
        <v>0</v>
      </c>
      <c r="G96" s="41" t="s">
        <v>17</v>
      </c>
      <c r="H96" s="41"/>
      <c r="I96" s="45" t="s">
        <v>72</v>
      </c>
      <c r="J96" s="43">
        <f>VLOOKUP(I96,BIFUbC!$A$1:$B$27,2,0)</f>
        <v>1373651344239264.8</v>
      </c>
      <c r="K96" s="44">
        <f t="shared" si="43"/>
        <v>1.0659376990592634E-2</v>
      </c>
      <c r="M96" s="46">
        <v>2020</v>
      </c>
      <c r="N96" s="26" t="str">
        <f t="shared" si="45"/>
        <v>汽轮机</v>
      </c>
      <c r="O96" s="26" t="str">
        <f t="shared" si="46"/>
        <v>refined petroleum and coke 19</v>
      </c>
      <c r="P96" s="26" t="str">
        <f t="shared" si="37"/>
        <v>Cogeneration and Waste Heat Recovery</v>
      </c>
      <c r="Q96" s="47">
        <f t="shared" si="33"/>
        <v>0</v>
      </c>
      <c r="R96" s="47">
        <f t="shared" si="34"/>
        <v>0</v>
      </c>
    </row>
    <row r="97" spans="1:18" ht="14.25" x14ac:dyDescent="0.2">
      <c r="A97" s="20">
        <v>2021</v>
      </c>
      <c r="B97" s="24" t="s">
        <v>22</v>
      </c>
      <c r="C97" s="25" t="s">
        <v>105</v>
      </c>
      <c r="D97" s="46">
        <f>SUMIFS(工业节能技术装备推荐目录!K:K,工业节能技术装备推荐目录!C:C,用能设备节能分配!B97,工业节能技术装备推荐目录!F:F,用能设备节能分配!C97,工业节能技术装备推荐目录!A:A,用能设备节能分配!A97)</f>
        <v>4.29</v>
      </c>
      <c r="E97" s="47">
        <f>SUMIFS(工业节能技术装备推荐目录!L:L,工业节能技术装备推荐目录!C:C,用能设备节能分配!B97,工业节能技术装备推荐目录!F:F,用能设备节能分配!C97,工业节能技术装备推荐目录!A:A,用能设备节能分配!A97)</f>
        <v>39.468000000000004</v>
      </c>
      <c r="G97" s="41" t="s">
        <v>17</v>
      </c>
      <c r="H97" s="41"/>
      <c r="I97" s="45" t="s">
        <v>38</v>
      </c>
      <c r="J97" s="43">
        <f>VLOOKUP(I97,BIFUbC!$A$1:$B$27,2,0)</f>
        <v>203671056181528.22</v>
      </c>
      <c r="K97" s="44">
        <f t="shared" si="43"/>
        <v>1.5804640522616722E-3</v>
      </c>
      <c r="M97" s="46">
        <v>2020</v>
      </c>
      <c r="N97" s="26" t="str">
        <f t="shared" si="45"/>
        <v>汽轮机</v>
      </c>
      <c r="O97" s="26" t="str">
        <f t="shared" si="46"/>
        <v>refined petroleum and coke 19</v>
      </c>
      <c r="P97" s="26" t="str">
        <f t="shared" si="37"/>
        <v>Improvement in Eqpt Efficiency Standards</v>
      </c>
      <c r="Q97" s="47">
        <f t="shared" si="33"/>
        <v>0</v>
      </c>
      <c r="R97" s="47">
        <f t="shared" si="34"/>
        <v>0</v>
      </c>
    </row>
    <row r="98" spans="1:18" ht="14.25" x14ac:dyDescent="0.2">
      <c r="A98" s="20">
        <v>2021</v>
      </c>
      <c r="B98" s="24" t="s">
        <v>78</v>
      </c>
      <c r="C98" s="25" t="s">
        <v>103</v>
      </c>
      <c r="D98" s="46">
        <f>SUMIFS(工业节能技术装备推荐目录!K:K,工业节能技术装备推荐目录!C:C,用能设备节能分配!B98,工业节能技术装备推荐目录!F:F,用能设备节能分配!C98,工业节能技术装备推荐目录!A:A,用能设备节能分配!A98)</f>
        <v>0</v>
      </c>
      <c r="E98" s="47">
        <f>SUMIFS(工业节能技术装备推荐目录!L:L,工业节能技术装备推荐目录!C:C,用能设备节能分配!B98,工业节能技术装备推荐目录!F:F,用能设备节能分配!C98,工业节能技术装备推荐目录!A:A,用能设备节能分配!A98)</f>
        <v>0</v>
      </c>
      <c r="G98" s="41" t="s">
        <v>17</v>
      </c>
      <c r="H98" s="41"/>
      <c r="I98" s="45" t="s">
        <v>68</v>
      </c>
      <c r="J98" s="43">
        <f>VLOOKUP(I98,BIFUbC!$A$1:$B$27,2,0)</f>
        <v>871528323453208.75</v>
      </c>
      <c r="K98" s="44">
        <f t="shared" si="43"/>
        <v>6.7629598999968434E-3</v>
      </c>
      <c r="M98" s="46">
        <v>2020</v>
      </c>
      <c r="N98" s="26" t="str">
        <f t="shared" si="45"/>
        <v>汽轮机</v>
      </c>
      <c r="O98" s="26" t="str">
        <f>I$30</f>
        <v>iron and steel 241</v>
      </c>
      <c r="P98" s="26" t="str">
        <f t="shared" si="37"/>
        <v>Early Facility Retirement</v>
      </c>
      <c r="Q98" s="47">
        <f t="shared" si="33"/>
        <v>0</v>
      </c>
      <c r="R98" s="47">
        <f t="shared" si="34"/>
        <v>0</v>
      </c>
    </row>
    <row r="99" spans="1:18" ht="14.25" x14ac:dyDescent="0.2">
      <c r="A99" s="20">
        <v>2021</v>
      </c>
      <c r="B99" s="24" t="s">
        <v>78</v>
      </c>
      <c r="C99" s="25" t="s">
        <v>104</v>
      </c>
      <c r="D99" s="46">
        <f>SUMIFS(工业节能技术装备推荐目录!K:K,工业节能技术装备推荐目录!C:C,用能设备节能分配!B99,工业节能技术装备推荐目录!F:F,用能设备节能分配!C99,工业节能技术装备推荐目录!A:A,用能设备节能分配!A99)</f>
        <v>0</v>
      </c>
      <c r="E99" s="47">
        <f>SUMIFS(工业节能技术装备推荐目录!L:L,工业节能技术装备推荐目录!C:C,用能设备节能分配!B99,工业节能技术装备推荐目录!F:F,用能设备节能分配!C99,工业节能技术装备推荐目录!A:A,用能设备节能分配!A99)</f>
        <v>0</v>
      </c>
      <c r="G99" s="41" t="s">
        <v>17</v>
      </c>
      <c r="H99" s="41"/>
      <c r="I99" s="45" t="s">
        <v>40</v>
      </c>
      <c r="J99" s="43">
        <f>VLOOKUP(I99,BIFUbC!$A$1:$B$27,2,0)</f>
        <v>5.445110491278732E+16</v>
      </c>
      <c r="K99" s="44">
        <f t="shared" si="43"/>
        <v>0.42253433322350614</v>
      </c>
      <c r="M99" s="46">
        <v>2020</v>
      </c>
      <c r="N99" s="26" t="str">
        <f t="shared" si="45"/>
        <v>汽轮机</v>
      </c>
      <c r="O99" s="26" t="str">
        <f t="shared" ref="O99:O101" si="47">I$30</f>
        <v>iron and steel 241</v>
      </c>
      <c r="P99" s="26" t="str">
        <f t="shared" si="37"/>
        <v>Installation and System Integration</v>
      </c>
      <c r="Q99" s="47">
        <f t="shared" si="33"/>
        <v>0</v>
      </c>
      <c r="R99" s="47">
        <f t="shared" si="34"/>
        <v>0</v>
      </c>
    </row>
    <row r="100" spans="1:18" ht="14.25" x14ac:dyDescent="0.2">
      <c r="A100" s="20">
        <v>2021</v>
      </c>
      <c r="B100" s="24" t="s">
        <v>78</v>
      </c>
      <c r="C100" s="25" t="s">
        <v>102</v>
      </c>
      <c r="D100" s="46">
        <f>SUMIFS(工业节能技术装备推荐目录!K:K,工业节能技术装备推荐目录!C:C,用能设备节能分配!B100,工业节能技术装备推荐目录!F:F,用能设备节能分配!C100,工业节能技术装备推荐目录!A:A,用能设备节能分配!A100)</f>
        <v>4.5999999999999996</v>
      </c>
      <c r="E100" s="47">
        <f>SUMIFS(工业节能技术装备推荐目录!L:L,工业节能技术装备推荐目录!C:C,用能设备节能分配!B100,工业节能技术装备推荐目录!F:F,用能设备节能分配!C100,工业节能技术装备推荐目录!A:A,用能设备节能分配!A100)</f>
        <v>32.528571428571432</v>
      </c>
      <c r="G100" s="41" t="s">
        <v>17</v>
      </c>
      <c r="H100" s="41"/>
      <c r="I100" s="45" t="s">
        <v>41</v>
      </c>
      <c r="J100" s="43">
        <f>VLOOKUP(I100,BIFUbC!$A$1:$B$27,2,0)</f>
        <v>1.1779139012024814E+16</v>
      </c>
      <c r="K100" s="44">
        <f t="shared" si="43"/>
        <v>9.1404768670251019E-2</v>
      </c>
      <c r="M100" s="46">
        <v>2020</v>
      </c>
      <c r="N100" s="26" t="str">
        <f t="shared" si="45"/>
        <v>汽轮机</v>
      </c>
      <c r="O100" s="26" t="str">
        <f t="shared" si="47"/>
        <v>iron and steel 241</v>
      </c>
      <c r="P100" s="26" t="str">
        <f t="shared" si="37"/>
        <v>Cogeneration and Waste Heat Recovery</v>
      </c>
      <c r="Q100" s="47">
        <f t="shared" si="33"/>
        <v>0</v>
      </c>
      <c r="R100" s="47">
        <f t="shared" si="34"/>
        <v>0</v>
      </c>
    </row>
    <row r="101" spans="1:18" ht="14.25" x14ac:dyDescent="0.2">
      <c r="A101" s="20">
        <v>2021</v>
      </c>
      <c r="B101" s="24" t="s">
        <v>78</v>
      </c>
      <c r="C101" s="25" t="s">
        <v>105</v>
      </c>
      <c r="D101" s="46">
        <f>SUMIFS(工业节能技术装备推荐目录!K:K,工业节能技术装备推荐目录!C:C,用能设备节能分配!B101,工业节能技术装备推荐目录!F:F,用能设备节能分配!C101,工业节能技术装备推荐目录!A:A,用能设备节能分配!A101)</f>
        <v>12.5</v>
      </c>
      <c r="E101" s="47">
        <f>SUMIFS(工业节能技术装备推荐目录!L:L,工业节能技术装备推荐目录!C:C,用能设备节能分配!B101,工业节能技术装备推荐目录!F:F,用能设备节能分配!C101,工业节能技术装备推荐目录!A:A,用能设备节能分配!A101)</f>
        <v>106.25</v>
      </c>
      <c r="G101" s="41" t="s">
        <v>17</v>
      </c>
      <c r="H101" s="41"/>
      <c r="I101" s="45" t="s">
        <v>42</v>
      </c>
      <c r="J101" s="43">
        <f>VLOOKUP(I101,BIFUbC!$A$1:$B$27,2,0)</f>
        <v>643092814091311</v>
      </c>
      <c r="K101" s="44">
        <f t="shared" si="43"/>
        <v>4.9903265294270896E-3</v>
      </c>
      <c r="M101" s="46">
        <v>2020</v>
      </c>
      <c r="N101" s="26" t="str">
        <f t="shared" si="45"/>
        <v>汽轮机</v>
      </c>
      <c r="O101" s="26" t="str">
        <f t="shared" si="47"/>
        <v>iron and steel 241</v>
      </c>
      <c r="P101" s="26" t="str">
        <f t="shared" si="37"/>
        <v>Improvement in Eqpt Efficiency Standards</v>
      </c>
      <c r="Q101" s="47">
        <f t="shared" si="33"/>
        <v>0</v>
      </c>
      <c r="R101" s="47">
        <f t="shared" si="34"/>
        <v>0</v>
      </c>
    </row>
    <row r="102" spans="1:18" ht="14.25" x14ac:dyDescent="0.2">
      <c r="A102" s="20">
        <v>2021</v>
      </c>
      <c r="B102" s="24" t="s">
        <v>21</v>
      </c>
      <c r="C102" s="25" t="s">
        <v>103</v>
      </c>
      <c r="D102" s="46">
        <f>SUMIFS(工业节能技术装备推荐目录!K:K,工业节能技术装备推荐目录!C:C,用能设备节能分配!B102,工业节能技术装备推荐目录!F:F,用能设备节能分配!C102,工业节能技术装备推荐目录!A:A,用能设备节能分配!A102)</f>
        <v>0</v>
      </c>
      <c r="E102" s="47">
        <f>SUMIFS(工业节能技术装备推荐目录!L:L,工业节能技术装备推荐目录!C:C,用能设备节能分配!B102,工业节能技术装备推荐目录!F:F,用能设备节能分配!C102,工业节能技术装备推荐目录!A:A,用能设备节能分配!A102)</f>
        <v>0</v>
      </c>
      <c r="G102" s="41" t="s">
        <v>17</v>
      </c>
      <c r="H102" s="41"/>
      <c r="I102" s="45" t="s">
        <v>43</v>
      </c>
      <c r="J102" s="43">
        <f>VLOOKUP(I102,BIFUbC!$A$1:$B$27,2,0)</f>
        <v>278650345382189.97</v>
      </c>
      <c r="K102" s="44">
        <f t="shared" si="43"/>
        <v>2.1622947427263938E-3</v>
      </c>
      <c r="M102" s="46">
        <v>2020</v>
      </c>
      <c r="N102" s="26" t="str">
        <f t="shared" si="45"/>
        <v>汽轮机</v>
      </c>
      <c r="O102" s="26" t="str">
        <f>I$31</f>
        <v>other metals 242</v>
      </c>
      <c r="P102" s="26" t="str">
        <f t="shared" si="37"/>
        <v>Early Facility Retirement</v>
      </c>
      <c r="Q102" s="47">
        <f t="shared" si="33"/>
        <v>0</v>
      </c>
      <c r="R102" s="47">
        <f t="shared" si="34"/>
        <v>0</v>
      </c>
    </row>
    <row r="103" spans="1:18" ht="14.25" x14ac:dyDescent="0.2">
      <c r="A103" s="20">
        <v>2021</v>
      </c>
      <c r="B103" s="24" t="s">
        <v>21</v>
      </c>
      <c r="C103" s="25" t="s">
        <v>104</v>
      </c>
      <c r="D103" s="46">
        <f>SUMIFS(工业节能技术装备推荐目录!K:K,工业节能技术装备推荐目录!C:C,用能设备节能分配!B103,工业节能技术装备推荐目录!F:F,用能设备节能分配!C103,工业节能技术装备推荐目录!A:A,用能设备节能分配!A103)</f>
        <v>0</v>
      </c>
      <c r="E103" s="47">
        <f>SUMIFS(工业节能技术装备推荐目录!L:L,工业节能技术装备推荐目录!C:C,用能设备节能分配!B103,工业节能技术装备推荐目录!F:F,用能设备节能分配!C103,工业节能技术装备推荐目录!A:A,用能设备节能分配!A103)</f>
        <v>0</v>
      </c>
      <c r="G103" s="41" t="s">
        <v>17</v>
      </c>
      <c r="H103" s="41"/>
      <c r="I103" s="45" t="s">
        <v>56</v>
      </c>
      <c r="J103" s="43">
        <f>VLOOKUP(I103,BIFUbC!$A$1:$B$27,2,0)</f>
        <v>6830519428995158</v>
      </c>
      <c r="K103" s="44">
        <f t="shared" si="43"/>
        <v>5.3004047890732396E-2</v>
      </c>
      <c r="M103" s="46">
        <v>2020</v>
      </c>
      <c r="N103" s="26" t="str">
        <f t="shared" si="45"/>
        <v>汽轮机</v>
      </c>
      <c r="O103" s="26" t="str">
        <f t="shared" ref="O103:O105" si="48">I$31</f>
        <v>other metals 242</v>
      </c>
      <c r="P103" s="26" t="str">
        <f t="shared" si="37"/>
        <v>Installation and System Integration</v>
      </c>
      <c r="Q103" s="47">
        <f t="shared" si="33"/>
        <v>0</v>
      </c>
      <c r="R103" s="47">
        <f t="shared" si="34"/>
        <v>0</v>
      </c>
    </row>
    <row r="104" spans="1:18" ht="14.25" x14ac:dyDescent="0.2">
      <c r="A104" s="20">
        <v>2021</v>
      </c>
      <c r="B104" s="24" t="s">
        <v>21</v>
      </c>
      <c r="C104" s="25" t="s">
        <v>102</v>
      </c>
      <c r="D104" s="46">
        <f>SUMIFS(工业节能技术装备推荐目录!K:K,工业节能技术装备推荐目录!C:C,用能设备节能分配!B104,工业节能技术装备推荐目录!F:F,用能设备节能分配!C104,工业节能技术装备推荐目录!A:A,用能设备节能分配!A104)</f>
        <v>10</v>
      </c>
      <c r="E104" s="47">
        <f>SUMIFS(工业节能技术装备推荐目录!L:L,工业节能技术装备推荐目录!C:C,用能设备节能分配!B104,工业节能技术装备推荐目录!F:F,用能设备节能分配!C104,工业节能技术装备推荐目录!A:A,用能设备节能分配!A104)</f>
        <v>326.66666666666663</v>
      </c>
      <c r="G104" s="41" t="s">
        <v>17</v>
      </c>
      <c r="H104" s="41"/>
      <c r="I104" s="45" t="s">
        <v>45</v>
      </c>
      <c r="J104" s="43">
        <f>VLOOKUP(I104,BIFUbC!$A$1:$B$27,2,0)</f>
        <v>1.918905674870198E+16</v>
      </c>
      <c r="K104" s="44">
        <f t="shared" si="43"/>
        <v>0.14890488102100419</v>
      </c>
      <c r="M104" s="46">
        <v>2020</v>
      </c>
      <c r="N104" s="26" t="str">
        <f t="shared" si="45"/>
        <v>汽轮机</v>
      </c>
      <c r="O104" s="26" t="str">
        <f t="shared" si="48"/>
        <v>other metals 242</v>
      </c>
      <c r="P104" s="26" t="str">
        <f t="shared" si="37"/>
        <v>Cogeneration and Waste Heat Recovery</v>
      </c>
      <c r="Q104" s="47">
        <f t="shared" si="33"/>
        <v>0</v>
      </c>
      <c r="R104" s="47">
        <f t="shared" si="34"/>
        <v>0</v>
      </c>
    </row>
    <row r="105" spans="1:18" ht="14.25" x14ac:dyDescent="0.2">
      <c r="A105" s="20">
        <v>2021</v>
      </c>
      <c r="B105" s="24" t="s">
        <v>21</v>
      </c>
      <c r="C105" s="25" t="s">
        <v>105</v>
      </c>
      <c r="D105" s="46">
        <f>SUMIFS(工业节能技术装备推荐目录!K:K,工业节能技术装备推荐目录!C:C,用能设备节能分配!B105,工业节能技术装备推荐目录!F:F,用能设备节能分配!C105,工业节能技术装备推荐目录!A:A,用能设备节能分配!A105)</f>
        <v>7.4799999999999995</v>
      </c>
      <c r="E105" s="47">
        <f>SUMIFS(工业节能技术装备推荐目录!L:L,工业节能技术装备推荐目录!C:C,用能设备节能分配!B105,工业节能技术装备推荐目录!F:F,用能设备节能分配!C105,工业节能技术装备推荐目录!A:A,用能设备节能分配!A105)</f>
        <v>40.799999999999997</v>
      </c>
      <c r="G105" s="41" t="s">
        <v>17</v>
      </c>
      <c r="H105" s="41"/>
      <c r="I105" s="45" t="s">
        <v>46</v>
      </c>
      <c r="J105" s="43">
        <f>VLOOKUP(I105,BIFUbC!$A$1:$B$27,2,0)</f>
        <v>3416786131084909.5</v>
      </c>
      <c r="K105" s="44">
        <f t="shared" si="43"/>
        <v>2.6513868763134028E-2</v>
      </c>
      <c r="M105" s="46">
        <v>2020</v>
      </c>
      <c r="N105" s="26" t="str">
        <f t="shared" si="45"/>
        <v>汽轮机</v>
      </c>
      <c r="O105" s="26" t="str">
        <f t="shared" si="48"/>
        <v>other metals 242</v>
      </c>
      <c r="P105" s="26" t="str">
        <f t="shared" si="37"/>
        <v>Improvement in Eqpt Efficiency Standards</v>
      </c>
      <c r="Q105" s="47">
        <f t="shared" si="33"/>
        <v>0</v>
      </c>
      <c r="R105" s="47">
        <f t="shared" si="34"/>
        <v>0</v>
      </c>
    </row>
    <row r="106" spans="1:18" ht="14.25" x14ac:dyDescent="0.2">
      <c r="A106" s="20">
        <v>2021</v>
      </c>
      <c r="B106" s="24" t="s">
        <v>82</v>
      </c>
      <c r="C106" s="25" t="s">
        <v>103</v>
      </c>
      <c r="D106" s="46">
        <f>SUMIFS(工业节能技术装备推荐目录!K:K,工业节能技术装备推荐目录!C:C,用能设备节能分配!B106,工业节能技术装备推荐目录!F:F,用能设备节能分配!C106,工业节能技术装备推荐目录!A:A,用能设备节能分配!A106)</f>
        <v>4.4000000000000004</v>
      </c>
      <c r="E106" s="47">
        <f>SUMIFS(工业节能技术装备推荐目录!L:L,工业节能技术装备推荐目录!C:C,用能设备节能分配!B106,工业节能技术装备推荐目录!F:F,用能设备节能分配!C106,工业节能技术装备推荐目录!A:A,用能设备节能分配!A106)</f>
        <v>14.299999999999997</v>
      </c>
      <c r="G106" s="41" t="s">
        <v>17</v>
      </c>
      <c r="H106" s="41"/>
      <c r="I106" s="45" t="s">
        <v>47</v>
      </c>
      <c r="J106" s="43">
        <f>VLOOKUP(I106,BIFUbC!$A$1:$B$27,2,0)</f>
        <v>1014026847678253.3</v>
      </c>
      <c r="K106" s="44">
        <f t="shared" si="43"/>
        <v>7.8687321155505984E-3</v>
      </c>
      <c r="M106" s="46">
        <v>2020</v>
      </c>
      <c r="N106" s="26" t="str">
        <f t="shared" si="45"/>
        <v>汽轮机</v>
      </c>
      <c r="O106" s="26" t="str">
        <f>I$32</f>
        <v>pulp paper and printing 17T18</v>
      </c>
      <c r="P106" s="26" t="str">
        <f t="shared" si="37"/>
        <v>Early Facility Retirement</v>
      </c>
      <c r="Q106" s="47">
        <f t="shared" si="33"/>
        <v>0</v>
      </c>
      <c r="R106" s="47">
        <f t="shared" si="34"/>
        <v>0</v>
      </c>
    </row>
    <row r="107" spans="1:18" ht="14.25" x14ac:dyDescent="0.2">
      <c r="A107" s="20">
        <v>2021</v>
      </c>
      <c r="B107" s="24" t="s">
        <v>82</v>
      </c>
      <c r="C107" s="25" t="s">
        <v>104</v>
      </c>
      <c r="D107" s="46">
        <f>SUMIFS(工业节能技术装备推荐目录!K:K,工业节能技术装备推荐目录!C:C,用能设备节能分配!B107,工业节能技术装备推荐目录!F:F,用能设备节能分配!C107,工业节能技术装备推荐目录!A:A,用能设备节能分配!A107)</f>
        <v>0</v>
      </c>
      <c r="E107" s="47">
        <f>SUMIFS(工业节能技术装备推荐目录!L:L,工业节能技术装备推荐目录!C:C,用能设备节能分配!B107,工业节能技术装备推荐目录!F:F,用能设备节能分配!C107,工业节能技术装备推荐目录!A:A,用能设备节能分配!A107)</f>
        <v>0</v>
      </c>
      <c r="G107" s="41" t="s">
        <v>17</v>
      </c>
      <c r="H107" s="41"/>
      <c r="I107" s="45" t="s">
        <v>48</v>
      </c>
      <c r="J107" s="43">
        <f>VLOOKUP(I107,BIFUbC!$A$1:$B$27,2,0)</f>
        <v>690652312197501.25</v>
      </c>
      <c r="K107" s="44">
        <f t="shared" si="43"/>
        <v>5.3593827837111873E-3</v>
      </c>
      <c r="M107" s="46">
        <v>2020</v>
      </c>
      <c r="N107" s="26" t="str">
        <f t="shared" si="45"/>
        <v>汽轮机</v>
      </c>
      <c r="O107" s="26" t="str">
        <f t="shared" ref="O107:O109" si="49">I$32</f>
        <v>pulp paper and printing 17T18</v>
      </c>
      <c r="P107" s="26" t="str">
        <f t="shared" si="37"/>
        <v>Installation and System Integration</v>
      </c>
      <c r="Q107" s="47">
        <f t="shared" si="33"/>
        <v>0</v>
      </c>
      <c r="R107" s="47">
        <f t="shared" si="34"/>
        <v>0</v>
      </c>
    </row>
    <row r="108" spans="1:18" ht="14.25" x14ac:dyDescent="0.2">
      <c r="A108" s="20">
        <v>2021</v>
      </c>
      <c r="B108" s="24" t="s">
        <v>82</v>
      </c>
      <c r="C108" s="25" t="s">
        <v>102</v>
      </c>
      <c r="D108" s="46">
        <f>SUMIFS(工业节能技术装备推荐目录!K:K,工业节能技术装备推荐目录!C:C,用能设备节能分配!B108,工业节能技术装备推荐目录!F:F,用能设备节能分配!C108,工业节能技术装备推荐目录!A:A,用能设备节能分配!A108)</f>
        <v>0</v>
      </c>
      <c r="E108" s="47">
        <f>SUMIFS(工业节能技术装备推荐目录!L:L,工业节能技术装备推荐目录!C:C,用能设备节能分配!B108,工业节能技术装备推荐目录!F:F,用能设备节能分配!C108,工业节能技术装备推荐目录!A:A,用能设备节能分配!A108)</f>
        <v>0</v>
      </c>
      <c r="G108" s="41" t="s">
        <v>17</v>
      </c>
      <c r="H108" s="41"/>
      <c r="I108" s="45" t="s">
        <v>49</v>
      </c>
      <c r="J108" s="43">
        <f>VLOOKUP(I108,BIFUbC!$A$1:$B$27,2,0)</f>
        <v>367780850463982.5</v>
      </c>
      <c r="K108" s="44">
        <f t="shared" si="43"/>
        <v>2.8539372464906339E-3</v>
      </c>
      <c r="M108" s="46">
        <v>2020</v>
      </c>
      <c r="N108" s="26" t="str">
        <f t="shared" si="45"/>
        <v>汽轮机</v>
      </c>
      <c r="O108" s="26" t="str">
        <f t="shared" si="49"/>
        <v>pulp paper and printing 17T18</v>
      </c>
      <c r="P108" s="26" t="str">
        <f t="shared" si="37"/>
        <v>Cogeneration and Waste Heat Recovery</v>
      </c>
      <c r="Q108" s="47">
        <f t="shared" si="33"/>
        <v>0</v>
      </c>
      <c r="R108" s="47">
        <f t="shared" si="34"/>
        <v>0</v>
      </c>
    </row>
    <row r="109" spans="1:18" ht="14.25" x14ac:dyDescent="0.2">
      <c r="A109" s="20">
        <v>2021</v>
      </c>
      <c r="B109" s="24" t="s">
        <v>82</v>
      </c>
      <c r="C109" s="25" t="s">
        <v>105</v>
      </c>
      <c r="D109" s="46">
        <f>SUMIFS(工业节能技术装备推荐目录!K:K,工业节能技术装备推荐目录!C:C,用能设备节能分配!B109,工业节能技术装备推荐目录!F:F,用能设备节能分配!C109,工业节能技术装备推荐目录!A:A,用能设备节能分配!A109)</f>
        <v>0</v>
      </c>
      <c r="E109" s="47">
        <f>SUMIFS(工业节能技术装备推荐目录!L:L,工业节能技术装备推荐目录!C:C,用能设备节能分配!B109,工业节能技术装备推荐目录!F:F,用能设备节能分配!C109,工业节能技术装备推荐目录!A:A,用能设备节能分配!A109)</f>
        <v>0</v>
      </c>
      <c r="G109" s="41" t="s">
        <v>17</v>
      </c>
      <c r="H109" s="41"/>
      <c r="I109" s="45" t="s">
        <v>50</v>
      </c>
      <c r="J109" s="43">
        <f>VLOOKUP(I109,BIFUbC!$A$1:$B$27,2,0)</f>
        <v>227496994874726.28</v>
      </c>
      <c r="K109" s="44">
        <f t="shared" si="43"/>
        <v>1.7653506057169056E-3</v>
      </c>
      <c r="M109" s="46">
        <v>2020</v>
      </c>
      <c r="N109" s="26" t="str">
        <f t="shared" si="45"/>
        <v>汽轮机</v>
      </c>
      <c r="O109" s="26" t="str">
        <f t="shared" si="49"/>
        <v>pulp paper and printing 17T18</v>
      </c>
      <c r="P109" s="26" t="str">
        <f t="shared" si="37"/>
        <v>Improvement in Eqpt Efficiency Standards</v>
      </c>
      <c r="Q109" s="47">
        <f t="shared" si="33"/>
        <v>0</v>
      </c>
      <c r="R109" s="47">
        <f t="shared" si="34"/>
        <v>0</v>
      </c>
    </row>
    <row r="110" spans="1:18" ht="14.25" x14ac:dyDescent="0.2">
      <c r="A110" s="20">
        <v>2021</v>
      </c>
      <c r="B110" s="26" t="s">
        <v>84</v>
      </c>
      <c r="C110" s="25" t="s">
        <v>103</v>
      </c>
      <c r="D110" s="46">
        <f>SUMIFS(工业节能技术装备推荐目录!K:K,工业节能技术装备推荐目录!C:C,用能设备节能分配!B110,工业节能技术装备推荐目录!F:F,用能设备节能分配!C110,工业节能技术装备推荐目录!A:A,用能设备节能分配!A110)</f>
        <v>0</v>
      </c>
      <c r="E110" s="47">
        <f>SUMIFS(工业节能技术装备推荐目录!L:L,工业节能技术装备推荐目录!C:C,用能设备节能分配!B110,工业节能技术装备推荐目录!F:F,用能设备节能分配!C110,工业节能技术装备推荐目录!A:A,用能设备节能分配!A110)</f>
        <v>0</v>
      </c>
      <c r="G110" s="41" t="s">
        <v>17</v>
      </c>
      <c r="H110" s="41"/>
      <c r="I110" s="45" t="s">
        <v>81</v>
      </c>
      <c r="J110" s="43">
        <f>VLOOKUP(I110,BIFUbC!$A$1:$B$27,2,0)</f>
        <v>508870198956766.19</v>
      </c>
      <c r="K110" s="44">
        <f t="shared" si="43"/>
        <v>3.9487744198743683E-3</v>
      </c>
      <c r="M110" s="46">
        <v>2020</v>
      </c>
      <c r="N110" s="26" t="str">
        <f t="shared" si="45"/>
        <v>汽轮机</v>
      </c>
      <c r="O110" s="26" t="str">
        <f>I$34</f>
        <v>water and waste 36T39</v>
      </c>
      <c r="P110" s="26" t="str">
        <f t="shared" si="37"/>
        <v>Early Facility Retirement</v>
      </c>
      <c r="Q110" s="47">
        <f t="shared" si="33"/>
        <v>0</v>
      </c>
      <c r="R110" s="47">
        <f t="shared" si="34"/>
        <v>0</v>
      </c>
    </row>
    <row r="111" spans="1:18" ht="14.25" x14ac:dyDescent="0.2">
      <c r="A111" s="20">
        <v>2021</v>
      </c>
      <c r="B111" s="26" t="s">
        <v>84</v>
      </c>
      <c r="C111" s="25" t="s">
        <v>104</v>
      </c>
      <c r="D111" s="46">
        <f>SUMIFS(工业节能技术装备推荐目录!K:K,工业节能技术装备推荐目录!C:C,用能设备节能分配!B111,工业节能技术装备推荐目录!F:F,用能设备节能分配!C111,工业节能技术装备推荐目录!A:A,用能设备节能分配!A111)</f>
        <v>0</v>
      </c>
      <c r="E111" s="47">
        <f>SUMIFS(工业节能技术装备推荐目录!L:L,工业节能技术装备推荐目录!C:C,用能设备节能分配!B111,工业节能技术装备推荐目录!F:F,用能设备节能分配!C111,工业节能技术装备推荐目录!A:A,用能设备节能分配!A111)</f>
        <v>0</v>
      </c>
      <c r="G111" s="41" t="s">
        <v>17</v>
      </c>
      <c r="H111" s="41"/>
      <c r="I111" s="45" t="s">
        <v>71</v>
      </c>
      <c r="J111" s="43">
        <f>VLOOKUP(I111,BIFUbC!$A$1:$B$27,2,0)</f>
        <v>154446348219385.75</v>
      </c>
      <c r="K111" s="44">
        <f t="shared" si="43"/>
        <v>1.1984859603529953E-3</v>
      </c>
      <c r="M111" s="46">
        <v>2020</v>
      </c>
      <c r="N111" s="26" t="str">
        <f t="shared" si="45"/>
        <v>汽轮机</v>
      </c>
      <c r="O111" s="26" t="str">
        <f t="shared" ref="O111:O113" si="50">I$34</f>
        <v>water and waste 36T39</v>
      </c>
      <c r="P111" s="26" t="str">
        <f t="shared" si="37"/>
        <v>Installation and System Integration</v>
      </c>
      <c r="Q111" s="47">
        <f t="shared" si="33"/>
        <v>0</v>
      </c>
      <c r="R111" s="47">
        <f t="shared" si="34"/>
        <v>0</v>
      </c>
    </row>
    <row r="112" spans="1:18" ht="14.25" x14ac:dyDescent="0.2">
      <c r="A112" s="20">
        <v>2021</v>
      </c>
      <c r="B112" s="26" t="s">
        <v>84</v>
      </c>
      <c r="C112" s="25" t="s">
        <v>102</v>
      </c>
      <c r="D112" s="46">
        <f>SUMIFS(工业节能技术装备推荐目录!K:K,工业节能技术装备推荐目录!C:C,用能设备节能分配!B112,工业节能技术装备推荐目录!F:F,用能设备节能分配!C112,工业节能技术装备推荐目录!A:A,用能设备节能分配!A112)</f>
        <v>0</v>
      </c>
      <c r="E112" s="47">
        <f>SUMIFS(工业节能技术装备推荐目录!L:L,工业节能技术装备推荐目录!C:C,用能设备节能分配!B112,工业节能技术装备推荐目录!F:F,用能设备节能分配!C112,工业节能技术装备推荐目录!A:A,用能设备节能分配!A112)</f>
        <v>0</v>
      </c>
      <c r="G112" s="41" t="s">
        <v>17</v>
      </c>
      <c r="H112" s="41"/>
      <c r="I112" s="45" t="s">
        <v>53</v>
      </c>
      <c r="J112" s="43">
        <f>VLOOKUP(I112,BIFUbC!$A$1:$B$27,2,0)</f>
        <v>512263455152634.81</v>
      </c>
      <c r="K112" s="44">
        <f t="shared" si="43"/>
        <v>3.9751056990371021E-3</v>
      </c>
      <c r="M112" s="46">
        <v>2020</v>
      </c>
      <c r="N112" s="26" t="str">
        <f t="shared" si="45"/>
        <v>汽轮机</v>
      </c>
      <c r="O112" s="26" t="str">
        <f t="shared" si="50"/>
        <v>water and waste 36T39</v>
      </c>
      <c r="P112" s="26" t="str">
        <f t="shared" si="37"/>
        <v>Cogeneration and Waste Heat Recovery</v>
      </c>
      <c r="Q112" s="47">
        <f t="shared" si="33"/>
        <v>0</v>
      </c>
      <c r="R112" s="47">
        <f t="shared" si="34"/>
        <v>0</v>
      </c>
    </row>
    <row r="113" spans="1:18" ht="14.25" x14ac:dyDescent="0.2">
      <c r="A113" s="20">
        <v>2021</v>
      </c>
      <c r="B113" s="26" t="s">
        <v>84</v>
      </c>
      <c r="C113" s="25" t="s">
        <v>105</v>
      </c>
      <c r="D113" s="46">
        <f>SUMIFS(工业节能技术装备推荐目录!K:K,工业节能技术装备推荐目录!C:C,用能设备节能分配!B113,工业节能技术装备推荐目录!F:F,用能设备节能分配!C113,工业节能技术装备推荐目录!A:A,用能设备节能分配!A113)</f>
        <v>0</v>
      </c>
      <c r="E113" s="47">
        <f>SUMIFS(工业节能技术装备推荐目录!L:L,工业节能技术装备推荐目录!C:C,用能设备节能分配!B113,工业节能技术装备推荐目录!F:F,用能设备节能分配!C113,工业节能技术装备推荐目录!A:A,用能设备节能分配!A113)</f>
        <v>0</v>
      </c>
      <c r="G113" s="41" t="s">
        <v>17</v>
      </c>
      <c r="H113" s="41"/>
      <c r="I113" s="45" t="s">
        <v>76</v>
      </c>
      <c r="J113" s="43">
        <f>VLOOKUP(I113,BIFUbC!$A$1:$B$27,2,0)</f>
        <v>1228810914133124</v>
      </c>
      <c r="K113" s="44">
        <f t="shared" si="43"/>
        <v>9.535431853818525E-3</v>
      </c>
      <c r="M113" s="46">
        <v>2020</v>
      </c>
      <c r="N113" s="26" t="str">
        <f t="shared" si="45"/>
        <v>汽轮机</v>
      </c>
      <c r="O113" s="26" t="str">
        <f t="shared" si="50"/>
        <v>water and waste 36T39</v>
      </c>
      <c r="P113" s="26" t="str">
        <f t="shared" si="37"/>
        <v>Improvement in Eqpt Efficiency Standards</v>
      </c>
      <c r="Q113" s="47">
        <f t="shared" si="33"/>
        <v>0</v>
      </c>
      <c r="R113" s="47">
        <f t="shared" si="34"/>
        <v>0</v>
      </c>
    </row>
    <row r="114" spans="1:18" ht="14.25" x14ac:dyDescent="0.2">
      <c r="A114" s="20">
        <v>2021</v>
      </c>
      <c r="B114" s="26" t="s">
        <v>24</v>
      </c>
      <c r="C114" s="25" t="s">
        <v>103</v>
      </c>
      <c r="D114" s="46">
        <f>SUMIFS(工业节能技术装备推荐目录!K:K,工业节能技术装备推荐目录!C:C,用能设备节能分配!B114,工业节能技术装备推荐目录!F:F,用能设备节能分配!C114,工业节能技术装备推荐目录!A:A,用能设备节能分配!A114)</f>
        <v>0</v>
      </c>
      <c r="E114" s="47">
        <f>SUMIFS(工业节能技术装备推荐目录!L:L,工业节能技术装备推荐目录!C:C,用能设备节能分配!B114,工业节能技术装备推荐目录!F:F,用能设备节能分配!C114,工业节能技术装备推荐目录!A:A,用能设备节能分配!A114)</f>
        <v>0</v>
      </c>
      <c r="G114" s="41" t="s">
        <v>17</v>
      </c>
      <c r="H114" s="41"/>
      <c r="I114" s="45" t="s">
        <v>83</v>
      </c>
      <c r="J114" s="43">
        <f>VLOOKUP(I114,BIFUbC!$A$1:$B$27,2,0)</f>
        <v>353812120372585</v>
      </c>
      <c r="K114" s="44">
        <f t="shared" si="43"/>
        <v>2.7455415020038827E-3</v>
      </c>
      <c r="M114" s="46">
        <v>2020</v>
      </c>
      <c r="N114" s="26" t="str">
        <f>G$35</f>
        <v>工业炉窑</v>
      </c>
      <c r="O114" s="26" t="str">
        <f>I$35</f>
        <v>iron and steel 241</v>
      </c>
      <c r="P114" s="26" t="str">
        <f t="shared" si="37"/>
        <v>Early Facility Retirement</v>
      </c>
      <c r="Q114" s="47">
        <f t="shared" si="33"/>
        <v>0</v>
      </c>
      <c r="R114" s="47">
        <f t="shared" si="34"/>
        <v>0</v>
      </c>
    </row>
    <row r="115" spans="1:18" ht="14.25" x14ac:dyDescent="0.2">
      <c r="A115" s="20">
        <v>2021</v>
      </c>
      <c r="B115" s="26" t="s">
        <v>24</v>
      </c>
      <c r="C115" s="25" t="s">
        <v>104</v>
      </c>
      <c r="D115" s="46">
        <f>SUMIFS(工业节能技术装备推荐目录!K:K,工业节能技术装备推荐目录!C:C,用能设备节能分配!B115,工业节能技术装备推荐目录!F:F,用能设备节能分配!C115,工业节能技术装备推荐目录!A:A,用能设备节能分配!A115)</f>
        <v>0</v>
      </c>
      <c r="E115" s="47">
        <f>SUMIFS(工业节能技术装备推荐目录!L:L,工业节能技术装备推荐目录!C:C,用能设备节能分配!B115,工业节能技术装备推荐目录!F:F,用能设备节能分配!C115,工业节能技术装备推荐目录!A:A,用能设备节能分配!A115)</f>
        <v>0</v>
      </c>
      <c r="G115" s="41" t="s">
        <v>17</v>
      </c>
      <c r="H115" s="41"/>
      <c r="I115" s="45" t="s">
        <v>55</v>
      </c>
      <c r="J115" s="43">
        <f>VLOOKUP(I115,BIFUbC!$A$1:$B$27,2,0)</f>
        <v>1824593180755313</v>
      </c>
      <c r="K115" s="44">
        <f t="shared" si="43"/>
        <v>1.4158633957371753E-2</v>
      </c>
      <c r="M115" s="46">
        <v>2020</v>
      </c>
      <c r="N115" s="26" t="str">
        <f t="shared" ref="N115:N129" si="51">G$35</f>
        <v>工业炉窑</v>
      </c>
      <c r="O115" s="26" t="str">
        <f t="shared" ref="O115:O117" si="52">I$35</f>
        <v>iron and steel 241</v>
      </c>
      <c r="P115" s="26" t="str">
        <f t="shared" si="37"/>
        <v>Installation and System Integration</v>
      </c>
      <c r="Q115" s="47">
        <f t="shared" si="33"/>
        <v>0</v>
      </c>
      <c r="R115" s="47">
        <f t="shared" si="34"/>
        <v>0</v>
      </c>
    </row>
    <row r="116" spans="1:18" ht="14.25" x14ac:dyDescent="0.2">
      <c r="A116" s="20">
        <v>2021</v>
      </c>
      <c r="B116" s="26" t="s">
        <v>24</v>
      </c>
      <c r="C116" s="25" t="s">
        <v>102</v>
      </c>
      <c r="D116" s="46">
        <f>SUMIFS(工业节能技术装备推荐目录!K:K,工业节能技术装备推荐目录!C:C,用能设备节能分配!B116,工业节能技术装备推荐目录!F:F,用能设备节能分配!C116,工业节能技术装备推荐目录!A:A,用能设备节能分配!A116)</f>
        <v>0</v>
      </c>
      <c r="E116" s="47">
        <f>SUMIFS(工业节能技术装备推荐目录!L:L,工业节能技术装备推荐目录!C:C,用能设备节能分配!B116,工业节能技术装备推荐目录!F:F,用能设备节能分配!C116,工业节能技术装备推荐目录!A:A,用能设备节能分配!A116)</f>
        <v>0</v>
      </c>
      <c r="M116" s="46">
        <v>2020</v>
      </c>
      <c r="N116" s="26" t="str">
        <f t="shared" si="51"/>
        <v>工业炉窑</v>
      </c>
      <c r="O116" s="26" t="str">
        <f t="shared" si="52"/>
        <v>iron and steel 241</v>
      </c>
      <c r="P116" s="26" t="str">
        <f t="shared" si="37"/>
        <v>Cogeneration and Waste Heat Recovery</v>
      </c>
      <c r="Q116" s="47">
        <f t="shared" si="33"/>
        <v>0</v>
      </c>
      <c r="R116" s="47">
        <f t="shared" si="34"/>
        <v>0</v>
      </c>
    </row>
    <row r="117" spans="1:18" ht="14.25" x14ac:dyDescent="0.2">
      <c r="A117" s="20">
        <v>2021</v>
      </c>
      <c r="B117" s="26" t="s">
        <v>24</v>
      </c>
      <c r="C117" s="25" t="s">
        <v>105</v>
      </c>
      <c r="D117" s="46">
        <f>SUMIFS(工业节能技术装备推荐目录!K:K,工业节能技术装备推荐目录!C:C,用能设备节能分配!B117,工业节能技术装备推荐目录!F:F,用能设备节能分配!C117,工业节能技术装备推荐目录!A:A,用能设备节能分配!A117)</f>
        <v>0</v>
      </c>
      <c r="E117" s="47">
        <f>SUMIFS(工业节能技术装备推荐目录!L:L,工业节能技术装备推荐目录!C:C,用能设备节能分配!B117,工业节能技术装备推荐目录!F:F,用能设备节能分配!C117,工业节能技术装备推荐目录!A:A,用能设备节能分配!A117)</f>
        <v>0</v>
      </c>
      <c r="M117" s="46">
        <v>2020</v>
      </c>
      <c r="N117" s="26" t="str">
        <f t="shared" si="51"/>
        <v>工业炉窑</v>
      </c>
      <c r="O117" s="26" t="str">
        <f t="shared" si="52"/>
        <v>iron and steel 241</v>
      </c>
      <c r="P117" s="26" t="str">
        <f t="shared" si="37"/>
        <v>Improvement in Eqpt Efficiency Standards</v>
      </c>
      <c r="Q117" s="47">
        <f t="shared" si="33"/>
        <v>0</v>
      </c>
      <c r="R117" s="47">
        <f t="shared" si="34"/>
        <v>0</v>
      </c>
    </row>
    <row r="118" spans="1:18" ht="14.25" x14ac:dyDescent="0.2">
      <c r="A118" s="20">
        <v>2021</v>
      </c>
      <c r="B118" s="26" t="s">
        <v>96</v>
      </c>
      <c r="C118" s="25" t="s">
        <v>103</v>
      </c>
      <c r="D118" s="46">
        <f>SUMIFS(工业节能技术装备推荐目录!K:K,工业节能技术装备推荐目录!C:C,用能设备节能分配!B118,工业节能技术装备推荐目录!F:F,用能设备节能分配!C118,工业节能技术装备推荐目录!A:A,用能设备节能分配!A118)</f>
        <v>0</v>
      </c>
      <c r="E118" s="47">
        <f>SUMIFS(工业节能技术装备推荐目录!L:L,工业节能技术装备推荐目录!C:C,用能设备节能分配!B118,工业节能技术装备推荐目录!F:F,用能设备节能分配!C118,工业节能技术装备推荐目录!A:A,用能设备节能分配!A118)</f>
        <v>0</v>
      </c>
      <c r="M118" s="46">
        <v>2020</v>
      </c>
      <c r="N118" s="26" t="str">
        <f t="shared" si="51"/>
        <v>工业炉窑</v>
      </c>
      <c r="O118" s="26" t="str">
        <f>I$36</f>
        <v>refined petroleum and coke 19</v>
      </c>
      <c r="P118" s="26" t="str">
        <f t="shared" si="37"/>
        <v>Early Facility Retirement</v>
      </c>
      <c r="Q118" s="47">
        <f t="shared" si="33"/>
        <v>0</v>
      </c>
      <c r="R118" s="47">
        <f t="shared" si="34"/>
        <v>0</v>
      </c>
    </row>
    <row r="119" spans="1:18" ht="14.25" x14ac:dyDescent="0.2">
      <c r="A119" s="20">
        <v>2021</v>
      </c>
      <c r="B119" s="26" t="s">
        <v>96</v>
      </c>
      <c r="C119" s="25" t="s">
        <v>104</v>
      </c>
      <c r="D119" s="46">
        <f>SUMIFS(工业节能技术装备推荐目录!K:K,工业节能技术装备推荐目录!C:C,用能设备节能分配!B119,工业节能技术装备推荐目录!F:F,用能设备节能分配!C119,工业节能技术装备推荐目录!A:A,用能设备节能分配!A119)</f>
        <v>0</v>
      </c>
      <c r="E119" s="47">
        <f>SUMIFS(工业节能技术装备推荐目录!L:L,工业节能技术装备推荐目录!C:C,用能设备节能分配!B119,工业节能技术装备推荐目录!F:F,用能设备节能分配!C119,工业节能技术装备推荐目录!A:A,用能设备节能分配!A119)</f>
        <v>0</v>
      </c>
      <c r="M119" s="46">
        <v>2020</v>
      </c>
      <c r="N119" s="26" t="str">
        <f t="shared" si="51"/>
        <v>工业炉窑</v>
      </c>
      <c r="O119" s="26" t="str">
        <f t="shared" ref="O119:O121" si="53">I$36</f>
        <v>refined petroleum and coke 19</v>
      </c>
      <c r="P119" s="26" t="str">
        <f t="shared" si="37"/>
        <v>Installation and System Integration</v>
      </c>
      <c r="Q119" s="47">
        <f t="shared" si="33"/>
        <v>0</v>
      </c>
      <c r="R119" s="47">
        <f t="shared" si="34"/>
        <v>0</v>
      </c>
    </row>
    <row r="120" spans="1:18" ht="14.25" x14ac:dyDescent="0.2">
      <c r="A120" s="20">
        <v>2021</v>
      </c>
      <c r="B120" s="26" t="s">
        <v>96</v>
      </c>
      <c r="C120" s="25" t="s">
        <v>102</v>
      </c>
      <c r="D120" s="46">
        <f>SUMIFS(工业节能技术装备推荐目录!K:K,工业节能技术装备推荐目录!C:C,用能设备节能分配!B120,工业节能技术装备推荐目录!F:F,用能设备节能分配!C120,工业节能技术装备推荐目录!A:A,用能设备节能分配!A120)</f>
        <v>0</v>
      </c>
      <c r="E120" s="47">
        <f>SUMIFS(工业节能技术装备推荐目录!L:L,工业节能技术装备推荐目录!C:C,用能设备节能分配!B120,工业节能技术装备推荐目录!F:F,用能设备节能分配!C120,工业节能技术装备推荐目录!A:A,用能设备节能分配!A120)</f>
        <v>0</v>
      </c>
      <c r="M120" s="46">
        <v>2020</v>
      </c>
      <c r="N120" s="26" t="str">
        <f t="shared" si="51"/>
        <v>工业炉窑</v>
      </c>
      <c r="O120" s="26" t="str">
        <f t="shared" si="53"/>
        <v>refined petroleum and coke 19</v>
      </c>
      <c r="P120" s="26" t="str">
        <f t="shared" si="37"/>
        <v>Cogeneration and Waste Heat Recovery</v>
      </c>
      <c r="Q120" s="47">
        <f t="shared" si="33"/>
        <v>0</v>
      </c>
      <c r="R120" s="47">
        <f t="shared" si="34"/>
        <v>0</v>
      </c>
    </row>
    <row r="121" spans="1:18" ht="14.25" x14ac:dyDescent="0.2">
      <c r="A121" s="20">
        <v>2021</v>
      </c>
      <c r="B121" s="26" t="s">
        <v>96</v>
      </c>
      <c r="C121" s="25" t="s">
        <v>105</v>
      </c>
      <c r="D121" s="46">
        <f>SUMIFS(工业节能技术装备推荐目录!K:K,工业节能技术装备推荐目录!C:C,用能设备节能分配!B121,工业节能技术装备推荐目录!F:F,用能设备节能分配!C121,工业节能技术装备推荐目录!A:A,用能设备节能分配!A121)</f>
        <v>0</v>
      </c>
      <c r="E121" s="47">
        <f>SUMIFS(工业节能技术装备推荐目录!L:L,工业节能技术装备推荐目录!C:C,用能设备节能分配!B121,工业节能技术装备推荐目录!F:F,用能设备节能分配!C121,工业节能技术装备推荐目录!A:A,用能设备节能分配!A121)</f>
        <v>0</v>
      </c>
      <c r="M121" s="46">
        <v>2020</v>
      </c>
      <c r="N121" s="26" t="str">
        <f t="shared" si="51"/>
        <v>工业炉窑</v>
      </c>
      <c r="O121" s="26" t="str">
        <f t="shared" si="53"/>
        <v>refined petroleum and coke 19</v>
      </c>
      <c r="P121" s="26" t="str">
        <f t="shared" si="37"/>
        <v>Improvement in Eqpt Efficiency Standards</v>
      </c>
      <c r="Q121" s="47">
        <f t="shared" si="33"/>
        <v>0</v>
      </c>
      <c r="R121" s="47">
        <f t="shared" si="34"/>
        <v>0</v>
      </c>
    </row>
    <row r="122" spans="1:18" ht="14.25" x14ac:dyDescent="0.2">
      <c r="A122" s="20">
        <v>2022</v>
      </c>
      <c r="B122" s="24" t="s">
        <v>57</v>
      </c>
      <c r="C122" s="25" t="s">
        <v>103</v>
      </c>
      <c r="D122" s="46">
        <f>SUMIFS(工业节能技术装备推荐目录!K:K,工业节能技术装备推荐目录!C:C,用能设备节能分配!B122,工业节能技术装备推荐目录!F:F,用能设备节能分配!C122,工业节能技术装备推荐目录!A:A,用能设备节能分配!A122)</f>
        <v>0</v>
      </c>
      <c r="E122" s="47">
        <f>SUMIFS(工业节能技术装备推荐目录!L:L,工业节能技术装备推荐目录!C:C,用能设备节能分配!B122,工业节能技术装备推荐目录!F:F,用能设备节能分配!C122,工业节能技术装备推荐目录!A:A,用能设备节能分配!A122)</f>
        <v>0</v>
      </c>
      <c r="M122" s="46">
        <v>2020</v>
      </c>
      <c r="N122" s="26" t="str">
        <f t="shared" si="51"/>
        <v>工业炉窑</v>
      </c>
      <c r="O122" s="26" t="str">
        <f>I$37</f>
        <v>other metals 242</v>
      </c>
      <c r="P122" s="26" t="str">
        <f t="shared" si="37"/>
        <v>Early Facility Retirement</v>
      </c>
      <c r="Q122" s="47">
        <f t="shared" si="33"/>
        <v>0</v>
      </c>
      <c r="R122" s="47">
        <f t="shared" si="34"/>
        <v>0</v>
      </c>
    </row>
    <row r="123" spans="1:18" ht="14.25" x14ac:dyDescent="0.2">
      <c r="A123" s="20">
        <v>2022</v>
      </c>
      <c r="B123" s="24" t="s">
        <v>57</v>
      </c>
      <c r="C123" s="25" t="s">
        <v>104</v>
      </c>
      <c r="D123" s="46">
        <f>SUMIFS(工业节能技术装备推荐目录!K:K,工业节能技术装备推荐目录!C:C,用能设备节能分配!B123,工业节能技术装备推荐目录!F:F,用能设备节能分配!C123,工业节能技术装备推荐目录!A:A,用能设备节能分配!A123)</f>
        <v>0</v>
      </c>
      <c r="E123" s="47">
        <f>SUMIFS(工业节能技术装备推荐目录!L:L,工业节能技术装备推荐目录!C:C,用能设备节能分配!B123,工业节能技术装备推荐目录!F:F,用能设备节能分配!C123,工业节能技术装备推荐目录!A:A,用能设备节能分配!A123)</f>
        <v>0</v>
      </c>
      <c r="M123" s="46">
        <v>2020</v>
      </c>
      <c r="N123" s="26" t="str">
        <f t="shared" si="51"/>
        <v>工业炉窑</v>
      </c>
      <c r="O123" s="26" t="str">
        <f t="shared" ref="O123:O125" si="54">I$37</f>
        <v>other metals 242</v>
      </c>
      <c r="P123" s="26" t="str">
        <f t="shared" si="37"/>
        <v>Installation and System Integration</v>
      </c>
      <c r="Q123" s="47">
        <f t="shared" si="33"/>
        <v>0</v>
      </c>
      <c r="R123" s="47">
        <f t="shared" si="34"/>
        <v>0</v>
      </c>
    </row>
    <row r="124" spans="1:18" ht="14.25" x14ac:dyDescent="0.2">
      <c r="A124" s="20">
        <v>2022</v>
      </c>
      <c r="B124" s="24" t="s">
        <v>57</v>
      </c>
      <c r="C124" s="25" t="s">
        <v>102</v>
      </c>
      <c r="D124" s="46">
        <f>SUMIFS(工业节能技术装备推荐目录!K:K,工业节能技术装备推荐目录!C:C,用能设备节能分配!B124,工业节能技术装备推荐目录!F:F,用能设备节能分配!C124,工业节能技术装备推荐目录!A:A,用能设备节能分配!A124)</f>
        <v>33</v>
      </c>
      <c r="E124" s="47">
        <f>SUMIFS(工业节能技术装备推荐目录!L:L,工业节能技术装备推荐目录!C:C,用能设备节能分配!B124,工业节能技术装备推荐目录!F:F,用能设备节能分配!C124,工业节能技术装备推荐目录!A:A,用能设备节能分配!A124)</f>
        <v>110</v>
      </c>
      <c r="M124" s="46">
        <v>2020</v>
      </c>
      <c r="N124" s="26" t="str">
        <f t="shared" si="51"/>
        <v>工业炉窑</v>
      </c>
      <c r="O124" s="26" t="str">
        <f t="shared" si="54"/>
        <v>other metals 242</v>
      </c>
      <c r="P124" s="26" t="str">
        <f t="shared" si="37"/>
        <v>Cogeneration and Waste Heat Recovery</v>
      </c>
      <c r="Q124" s="47">
        <f t="shared" si="33"/>
        <v>0</v>
      </c>
      <c r="R124" s="47">
        <f t="shared" si="34"/>
        <v>0</v>
      </c>
    </row>
    <row r="125" spans="1:18" ht="14.25" x14ac:dyDescent="0.2">
      <c r="A125" s="20">
        <v>2022</v>
      </c>
      <c r="B125" s="24" t="s">
        <v>57</v>
      </c>
      <c r="C125" s="25" t="s">
        <v>105</v>
      </c>
      <c r="D125" s="46">
        <f>SUMIFS(工业节能技术装备推荐目录!K:K,工业节能技术装备推荐目录!C:C,用能设备节能分配!B125,工业节能技术装备推荐目录!F:F,用能设备节能分配!C125,工业节能技术装备推荐目录!A:A,用能设备节能分配!A125)</f>
        <v>26</v>
      </c>
      <c r="E125" s="47">
        <f>SUMIFS(工业节能技术装备推荐目录!L:L,工业节能技术装备推荐目录!C:C,用能设备节能分配!B125,工业节能技术装备推荐目录!F:F,用能设备节能分配!C125,工业节能技术装备推荐目录!A:A,用能设备节能分配!A125)</f>
        <v>368.75</v>
      </c>
      <c r="M125" s="46">
        <v>2020</v>
      </c>
      <c r="N125" s="26" t="str">
        <f t="shared" si="51"/>
        <v>工业炉窑</v>
      </c>
      <c r="O125" s="26" t="str">
        <f t="shared" si="54"/>
        <v>other metals 242</v>
      </c>
      <c r="P125" s="26" t="str">
        <f t="shared" si="37"/>
        <v>Improvement in Eqpt Efficiency Standards</v>
      </c>
      <c r="Q125" s="47">
        <f t="shared" si="33"/>
        <v>0</v>
      </c>
      <c r="R125" s="47">
        <f t="shared" si="34"/>
        <v>0</v>
      </c>
    </row>
    <row r="126" spans="1:18" ht="14.25" x14ac:dyDescent="0.2">
      <c r="A126" s="20">
        <v>2022</v>
      </c>
      <c r="B126" s="24" t="s">
        <v>13</v>
      </c>
      <c r="C126" s="25" t="s">
        <v>103</v>
      </c>
      <c r="D126" s="46">
        <f>SUMIFS(工业节能技术装备推荐目录!K:K,工业节能技术装备推荐目录!C:C,用能设备节能分配!B126,工业节能技术装备推荐目录!F:F,用能设备节能分配!C126,工业节能技术装备推荐目录!A:A,用能设备节能分配!A126)</f>
        <v>0</v>
      </c>
      <c r="E126" s="47">
        <f>SUMIFS(工业节能技术装备推荐目录!L:L,工业节能技术装备推荐目录!C:C,用能设备节能分配!B126,工业节能技术装备推荐目录!F:F,用能设备节能分配!C126,工业节能技术装备推荐目录!A:A,用能设备节能分配!A126)</f>
        <v>0</v>
      </c>
      <c r="M126" s="46">
        <v>2020</v>
      </c>
      <c r="N126" s="26" t="str">
        <f t="shared" si="51"/>
        <v>工业炉窑</v>
      </c>
      <c r="O126" s="26" t="str">
        <f>I$38</f>
        <v>cement and other nonmetallic minerals 239</v>
      </c>
      <c r="P126" s="26" t="str">
        <f t="shared" si="37"/>
        <v>Early Facility Retirement</v>
      </c>
      <c r="Q126" s="47">
        <f t="shared" si="33"/>
        <v>0</v>
      </c>
      <c r="R126" s="47">
        <f t="shared" si="34"/>
        <v>0</v>
      </c>
    </row>
    <row r="127" spans="1:18" ht="14.25" x14ac:dyDescent="0.2">
      <c r="A127" s="20">
        <v>2022</v>
      </c>
      <c r="B127" s="24" t="s">
        <v>13</v>
      </c>
      <c r="C127" s="25" t="s">
        <v>104</v>
      </c>
      <c r="D127" s="46">
        <f>SUMIFS(工业节能技术装备推荐目录!K:K,工业节能技术装备推荐目录!C:C,用能设备节能分配!B127,工业节能技术装备推荐目录!F:F,用能设备节能分配!C127,工业节能技术装备推荐目录!A:A,用能设备节能分配!A127)</f>
        <v>0</v>
      </c>
      <c r="E127" s="47">
        <f>SUMIFS(工业节能技术装备推荐目录!L:L,工业节能技术装备推荐目录!C:C,用能设备节能分配!B127,工业节能技术装备推荐目录!F:F,用能设备节能分配!C127,工业节能技术装备推荐目录!A:A,用能设备节能分配!A127)</f>
        <v>0</v>
      </c>
      <c r="M127" s="46">
        <v>2020</v>
      </c>
      <c r="N127" s="26" t="str">
        <f t="shared" si="51"/>
        <v>工业炉窑</v>
      </c>
      <c r="O127" s="26" t="str">
        <f t="shared" ref="O127:O129" si="55">I$38</f>
        <v>cement and other nonmetallic minerals 239</v>
      </c>
      <c r="P127" s="26" t="str">
        <f t="shared" si="37"/>
        <v>Installation and System Integration</v>
      </c>
      <c r="Q127" s="47">
        <f t="shared" si="33"/>
        <v>0</v>
      </c>
      <c r="R127" s="47">
        <f t="shared" si="34"/>
        <v>0</v>
      </c>
    </row>
    <row r="128" spans="1:18" ht="14.25" x14ac:dyDescent="0.2">
      <c r="A128" s="20">
        <v>2022</v>
      </c>
      <c r="B128" s="24" t="s">
        <v>13</v>
      </c>
      <c r="C128" s="25" t="s">
        <v>102</v>
      </c>
      <c r="D128" s="46">
        <f>SUMIFS(工业节能技术装备推荐目录!K:K,工业节能技术装备推荐目录!C:C,用能设备节能分配!B128,工业节能技术装备推荐目录!F:F,用能设备节能分配!C128,工业节能技术装备推荐目录!A:A,用能设备节能分配!A128)</f>
        <v>0</v>
      </c>
      <c r="E128" s="47">
        <f>SUMIFS(工业节能技术装备推荐目录!L:L,工业节能技术装备推荐目录!C:C,用能设备节能分配!B128,工业节能技术装备推荐目录!F:F,用能设备节能分配!C128,工业节能技术装备推荐目录!A:A,用能设备节能分配!A128)</f>
        <v>0</v>
      </c>
      <c r="M128" s="46">
        <v>2020</v>
      </c>
      <c r="N128" s="26" t="str">
        <f t="shared" si="51"/>
        <v>工业炉窑</v>
      </c>
      <c r="O128" s="26" t="str">
        <f t="shared" si="55"/>
        <v>cement and other nonmetallic minerals 239</v>
      </c>
      <c r="P128" s="26" t="str">
        <f t="shared" si="37"/>
        <v>Cogeneration and Waste Heat Recovery</v>
      </c>
      <c r="Q128" s="47">
        <f t="shared" si="33"/>
        <v>0</v>
      </c>
      <c r="R128" s="47">
        <f t="shared" si="34"/>
        <v>0</v>
      </c>
    </row>
    <row r="129" spans="1:18" ht="14.25" x14ac:dyDescent="0.2">
      <c r="A129" s="20">
        <v>2022</v>
      </c>
      <c r="B129" s="24" t="s">
        <v>13</v>
      </c>
      <c r="C129" s="25" t="s">
        <v>105</v>
      </c>
      <c r="D129" s="46">
        <f>SUMIFS(工业节能技术装备推荐目录!K:K,工业节能技术装备推荐目录!C:C,用能设备节能分配!B129,工业节能技术装备推荐目录!F:F,用能设备节能分配!C129,工业节能技术装备推荐目录!A:A,用能设备节能分配!A129)</f>
        <v>0</v>
      </c>
      <c r="E129" s="47">
        <f>SUMIFS(工业节能技术装备推荐目录!L:L,工业节能技术装备推荐目录!C:C,用能设备节能分配!B129,工业节能技术装备推荐目录!F:F,用能设备节能分配!C129,工业节能技术装备推荐目录!A:A,用能设备节能分配!A129)</f>
        <v>0</v>
      </c>
      <c r="M129" s="46">
        <v>2020</v>
      </c>
      <c r="N129" s="26" t="str">
        <f t="shared" si="51"/>
        <v>工业炉窑</v>
      </c>
      <c r="O129" s="26" t="str">
        <f t="shared" si="55"/>
        <v>cement and other nonmetallic minerals 239</v>
      </c>
      <c r="P129" s="26" t="str">
        <f t="shared" si="37"/>
        <v>Improvement in Eqpt Efficiency Standards</v>
      </c>
      <c r="Q129" s="47">
        <f t="shared" si="33"/>
        <v>0</v>
      </c>
      <c r="R129" s="47">
        <f t="shared" si="34"/>
        <v>0</v>
      </c>
    </row>
    <row r="130" spans="1:18" ht="14.25" x14ac:dyDescent="0.2">
      <c r="A130" s="20">
        <v>2022</v>
      </c>
      <c r="B130" s="24" t="s">
        <v>61</v>
      </c>
      <c r="C130" s="25" t="s">
        <v>103</v>
      </c>
      <c r="D130" s="46">
        <f>SUMIFS(工业节能技术装备推荐目录!K:K,工业节能技术装备推荐目录!C:C,用能设备节能分配!B130,工业节能技术装备推荐目录!F:F,用能设备节能分配!C130,工业节能技术装备推荐目录!A:A,用能设备节能分配!A130)</f>
        <v>0</v>
      </c>
      <c r="E130" s="47">
        <f>SUMIFS(工业节能技术装备推荐目录!L:L,工业节能技术装备推荐目录!C:C,用能设备节能分配!B130,工业节能技术装备推荐目录!F:F,用能设备节能分配!C130,工业节能技术装备推荐目录!A:A,用能设备节能分配!A130)</f>
        <v>0</v>
      </c>
      <c r="M130" s="46">
        <v>2020</v>
      </c>
      <c r="N130" s="26" t="str">
        <f>G$39</f>
        <v>除尘器</v>
      </c>
      <c r="O130" s="26" t="str">
        <f>I$39</f>
        <v>coal mining 05</v>
      </c>
      <c r="P130" s="26" t="str">
        <f t="shared" si="37"/>
        <v>Early Facility Retirement</v>
      </c>
      <c r="Q130" s="47">
        <f t="shared" ref="Q130:Q193" si="56">SUMIFS(D:D,B:B,N130,C:C,P130,A:A,M130)*SUMIFS(K:K,G:G,N130,I:I,O130)</f>
        <v>0</v>
      </c>
      <c r="R130" s="47">
        <f t="shared" ref="R130:R193" si="57">SUMIFS(E:E,B:B,N130,C:C,P130,A:A,M130)*SUMIFS(K:K,G:G,N130,I:I,O130)</f>
        <v>0</v>
      </c>
    </row>
    <row r="131" spans="1:18" ht="14.25" x14ac:dyDescent="0.2">
      <c r="A131" s="20">
        <v>2022</v>
      </c>
      <c r="B131" s="24" t="s">
        <v>61</v>
      </c>
      <c r="C131" s="25" t="s">
        <v>104</v>
      </c>
      <c r="D131" s="46">
        <f>SUMIFS(工业节能技术装备推荐目录!K:K,工业节能技术装备推荐目录!C:C,用能设备节能分配!B131,工业节能技术装备推荐目录!F:F,用能设备节能分配!C131,工业节能技术装备推荐目录!A:A,用能设备节能分配!A131)</f>
        <v>0</v>
      </c>
      <c r="E131" s="47">
        <f>SUMIFS(工业节能技术装备推荐目录!L:L,工业节能技术装备推荐目录!C:C,用能设备节能分配!B131,工业节能技术装备推荐目录!F:F,用能设备节能分配!C131,工业节能技术装备推荐目录!A:A,用能设备节能分配!A131)</f>
        <v>0</v>
      </c>
      <c r="M131" s="46">
        <v>2020</v>
      </c>
      <c r="N131" s="26" t="str">
        <f t="shared" ref="N131:N145" si="58">G$39</f>
        <v>除尘器</v>
      </c>
      <c r="O131" s="26" t="str">
        <f t="shared" ref="O131:O133" si="59">I$39</f>
        <v>coal mining 05</v>
      </c>
      <c r="P131" s="26" t="str">
        <f t="shared" si="37"/>
        <v>Installation and System Integration</v>
      </c>
      <c r="Q131" s="47">
        <f t="shared" si="56"/>
        <v>0</v>
      </c>
      <c r="R131" s="47">
        <f t="shared" si="57"/>
        <v>0</v>
      </c>
    </row>
    <row r="132" spans="1:18" ht="14.25" x14ac:dyDescent="0.2">
      <c r="A132" s="20">
        <v>2022</v>
      </c>
      <c r="B132" s="24" t="s">
        <v>61</v>
      </c>
      <c r="C132" s="25" t="s">
        <v>102</v>
      </c>
      <c r="D132" s="46">
        <f>SUMIFS(工业节能技术装备推荐目录!K:K,工业节能技术装备推荐目录!C:C,用能设备节能分配!B132,工业节能技术装备推荐目录!F:F,用能设备节能分配!C132,工业节能技术装备推荐目录!A:A,用能设备节能分配!A132)</f>
        <v>0</v>
      </c>
      <c r="E132" s="47">
        <f>SUMIFS(工业节能技术装备推荐目录!L:L,工业节能技术装备推荐目录!C:C,用能设备节能分配!B132,工业节能技术装备推荐目录!F:F,用能设备节能分配!C132,工业节能技术装备推荐目录!A:A,用能设备节能分配!A132)</f>
        <v>0</v>
      </c>
      <c r="M132" s="46">
        <v>2020</v>
      </c>
      <c r="N132" s="26" t="str">
        <f t="shared" si="58"/>
        <v>除尘器</v>
      </c>
      <c r="O132" s="26" t="str">
        <f t="shared" si="59"/>
        <v>coal mining 05</v>
      </c>
      <c r="P132" s="26" t="str">
        <f t="shared" si="37"/>
        <v>Cogeneration and Waste Heat Recovery</v>
      </c>
      <c r="Q132" s="47">
        <f t="shared" si="56"/>
        <v>0</v>
      </c>
      <c r="R132" s="47">
        <f t="shared" si="57"/>
        <v>0</v>
      </c>
    </row>
    <row r="133" spans="1:18" ht="14.25" x14ac:dyDescent="0.2">
      <c r="A133" s="20">
        <v>2022</v>
      </c>
      <c r="B133" s="24" t="s">
        <v>61</v>
      </c>
      <c r="C133" s="25" t="s">
        <v>105</v>
      </c>
      <c r="D133" s="46">
        <f>SUMIFS(工业节能技术装备推荐目录!K:K,工业节能技术装备推荐目录!C:C,用能设备节能分配!B133,工业节能技术装备推荐目录!F:F,用能设备节能分配!C133,工业节能技术装备推荐目录!A:A,用能设备节能分配!A133)</f>
        <v>0</v>
      </c>
      <c r="E133" s="47">
        <f>SUMIFS(工业节能技术装备推荐目录!L:L,工业节能技术装备推荐目录!C:C,用能设备节能分配!B133,工业节能技术装备推荐目录!F:F,用能设备节能分配!C133,工业节能技术装备推荐目录!A:A,用能设备节能分配!A133)</f>
        <v>0</v>
      </c>
      <c r="M133" s="46">
        <v>2020</v>
      </c>
      <c r="N133" s="26" t="str">
        <f t="shared" si="58"/>
        <v>除尘器</v>
      </c>
      <c r="O133" s="26" t="str">
        <f t="shared" si="59"/>
        <v>coal mining 05</v>
      </c>
      <c r="P133" s="26" t="str">
        <f t="shared" si="37"/>
        <v>Improvement in Eqpt Efficiency Standards</v>
      </c>
      <c r="Q133" s="47">
        <f t="shared" si="56"/>
        <v>0</v>
      </c>
      <c r="R133" s="47">
        <f t="shared" si="57"/>
        <v>0</v>
      </c>
    </row>
    <row r="134" spans="1:18" ht="14.25" x14ac:dyDescent="0.2">
      <c r="A134" s="20">
        <v>2022</v>
      </c>
      <c r="B134" s="24" t="s">
        <v>62</v>
      </c>
      <c r="C134" s="25" t="s">
        <v>103</v>
      </c>
      <c r="D134" s="46">
        <f>SUMIFS(工业节能技术装备推荐目录!K:K,工业节能技术装备推荐目录!C:C,用能设备节能分配!B134,工业节能技术装备推荐目录!F:F,用能设备节能分配!C134,工业节能技术装备推荐目录!A:A,用能设备节能分配!A134)</f>
        <v>0</v>
      </c>
      <c r="E134" s="47">
        <f>SUMIFS(工业节能技术装备推荐目录!L:L,工业节能技术装备推荐目录!C:C,用能设备节能分配!B134,工业节能技术装备推荐目录!F:F,用能设备节能分配!C134,工业节能技术装备推荐目录!A:A,用能设备节能分配!A134)</f>
        <v>0</v>
      </c>
      <c r="M134" s="46">
        <v>2020</v>
      </c>
      <c r="N134" s="26" t="str">
        <f t="shared" si="58"/>
        <v>除尘器</v>
      </c>
      <c r="O134" s="26" t="str">
        <f>I$40</f>
        <v>iron and steel 241</v>
      </c>
      <c r="P134" s="26" t="str">
        <f t="shared" si="37"/>
        <v>Early Facility Retirement</v>
      </c>
      <c r="Q134" s="47">
        <f t="shared" si="56"/>
        <v>0</v>
      </c>
      <c r="R134" s="47">
        <f t="shared" si="57"/>
        <v>0</v>
      </c>
    </row>
    <row r="135" spans="1:18" ht="14.25" x14ac:dyDescent="0.2">
      <c r="A135" s="20">
        <v>2022</v>
      </c>
      <c r="B135" s="24" t="s">
        <v>62</v>
      </c>
      <c r="C135" s="25" t="s">
        <v>104</v>
      </c>
      <c r="D135" s="46">
        <f>SUMIFS(工业节能技术装备推荐目录!K:K,工业节能技术装备推荐目录!C:C,用能设备节能分配!B135,工业节能技术装备推荐目录!F:F,用能设备节能分配!C135,工业节能技术装备推荐目录!A:A,用能设备节能分配!A135)</f>
        <v>0</v>
      </c>
      <c r="E135" s="47">
        <f>SUMIFS(工业节能技术装备推荐目录!L:L,工业节能技术装备推荐目录!C:C,用能设备节能分配!B135,工业节能技术装备推荐目录!F:F,用能设备节能分配!C135,工业节能技术装备推荐目录!A:A,用能设备节能分配!A135)</f>
        <v>0</v>
      </c>
      <c r="M135" s="46">
        <v>2020</v>
      </c>
      <c r="N135" s="26" t="str">
        <f t="shared" si="58"/>
        <v>除尘器</v>
      </c>
      <c r="O135" s="26" t="str">
        <f t="shared" ref="O135:O137" si="60">I$40</f>
        <v>iron and steel 241</v>
      </c>
      <c r="P135" s="26" t="str">
        <f t="shared" ref="P135:P198" si="61">P131</f>
        <v>Installation and System Integration</v>
      </c>
      <c r="Q135" s="47">
        <f t="shared" si="56"/>
        <v>0</v>
      </c>
      <c r="R135" s="47">
        <f t="shared" si="57"/>
        <v>0</v>
      </c>
    </row>
    <row r="136" spans="1:18" ht="14.25" x14ac:dyDescent="0.2">
      <c r="A136" s="20">
        <v>2022</v>
      </c>
      <c r="B136" s="24" t="s">
        <v>62</v>
      </c>
      <c r="C136" s="25" t="s">
        <v>102</v>
      </c>
      <c r="D136" s="46">
        <f>SUMIFS(工业节能技术装备推荐目录!K:K,工业节能技术装备推荐目录!C:C,用能设备节能分配!B136,工业节能技术装备推荐目录!F:F,用能设备节能分配!C136,工业节能技术装备推荐目录!A:A,用能设备节能分配!A136)</f>
        <v>0</v>
      </c>
      <c r="E136" s="47">
        <f>SUMIFS(工业节能技术装备推荐目录!L:L,工业节能技术装备推荐目录!C:C,用能设备节能分配!B136,工业节能技术装备推荐目录!F:F,用能设备节能分配!C136,工业节能技术装备推荐目录!A:A,用能设备节能分配!A136)</f>
        <v>0</v>
      </c>
      <c r="M136" s="46">
        <v>2020</v>
      </c>
      <c r="N136" s="26" t="str">
        <f t="shared" si="58"/>
        <v>除尘器</v>
      </c>
      <c r="O136" s="26" t="str">
        <f t="shared" si="60"/>
        <v>iron and steel 241</v>
      </c>
      <c r="P136" s="26" t="str">
        <f t="shared" si="61"/>
        <v>Cogeneration and Waste Heat Recovery</v>
      </c>
      <c r="Q136" s="47">
        <f t="shared" si="56"/>
        <v>0</v>
      </c>
      <c r="R136" s="47">
        <f t="shared" si="57"/>
        <v>0</v>
      </c>
    </row>
    <row r="137" spans="1:18" ht="14.25" x14ac:dyDescent="0.2">
      <c r="A137" s="20">
        <v>2022</v>
      </c>
      <c r="B137" s="24" t="s">
        <v>62</v>
      </c>
      <c r="C137" s="25" t="s">
        <v>105</v>
      </c>
      <c r="D137" s="46">
        <f>SUMIFS(工业节能技术装备推荐目录!K:K,工业节能技术装备推荐目录!C:C,用能设备节能分配!B137,工业节能技术装备推荐目录!F:F,用能设备节能分配!C137,工业节能技术装备推荐目录!A:A,用能设备节能分配!A137)</f>
        <v>9</v>
      </c>
      <c r="E137" s="47">
        <f>SUMIFS(工业节能技术装备推荐目录!L:L,工业节能技术装备推荐目录!C:C,用能设备节能分配!B137,工业节能技术装备推荐目录!F:F,用能设备节能分配!C137,工业节能技术装备推荐目录!A:A,用能设备节能分配!A137)</f>
        <v>90</v>
      </c>
      <c r="M137" s="46">
        <v>2020</v>
      </c>
      <c r="N137" s="26" t="str">
        <f t="shared" si="58"/>
        <v>除尘器</v>
      </c>
      <c r="O137" s="26" t="str">
        <f t="shared" si="60"/>
        <v>iron and steel 241</v>
      </c>
      <c r="P137" s="26" t="str">
        <f t="shared" si="61"/>
        <v>Improvement in Eqpt Efficiency Standards</v>
      </c>
      <c r="Q137" s="47">
        <f t="shared" si="56"/>
        <v>0</v>
      </c>
      <c r="R137" s="47">
        <f t="shared" si="57"/>
        <v>0</v>
      </c>
    </row>
    <row r="138" spans="1:18" ht="14.25" x14ac:dyDescent="0.2">
      <c r="A138" s="20">
        <v>2022</v>
      </c>
      <c r="B138" s="24" t="s">
        <v>63</v>
      </c>
      <c r="C138" s="25" t="s">
        <v>103</v>
      </c>
      <c r="D138" s="46">
        <f>SUMIFS(工业节能技术装备推荐目录!K:K,工业节能技术装备推荐目录!C:C,用能设备节能分配!B138,工业节能技术装备推荐目录!F:F,用能设备节能分配!C138,工业节能技术装备推荐目录!A:A,用能设备节能分配!A138)</f>
        <v>0</v>
      </c>
      <c r="E138" s="47">
        <f>SUMIFS(工业节能技术装备推荐目录!L:L,工业节能技术装备推荐目录!C:C,用能设备节能分配!B138,工业节能技术装备推荐目录!F:F,用能设备节能分配!C138,工业节能技术装备推荐目录!A:A,用能设备节能分配!A138)</f>
        <v>0</v>
      </c>
      <c r="M138" s="46">
        <v>2020</v>
      </c>
      <c r="N138" s="26" t="str">
        <f t="shared" si="58"/>
        <v>除尘器</v>
      </c>
      <c r="O138" s="26" t="str">
        <f>I$41</f>
        <v>other metals 242</v>
      </c>
      <c r="P138" s="26" t="str">
        <f t="shared" si="61"/>
        <v>Early Facility Retirement</v>
      </c>
      <c r="Q138" s="47">
        <f t="shared" si="56"/>
        <v>0</v>
      </c>
      <c r="R138" s="47">
        <f t="shared" si="57"/>
        <v>0</v>
      </c>
    </row>
    <row r="139" spans="1:18" ht="14.25" x14ac:dyDescent="0.2">
      <c r="A139" s="20">
        <v>2022</v>
      </c>
      <c r="B139" s="24" t="s">
        <v>63</v>
      </c>
      <c r="C139" s="25" t="s">
        <v>104</v>
      </c>
      <c r="D139" s="46">
        <f>SUMIFS(工业节能技术装备推荐目录!K:K,工业节能技术装备推荐目录!C:C,用能设备节能分配!B139,工业节能技术装备推荐目录!F:F,用能设备节能分配!C139,工业节能技术装备推荐目录!A:A,用能设备节能分配!A139)</f>
        <v>0</v>
      </c>
      <c r="E139" s="47">
        <f>SUMIFS(工业节能技术装备推荐目录!L:L,工业节能技术装备推荐目录!C:C,用能设备节能分配!B139,工业节能技术装备推荐目录!F:F,用能设备节能分配!C139,工业节能技术装备推荐目录!A:A,用能设备节能分配!A139)</f>
        <v>0</v>
      </c>
      <c r="M139" s="46">
        <v>2020</v>
      </c>
      <c r="N139" s="26" t="str">
        <f t="shared" si="58"/>
        <v>除尘器</v>
      </c>
      <c r="O139" s="26" t="str">
        <f t="shared" ref="O139:O141" si="62">I$41</f>
        <v>other metals 242</v>
      </c>
      <c r="P139" s="26" t="str">
        <f t="shared" si="61"/>
        <v>Installation and System Integration</v>
      </c>
      <c r="Q139" s="47">
        <f t="shared" si="56"/>
        <v>0</v>
      </c>
      <c r="R139" s="47">
        <f t="shared" si="57"/>
        <v>0</v>
      </c>
    </row>
    <row r="140" spans="1:18" ht="14.25" x14ac:dyDescent="0.2">
      <c r="A140" s="20">
        <v>2022</v>
      </c>
      <c r="B140" s="24" t="s">
        <v>63</v>
      </c>
      <c r="C140" s="25" t="s">
        <v>102</v>
      </c>
      <c r="D140" s="46">
        <f>SUMIFS(工业节能技术装备推荐目录!K:K,工业节能技术装备推荐目录!C:C,用能设备节能分配!B140,工业节能技术装备推荐目录!F:F,用能设备节能分配!C140,工业节能技术装备推荐目录!A:A,用能设备节能分配!A140)</f>
        <v>0</v>
      </c>
      <c r="E140" s="47">
        <f>SUMIFS(工业节能技术装备推荐目录!L:L,工业节能技术装备推荐目录!C:C,用能设备节能分配!B140,工业节能技术装备推荐目录!F:F,用能设备节能分配!C140,工业节能技术装备推荐目录!A:A,用能设备节能分配!A140)</f>
        <v>0</v>
      </c>
      <c r="M140" s="46">
        <v>2020</v>
      </c>
      <c r="N140" s="26" t="str">
        <f t="shared" si="58"/>
        <v>除尘器</v>
      </c>
      <c r="O140" s="26" t="str">
        <f t="shared" si="62"/>
        <v>other metals 242</v>
      </c>
      <c r="P140" s="26" t="str">
        <f t="shared" si="61"/>
        <v>Cogeneration and Waste Heat Recovery</v>
      </c>
      <c r="Q140" s="47">
        <f t="shared" si="56"/>
        <v>0</v>
      </c>
      <c r="R140" s="47">
        <f t="shared" si="57"/>
        <v>0</v>
      </c>
    </row>
    <row r="141" spans="1:18" ht="14.25" x14ac:dyDescent="0.2">
      <c r="A141" s="20">
        <v>2022</v>
      </c>
      <c r="B141" s="24" t="s">
        <v>63</v>
      </c>
      <c r="C141" s="25" t="s">
        <v>105</v>
      </c>
      <c r="D141" s="46">
        <f>SUMIFS(工业节能技术装备推荐目录!K:K,工业节能技术装备推荐目录!C:C,用能设备节能分配!B141,工业节能技术装备推荐目录!F:F,用能设备节能分配!C141,工业节能技术装备推荐目录!A:A,用能设备节能分配!A141)</f>
        <v>57</v>
      </c>
      <c r="E141" s="47">
        <f>SUMIFS(工业节能技术装备推荐目录!L:L,工业节能技术装备推荐目录!C:C,用能设备节能分配!B141,工业节能技术装备推荐目录!F:F,用能设备节能分配!C141,工业节能技术装备推荐目录!A:A,用能设备节能分配!A141)</f>
        <v>470</v>
      </c>
      <c r="M141" s="46">
        <v>2020</v>
      </c>
      <c r="N141" s="26" t="str">
        <f t="shared" si="58"/>
        <v>除尘器</v>
      </c>
      <c r="O141" s="26" t="str">
        <f t="shared" si="62"/>
        <v>other metals 242</v>
      </c>
      <c r="P141" s="26" t="str">
        <f t="shared" si="61"/>
        <v>Improvement in Eqpt Efficiency Standards</v>
      </c>
      <c r="Q141" s="47">
        <f t="shared" si="56"/>
        <v>0</v>
      </c>
      <c r="R141" s="47">
        <f t="shared" si="57"/>
        <v>0</v>
      </c>
    </row>
    <row r="142" spans="1:18" ht="14.25" x14ac:dyDescent="0.2">
      <c r="A142" s="20">
        <v>2022</v>
      </c>
      <c r="B142" s="24" t="s">
        <v>18</v>
      </c>
      <c r="C142" s="25" t="s">
        <v>103</v>
      </c>
      <c r="D142" s="46">
        <f>SUMIFS(工业节能技术装备推荐目录!K:K,工业节能技术装备推荐目录!C:C,用能设备节能分配!B142,工业节能技术装备推荐目录!F:F,用能设备节能分配!C142,工业节能技术装备推荐目录!A:A,用能设备节能分配!A142)</f>
        <v>0</v>
      </c>
      <c r="E142" s="47">
        <f>SUMIFS(工业节能技术装备推荐目录!L:L,工业节能技术装备推荐目录!C:C,用能设备节能分配!B142,工业节能技术装备推荐目录!F:F,用能设备节能分配!C142,工业节能技术装备推荐目录!A:A,用能设备节能分配!A142)</f>
        <v>0</v>
      </c>
      <c r="M142" s="46">
        <v>2020</v>
      </c>
      <c r="N142" s="26" t="str">
        <f t="shared" si="58"/>
        <v>除尘器</v>
      </c>
      <c r="O142" s="26" t="str">
        <f>I$42</f>
        <v>refined petroleum and coke 19</v>
      </c>
      <c r="P142" s="26" t="str">
        <f t="shared" si="61"/>
        <v>Early Facility Retirement</v>
      </c>
      <c r="Q142" s="47">
        <f t="shared" si="56"/>
        <v>0</v>
      </c>
      <c r="R142" s="47">
        <f t="shared" si="57"/>
        <v>0</v>
      </c>
    </row>
    <row r="143" spans="1:18" ht="14.25" x14ac:dyDescent="0.2">
      <c r="A143" s="20">
        <v>2022</v>
      </c>
      <c r="B143" s="24" t="s">
        <v>18</v>
      </c>
      <c r="C143" s="25" t="s">
        <v>104</v>
      </c>
      <c r="D143" s="46">
        <f>SUMIFS(工业节能技术装备推荐目录!K:K,工业节能技术装备推荐目录!C:C,用能设备节能分配!B143,工业节能技术装备推荐目录!F:F,用能设备节能分配!C143,工业节能技术装备推荐目录!A:A,用能设备节能分配!A143)</f>
        <v>0</v>
      </c>
      <c r="E143" s="47">
        <f>SUMIFS(工业节能技术装备推荐目录!L:L,工业节能技术装备推荐目录!C:C,用能设备节能分配!B143,工业节能技术装备推荐目录!F:F,用能设备节能分配!C143,工业节能技术装备推荐目录!A:A,用能设备节能分配!A143)</f>
        <v>0</v>
      </c>
      <c r="M143" s="46">
        <v>2020</v>
      </c>
      <c r="N143" s="26" t="str">
        <f t="shared" si="58"/>
        <v>除尘器</v>
      </c>
      <c r="O143" s="26" t="str">
        <f t="shared" ref="O143:O145" si="63">I$42</f>
        <v>refined petroleum and coke 19</v>
      </c>
      <c r="P143" s="26" t="str">
        <f t="shared" si="61"/>
        <v>Installation and System Integration</v>
      </c>
      <c r="Q143" s="47">
        <f t="shared" si="56"/>
        <v>0</v>
      </c>
      <c r="R143" s="47">
        <f t="shared" si="57"/>
        <v>0</v>
      </c>
    </row>
    <row r="144" spans="1:18" ht="14.25" x14ac:dyDescent="0.2">
      <c r="A144" s="20">
        <v>2022</v>
      </c>
      <c r="B144" s="24" t="s">
        <v>18</v>
      </c>
      <c r="C144" s="25" t="s">
        <v>102</v>
      </c>
      <c r="D144" s="46">
        <f>SUMIFS(工业节能技术装备推荐目录!K:K,工业节能技术装备推荐目录!C:C,用能设备节能分配!B144,工业节能技术装备推荐目录!F:F,用能设备节能分配!C144,工业节能技术装备推荐目录!A:A,用能设备节能分配!A144)</f>
        <v>0</v>
      </c>
      <c r="E144" s="47">
        <f>SUMIFS(工业节能技术装备推荐目录!L:L,工业节能技术装备推荐目录!C:C,用能设备节能分配!B144,工业节能技术装备推荐目录!F:F,用能设备节能分配!C144,工业节能技术装备推荐目录!A:A,用能设备节能分配!A144)</f>
        <v>0</v>
      </c>
      <c r="M144" s="46">
        <v>2020</v>
      </c>
      <c r="N144" s="26" t="str">
        <f t="shared" si="58"/>
        <v>除尘器</v>
      </c>
      <c r="O144" s="26" t="str">
        <f t="shared" si="63"/>
        <v>refined petroleum and coke 19</v>
      </c>
      <c r="P144" s="26" t="str">
        <f t="shared" si="61"/>
        <v>Cogeneration and Waste Heat Recovery</v>
      </c>
      <c r="Q144" s="47">
        <f t="shared" si="56"/>
        <v>0</v>
      </c>
      <c r="R144" s="47">
        <f t="shared" si="57"/>
        <v>0</v>
      </c>
    </row>
    <row r="145" spans="1:18" ht="14.25" x14ac:dyDescent="0.2">
      <c r="A145" s="20">
        <v>2022</v>
      </c>
      <c r="B145" s="24" t="s">
        <v>18</v>
      </c>
      <c r="C145" s="25" t="s">
        <v>105</v>
      </c>
      <c r="D145" s="46">
        <f>SUMIFS(工业节能技术装备推荐目录!K:K,工业节能技术装备推荐目录!C:C,用能设备节能分配!B145,工业节能技术装备推荐目录!F:F,用能设备节能分配!C145,工业节能技术装备推荐目录!A:A,用能设备节能分配!A145)</f>
        <v>89</v>
      </c>
      <c r="E145" s="47">
        <f>SUMIFS(工业节能技术装备推荐目录!L:L,工业节能技术装备推荐目录!C:C,用能设备节能分配!B145,工业节能技术装备推荐目录!F:F,用能设备节能分配!C145,工业节能技术装备推荐目录!A:A,用能设备节能分配!A145)</f>
        <v>890</v>
      </c>
      <c r="M145" s="46">
        <v>2020</v>
      </c>
      <c r="N145" s="26" t="str">
        <f t="shared" si="58"/>
        <v>除尘器</v>
      </c>
      <c r="O145" s="26" t="str">
        <f t="shared" si="63"/>
        <v>refined petroleum and coke 19</v>
      </c>
      <c r="P145" s="26" t="str">
        <f t="shared" si="61"/>
        <v>Improvement in Eqpt Efficiency Standards</v>
      </c>
      <c r="Q145" s="47">
        <f t="shared" si="56"/>
        <v>0</v>
      </c>
      <c r="R145" s="47">
        <f t="shared" si="57"/>
        <v>0</v>
      </c>
    </row>
    <row r="146" spans="1:18" ht="14.25" x14ac:dyDescent="0.2">
      <c r="A146" s="20">
        <v>2022</v>
      </c>
      <c r="B146" s="24" t="s">
        <v>17</v>
      </c>
      <c r="C146" s="25" t="s">
        <v>103</v>
      </c>
      <c r="D146" s="46">
        <f>SUMIFS(工业节能技术装备推荐目录!K:K,工业节能技术装备推荐目录!C:C,用能设备节能分配!B146,工业节能技术装备推荐目录!F:F,用能设备节能分配!C146,工业节能技术装备推荐目录!A:A,用能设备节能分配!A146)</f>
        <v>0</v>
      </c>
      <c r="E146" s="47">
        <f>SUMIFS(工业节能技术装备推荐目录!L:L,工业节能技术装备推荐目录!C:C,用能设备节能分配!B146,工业节能技术装备推荐目录!F:F,用能设备节能分配!C146,工业节能技术装备推荐目录!A:A,用能设备节能分配!A146)</f>
        <v>0</v>
      </c>
      <c r="M146" s="46">
        <v>2020</v>
      </c>
      <c r="N146" s="26" t="str">
        <f>G$44</f>
        <v>机械行业</v>
      </c>
      <c r="O146" s="26" t="str">
        <f>I$44</f>
        <v>other manufacturing 31T33</v>
      </c>
      <c r="P146" s="26" t="str">
        <f t="shared" si="61"/>
        <v>Early Facility Retirement</v>
      </c>
      <c r="Q146" s="47">
        <f t="shared" si="56"/>
        <v>0</v>
      </c>
      <c r="R146" s="47">
        <f t="shared" si="57"/>
        <v>0</v>
      </c>
    </row>
    <row r="147" spans="1:18" ht="14.25" x14ac:dyDescent="0.2">
      <c r="A147" s="20">
        <v>2022</v>
      </c>
      <c r="B147" s="24" t="s">
        <v>17</v>
      </c>
      <c r="C147" s="25" t="s">
        <v>104</v>
      </c>
      <c r="D147" s="46">
        <f>SUMIFS(工业节能技术装备推荐目录!K:K,工业节能技术装备推荐目录!C:C,用能设备节能分配!B147,工业节能技术装备推荐目录!F:F,用能设备节能分配!C147,工业节能技术装备推荐目录!A:A,用能设备节能分配!A147)</f>
        <v>0</v>
      </c>
      <c r="E147" s="47">
        <f>SUMIFS(工业节能技术装备推荐目录!L:L,工业节能技术装备推荐目录!C:C,用能设备节能分配!B147,工业节能技术装备推荐目录!F:F,用能设备节能分配!C147,工业节能技术装备推荐目录!A:A,用能设备节能分配!A147)</f>
        <v>0</v>
      </c>
      <c r="M147" s="46">
        <v>2020</v>
      </c>
      <c r="N147" s="26" t="str">
        <f t="shared" ref="N147:N165" si="64">G$44</f>
        <v>机械行业</v>
      </c>
      <c r="O147" s="26" t="str">
        <f t="shared" ref="O147:O149" si="65">I$44</f>
        <v>other manufacturing 31T33</v>
      </c>
      <c r="P147" s="26" t="str">
        <f t="shared" si="61"/>
        <v>Installation and System Integration</v>
      </c>
      <c r="Q147" s="47">
        <f t="shared" si="56"/>
        <v>0</v>
      </c>
      <c r="R147" s="47">
        <f t="shared" si="57"/>
        <v>0</v>
      </c>
    </row>
    <row r="148" spans="1:18" ht="14.25" x14ac:dyDescent="0.2">
      <c r="A148" s="20">
        <v>2022</v>
      </c>
      <c r="B148" s="24" t="s">
        <v>17</v>
      </c>
      <c r="C148" s="25" t="s">
        <v>102</v>
      </c>
      <c r="D148" s="46">
        <f>SUMIFS(工业节能技术装备推荐目录!K:K,工业节能技术装备推荐目录!C:C,用能设备节能分配!B148,工业节能技术装备推荐目录!F:F,用能设备节能分配!C148,工业节能技术装备推荐目录!A:A,用能设备节能分配!A148)</f>
        <v>0</v>
      </c>
      <c r="E148" s="47">
        <f>SUMIFS(工业节能技术装备推荐目录!L:L,工业节能技术装备推荐目录!C:C,用能设备节能分配!B148,工业节能技术装备推荐目录!F:F,用能设备节能分配!C148,工业节能技术装备推荐目录!A:A,用能设备节能分配!A148)</f>
        <v>0</v>
      </c>
      <c r="M148" s="46">
        <v>2020</v>
      </c>
      <c r="N148" s="26" t="str">
        <f t="shared" si="64"/>
        <v>机械行业</v>
      </c>
      <c r="O148" s="26" t="str">
        <f t="shared" si="65"/>
        <v>other manufacturing 31T33</v>
      </c>
      <c r="P148" s="26" t="str">
        <f t="shared" si="61"/>
        <v>Cogeneration and Waste Heat Recovery</v>
      </c>
      <c r="Q148" s="47">
        <f t="shared" si="56"/>
        <v>0</v>
      </c>
      <c r="R148" s="47">
        <f t="shared" si="57"/>
        <v>0</v>
      </c>
    </row>
    <row r="149" spans="1:18" ht="14.25" x14ac:dyDescent="0.2">
      <c r="A149" s="20">
        <v>2022</v>
      </c>
      <c r="B149" s="24" t="s">
        <v>17</v>
      </c>
      <c r="C149" s="25" t="s">
        <v>105</v>
      </c>
      <c r="D149" s="46">
        <f>SUMIFS(工业节能技术装备推荐目录!K:K,工业节能技术装备推荐目录!C:C,用能设备节能分配!B149,工业节能技术装备推荐目录!F:F,用能设备节能分配!C149,工业节能技术装备推荐目录!A:A,用能设备节能分配!A149)</f>
        <v>0</v>
      </c>
      <c r="E149" s="47">
        <f>SUMIFS(工业节能技术装备推荐目录!L:L,工业节能技术装备推荐目录!C:C,用能设备节能分配!B149,工业节能技术装备推荐目录!F:F,用能设备节能分配!C149,工业节能技术装备推荐目录!A:A,用能设备节能分配!A149)</f>
        <v>0</v>
      </c>
      <c r="M149" s="46">
        <v>2020</v>
      </c>
      <c r="N149" s="26" t="str">
        <f t="shared" si="64"/>
        <v>机械行业</v>
      </c>
      <c r="O149" s="26" t="str">
        <f t="shared" si="65"/>
        <v>other manufacturing 31T33</v>
      </c>
      <c r="P149" s="26" t="str">
        <f t="shared" si="61"/>
        <v>Improvement in Eqpt Efficiency Standards</v>
      </c>
      <c r="Q149" s="47">
        <f t="shared" si="56"/>
        <v>0</v>
      </c>
      <c r="R149" s="47">
        <f t="shared" si="57"/>
        <v>0</v>
      </c>
    </row>
    <row r="150" spans="1:18" ht="14.25" x14ac:dyDescent="0.2">
      <c r="A150" s="20">
        <v>2022</v>
      </c>
      <c r="B150" s="24" t="s">
        <v>20</v>
      </c>
      <c r="C150" s="25" t="s">
        <v>103</v>
      </c>
      <c r="D150" s="46">
        <f>SUMIFS(工业节能技术装备推荐目录!K:K,工业节能技术装备推荐目录!C:C,用能设备节能分配!B150,工业节能技术装备推荐目录!F:F,用能设备节能分配!C150,工业节能技术装备推荐目录!A:A,用能设备节能分配!A150)</f>
        <v>0</v>
      </c>
      <c r="E150" s="47">
        <f>SUMIFS(工业节能技术装备推荐目录!L:L,工业节能技术装备推荐目录!C:C,用能设备节能分配!B150,工业节能技术装备推荐目录!F:F,用能设备节能分配!C150,工业节能技术装备推荐目录!A:A,用能设备节能分配!A150)</f>
        <v>0</v>
      </c>
      <c r="M150" s="46">
        <v>2020</v>
      </c>
      <c r="N150" s="26" t="str">
        <f t="shared" si="64"/>
        <v>机械行业</v>
      </c>
      <c r="O150" s="26" t="str">
        <f>I$45</f>
        <v>glass and glass products 231</v>
      </c>
      <c r="P150" s="26" t="str">
        <f t="shared" si="61"/>
        <v>Early Facility Retirement</v>
      </c>
      <c r="Q150" s="47">
        <f t="shared" si="56"/>
        <v>0</v>
      </c>
      <c r="R150" s="47">
        <f t="shared" si="57"/>
        <v>0</v>
      </c>
    </row>
    <row r="151" spans="1:18" ht="14.25" x14ac:dyDescent="0.2">
      <c r="A151" s="20">
        <v>2022</v>
      </c>
      <c r="B151" s="24" t="s">
        <v>20</v>
      </c>
      <c r="C151" s="25" t="s">
        <v>104</v>
      </c>
      <c r="D151" s="46">
        <f>SUMIFS(工业节能技术装备推荐目录!K:K,工业节能技术装备推荐目录!C:C,用能设备节能分配!B151,工业节能技术装备推荐目录!F:F,用能设备节能分配!C151,工业节能技术装备推荐目录!A:A,用能设备节能分配!A151)</f>
        <v>0</v>
      </c>
      <c r="E151" s="47">
        <f>SUMIFS(工业节能技术装备推荐目录!L:L,工业节能技术装备推荐目录!C:C,用能设备节能分配!B151,工业节能技术装备推荐目录!F:F,用能设备节能分配!C151,工业节能技术装备推荐目录!A:A,用能设备节能分配!A151)</f>
        <v>0</v>
      </c>
      <c r="M151" s="46">
        <v>2020</v>
      </c>
      <c r="N151" s="26" t="str">
        <f t="shared" si="64"/>
        <v>机械行业</v>
      </c>
      <c r="O151" s="26" t="str">
        <f t="shared" ref="O151:O153" si="66">I$45</f>
        <v>glass and glass products 231</v>
      </c>
      <c r="P151" s="26" t="str">
        <f t="shared" si="61"/>
        <v>Installation and System Integration</v>
      </c>
      <c r="Q151" s="47">
        <f t="shared" si="56"/>
        <v>0</v>
      </c>
      <c r="R151" s="47">
        <f t="shared" si="57"/>
        <v>0</v>
      </c>
    </row>
    <row r="152" spans="1:18" ht="14.25" x14ac:dyDescent="0.2">
      <c r="A152" s="20">
        <v>2022</v>
      </c>
      <c r="B152" s="24" t="s">
        <v>20</v>
      </c>
      <c r="C152" s="25" t="s">
        <v>102</v>
      </c>
      <c r="D152" s="46">
        <f>SUMIFS(工业节能技术装备推荐目录!K:K,工业节能技术装备推荐目录!C:C,用能设备节能分配!B152,工业节能技术装备推荐目录!F:F,用能设备节能分配!C152,工业节能技术装备推荐目录!A:A,用能设备节能分配!A152)</f>
        <v>0</v>
      </c>
      <c r="E152" s="47">
        <f>SUMIFS(工业节能技术装备推荐目录!L:L,工业节能技术装备推荐目录!C:C,用能设备节能分配!B152,工业节能技术装备推荐目录!F:F,用能设备节能分配!C152,工业节能技术装备推荐目录!A:A,用能设备节能分配!A152)</f>
        <v>0</v>
      </c>
      <c r="M152" s="46">
        <v>2020</v>
      </c>
      <c r="N152" s="26" t="str">
        <f t="shared" si="64"/>
        <v>机械行业</v>
      </c>
      <c r="O152" s="26" t="str">
        <f t="shared" si="66"/>
        <v>glass and glass products 231</v>
      </c>
      <c r="P152" s="26" t="str">
        <f t="shared" si="61"/>
        <v>Cogeneration and Waste Heat Recovery</v>
      </c>
      <c r="Q152" s="47">
        <f t="shared" si="56"/>
        <v>0</v>
      </c>
      <c r="R152" s="47">
        <f t="shared" si="57"/>
        <v>0</v>
      </c>
    </row>
    <row r="153" spans="1:18" ht="14.25" x14ac:dyDescent="0.2">
      <c r="A153" s="20">
        <v>2022</v>
      </c>
      <c r="B153" s="24" t="s">
        <v>20</v>
      </c>
      <c r="C153" s="25" t="s">
        <v>105</v>
      </c>
      <c r="D153" s="46">
        <f>SUMIFS(工业节能技术装备推荐目录!K:K,工业节能技术装备推荐目录!C:C,用能设备节能分配!B153,工业节能技术装备推荐目录!F:F,用能设备节能分配!C153,工业节能技术装备推荐目录!A:A,用能设备节能分配!A153)</f>
        <v>77</v>
      </c>
      <c r="E153" s="47">
        <f>SUMIFS(工业节能技术装备推荐目录!L:L,工业节能技术装备推荐目录!C:C,用能设备节能分配!B153,工业节能技术装备推荐目录!F:F,用能设备节能分配!C153,工业节能技术装备推荐目录!A:A,用能设备节能分配!A153)</f>
        <v>308</v>
      </c>
      <c r="M153" s="46">
        <v>2020</v>
      </c>
      <c r="N153" s="26" t="str">
        <f t="shared" si="64"/>
        <v>机械行业</v>
      </c>
      <c r="O153" s="26" t="str">
        <f t="shared" si="66"/>
        <v>glass and glass products 231</v>
      </c>
      <c r="P153" s="26" t="str">
        <f t="shared" si="61"/>
        <v>Improvement in Eqpt Efficiency Standards</v>
      </c>
      <c r="Q153" s="47">
        <f t="shared" si="56"/>
        <v>0</v>
      </c>
      <c r="R153" s="47">
        <f t="shared" si="57"/>
        <v>0</v>
      </c>
    </row>
    <row r="154" spans="1:18" ht="14.25" x14ac:dyDescent="0.2">
      <c r="A154" s="20">
        <v>2022</v>
      </c>
      <c r="B154" s="24" t="s">
        <v>22</v>
      </c>
      <c r="C154" s="25" t="s">
        <v>103</v>
      </c>
      <c r="D154" s="46">
        <f>SUMIFS(工业节能技术装备推荐目录!K:K,工业节能技术装备推荐目录!C:C,用能设备节能分配!B154,工业节能技术装备推荐目录!F:F,用能设备节能分配!C154,工业节能技术装备推荐目录!A:A,用能设备节能分配!A154)</f>
        <v>0</v>
      </c>
      <c r="E154" s="47">
        <f>SUMIFS(工业节能技术装备推荐目录!L:L,工业节能技术装备推荐目录!C:C,用能设备节能分配!B154,工业节能技术装备推荐目录!F:F,用能设备节能分配!C154,工业节能技术装备推荐目录!A:A,用能设备节能分配!A154)</f>
        <v>0</v>
      </c>
      <c r="M154" s="46">
        <v>2020</v>
      </c>
      <c r="N154" s="26" t="str">
        <f t="shared" si="64"/>
        <v>机械行业</v>
      </c>
      <c r="O154" s="26" t="str">
        <f>I$46</f>
        <v>computers and electronics 27</v>
      </c>
      <c r="P154" s="26" t="str">
        <f t="shared" si="61"/>
        <v>Early Facility Retirement</v>
      </c>
      <c r="Q154" s="47">
        <f t="shared" si="56"/>
        <v>0</v>
      </c>
      <c r="R154" s="47">
        <f t="shared" si="57"/>
        <v>0</v>
      </c>
    </row>
    <row r="155" spans="1:18" ht="14.25" x14ac:dyDescent="0.2">
      <c r="A155" s="20">
        <v>2022</v>
      </c>
      <c r="B155" s="24" t="s">
        <v>22</v>
      </c>
      <c r="C155" s="25" t="s">
        <v>104</v>
      </c>
      <c r="D155" s="46">
        <f>SUMIFS(工业节能技术装备推荐目录!K:K,工业节能技术装备推荐目录!C:C,用能设备节能分配!B155,工业节能技术装备推荐目录!F:F,用能设备节能分配!C155,工业节能技术装备推荐目录!A:A,用能设备节能分配!A155)</f>
        <v>0</v>
      </c>
      <c r="E155" s="47">
        <f>SUMIFS(工业节能技术装备推荐目录!L:L,工业节能技术装备推荐目录!C:C,用能设备节能分配!B155,工业节能技术装备推荐目录!F:F,用能设备节能分配!C155,工业节能技术装备推荐目录!A:A,用能设备节能分配!A155)</f>
        <v>0</v>
      </c>
      <c r="M155" s="46">
        <v>2020</v>
      </c>
      <c r="N155" s="26" t="str">
        <f t="shared" si="64"/>
        <v>机械行业</v>
      </c>
      <c r="O155" s="26" t="str">
        <f t="shared" ref="O155:O157" si="67">I$46</f>
        <v>computers and electronics 27</v>
      </c>
      <c r="P155" s="26" t="str">
        <f t="shared" si="61"/>
        <v>Installation and System Integration</v>
      </c>
      <c r="Q155" s="47">
        <f t="shared" si="56"/>
        <v>0</v>
      </c>
      <c r="R155" s="47">
        <f t="shared" si="57"/>
        <v>0</v>
      </c>
    </row>
    <row r="156" spans="1:18" ht="14.25" x14ac:dyDescent="0.2">
      <c r="A156" s="20">
        <v>2022</v>
      </c>
      <c r="B156" s="24" t="s">
        <v>22</v>
      </c>
      <c r="C156" s="25" t="s">
        <v>102</v>
      </c>
      <c r="D156" s="46">
        <f>SUMIFS(工业节能技术装备推荐目录!K:K,工业节能技术装备推荐目录!C:C,用能设备节能分配!B156,工业节能技术装备推荐目录!F:F,用能设备节能分配!C156,工业节能技术装备推荐目录!A:A,用能设备节能分配!A156)</f>
        <v>0</v>
      </c>
      <c r="E156" s="47">
        <f>SUMIFS(工业节能技术装备推荐目录!L:L,工业节能技术装备推荐目录!C:C,用能设备节能分配!B156,工业节能技术装备推荐目录!F:F,用能设备节能分配!C156,工业节能技术装备推荐目录!A:A,用能设备节能分配!A156)</f>
        <v>0</v>
      </c>
      <c r="M156" s="46">
        <v>2020</v>
      </c>
      <c r="N156" s="26" t="str">
        <f t="shared" si="64"/>
        <v>机械行业</v>
      </c>
      <c r="O156" s="26" t="str">
        <f t="shared" si="67"/>
        <v>computers and electronics 27</v>
      </c>
      <c r="P156" s="26" t="str">
        <f t="shared" si="61"/>
        <v>Cogeneration and Waste Heat Recovery</v>
      </c>
      <c r="Q156" s="47">
        <f t="shared" si="56"/>
        <v>0</v>
      </c>
      <c r="R156" s="47">
        <f t="shared" si="57"/>
        <v>0</v>
      </c>
    </row>
    <row r="157" spans="1:18" ht="14.25" x14ac:dyDescent="0.2">
      <c r="A157" s="20">
        <v>2022</v>
      </c>
      <c r="B157" s="24" t="s">
        <v>22</v>
      </c>
      <c r="C157" s="25" t="s">
        <v>105</v>
      </c>
      <c r="D157" s="46">
        <f>SUMIFS(工业节能技术装备推荐目录!K:K,工业节能技术装备推荐目录!C:C,用能设备节能分配!B157,工业节能技术装备推荐目录!F:F,用能设备节能分配!C157,工业节能技术装备推荐目录!A:A,用能设备节能分配!A157)</f>
        <v>0</v>
      </c>
      <c r="E157" s="47">
        <f>SUMIFS(工业节能技术装备推荐目录!L:L,工业节能技术装备推荐目录!C:C,用能设备节能分配!B157,工业节能技术装备推荐目录!F:F,用能设备节能分配!C157,工业节能技术装备推荐目录!A:A,用能设备节能分配!A157)</f>
        <v>0</v>
      </c>
      <c r="M157" s="46">
        <v>2020</v>
      </c>
      <c r="N157" s="26" t="str">
        <f t="shared" si="64"/>
        <v>机械行业</v>
      </c>
      <c r="O157" s="26" t="str">
        <f t="shared" si="67"/>
        <v>computers and electronics 27</v>
      </c>
      <c r="P157" s="26" t="str">
        <f t="shared" si="61"/>
        <v>Improvement in Eqpt Efficiency Standards</v>
      </c>
      <c r="Q157" s="47">
        <f t="shared" si="56"/>
        <v>0</v>
      </c>
      <c r="R157" s="47">
        <f t="shared" si="57"/>
        <v>0</v>
      </c>
    </row>
    <row r="158" spans="1:18" ht="14.25" x14ac:dyDescent="0.2">
      <c r="A158" s="20">
        <v>2022</v>
      </c>
      <c r="B158" s="24" t="s">
        <v>78</v>
      </c>
      <c r="C158" s="25" t="s">
        <v>103</v>
      </c>
      <c r="D158" s="46">
        <f>SUMIFS(工业节能技术装备推荐目录!K:K,工业节能技术装备推荐目录!C:C,用能设备节能分配!B158,工业节能技术装备推荐目录!F:F,用能设备节能分配!C158,工业节能技术装备推荐目录!A:A,用能设备节能分配!A158)</f>
        <v>0</v>
      </c>
      <c r="E158" s="47">
        <f>SUMIFS(工业节能技术装备推荐目录!L:L,工业节能技术装备推荐目录!C:C,用能设备节能分配!B158,工业节能技术装备推荐目录!F:F,用能设备节能分配!C158,工业节能技术装备推荐目录!A:A,用能设备节能分配!A158)</f>
        <v>0</v>
      </c>
      <c r="M158" s="46">
        <v>2020</v>
      </c>
      <c r="N158" s="26" t="str">
        <f t="shared" si="64"/>
        <v>机械行业</v>
      </c>
      <c r="O158" s="26" t="str">
        <f>I$47</f>
        <v>appliances and electrical equipment 27</v>
      </c>
      <c r="P158" s="26" t="str">
        <f t="shared" si="61"/>
        <v>Early Facility Retirement</v>
      </c>
      <c r="Q158" s="47">
        <f t="shared" si="56"/>
        <v>0</v>
      </c>
      <c r="R158" s="47">
        <f t="shared" si="57"/>
        <v>0</v>
      </c>
    </row>
    <row r="159" spans="1:18" ht="14.25" x14ac:dyDescent="0.2">
      <c r="A159" s="20">
        <v>2022</v>
      </c>
      <c r="B159" s="24" t="s">
        <v>78</v>
      </c>
      <c r="C159" s="25" t="s">
        <v>104</v>
      </c>
      <c r="D159" s="46">
        <f>SUMIFS(工业节能技术装备推荐目录!K:K,工业节能技术装备推荐目录!C:C,用能设备节能分配!B159,工业节能技术装备推荐目录!F:F,用能设备节能分配!C159,工业节能技术装备推荐目录!A:A,用能设备节能分配!A159)</f>
        <v>0</v>
      </c>
      <c r="E159" s="47">
        <f>SUMIFS(工业节能技术装备推荐目录!L:L,工业节能技术装备推荐目录!C:C,用能设备节能分配!B159,工业节能技术装备推荐目录!F:F,用能设备节能分配!C159,工业节能技术装备推荐目录!A:A,用能设备节能分配!A159)</f>
        <v>0</v>
      </c>
      <c r="M159" s="46">
        <v>2020</v>
      </c>
      <c r="N159" s="26" t="str">
        <f t="shared" si="64"/>
        <v>机械行业</v>
      </c>
      <c r="O159" s="26" t="str">
        <f t="shared" ref="O159:O161" si="68">I$47</f>
        <v>appliances and electrical equipment 27</v>
      </c>
      <c r="P159" s="26" t="str">
        <f t="shared" si="61"/>
        <v>Installation and System Integration</v>
      </c>
      <c r="Q159" s="47">
        <f t="shared" si="56"/>
        <v>0</v>
      </c>
      <c r="R159" s="47">
        <f t="shared" si="57"/>
        <v>0</v>
      </c>
    </row>
    <row r="160" spans="1:18" ht="14.25" x14ac:dyDescent="0.2">
      <c r="A160" s="20">
        <v>2022</v>
      </c>
      <c r="B160" s="24" t="s">
        <v>78</v>
      </c>
      <c r="C160" s="25" t="s">
        <v>102</v>
      </c>
      <c r="D160" s="46">
        <f>SUMIFS(工业节能技术装备推荐目录!K:K,工业节能技术装备推荐目录!C:C,用能设备节能分配!B160,工业节能技术装备推荐目录!F:F,用能设备节能分配!C160,工业节能技术装备推荐目录!A:A,用能设备节能分配!A160)</f>
        <v>0</v>
      </c>
      <c r="E160" s="47">
        <f>SUMIFS(工业节能技术装备推荐目录!L:L,工业节能技术装备推荐目录!C:C,用能设备节能分配!B160,工业节能技术装备推荐目录!F:F,用能设备节能分配!C160,工业节能技术装备推荐目录!A:A,用能设备节能分配!A160)</f>
        <v>0</v>
      </c>
      <c r="M160" s="46">
        <v>2020</v>
      </c>
      <c r="N160" s="26" t="str">
        <f t="shared" si="64"/>
        <v>机械行业</v>
      </c>
      <c r="O160" s="26" t="str">
        <f t="shared" si="68"/>
        <v>appliances and electrical equipment 27</v>
      </c>
      <c r="P160" s="26" t="str">
        <f t="shared" si="61"/>
        <v>Cogeneration and Waste Heat Recovery</v>
      </c>
      <c r="Q160" s="47">
        <f t="shared" si="56"/>
        <v>0</v>
      </c>
      <c r="R160" s="47">
        <f t="shared" si="57"/>
        <v>0</v>
      </c>
    </row>
    <row r="161" spans="1:18" ht="14.25" x14ac:dyDescent="0.2">
      <c r="A161" s="20">
        <v>2022</v>
      </c>
      <c r="B161" s="24" t="s">
        <v>78</v>
      </c>
      <c r="C161" s="25" t="s">
        <v>105</v>
      </c>
      <c r="D161" s="46">
        <f>SUMIFS(工业节能技术装备推荐目录!K:K,工业节能技术装备推荐目录!C:C,用能设备节能分配!B161,工业节能技术装备推荐目录!F:F,用能设备节能分配!C161,工业节能技术装备推荐目录!A:A,用能设备节能分配!A161)</f>
        <v>30</v>
      </c>
      <c r="E161" s="47">
        <f>SUMIFS(工业节能技术装备推荐目录!L:L,工业节能技术装备推荐目录!C:C,用能设备节能分配!B161,工业节能技术装备推荐目录!F:F,用能设备节能分配!C161,工业节能技术装备推荐目录!A:A,用能设备节能分配!A161)</f>
        <v>600</v>
      </c>
      <c r="M161" s="46">
        <v>2020</v>
      </c>
      <c r="N161" s="26" t="str">
        <f t="shared" si="64"/>
        <v>机械行业</v>
      </c>
      <c r="O161" s="26" t="str">
        <f t="shared" si="68"/>
        <v>appliances and electrical equipment 27</v>
      </c>
      <c r="P161" s="26" t="str">
        <f t="shared" si="61"/>
        <v>Improvement in Eqpt Efficiency Standards</v>
      </c>
      <c r="Q161" s="47">
        <f t="shared" si="56"/>
        <v>0</v>
      </c>
      <c r="R161" s="47">
        <f t="shared" si="57"/>
        <v>0</v>
      </c>
    </row>
    <row r="162" spans="1:18" ht="14.25" x14ac:dyDescent="0.2">
      <c r="A162" s="20">
        <v>2022</v>
      </c>
      <c r="B162" s="24" t="s">
        <v>21</v>
      </c>
      <c r="C162" s="25" t="s">
        <v>103</v>
      </c>
      <c r="D162" s="46">
        <f>SUMIFS(工业节能技术装备推荐目录!K:K,工业节能技术装备推荐目录!C:C,用能设备节能分配!B162,工业节能技术装备推荐目录!F:F,用能设备节能分配!C162,工业节能技术装备推荐目录!A:A,用能设备节能分配!A162)</f>
        <v>0</v>
      </c>
      <c r="E162" s="47">
        <f>SUMIFS(工业节能技术装备推荐目录!L:L,工业节能技术装备推荐目录!C:C,用能设备节能分配!B162,工业节能技术装备推荐目录!F:F,用能设备节能分配!C162,工业节能技术装备推荐目录!A:A,用能设备节能分配!A162)</f>
        <v>0</v>
      </c>
      <c r="M162" s="46">
        <v>2020</v>
      </c>
      <c r="N162" s="26" t="str">
        <f t="shared" si="64"/>
        <v>机械行业</v>
      </c>
      <c r="O162" s="26" t="str">
        <f>I$48</f>
        <v>road vehicles 29</v>
      </c>
      <c r="P162" s="26" t="str">
        <f t="shared" si="61"/>
        <v>Early Facility Retirement</v>
      </c>
      <c r="Q162" s="47">
        <f t="shared" si="56"/>
        <v>0</v>
      </c>
      <c r="R162" s="47">
        <f t="shared" si="57"/>
        <v>0</v>
      </c>
    </row>
    <row r="163" spans="1:18" ht="14.25" x14ac:dyDescent="0.2">
      <c r="A163" s="20">
        <v>2022</v>
      </c>
      <c r="B163" s="24" t="s">
        <v>21</v>
      </c>
      <c r="C163" s="25" t="s">
        <v>104</v>
      </c>
      <c r="D163" s="46">
        <f>SUMIFS(工业节能技术装备推荐目录!K:K,工业节能技术装备推荐目录!C:C,用能设备节能分配!B163,工业节能技术装备推荐目录!F:F,用能设备节能分配!C163,工业节能技术装备推荐目录!A:A,用能设备节能分配!A163)</f>
        <v>0</v>
      </c>
      <c r="E163" s="47">
        <f>SUMIFS(工业节能技术装备推荐目录!L:L,工业节能技术装备推荐目录!C:C,用能设备节能分配!B163,工业节能技术装备推荐目录!F:F,用能设备节能分配!C163,工业节能技术装备推荐目录!A:A,用能设备节能分配!A163)</f>
        <v>0</v>
      </c>
      <c r="M163" s="46">
        <v>2020</v>
      </c>
      <c r="N163" s="26" t="str">
        <f t="shared" si="64"/>
        <v>机械行业</v>
      </c>
      <c r="O163" s="26" t="str">
        <f t="shared" ref="O163:O165" si="69">I$48</f>
        <v>road vehicles 29</v>
      </c>
      <c r="P163" s="26" t="str">
        <f t="shared" si="61"/>
        <v>Installation and System Integration</v>
      </c>
      <c r="Q163" s="47">
        <f t="shared" si="56"/>
        <v>0</v>
      </c>
      <c r="R163" s="47">
        <f t="shared" si="57"/>
        <v>0</v>
      </c>
    </row>
    <row r="164" spans="1:18" ht="14.25" x14ac:dyDescent="0.2">
      <c r="A164" s="20">
        <v>2022</v>
      </c>
      <c r="B164" s="24" t="s">
        <v>21</v>
      </c>
      <c r="C164" s="25" t="s">
        <v>102</v>
      </c>
      <c r="D164" s="46">
        <f>SUMIFS(工业节能技术装备推荐目录!K:K,工业节能技术装备推荐目录!C:C,用能设备节能分配!B164,工业节能技术装备推荐目录!F:F,用能设备节能分配!C164,工业节能技术装备推荐目录!A:A,用能设备节能分配!A164)</f>
        <v>0</v>
      </c>
      <c r="E164" s="47">
        <f>SUMIFS(工业节能技术装备推荐目录!L:L,工业节能技术装备推荐目录!C:C,用能设备节能分配!B164,工业节能技术装备推荐目录!F:F,用能设备节能分配!C164,工业节能技术装备推荐目录!A:A,用能设备节能分配!A164)</f>
        <v>0</v>
      </c>
      <c r="M164" s="46">
        <v>2020</v>
      </c>
      <c r="N164" s="26" t="str">
        <f t="shared" si="64"/>
        <v>机械行业</v>
      </c>
      <c r="O164" s="26" t="str">
        <f t="shared" si="69"/>
        <v>road vehicles 29</v>
      </c>
      <c r="P164" s="26" t="str">
        <f t="shared" si="61"/>
        <v>Cogeneration and Waste Heat Recovery</v>
      </c>
      <c r="Q164" s="47">
        <f t="shared" si="56"/>
        <v>0</v>
      </c>
      <c r="R164" s="47">
        <f t="shared" si="57"/>
        <v>0</v>
      </c>
    </row>
    <row r="165" spans="1:18" ht="14.25" x14ac:dyDescent="0.2">
      <c r="A165" s="20">
        <v>2022</v>
      </c>
      <c r="B165" s="24" t="s">
        <v>21</v>
      </c>
      <c r="C165" s="25" t="s">
        <v>105</v>
      </c>
      <c r="D165" s="46">
        <f>SUMIFS(工业节能技术装备推荐目录!K:K,工业节能技术装备推荐目录!C:C,用能设备节能分配!B165,工业节能技术装备推荐目录!F:F,用能设备节能分配!C165,工业节能技术装备推荐目录!A:A,用能设备节能分配!A165)</f>
        <v>0</v>
      </c>
      <c r="E165" s="47">
        <f>SUMIFS(工业节能技术装备推荐目录!L:L,工业节能技术装备推荐目录!C:C,用能设备节能分配!B165,工业节能技术装备推荐目录!F:F,用能设备节能分配!C165,工业节能技术装备推荐目录!A:A,用能设备节能分配!A165)</f>
        <v>0</v>
      </c>
      <c r="M165" s="46">
        <v>2020</v>
      </c>
      <c r="N165" s="26" t="str">
        <f t="shared" si="64"/>
        <v>机械行业</v>
      </c>
      <c r="O165" s="26" t="str">
        <f t="shared" si="69"/>
        <v>road vehicles 29</v>
      </c>
      <c r="P165" s="26" t="str">
        <f t="shared" si="61"/>
        <v>Improvement in Eqpt Efficiency Standards</v>
      </c>
      <c r="Q165" s="47">
        <f t="shared" si="56"/>
        <v>0</v>
      </c>
      <c r="R165" s="47">
        <f t="shared" si="57"/>
        <v>0</v>
      </c>
    </row>
    <row r="166" spans="1:18" ht="14.25" x14ac:dyDescent="0.2">
      <c r="A166" s="20">
        <v>2022</v>
      </c>
      <c r="B166" s="24" t="s">
        <v>82</v>
      </c>
      <c r="C166" s="25" t="s">
        <v>103</v>
      </c>
      <c r="D166" s="46">
        <f>SUMIFS(工业节能技术装备推荐目录!K:K,工业节能技术装备推荐目录!C:C,用能设备节能分配!B166,工业节能技术装备推荐目录!F:F,用能设备节能分配!C166,工业节能技术装备推荐目录!A:A,用能设备节能分配!A166)</f>
        <v>0</v>
      </c>
      <c r="E166" s="47">
        <f>SUMIFS(工业节能技术装备推荐目录!L:L,工业节能技术装备推荐目录!C:C,用能设备节能分配!B166,工业节能技术装备推荐目录!F:F,用能设备节能分配!C166,工业节能技术装备推荐目录!A:A,用能设备节能分配!A166)</f>
        <v>0</v>
      </c>
      <c r="M166" s="46">
        <v>2020</v>
      </c>
      <c r="N166" s="26" t="str">
        <f>G$49</f>
        <v>工业水泵</v>
      </c>
      <c r="O166" s="26" t="str">
        <f>I$49</f>
        <v>agriculture and forestry 01T03</v>
      </c>
      <c r="P166" s="26" t="str">
        <f t="shared" si="61"/>
        <v>Early Facility Retirement</v>
      </c>
      <c r="Q166" s="47">
        <f t="shared" si="56"/>
        <v>0</v>
      </c>
      <c r="R166" s="47">
        <f t="shared" si="57"/>
        <v>0</v>
      </c>
    </row>
    <row r="167" spans="1:18" ht="14.25" x14ac:dyDescent="0.2">
      <c r="A167" s="20">
        <v>2022</v>
      </c>
      <c r="B167" s="24" t="s">
        <v>82</v>
      </c>
      <c r="C167" s="25" t="s">
        <v>104</v>
      </c>
      <c r="D167" s="46">
        <f>SUMIFS(工业节能技术装备推荐目录!K:K,工业节能技术装备推荐目录!C:C,用能设备节能分配!B167,工业节能技术装备推荐目录!F:F,用能设备节能分配!C167,工业节能技术装备推荐目录!A:A,用能设备节能分配!A167)</f>
        <v>0</v>
      </c>
      <c r="E167" s="47">
        <f>SUMIFS(工业节能技术装备推荐目录!L:L,工业节能技术装备推荐目录!C:C,用能设备节能分配!B167,工业节能技术装备推荐目录!F:F,用能设备节能分配!C167,工业节能技术装备推荐目录!A:A,用能设备节能分配!A167)</f>
        <v>0</v>
      </c>
      <c r="M167" s="46">
        <v>2020</v>
      </c>
      <c r="N167" s="26" t="str">
        <f t="shared" ref="N167:N193" si="70">G$49</f>
        <v>工业水泵</v>
      </c>
      <c r="O167" s="26" t="str">
        <f t="shared" ref="O167:O169" si="71">I$49</f>
        <v>agriculture and forestry 01T03</v>
      </c>
      <c r="P167" s="26" t="str">
        <f t="shared" si="61"/>
        <v>Installation and System Integration</v>
      </c>
      <c r="Q167" s="47">
        <f t="shared" si="56"/>
        <v>0</v>
      </c>
      <c r="R167" s="47">
        <f t="shared" si="57"/>
        <v>0</v>
      </c>
    </row>
    <row r="168" spans="1:18" ht="14.25" x14ac:dyDescent="0.2">
      <c r="A168" s="20">
        <v>2022</v>
      </c>
      <c r="B168" s="24" t="s">
        <v>82</v>
      </c>
      <c r="C168" s="25" t="s">
        <v>102</v>
      </c>
      <c r="D168" s="46">
        <f>SUMIFS(工业节能技术装备推荐目录!K:K,工业节能技术装备推荐目录!C:C,用能设备节能分配!B168,工业节能技术装备推荐目录!F:F,用能设备节能分配!C168,工业节能技术装备推荐目录!A:A,用能设备节能分配!A168)</f>
        <v>0</v>
      </c>
      <c r="E168" s="47">
        <f>SUMIFS(工业节能技术装备推荐目录!L:L,工业节能技术装备推荐目录!C:C,用能设备节能分配!B168,工业节能技术装备推荐目录!F:F,用能设备节能分配!C168,工业节能技术装备推荐目录!A:A,用能设备节能分配!A168)</f>
        <v>0</v>
      </c>
      <c r="M168" s="46">
        <v>2020</v>
      </c>
      <c r="N168" s="26" t="str">
        <f t="shared" si="70"/>
        <v>工业水泵</v>
      </c>
      <c r="O168" s="26" t="str">
        <f t="shared" si="71"/>
        <v>agriculture and forestry 01T03</v>
      </c>
      <c r="P168" s="26" t="str">
        <f t="shared" si="61"/>
        <v>Cogeneration and Waste Heat Recovery</v>
      </c>
      <c r="Q168" s="47">
        <f t="shared" si="56"/>
        <v>0</v>
      </c>
      <c r="R168" s="47">
        <f t="shared" si="57"/>
        <v>0</v>
      </c>
    </row>
    <row r="169" spans="1:18" ht="14.25" x14ac:dyDescent="0.2">
      <c r="A169" s="20">
        <v>2022</v>
      </c>
      <c r="B169" s="24" t="s">
        <v>82</v>
      </c>
      <c r="C169" s="25" t="s">
        <v>105</v>
      </c>
      <c r="D169" s="46">
        <f>SUMIFS(工业节能技术装备推荐目录!K:K,工业节能技术装备推荐目录!C:C,用能设备节能分配!B169,工业节能技术装备推荐目录!F:F,用能设备节能分配!C169,工业节能技术装备推荐目录!A:A,用能设备节能分配!A169)</f>
        <v>0</v>
      </c>
      <c r="E169" s="47">
        <f>SUMIFS(工业节能技术装备推荐目录!L:L,工业节能技术装备推荐目录!C:C,用能设备节能分配!B169,工业节能技术装备推荐目录!F:F,用能设备节能分配!C169,工业节能技术装备推荐目录!A:A,用能设备节能分配!A169)</f>
        <v>0</v>
      </c>
      <c r="M169" s="46">
        <v>2020</v>
      </c>
      <c r="N169" s="26" t="str">
        <f t="shared" si="70"/>
        <v>工业水泵</v>
      </c>
      <c r="O169" s="26" t="str">
        <f t="shared" si="71"/>
        <v>agriculture and forestry 01T03</v>
      </c>
      <c r="P169" s="26" t="str">
        <f t="shared" si="61"/>
        <v>Improvement in Eqpt Efficiency Standards</v>
      </c>
      <c r="Q169" s="47">
        <f t="shared" si="56"/>
        <v>0</v>
      </c>
      <c r="R169" s="47">
        <f t="shared" si="57"/>
        <v>0</v>
      </c>
    </row>
    <row r="170" spans="1:18" ht="14.25" x14ac:dyDescent="0.2">
      <c r="A170" s="20">
        <v>2022</v>
      </c>
      <c r="B170" s="26" t="s">
        <v>84</v>
      </c>
      <c r="C170" s="25" t="s">
        <v>103</v>
      </c>
      <c r="D170" s="46">
        <f>SUMIFS(工业节能技术装备推荐目录!K:K,工业节能技术装备推荐目录!C:C,用能设备节能分配!B170,工业节能技术装备推荐目录!F:F,用能设备节能分配!C170,工业节能技术装备推荐目录!A:A,用能设备节能分配!A170)</f>
        <v>157</v>
      </c>
      <c r="E170" s="47">
        <f>SUMIFS(工业节能技术装备推荐目录!L:L,工业节能技术装备推荐目录!C:C,用能设备节能分配!B170,工业节能技术装备推荐目录!F:F,用能设备节能分配!C170,工业节能技术装备推荐目录!A:A,用能设备节能分配!A170)</f>
        <v>1423.3928571428573</v>
      </c>
      <c r="M170" s="46">
        <v>2020</v>
      </c>
      <c r="N170" s="26" t="str">
        <f t="shared" si="70"/>
        <v>工业水泵</v>
      </c>
      <c r="O170" s="26" t="str">
        <f>I$50</f>
        <v>coal mining 05</v>
      </c>
      <c r="P170" s="26" t="str">
        <f t="shared" si="61"/>
        <v>Early Facility Retirement</v>
      </c>
      <c r="Q170" s="47">
        <f t="shared" si="56"/>
        <v>0</v>
      </c>
      <c r="R170" s="47">
        <f t="shared" si="57"/>
        <v>0</v>
      </c>
    </row>
    <row r="171" spans="1:18" ht="14.25" x14ac:dyDescent="0.2">
      <c r="A171" s="20">
        <v>2022</v>
      </c>
      <c r="B171" s="26" t="s">
        <v>84</v>
      </c>
      <c r="C171" s="25" t="s">
        <v>104</v>
      </c>
      <c r="D171" s="46">
        <f>SUMIFS(工业节能技术装备推荐目录!K:K,工业节能技术装备推荐目录!C:C,用能设备节能分配!B171,工业节能技术装备推荐目录!F:F,用能设备节能分配!C171,工业节能技术装备推荐目录!A:A,用能设备节能分配!A171)</f>
        <v>0</v>
      </c>
      <c r="E171" s="47">
        <f>SUMIFS(工业节能技术装备推荐目录!L:L,工业节能技术装备推荐目录!C:C,用能设备节能分配!B171,工业节能技术装备推荐目录!F:F,用能设备节能分配!C171,工业节能技术装备推荐目录!A:A,用能设备节能分配!A171)</f>
        <v>0</v>
      </c>
      <c r="M171" s="46">
        <v>2020</v>
      </c>
      <c r="N171" s="26" t="str">
        <f t="shared" si="70"/>
        <v>工业水泵</v>
      </c>
      <c r="O171" s="26" t="str">
        <f t="shared" ref="O171:O173" si="72">I$50</f>
        <v>coal mining 05</v>
      </c>
      <c r="P171" s="26" t="str">
        <f t="shared" si="61"/>
        <v>Installation and System Integration</v>
      </c>
      <c r="Q171" s="47">
        <f t="shared" si="56"/>
        <v>0</v>
      </c>
      <c r="R171" s="47">
        <f t="shared" si="57"/>
        <v>0</v>
      </c>
    </row>
    <row r="172" spans="1:18" ht="14.25" x14ac:dyDescent="0.2">
      <c r="A172" s="20">
        <v>2022</v>
      </c>
      <c r="B172" s="26" t="s">
        <v>84</v>
      </c>
      <c r="C172" s="25" t="s">
        <v>102</v>
      </c>
      <c r="D172" s="46">
        <f>SUMIFS(工业节能技术装备推荐目录!K:K,工业节能技术装备推荐目录!C:C,用能设备节能分配!B172,工业节能技术装备推荐目录!F:F,用能设备节能分配!C172,工业节能技术装备推荐目录!A:A,用能设备节能分配!A172)</f>
        <v>0</v>
      </c>
      <c r="E172" s="47">
        <f>SUMIFS(工业节能技术装备推荐目录!L:L,工业节能技术装备推荐目录!C:C,用能设备节能分配!B172,工业节能技术装备推荐目录!F:F,用能设备节能分配!C172,工业节能技术装备推荐目录!A:A,用能设备节能分配!A172)</f>
        <v>0</v>
      </c>
      <c r="M172" s="46">
        <v>2020</v>
      </c>
      <c r="N172" s="26" t="str">
        <f t="shared" si="70"/>
        <v>工业水泵</v>
      </c>
      <c r="O172" s="26" t="str">
        <f t="shared" si="72"/>
        <v>coal mining 05</v>
      </c>
      <c r="P172" s="26" t="str">
        <f t="shared" si="61"/>
        <v>Cogeneration and Waste Heat Recovery</v>
      </c>
      <c r="Q172" s="47">
        <f t="shared" si="56"/>
        <v>0</v>
      </c>
      <c r="R172" s="47">
        <f t="shared" si="57"/>
        <v>0</v>
      </c>
    </row>
    <row r="173" spans="1:18" ht="14.25" x14ac:dyDescent="0.2">
      <c r="A173" s="20">
        <v>2022</v>
      </c>
      <c r="B173" s="26" t="s">
        <v>84</v>
      </c>
      <c r="C173" s="25" t="s">
        <v>105</v>
      </c>
      <c r="D173" s="46">
        <f>SUMIFS(工业节能技术装备推荐目录!K:K,工业节能技术装备推荐目录!C:C,用能设备节能分配!B173,工业节能技术装备推荐目录!F:F,用能设备节能分配!C173,工业节能技术装备推荐目录!A:A,用能设备节能分配!A173)</f>
        <v>0</v>
      </c>
      <c r="E173" s="47">
        <f>SUMIFS(工业节能技术装备推荐目录!L:L,工业节能技术装备推荐目录!C:C,用能设备节能分配!B173,工业节能技术装备推荐目录!F:F,用能设备节能分配!C173,工业节能技术装备推荐目录!A:A,用能设备节能分配!A173)</f>
        <v>0</v>
      </c>
      <c r="M173" s="46">
        <v>2020</v>
      </c>
      <c r="N173" s="26" t="str">
        <f t="shared" si="70"/>
        <v>工业水泵</v>
      </c>
      <c r="O173" s="26" t="str">
        <f t="shared" si="72"/>
        <v>coal mining 05</v>
      </c>
      <c r="P173" s="26" t="str">
        <f t="shared" si="61"/>
        <v>Improvement in Eqpt Efficiency Standards</v>
      </c>
      <c r="Q173" s="47">
        <f t="shared" si="56"/>
        <v>0</v>
      </c>
      <c r="R173" s="47">
        <f t="shared" si="57"/>
        <v>0</v>
      </c>
    </row>
    <row r="174" spans="1:18" ht="14.25" x14ac:dyDescent="0.2">
      <c r="A174" s="20">
        <v>2022</v>
      </c>
      <c r="B174" s="26" t="s">
        <v>24</v>
      </c>
      <c r="C174" s="25" t="s">
        <v>103</v>
      </c>
      <c r="D174" s="46">
        <f>SUMIFS(工业节能技术装备推荐目录!K:K,工业节能技术装备推荐目录!C:C,用能设备节能分配!B174,工业节能技术装备推荐目录!F:F,用能设备节能分配!C174,工业节能技术装备推荐目录!A:A,用能设备节能分配!A174)</f>
        <v>0</v>
      </c>
      <c r="E174" s="47">
        <f>SUMIFS(工业节能技术装备推荐目录!L:L,工业节能技术装备推荐目录!C:C,用能设备节能分配!B174,工业节能技术装备推荐目录!F:F,用能设备节能分配!C174,工业节能技术装备推荐目录!A:A,用能设备节能分配!A174)</f>
        <v>0</v>
      </c>
      <c r="M174" s="46">
        <v>2020</v>
      </c>
      <c r="N174" s="26" t="str">
        <f t="shared" si="70"/>
        <v>工业水泵</v>
      </c>
      <c r="O174" s="26" t="str">
        <f>I$51</f>
        <v>oil and gas extraction 06</v>
      </c>
      <c r="P174" s="26" t="str">
        <f t="shared" si="61"/>
        <v>Early Facility Retirement</v>
      </c>
      <c r="Q174" s="47">
        <f t="shared" si="56"/>
        <v>0</v>
      </c>
      <c r="R174" s="47">
        <f t="shared" si="57"/>
        <v>0</v>
      </c>
    </row>
    <row r="175" spans="1:18" ht="14.25" x14ac:dyDescent="0.2">
      <c r="A175" s="20">
        <v>2022</v>
      </c>
      <c r="B175" s="26" t="s">
        <v>24</v>
      </c>
      <c r="C175" s="25" t="s">
        <v>104</v>
      </c>
      <c r="D175" s="46">
        <f>SUMIFS(工业节能技术装备推荐目录!K:K,工业节能技术装备推荐目录!C:C,用能设备节能分配!B175,工业节能技术装备推荐目录!F:F,用能设备节能分配!C175,工业节能技术装备推荐目录!A:A,用能设备节能分配!A175)</f>
        <v>0</v>
      </c>
      <c r="E175" s="47">
        <f>SUMIFS(工业节能技术装备推荐目录!L:L,工业节能技术装备推荐目录!C:C,用能设备节能分配!B175,工业节能技术装备推荐目录!F:F,用能设备节能分配!C175,工业节能技术装备推荐目录!A:A,用能设备节能分配!A175)</f>
        <v>0</v>
      </c>
      <c r="M175" s="46">
        <v>2020</v>
      </c>
      <c r="N175" s="26" t="str">
        <f t="shared" si="70"/>
        <v>工业水泵</v>
      </c>
      <c r="O175" s="26" t="str">
        <f t="shared" ref="O175:O177" si="73">I$51</f>
        <v>oil and gas extraction 06</v>
      </c>
      <c r="P175" s="26" t="str">
        <f t="shared" si="61"/>
        <v>Installation and System Integration</v>
      </c>
      <c r="Q175" s="47">
        <f t="shared" si="56"/>
        <v>0</v>
      </c>
      <c r="R175" s="47">
        <f t="shared" si="57"/>
        <v>0</v>
      </c>
    </row>
    <row r="176" spans="1:18" ht="14.25" x14ac:dyDescent="0.2">
      <c r="A176" s="20">
        <v>2022</v>
      </c>
      <c r="B176" s="26" t="s">
        <v>24</v>
      </c>
      <c r="C176" s="25" t="s">
        <v>102</v>
      </c>
      <c r="D176" s="46">
        <f>SUMIFS(工业节能技术装备推荐目录!K:K,工业节能技术装备推荐目录!C:C,用能设备节能分配!B176,工业节能技术装备推荐目录!F:F,用能设备节能分配!C176,工业节能技术装备推荐目录!A:A,用能设备节能分配!A176)</f>
        <v>0</v>
      </c>
      <c r="E176" s="47">
        <f>SUMIFS(工业节能技术装备推荐目录!L:L,工业节能技术装备推荐目录!C:C,用能设备节能分配!B176,工业节能技术装备推荐目录!F:F,用能设备节能分配!C176,工业节能技术装备推荐目录!A:A,用能设备节能分配!A176)</f>
        <v>0</v>
      </c>
      <c r="M176" s="46">
        <v>2020</v>
      </c>
      <c r="N176" s="26" t="str">
        <f t="shared" si="70"/>
        <v>工业水泵</v>
      </c>
      <c r="O176" s="26" t="str">
        <f t="shared" si="73"/>
        <v>oil and gas extraction 06</v>
      </c>
      <c r="P176" s="26" t="str">
        <f t="shared" si="61"/>
        <v>Cogeneration and Waste Heat Recovery</v>
      </c>
      <c r="Q176" s="47">
        <f t="shared" si="56"/>
        <v>0</v>
      </c>
      <c r="R176" s="47">
        <f t="shared" si="57"/>
        <v>0</v>
      </c>
    </row>
    <row r="177" spans="1:18" ht="14.25" x14ac:dyDescent="0.2">
      <c r="A177" s="20">
        <v>2022</v>
      </c>
      <c r="B177" s="26" t="s">
        <v>24</v>
      </c>
      <c r="C177" s="25" t="s">
        <v>105</v>
      </c>
      <c r="D177" s="46">
        <f>SUMIFS(工业节能技术装备推荐目录!K:K,工业节能技术装备推荐目录!C:C,用能设备节能分配!B177,工业节能技术装备推荐目录!F:F,用能设备节能分配!C177,工业节能技术装备推荐目录!A:A,用能设备节能分配!A177)</f>
        <v>9</v>
      </c>
      <c r="E177" s="47">
        <f>SUMIFS(工业节能技术装备推荐目录!L:L,工业节能技术装备推荐目录!C:C,用能设备节能分配!B177,工业节能技术装备推荐目录!F:F,用能设备节能分配!C177,工业节能技术装备推荐目录!A:A,用能设备节能分配!A177)</f>
        <v>18</v>
      </c>
      <c r="M177" s="46">
        <v>2020</v>
      </c>
      <c r="N177" s="26" t="str">
        <f t="shared" si="70"/>
        <v>工业水泵</v>
      </c>
      <c r="O177" s="26" t="str">
        <f t="shared" si="73"/>
        <v>oil and gas extraction 06</v>
      </c>
      <c r="P177" s="26" t="str">
        <f t="shared" si="61"/>
        <v>Improvement in Eqpt Efficiency Standards</v>
      </c>
      <c r="Q177" s="47">
        <f t="shared" si="56"/>
        <v>0</v>
      </c>
      <c r="R177" s="47">
        <f t="shared" si="57"/>
        <v>0</v>
      </c>
    </row>
    <row r="178" spans="1:18" ht="14.25" x14ac:dyDescent="0.2">
      <c r="A178" s="20">
        <v>2022</v>
      </c>
      <c r="B178" s="26" t="s">
        <v>96</v>
      </c>
      <c r="C178" s="25" t="s">
        <v>103</v>
      </c>
      <c r="D178" s="46">
        <f>SUMIFS(工业节能技术装备推荐目录!K:K,工业节能技术装备推荐目录!C:C,用能设备节能分配!B178,工业节能技术装备推荐目录!F:F,用能设备节能分配!C178,工业节能技术装备推荐目录!A:A,用能设备节能分配!A178)</f>
        <v>0</v>
      </c>
      <c r="E178" s="47">
        <f>SUMIFS(工业节能技术装备推荐目录!L:L,工业节能技术装备推荐目录!C:C,用能设备节能分配!B178,工业节能技术装备推荐目录!F:F,用能设备节能分配!C178,工业节能技术装备推荐目录!A:A,用能设备节能分配!A178)</f>
        <v>0</v>
      </c>
      <c r="M178" s="46">
        <v>2020</v>
      </c>
      <c r="N178" s="26" t="str">
        <f t="shared" si="70"/>
        <v>工业水泵</v>
      </c>
      <c r="O178" s="26" t="str">
        <f>I$52</f>
        <v>other mining and quarrying 07T08</v>
      </c>
      <c r="P178" s="26" t="str">
        <f t="shared" si="61"/>
        <v>Early Facility Retirement</v>
      </c>
      <c r="Q178" s="47">
        <f t="shared" si="56"/>
        <v>0</v>
      </c>
      <c r="R178" s="47">
        <f t="shared" si="57"/>
        <v>0</v>
      </c>
    </row>
    <row r="179" spans="1:18" ht="14.25" x14ac:dyDescent="0.2">
      <c r="A179" s="20">
        <v>2022</v>
      </c>
      <c r="B179" s="26" t="s">
        <v>96</v>
      </c>
      <c r="C179" s="25" t="s">
        <v>104</v>
      </c>
      <c r="D179" s="46">
        <f>SUMIFS(工业节能技术装备推荐目录!K:K,工业节能技术装备推荐目录!C:C,用能设备节能分配!B179,工业节能技术装备推荐目录!F:F,用能设备节能分配!C179,工业节能技术装备推荐目录!A:A,用能设备节能分配!A179)</f>
        <v>0</v>
      </c>
      <c r="E179" s="47">
        <f>SUMIFS(工业节能技术装备推荐目录!L:L,工业节能技术装备推荐目录!C:C,用能设备节能分配!B179,工业节能技术装备推荐目录!F:F,用能设备节能分配!C179,工业节能技术装备推荐目录!A:A,用能设备节能分配!A179)</f>
        <v>0</v>
      </c>
      <c r="M179" s="46">
        <v>2020</v>
      </c>
      <c r="N179" s="26" t="str">
        <f t="shared" si="70"/>
        <v>工业水泵</v>
      </c>
      <c r="O179" s="26" t="str">
        <f t="shared" ref="O179:O181" si="74">I$52</f>
        <v>other mining and quarrying 07T08</v>
      </c>
      <c r="P179" s="26" t="str">
        <f t="shared" si="61"/>
        <v>Installation and System Integration</v>
      </c>
      <c r="Q179" s="47">
        <f t="shared" si="56"/>
        <v>0</v>
      </c>
      <c r="R179" s="47">
        <f t="shared" si="57"/>
        <v>0</v>
      </c>
    </row>
    <row r="180" spans="1:18" ht="14.25" x14ac:dyDescent="0.2">
      <c r="A180" s="20">
        <v>2022</v>
      </c>
      <c r="B180" s="26" t="s">
        <v>96</v>
      </c>
      <c r="C180" s="25" t="s">
        <v>102</v>
      </c>
      <c r="D180" s="46">
        <f>SUMIFS(工业节能技术装备推荐目录!K:K,工业节能技术装备推荐目录!C:C,用能设备节能分配!B180,工业节能技术装备推荐目录!F:F,用能设备节能分配!C180,工业节能技术装备推荐目录!A:A,用能设备节能分配!A180)</f>
        <v>0</v>
      </c>
      <c r="E180" s="47">
        <f>SUMIFS(工业节能技术装备推荐目录!L:L,工业节能技术装备推荐目录!C:C,用能设备节能分配!B180,工业节能技术装备推荐目录!F:F,用能设备节能分配!C180,工业节能技术装备推荐目录!A:A,用能设备节能分配!A180)</f>
        <v>0</v>
      </c>
      <c r="M180" s="46">
        <v>2020</v>
      </c>
      <c r="N180" s="26" t="str">
        <f t="shared" si="70"/>
        <v>工业水泵</v>
      </c>
      <c r="O180" s="26" t="str">
        <f t="shared" si="74"/>
        <v>other mining and quarrying 07T08</v>
      </c>
      <c r="P180" s="26" t="str">
        <f t="shared" si="61"/>
        <v>Cogeneration and Waste Heat Recovery</v>
      </c>
      <c r="Q180" s="47">
        <f t="shared" si="56"/>
        <v>0</v>
      </c>
      <c r="R180" s="47">
        <f t="shared" si="57"/>
        <v>0</v>
      </c>
    </row>
    <row r="181" spans="1:18" ht="14.25" x14ac:dyDescent="0.2">
      <c r="A181" s="20">
        <v>2022</v>
      </c>
      <c r="B181" s="26" t="s">
        <v>96</v>
      </c>
      <c r="C181" s="25" t="s">
        <v>105</v>
      </c>
      <c r="D181" s="46">
        <f>SUMIFS(工业节能技术装备推荐目录!K:K,工业节能技术装备推荐目录!C:C,用能设备节能分配!B181,工业节能技术装备推荐目录!F:F,用能设备节能分配!C181,工业节能技术装备推荐目录!A:A,用能设备节能分配!A181)</f>
        <v>46</v>
      </c>
      <c r="E181" s="47">
        <f>SUMIFS(工业节能技术装备推荐目录!L:L,工业节能技术装备推荐目录!C:C,用能设备节能分配!B181,工业节能技术装备推荐目录!F:F,用能设备节能分配!C181,工业节能技术装备推荐目录!A:A,用能设备节能分配!A181)</f>
        <v>306.66666666666669</v>
      </c>
      <c r="M181" s="46">
        <v>2020</v>
      </c>
      <c r="N181" s="26" t="str">
        <f t="shared" si="70"/>
        <v>工业水泵</v>
      </c>
      <c r="O181" s="26" t="str">
        <f t="shared" si="74"/>
        <v>other mining and quarrying 07T08</v>
      </c>
      <c r="P181" s="26" t="str">
        <f t="shared" si="61"/>
        <v>Improvement in Eqpt Efficiency Standards</v>
      </c>
      <c r="Q181" s="47">
        <f t="shared" si="56"/>
        <v>0</v>
      </c>
      <c r="R181" s="47">
        <f t="shared" si="57"/>
        <v>0</v>
      </c>
    </row>
    <row r="182" spans="1:18" x14ac:dyDescent="0.15">
      <c r="M182" s="46">
        <v>2020</v>
      </c>
      <c r="N182" s="26" t="str">
        <f t="shared" si="70"/>
        <v>工业水泵</v>
      </c>
      <c r="O182" s="26" t="str">
        <f>I$53</f>
        <v>chemicals 20</v>
      </c>
      <c r="P182" s="26" t="str">
        <f t="shared" si="61"/>
        <v>Early Facility Retirement</v>
      </c>
      <c r="Q182" s="47">
        <f t="shared" si="56"/>
        <v>0</v>
      </c>
      <c r="R182" s="47">
        <f t="shared" si="57"/>
        <v>0</v>
      </c>
    </row>
    <row r="183" spans="1:18" x14ac:dyDescent="0.15">
      <c r="M183" s="46">
        <v>2020</v>
      </c>
      <c r="N183" s="26" t="str">
        <f t="shared" si="70"/>
        <v>工业水泵</v>
      </c>
      <c r="O183" s="26" t="str">
        <f t="shared" ref="O183:O185" si="75">I$53</f>
        <v>chemicals 20</v>
      </c>
      <c r="P183" s="26" t="str">
        <f t="shared" si="61"/>
        <v>Installation and System Integration</v>
      </c>
      <c r="Q183" s="47">
        <f t="shared" si="56"/>
        <v>0</v>
      </c>
      <c r="R183" s="47">
        <f t="shared" si="57"/>
        <v>0</v>
      </c>
    </row>
    <row r="184" spans="1:18" x14ac:dyDescent="0.15">
      <c r="M184" s="46">
        <v>2020</v>
      </c>
      <c r="N184" s="26" t="str">
        <f t="shared" si="70"/>
        <v>工业水泵</v>
      </c>
      <c r="O184" s="26" t="str">
        <f t="shared" si="75"/>
        <v>chemicals 20</v>
      </c>
      <c r="P184" s="26" t="str">
        <f t="shared" si="61"/>
        <v>Cogeneration and Waste Heat Recovery</v>
      </c>
      <c r="Q184" s="47">
        <f t="shared" si="56"/>
        <v>0</v>
      </c>
      <c r="R184" s="47">
        <f t="shared" si="57"/>
        <v>0</v>
      </c>
    </row>
    <row r="185" spans="1:18" x14ac:dyDescent="0.15">
      <c r="M185" s="46">
        <v>2020</v>
      </c>
      <c r="N185" s="26" t="str">
        <f t="shared" si="70"/>
        <v>工业水泵</v>
      </c>
      <c r="O185" s="26" t="str">
        <f t="shared" si="75"/>
        <v>chemicals 20</v>
      </c>
      <c r="P185" s="26" t="str">
        <f t="shared" si="61"/>
        <v>Improvement in Eqpt Efficiency Standards</v>
      </c>
      <c r="Q185" s="47">
        <f t="shared" si="56"/>
        <v>0</v>
      </c>
      <c r="R185" s="47">
        <f t="shared" si="57"/>
        <v>0</v>
      </c>
    </row>
    <row r="186" spans="1:18" x14ac:dyDescent="0.15">
      <c r="M186" s="46">
        <v>2020</v>
      </c>
      <c r="N186" s="26" t="str">
        <f t="shared" si="70"/>
        <v>工业水泵</v>
      </c>
      <c r="O186" s="26" t="str">
        <f>I$54</f>
        <v>iron and steel 241</v>
      </c>
      <c r="P186" s="26" t="str">
        <f t="shared" si="61"/>
        <v>Early Facility Retirement</v>
      </c>
      <c r="Q186" s="47">
        <f t="shared" si="56"/>
        <v>0</v>
      </c>
      <c r="R186" s="47">
        <f t="shared" si="57"/>
        <v>0</v>
      </c>
    </row>
    <row r="187" spans="1:18" x14ac:dyDescent="0.15">
      <c r="M187" s="46">
        <v>2020</v>
      </c>
      <c r="N187" s="26" t="str">
        <f t="shared" si="70"/>
        <v>工业水泵</v>
      </c>
      <c r="O187" s="26" t="str">
        <f t="shared" ref="O187:O189" si="76">I$54</f>
        <v>iron and steel 241</v>
      </c>
      <c r="P187" s="26" t="str">
        <f t="shared" si="61"/>
        <v>Installation and System Integration</v>
      </c>
      <c r="Q187" s="47">
        <f t="shared" si="56"/>
        <v>0</v>
      </c>
      <c r="R187" s="47">
        <f t="shared" si="57"/>
        <v>0</v>
      </c>
    </row>
    <row r="188" spans="1:18" x14ac:dyDescent="0.15">
      <c r="M188" s="46">
        <v>2020</v>
      </c>
      <c r="N188" s="26" t="str">
        <f t="shared" si="70"/>
        <v>工业水泵</v>
      </c>
      <c r="O188" s="26" t="str">
        <f t="shared" si="76"/>
        <v>iron and steel 241</v>
      </c>
      <c r="P188" s="26" t="str">
        <f t="shared" si="61"/>
        <v>Cogeneration and Waste Heat Recovery</v>
      </c>
      <c r="Q188" s="47">
        <f t="shared" si="56"/>
        <v>0</v>
      </c>
      <c r="R188" s="47">
        <f t="shared" si="57"/>
        <v>0</v>
      </c>
    </row>
    <row r="189" spans="1:18" x14ac:dyDescent="0.15">
      <c r="M189" s="46">
        <v>2020</v>
      </c>
      <c r="N189" s="26" t="str">
        <f t="shared" si="70"/>
        <v>工业水泵</v>
      </c>
      <c r="O189" s="26" t="str">
        <f t="shared" si="76"/>
        <v>iron and steel 241</v>
      </c>
      <c r="P189" s="26" t="str">
        <f t="shared" si="61"/>
        <v>Improvement in Eqpt Efficiency Standards</v>
      </c>
      <c r="Q189" s="47">
        <f t="shared" si="56"/>
        <v>0</v>
      </c>
      <c r="R189" s="47">
        <f t="shared" si="57"/>
        <v>0</v>
      </c>
    </row>
    <row r="190" spans="1:18" x14ac:dyDescent="0.15">
      <c r="M190" s="46">
        <v>2020</v>
      </c>
      <c r="N190" s="26" t="str">
        <f t="shared" si="70"/>
        <v>工业水泵</v>
      </c>
      <c r="O190" s="26" t="str">
        <f>I$56</f>
        <v>water and waste 36T39</v>
      </c>
      <c r="P190" s="26" t="str">
        <f t="shared" si="61"/>
        <v>Early Facility Retirement</v>
      </c>
      <c r="Q190" s="47">
        <f t="shared" si="56"/>
        <v>0</v>
      </c>
      <c r="R190" s="47">
        <f t="shared" si="57"/>
        <v>0</v>
      </c>
    </row>
    <row r="191" spans="1:18" x14ac:dyDescent="0.15">
      <c r="M191" s="46">
        <v>2020</v>
      </c>
      <c r="N191" s="26" t="str">
        <f t="shared" si="70"/>
        <v>工业水泵</v>
      </c>
      <c r="O191" s="26" t="str">
        <f t="shared" ref="O191:O193" si="77">I$56</f>
        <v>water and waste 36T39</v>
      </c>
      <c r="P191" s="26" t="str">
        <f t="shared" si="61"/>
        <v>Installation and System Integration</v>
      </c>
      <c r="Q191" s="47">
        <f t="shared" si="56"/>
        <v>0</v>
      </c>
      <c r="R191" s="47">
        <f t="shared" si="57"/>
        <v>0</v>
      </c>
    </row>
    <row r="192" spans="1:18" x14ac:dyDescent="0.15">
      <c r="M192" s="46">
        <v>2020</v>
      </c>
      <c r="N192" s="26" t="str">
        <f t="shared" si="70"/>
        <v>工业水泵</v>
      </c>
      <c r="O192" s="26" t="str">
        <f t="shared" si="77"/>
        <v>water and waste 36T39</v>
      </c>
      <c r="P192" s="26" t="str">
        <f t="shared" si="61"/>
        <v>Cogeneration and Waste Heat Recovery</v>
      </c>
      <c r="Q192" s="47">
        <f t="shared" si="56"/>
        <v>0</v>
      </c>
      <c r="R192" s="47">
        <f t="shared" si="57"/>
        <v>0</v>
      </c>
    </row>
    <row r="193" spans="13:18" x14ac:dyDescent="0.15">
      <c r="M193" s="46">
        <v>2020</v>
      </c>
      <c r="N193" s="26" t="str">
        <f t="shared" si="70"/>
        <v>工业水泵</v>
      </c>
      <c r="O193" s="26" t="str">
        <f t="shared" si="77"/>
        <v>water and waste 36T39</v>
      </c>
      <c r="P193" s="26" t="str">
        <f t="shared" si="61"/>
        <v>Improvement in Eqpt Efficiency Standards</v>
      </c>
      <c r="Q193" s="47">
        <f t="shared" si="56"/>
        <v>0</v>
      </c>
      <c r="R193" s="47">
        <f t="shared" si="57"/>
        <v>0</v>
      </c>
    </row>
    <row r="194" spans="13:18" x14ac:dyDescent="0.15">
      <c r="M194" s="46">
        <v>2020</v>
      </c>
      <c r="N194" s="26" t="str">
        <f>G$57</f>
        <v>冷却塔</v>
      </c>
      <c r="O194" s="26" t="str">
        <f>I$57</f>
        <v>refined petroleum and coke 19</v>
      </c>
      <c r="P194" s="26" t="str">
        <f t="shared" si="61"/>
        <v>Early Facility Retirement</v>
      </c>
      <c r="Q194" s="47">
        <f t="shared" ref="Q194:Q257" si="78">SUMIFS(D:D,B:B,N194,C:C,P194,A:A,M194)*SUMIFS(K:K,G:G,N194,I:I,O194)</f>
        <v>0</v>
      </c>
      <c r="R194" s="47">
        <f t="shared" ref="R194:R257" si="79">SUMIFS(E:E,B:B,N194,C:C,P194,A:A,M194)*SUMIFS(K:K,G:G,N194,I:I,O194)</f>
        <v>0</v>
      </c>
    </row>
    <row r="195" spans="13:18" x14ac:dyDescent="0.15">
      <c r="M195" s="46">
        <v>2020</v>
      </c>
      <c r="N195" s="26" t="str">
        <f t="shared" ref="N195:N209" si="80">G$57</f>
        <v>冷却塔</v>
      </c>
      <c r="O195" s="26" t="str">
        <f t="shared" ref="O195:O197" si="81">I$57</f>
        <v>refined petroleum and coke 19</v>
      </c>
      <c r="P195" s="26" t="str">
        <f t="shared" si="61"/>
        <v>Installation and System Integration</v>
      </c>
      <c r="Q195" s="47">
        <f t="shared" si="78"/>
        <v>0</v>
      </c>
      <c r="R195" s="47">
        <f t="shared" si="79"/>
        <v>0</v>
      </c>
    </row>
    <row r="196" spans="13:18" x14ac:dyDescent="0.15">
      <c r="M196" s="46">
        <v>2020</v>
      </c>
      <c r="N196" s="26" t="str">
        <f t="shared" si="80"/>
        <v>冷却塔</v>
      </c>
      <c r="O196" s="26" t="str">
        <f t="shared" si="81"/>
        <v>refined petroleum and coke 19</v>
      </c>
      <c r="P196" s="26" t="str">
        <f t="shared" si="61"/>
        <v>Cogeneration and Waste Heat Recovery</v>
      </c>
      <c r="Q196" s="47">
        <f t="shared" si="78"/>
        <v>0</v>
      </c>
      <c r="R196" s="47">
        <f t="shared" si="79"/>
        <v>0</v>
      </c>
    </row>
    <row r="197" spans="13:18" x14ac:dyDescent="0.15">
      <c r="M197" s="46">
        <v>2020</v>
      </c>
      <c r="N197" s="26" t="str">
        <f t="shared" si="80"/>
        <v>冷却塔</v>
      </c>
      <c r="O197" s="26" t="str">
        <f t="shared" si="81"/>
        <v>refined petroleum and coke 19</v>
      </c>
      <c r="P197" s="26" t="str">
        <f t="shared" si="61"/>
        <v>Improvement in Eqpt Efficiency Standards</v>
      </c>
      <c r="Q197" s="47">
        <f t="shared" si="78"/>
        <v>0</v>
      </c>
      <c r="R197" s="47">
        <f t="shared" si="79"/>
        <v>0</v>
      </c>
    </row>
    <row r="198" spans="13:18" x14ac:dyDescent="0.15">
      <c r="M198" s="46">
        <v>2020</v>
      </c>
      <c r="N198" s="26" t="str">
        <f t="shared" si="80"/>
        <v>冷却塔</v>
      </c>
      <c r="O198" s="26" t="str">
        <f>I$59</f>
        <v>iron and steel 241</v>
      </c>
      <c r="P198" s="26" t="str">
        <f t="shared" si="61"/>
        <v>Early Facility Retirement</v>
      </c>
      <c r="Q198" s="47">
        <f t="shared" si="78"/>
        <v>0</v>
      </c>
      <c r="R198" s="47">
        <f t="shared" si="79"/>
        <v>0</v>
      </c>
    </row>
    <row r="199" spans="13:18" x14ac:dyDescent="0.15">
      <c r="M199" s="46">
        <v>2020</v>
      </c>
      <c r="N199" s="26" t="str">
        <f t="shared" si="80"/>
        <v>冷却塔</v>
      </c>
      <c r="O199" s="26" t="str">
        <f t="shared" ref="O199:O201" si="82">I$59</f>
        <v>iron and steel 241</v>
      </c>
      <c r="P199" s="26" t="str">
        <f t="shared" ref="P199:P262" si="83">P195</f>
        <v>Installation and System Integration</v>
      </c>
      <c r="Q199" s="47">
        <f t="shared" si="78"/>
        <v>0</v>
      </c>
      <c r="R199" s="47">
        <f t="shared" si="79"/>
        <v>0</v>
      </c>
    </row>
    <row r="200" spans="13:18" x14ac:dyDescent="0.15">
      <c r="M200" s="46">
        <v>2020</v>
      </c>
      <c r="N200" s="26" t="str">
        <f t="shared" si="80"/>
        <v>冷却塔</v>
      </c>
      <c r="O200" s="26" t="str">
        <f t="shared" si="82"/>
        <v>iron and steel 241</v>
      </c>
      <c r="P200" s="26" t="str">
        <f t="shared" si="83"/>
        <v>Cogeneration and Waste Heat Recovery</v>
      </c>
      <c r="Q200" s="47">
        <f t="shared" si="78"/>
        <v>0</v>
      </c>
      <c r="R200" s="47">
        <f t="shared" si="79"/>
        <v>0</v>
      </c>
    </row>
    <row r="201" spans="13:18" x14ac:dyDescent="0.15">
      <c r="M201" s="46">
        <v>2020</v>
      </c>
      <c r="N201" s="26" t="str">
        <f t="shared" si="80"/>
        <v>冷却塔</v>
      </c>
      <c r="O201" s="26" t="str">
        <f t="shared" si="82"/>
        <v>iron and steel 241</v>
      </c>
      <c r="P201" s="26" t="str">
        <f t="shared" si="83"/>
        <v>Improvement in Eqpt Efficiency Standards</v>
      </c>
      <c r="Q201" s="47">
        <f t="shared" si="78"/>
        <v>0</v>
      </c>
      <c r="R201" s="47">
        <f t="shared" si="79"/>
        <v>0</v>
      </c>
    </row>
    <row r="202" spans="13:18" x14ac:dyDescent="0.15">
      <c r="M202" s="46">
        <v>2020</v>
      </c>
      <c r="N202" s="26" t="str">
        <f t="shared" si="80"/>
        <v>冷却塔</v>
      </c>
      <c r="O202" s="26" t="str">
        <f>I$60</f>
        <v>food beverage and tobacco 10T12</v>
      </c>
      <c r="P202" s="26" t="str">
        <f t="shared" si="83"/>
        <v>Early Facility Retirement</v>
      </c>
      <c r="Q202" s="47">
        <f t="shared" si="78"/>
        <v>0</v>
      </c>
      <c r="R202" s="47">
        <f t="shared" si="79"/>
        <v>0</v>
      </c>
    </row>
    <row r="203" spans="13:18" x14ac:dyDescent="0.15">
      <c r="M203" s="46">
        <v>2020</v>
      </c>
      <c r="N203" s="26" t="str">
        <f t="shared" si="80"/>
        <v>冷却塔</v>
      </c>
      <c r="O203" s="26" t="str">
        <f t="shared" ref="O203:O205" si="84">I$60</f>
        <v>food beverage and tobacco 10T12</v>
      </c>
      <c r="P203" s="26" t="str">
        <f t="shared" si="83"/>
        <v>Installation and System Integration</v>
      </c>
      <c r="Q203" s="47">
        <f t="shared" si="78"/>
        <v>0</v>
      </c>
      <c r="R203" s="47">
        <f t="shared" si="79"/>
        <v>0</v>
      </c>
    </row>
    <row r="204" spans="13:18" x14ac:dyDescent="0.15">
      <c r="M204" s="46">
        <v>2020</v>
      </c>
      <c r="N204" s="26" t="str">
        <f t="shared" si="80"/>
        <v>冷却塔</v>
      </c>
      <c r="O204" s="26" t="str">
        <f t="shared" si="84"/>
        <v>food beverage and tobacco 10T12</v>
      </c>
      <c r="P204" s="26" t="str">
        <f t="shared" si="83"/>
        <v>Cogeneration and Waste Heat Recovery</v>
      </c>
      <c r="Q204" s="47">
        <f t="shared" si="78"/>
        <v>0</v>
      </c>
      <c r="R204" s="47">
        <f t="shared" si="79"/>
        <v>0</v>
      </c>
    </row>
    <row r="205" spans="13:18" x14ac:dyDescent="0.15">
      <c r="M205" s="46">
        <v>2020</v>
      </c>
      <c r="N205" s="26" t="str">
        <f t="shared" si="80"/>
        <v>冷却塔</v>
      </c>
      <c r="O205" s="26" t="str">
        <f t="shared" si="84"/>
        <v>food beverage and tobacco 10T12</v>
      </c>
      <c r="P205" s="26" t="str">
        <f t="shared" si="83"/>
        <v>Improvement in Eqpt Efficiency Standards</v>
      </c>
      <c r="Q205" s="47">
        <f t="shared" si="78"/>
        <v>0</v>
      </c>
      <c r="R205" s="47">
        <f t="shared" si="79"/>
        <v>0</v>
      </c>
    </row>
    <row r="206" spans="13:18" x14ac:dyDescent="0.15">
      <c r="M206" s="46">
        <v>2020</v>
      </c>
      <c r="N206" s="26" t="str">
        <f t="shared" si="80"/>
        <v>冷却塔</v>
      </c>
      <c r="O206" s="26" t="str">
        <f>I$61</f>
        <v>textiles apparel and leather 13T15</v>
      </c>
      <c r="P206" s="26" t="str">
        <f t="shared" si="83"/>
        <v>Early Facility Retirement</v>
      </c>
      <c r="Q206" s="47">
        <f t="shared" si="78"/>
        <v>0</v>
      </c>
      <c r="R206" s="47">
        <f t="shared" si="79"/>
        <v>0</v>
      </c>
    </row>
    <row r="207" spans="13:18" x14ac:dyDescent="0.15">
      <c r="M207" s="46">
        <v>2020</v>
      </c>
      <c r="N207" s="26" t="str">
        <f t="shared" si="80"/>
        <v>冷却塔</v>
      </c>
      <c r="O207" s="26" t="str">
        <f t="shared" ref="O207:O209" si="85">I$61</f>
        <v>textiles apparel and leather 13T15</v>
      </c>
      <c r="P207" s="26" t="str">
        <f t="shared" si="83"/>
        <v>Installation and System Integration</v>
      </c>
      <c r="Q207" s="47">
        <f t="shared" si="78"/>
        <v>0</v>
      </c>
      <c r="R207" s="47">
        <f t="shared" si="79"/>
        <v>0</v>
      </c>
    </row>
    <row r="208" spans="13:18" x14ac:dyDescent="0.15">
      <c r="M208" s="46">
        <v>2020</v>
      </c>
      <c r="N208" s="26" t="str">
        <f t="shared" si="80"/>
        <v>冷却塔</v>
      </c>
      <c r="O208" s="26" t="str">
        <f t="shared" si="85"/>
        <v>textiles apparel and leather 13T15</v>
      </c>
      <c r="P208" s="26" t="str">
        <f t="shared" si="83"/>
        <v>Cogeneration and Waste Heat Recovery</v>
      </c>
      <c r="Q208" s="47">
        <f t="shared" si="78"/>
        <v>0</v>
      </c>
      <c r="R208" s="47">
        <f t="shared" si="79"/>
        <v>0</v>
      </c>
    </row>
    <row r="209" spans="13:18" x14ac:dyDescent="0.15">
      <c r="M209" s="46">
        <v>2020</v>
      </c>
      <c r="N209" s="26" t="str">
        <f t="shared" si="80"/>
        <v>冷却塔</v>
      </c>
      <c r="O209" s="26" t="str">
        <f t="shared" si="85"/>
        <v>textiles apparel and leather 13T15</v>
      </c>
      <c r="P209" s="26" t="str">
        <f t="shared" si="83"/>
        <v>Improvement in Eqpt Efficiency Standards</v>
      </c>
      <c r="Q209" s="47">
        <f t="shared" si="78"/>
        <v>0</v>
      </c>
      <c r="R209" s="47">
        <f t="shared" si="79"/>
        <v>0</v>
      </c>
    </row>
    <row r="210" spans="13:18" x14ac:dyDescent="0.15">
      <c r="M210" s="46">
        <v>2020</v>
      </c>
      <c r="N210" s="26" t="s">
        <v>63</v>
      </c>
      <c r="O210" s="26" t="str">
        <f>I$66</f>
        <v>agriculture and forestry 01T03</v>
      </c>
      <c r="P210" s="26" t="str">
        <f t="shared" si="83"/>
        <v>Early Facility Retirement</v>
      </c>
      <c r="Q210" s="47">
        <f t="shared" si="78"/>
        <v>0</v>
      </c>
      <c r="R210" s="47">
        <f t="shared" si="79"/>
        <v>0</v>
      </c>
    </row>
    <row r="211" spans="13:18" x14ac:dyDescent="0.15">
      <c r="M211" s="46">
        <v>2020</v>
      </c>
      <c r="N211" s="26" t="s">
        <v>63</v>
      </c>
      <c r="O211" s="26" t="str">
        <f>I$66</f>
        <v>agriculture and forestry 01T03</v>
      </c>
      <c r="P211" s="26" t="str">
        <f t="shared" si="83"/>
        <v>Installation and System Integration</v>
      </c>
      <c r="Q211" s="47">
        <f t="shared" si="78"/>
        <v>0</v>
      </c>
      <c r="R211" s="47">
        <f t="shared" si="79"/>
        <v>0</v>
      </c>
    </row>
    <row r="212" spans="13:18" x14ac:dyDescent="0.15">
      <c r="M212" s="46">
        <v>2020</v>
      </c>
      <c r="N212" s="26" t="s">
        <v>63</v>
      </c>
      <c r="O212" s="26" t="str">
        <f>I$66</f>
        <v>agriculture and forestry 01T03</v>
      </c>
      <c r="P212" s="26" t="str">
        <f t="shared" si="83"/>
        <v>Cogeneration and Waste Heat Recovery</v>
      </c>
      <c r="Q212" s="47">
        <f t="shared" si="78"/>
        <v>0</v>
      </c>
      <c r="R212" s="47">
        <f t="shared" si="79"/>
        <v>0</v>
      </c>
    </row>
    <row r="213" spans="13:18" x14ac:dyDescent="0.15">
      <c r="M213" s="46">
        <v>2020</v>
      </c>
      <c r="N213" s="26" t="s">
        <v>63</v>
      </c>
      <c r="O213" s="26" t="str">
        <f>I$66</f>
        <v>agriculture and forestry 01T03</v>
      </c>
      <c r="P213" s="26" t="str">
        <f t="shared" si="83"/>
        <v>Improvement in Eqpt Efficiency Standards</v>
      </c>
      <c r="Q213" s="47">
        <f t="shared" si="78"/>
        <v>0.55510446514849221</v>
      </c>
      <c r="R213" s="47">
        <f t="shared" si="79"/>
        <v>3.907718418496458</v>
      </c>
    </row>
    <row r="214" spans="13:18" x14ac:dyDescent="0.15">
      <c r="M214" s="46">
        <v>2020</v>
      </c>
      <c r="N214" s="26" t="s">
        <v>63</v>
      </c>
      <c r="O214" s="26" t="str">
        <f>I$67</f>
        <v>coal mining 05</v>
      </c>
      <c r="P214" s="26" t="str">
        <f t="shared" si="83"/>
        <v>Early Facility Retirement</v>
      </c>
      <c r="Q214" s="47">
        <f t="shared" si="78"/>
        <v>0</v>
      </c>
      <c r="R214" s="47">
        <f t="shared" si="79"/>
        <v>0</v>
      </c>
    </row>
    <row r="215" spans="13:18" x14ac:dyDescent="0.15">
      <c r="M215" s="46">
        <v>2020</v>
      </c>
      <c r="N215" s="26" t="s">
        <v>63</v>
      </c>
      <c r="O215" s="26" t="str">
        <f>I$67</f>
        <v>coal mining 05</v>
      </c>
      <c r="P215" s="26" t="str">
        <f t="shared" si="83"/>
        <v>Installation and System Integration</v>
      </c>
      <c r="Q215" s="47">
        <f t="shared" si="78"/>
        <v>0</v>
      </c>
      <c r="R215" s="47">
        <f t="shared" si="79"/>
        <v>0</v>
      </c>
    </row>
    <row r="216" spans="13:18" x14ac:dyDescent="0.15">
      <c r="M216" s="46">
        <v>2020</v>
      </c>
      <c r="N216" s="26" t="s">
        <v>63</v>
      </c>
      <c r="O216" s="26" t="str">
        <f>I$67</f>
        <v>coal mining 05</v>
      </c>
      <c r="P216" s="26" t="str">
        <f t="shared" si="83"/>
        <v>Cogeneration and Waste Heat Recovery</v>
      </c>
      <c r="Q216" s="47">
        <f t="shared" si="78"/>
        <v>0</v>
      </c>
      <c r="R216" s="47">
        <f t="shared" si="79"/>
        <v>0</v>
      </c>
    </row>
    <row r="217" spans="13:18" x14ac:dyDescent="0.15">
      <c r="M217" s="46">
        <v>2020</v>
      </c>
      <c r="N217" s="26" t="s">
        <v>63</v>
      </c>
      <c r="O217" s="26" t="str">
        <f>I$67</f>
        <v>coal mining 05</v>
      </c>
      <c r="P217" s="26" t="str">
        <f t="shared" si="83"/>
        <v>Improvement in Eqpt Efficiency Standards</v>
      </c>
      <c r="Q217" s="47">
        <f t="shared" si="78"/>
        <v>6.1580351845622525</v>
      </c>
      <c r="R217" s="47">
        <f t="shared" si="79"/>
        <v>43.350160237003301</v>
      </c>
    </row>
    <row r="218" spans="13:18" x14ac:dyDescent="0.15">
      <c r="M218" s="46">
        <v>2020</v>
      </c>
      <c r="N218" s="26" t="s">
        <v>63</v>
      </c>
      <c r="O218" s="26" t="str">
        <f>I$68</f>
        <v>oil and gas extraction 06</v>
      </c>
      <c r="P218" s="26" t="str">
        <f t="shared" si="83"/>
        <v>Early Facility Retirement</v>
      </c>
      <c r="Q218" s="47">
        <f t="shared" si="78"/>
        <v>0</v>
      </c>
      <c r="R218" s="47">
        <f t="shared" si="79"/>
        <v>0</v>
      </c>
    </row>
    <row r="219" spans="13:18" x14ac:dyDescent="0.15">
      <c r="M219" s="46">
        <v>2020</v>
      </c>
      <c r="N219" s="26" t="s">
        <v>63</v>
      </c>
      <c r="O219" s="26" t="str">
        <f>I$68</f>
        <v>oil and gas extraction 06</v>
      </c>
      <c r="P219" s="26" t="str">
        <f t="shared" si="83"/>
        <v>Installation and System Integration</v>
      </c>
      <c r="Q219" s="47">
        <f t="shared" si="78"/>
        <v>0</v>
      </c>
      <c r="R219" s="47">
        <f t="shared" si="79"/>
        <v>0</v>
      </c>
    </row>
    <row r="220" spans="13:18" x14ac:dyDescent="0.15">
      <c r="M220" s="46">
        <v>2020</v>
      </c>
      <c r="N220" s="26" t="s">
        <v>63</v>
      </c>
      <c r="O220" s="26" t="str">
        <f>I$68</f>
        <v>oil and gas extraction 06</v>
      </c>
      <c r="P220" s="26" t="str">
        <f t="shared" si="83"/>
        <v>Cogeneration and Waste Heat Recovery</v>
      </c>
      <c r="Q220" s="47">
        <f t="shared" si="78"/>
        <v>0</v>
      </c>
      <c r="R220" s="47">
        <f t="shared" si="79"/>
        <v>0</v>
      </c>
    </row>
    <row r="221" spans="13:18" x14ac:dyDescent="0.15">
      <c r="M221" s="46">
        <v>2020</v>
      </c>
      <c r="N221" s="26" t="s">
        <v>63</v>
      </c>
      <c r="O221" s="26" t="str">
        <f>I$68</f>
        <v>oil and gas extraction 06</v>
      </c>
      <c r="P221" s="26" t="str">
        <f t="shared" si="83"/>
        <v>Improvement in Eqpt Efficiency Standards</v>
      </c>
      <c r="Q221" s="47">
        <f t="shared" si="78"/>
        <v>0.26233853377405525</v>
      </c>
      <c r="R221" s="47">
        <f t="shared" si="79"/>
        <v>1.8467607174372147</v>
      </c>
    </row>
    <row r="222" spans="13:18" x14ac:dyDescent="0.15">
      <c r="M222" s="46">
        <v>2020</v>
      </c>
      <c r="N222" s="26" t="s">
        <v>63</v>
      </c>
      <c r="O222" s="26" t="str">
        <f>I$69</f>
        <v>other mining and quarrying 07T08</v>
      </c>
      <c r="P222" s="26" t="str">
        <f t="shared" si="83"/>
        <v>Early Facility Retirement</v>
      </c>
      <c r="Q222" s="47">
        <f t="shared" si="78"/>
        <v>0</v>
      </c>
      <c r="R222" s="47">
        <f t="shared" si="79"/>
        <v>0</v>
      </c>
    </row>
    <row r="223" spans="13:18" x14ac:dyDescent="0.15">
      <c r="M223" s="46">
        <v>2020</v>
      </c>
      <c r="N223" s="26" t="s">
        <v>63</v>
      </c>
      <c r="O223" s="26" t="str">
        <f>I$69</f>
        <v>other mining and quarrying 07T08</v>
      </c>
      <c r="P223" s="26" t="str">
        <f t="shared" si="83"/>
        <v>Installation and System Integration</v>
      </c>
      <c r="Q223" s="47">
        <f t="shared" si="78"/>
        <v>0</v>
      </c>
      <c r="R223" s="47">
        <f t="shared" si="79"/>
        <v>0</v>
      </c>
    </row>
    <row r="224" spans="13:18" x14ac:dyDescent="0.15">
      <c r="M224" s="46">
        <v>2020</v>
      </c>
      <c r="N224" s="26" t="s">
        <v>63</v>
      </c>
      <c r="O224" s="26" t="str">
        <f>I$69</f>
        <v>other mining and quarrying 07T08</v>
      </c>
      <c r="P224" s="26" t="str">
        <f t="shared" si="83"/>
        <v>Cogeneration and Waste Heat Recovery</v>
      </c>
      <c r="Q224" s="47">
        <f t="shared" si="78"/>
        <v>0</v>
      </c>
      <c r="R224" s="47">
        <f t="shared" si="79"/>
        <v>0</v>
      </c>
    </row>
    <row r="225" spans="13:18" x14ac:dyDescent="0.15">
      <c r="M225" s="46">
        <v>2020</v>
      </c>
      <c r="N225" s="26" t="s">
        <v>63</v>
      </c>
      <c r="O225" s="26" t="str">
        <f>I$69</f>
        <v>other mining and quarrying 07T08</v>
      </c>
      <c r="P225" s="26" t="str">
        <f t="shared" si="83"/>
        <v>Improvement in Eqpt Efficiency Standards</v>
      </c>
      <c r="Q225" s="47">
        <f t="shared" si="78"/>
        <v>0.20838937097167157</v>
      </c>
      <c r="R225" s="47">
        <f t="shared" si="79"/>
        <v>1.4669797025449203</v>
      </c>
    </row>
    <row r="226" spans="13:18" x14ac:dyDescent="0.15">
      <c r="M226" s="46">
        <v>2020</v>
      </c>
      <c r="N226" s="26" t="s">
        <v>63</v>
      </c>
      <c r="O226" s="26" t="str">
        <f>I$70</f>
        <v>food beverage and tobacco 10T12</v>
      </c>
      <c r="P226" s="26" t="str">
        <f t="shared" si="83"/>
        <v>Early Facility Retirement</v>
      </c>
      <c r="Q226" s="47">
        <f t="shared" si="78"/>
        <v>0</v>
      </c>
      <c r="R226" s="47">
        <f t="shared" si="79"/>
        <v>0</v>
      </c>
    </row>
    <row r="227" spans="13:18" x14ac:dyDescent="0.15">
      <c r="M227" s="46">
        <v>2020</v>
      </c>
      <c r="N227" s="26" t="s">
        <v>63</v>
      </c>
      <c r="O227" s="26" t="str">
        <f>I$70</f>
        <v>food beverage and tobacco 10T12</v>
      </c>
      <c r="P227" s="26" t="str">
        <f t="shared" si="83"/>
        <v>Installation and System Integration</v>
      </c>
      <c r="Q227" s="47">
        <f t="shared" si="78"/>
        <v>0</v>
      </c>
      <c r="R227" s="47">
        <f t="shared" si="79"/>
        <v>0</v>
      </c>
    </row>
    <row r="228" spans="13:18" x14ac:dyDescent="0.15">
      <c r="M228" s="46">
        <v>2020</v>
      </c>
      <c r="N228" s="26" t="s">
        <v>63</v>
      </c>
      <c r="O228" s="26" t="str">
        <f>I$70</f>
        <v>food beverage and tobacco 10T12</v>
      </c>
      <c r="P228" s="26" t="str">
        <f t="shared" si="83"/>
        <v>Cogeneration and Waste Heat Recovery</v>
      </c>
      <c r="Q228" s="47">
        <f t="shared" si="78"/>
        <v>0</v>
      </c>
      <c r="R228" s="47">
        <f t="shared" si="79"/>
        <v>0</v>
      </c>
    </row>
    <row r="229" spans="13:18" x14ac:dyDescent="0.15">
      <c r="M229" s="46">
        <v>2020</v>
      </c>
      <c r="N229" s="26" t="s">
        <v>63</v>
      </c>
      <c r="O229" s="26" t="str">
        <f>I$70</f>
        <v>food beverage and tobacco 10T12</v>
      </c>
      <c r="P229" s="26" t="str">
        <f t="shared" si="83"/>
        <v>Improvement in Eqpt Efficiency Standards</v>
      </c>
      <c r="Q229" s="47">
        <f t="shared" si="78"/>
        <v>0.5088990950729152</v>
      </c>
      <c r="R229" s="47">
        <f t="shared" si="79"/>
        <v>3.5824506769922038</v>
      </c>
    </row>
    <row r="230" spans="13:18" x14ac:dyDescent="0.15">
      <c r="M230" s="46">
        <v>2020</v>
      </c>
      <c r="N230" s="26" t="s">
        <v>63</v>
      </c>
      <c r="O230" s="26" t="str">
        <f>I$71</f>
        <v>textiles apparel and leather 13T15</v>
      </c>
      <c r="P230" s="26" t="str">
        <f t="shared" si="83"/>
        <v>Early Facility Retirement</v>
      </c>
      <c r="Q230" s="47">
        <f t="shared" si="78"/>
        <v>0</v>
      </c>
      <c r="R230" s="47">
        <f t="shared" si="79"/>
        <v>0</v>
      </c>
    </row>
    <row r="231" spans="13:18" x14ac:dyDescent="0.15">
      <c r="M231" s="46">
        <v>2020</v>
      </c>
      <c r="N231" s="26" t="s">
        <v>63</v>
      </c>
      <c r="O231" s="26" t="str">
        <f>I$71</f>
        <v>textiles apparel and leather 13T15</v>
      </c>
      <c r="P231" s="26" t="str">
        <f t="shared" si="83"/>
        <v>Installation and System Integration</v>
      </c>
      <c r="Q231" s="47">
        <f t="shared" si="78"/>
        <v>0</v>
      </c>
      <c r="R231" s="47">
        <f t="shared" si="79"/>
        <v>0</v>
      </c>
    </row>
    <row r="232" spans="13:18" x14ac:dyDescent="0.15">
      <c r="M232" s="46">
        <v>2020</v>
      </c>
      <c r="N232" s="26" t="s">
        <v>63</v>
      </c>
      <c r="O232" s="26" t="str">
        <f>I$71</f>
        <v>textiles apparel and leather 13T15</v>
      </c>
      <c r="P232" s="26" t="str">
        <f t="shared" si="83"/>
        <v>Cogeneration and Waste Heat Recovery</v>
      </c>
      <c r="Q232" s="47">
        <f t="shared" si="78"/>
        <v>0</v>
      </c>
      <c r="R232" s="47">
        <f t="shared" si="79"/>
        <v>0</v>
      </c>
    </row>
    <row r="233" spans="13:18" x14ac:dyDescent="0.15">
      <c r="M233" s="46">
        <v>2020</v>
      </c>
      <c r="N233" s="26" t="s">
        <v>63</v>
      </c>
      <c r="O233" s="26" t="str">
        <f>I$71</f>
        <v>textiles apparel and leather 13T15</v>
      </c>
      <c r="P233" s="26" t="str">
        <f t="shared" si="83"/>
        <v>Improvement in Eqpt Efficiency Standards</v>
      </c>
      <c r="Q233" s="47">
        <f t="shared" si="78"/>
        <v>0.46048508599360183</v>
      </c>
      <c r="R233" s="47">
        <f t="shared" si="79"/>
        <v>3.2416349803613373</v>
      </c>
    </row>
    <row r="234" spans="13:18" x14ac:dyDescent="0.15">
      <c r="M234" s="46">
        <v>2020</v>
      </c>
      <c r="N234" s="26" t="s">
        <v>63</v>
      </c>
      <c r="O234" s="26" t="str">
        <f>I$72</f>
        <v>wood products 16</v>
      </c>
      <c r="P234" s="26" t="str">
        <f t="shared" si="83"/>
        <v>Early Facility Retirement</v>
      </c>
      <c r="Q234" s="47">
        <f t="shared" si="78"/>
        <v>0</v>
      </c>
      <c r="R234" s="47">
        <f t="shared" si="79"/>
        <v>0</v>
      </c>
    </row>
    <row r="235" spans="13:18" x14ac:dyDescent="0.15">
      <c r="M235" s="46">
        <v>2020</v>
      </c>
      <c r="N235" s="26" t="s">
        <v>63</v>
      </c>
      <c r="O235" s="26" t="str">
        <f>I$72</f>
        <v>wood products 16</v>
      </c>
      <c r="P235" s="26" t="str">
        <f t="shared" si="83"/>
        <v>Installation and System Integration</v>
      </c>
      <c r="Q235" s="47">
        <f t="shared" si="78"/>
        <v>0</v>
      </c>
      <c r="R235" s="47">
        <f t="shared" si="79"/>
        <v>0</v>
      </c>
    </row>
    <row r="236" spans="13:18" x14ac:dyDescent="0.15">
      <c r="M236" s="46">
        <v>2020</v>
      </c>
      <c r="N236" s="26" t="s">
        <v>63</v>
      </c>
      <c r="O236" s="26" t="str">
        <f>I$72</f>
        <v>wood products 16</v>
      </c>
      <c r="P236" s="26" t="str">
        <f t="shared" si="83"/>
        <v>Cogeneration and Waste Heat Recovery</v>
      </c>
      <c r="Q236" s="47">
        <f t="shared" si="78"/>
        <v>0</v>
      </c>
      <c r="R236" s="47">
        <f t="shared" si="79"/>
        <v>0</v>
      </c>
    </row>
    <row r="237" spans="13:18" x14ac:dyDescent="0.15">
      <c r="M237" s="46">
        <v>2020</v>
      </c>
      <c r="N237" s="26" t="s">
        <v>63</v>
      </c>
      <c r="O237" s="26" t="str">
        <f>I$72</f>
        <v>wood products 16</v>
      </c>
      <c r="P237" s="26" t="str">
        <f t="shared" si="83"/>
        <v>Improvement in Eqpt Efficiency Standards</v>
      </c>
      <c r="Q237" s="47">
        <f t="shared" si="78"/>
        <v>6.8276047057704237E-2</v>
      </c>
      <c r="R237" s="47">
        <f t="shared" si="79"/>
        <v>0.48063667900446627</v>
      </c>
    </row>
    <row r="238" spans="13:18" x14ac:dyDescent="0.15">
      <c r="M238" s="46">
        <v>2020</v>
      </c>
      <c r="N238" s="26" t="s">
        <v>63</v>
      </c>
      <c r="O238" s="26" t="str">
        <f>I$73</f>
        <v>pulp paper and printing 17T18</v>
      </c>
      <c r="P238" s="26" t="str">
        <f t="shared" si="83"/>
        <v>Early Facility Retirement</v>
      </c>
      <c r="Q238" s="47">
        <f t="shared" si="78"/>
        <v>0</v>
      </c>
      <c r="R238" s="47">
        <f t="shared" si="79"/>
        <v>0</v>
      </c>
    </row>
    <row r="239" spans="13:18" x14ac:dyDescent="0.15">
      <c r="M239" s="46">
        <v>2020</v>
      </c>
      <c r="N239" s="26" t="s">
        <v>63</v>
      </c>
      <c r="O239" s="26" t="str">
        <f>I$73</f>
        <v>pulp paper and printing 17T18</v>
      </c>
      <c r="P239" s="26" t="str">
        <f t="shared" si="83"/>
        <v>Installation and System Integration</v>
      </c>
      <c r="Q239" s="47">
        <f t="shared" si="78"/>
        <v>0</v>
      </c>
      <c r="R239" s="47">
        <f t="shared" si="79"/>
        <v>0</v>
      </c>
    </row>
    <row r="240" spans="13:18" x14ac:dyDescent="0.15">
      <c r="M240" s="46">
        <v>2020</v>
      </c>
      <c r="N240" s="26" t="s">
        <v>63</v>
      </c>
      <c r="O240" s="26" t="str">
        <f>I$73</f>
        <v>pulp paper and printing 17T18</v>
      </c>
      <c r="P240" s="26" t="str">
        <f t="shared" si="83"/>
        <v>Cogeneration and Waste Heat Recovery</v>
      </c>
      <c r="Q240" s="47">
        <f t="shared" si="78"/>
        <v>0</v>
      </c>
      <c r="R240" s="47">
        <f t="shared" si="79"/>
        <v>0</v>
      </c>
    </row>
    <row r="241" spans="13:18" x14ac:dyDescent="0.15">
      <c r="M241" s="46">
        <v>2020</v>
      </c>
      <c r="N241" s="26" t="s">
        <v>63</v>
      </c>
      <c r="O241" s="26" t="str">
        <f>I$73</f>
        <v>pulp paper and printing 17T18</v>
      </c>
      <c r="P241" s="26" t="str">
        <f t="shared" si="83"/>
        <v>Improvement in Eqpt Efficiency Standards</v>
      </c>
      <c r="Q241" s="47">
        <f t="shared" si="78"/>
        <v>0.29215986767986363</v>
      </c>
      <c r="R241" s="47">
        <f t="shared" si="79"/>
        <v>2.0566912495879288</v>
      </c>
    </row>
    <row r="242" spans="13:18" x14ac:dyDescent="0.15">
      <c r="M242" s="46">
        <v>2020</v>
      </c>
      <c r="N242" s="26" t="s">
        <v>63</v>
      </c>
      <c r="O242" s="26" t="str">
        <f>I$74</f>
        <v>refined petroleum and coke 19</v>
      </c>
      <c r="P242" s="26" t="str">
        <f t="shared" si="83"/>
        <v>Early Facility Retirement</v>
      </c>
      <c r="Q242" s="47">
        <f t="shared" si="78"/>
        <v>0</v>
      </c>
      <c r="R242" s="47">
        <f t="shared" si="79"/>
        <v>0</v>
      </c>
    </row>
    <row r="243" spans="13:18" x14ac:dyDescent="0.15">
      <c r="M243" s="46">
        <v>2020</v>
      </c>
      <c r="N243" s="26" t="s">
        <v>63</v>
      </c>
      <c r="O243" s="26" t="str">
        <f>I$74</f>
        <v>refined petroleum and coke 19</v>
      </c>
      <c r="P243" s="26" t="str">
        <f t="shared" si="83"/>
        <v>Installation and System Integration</v>
      </c>
      <c r="Q243" s="47">
        <f t="shared" si="78"/>
        <v>0</v>
      </c>
      <c r="R243" s="47">
        <f t="shared" si="79"/>
        <v>0</v>
      </c>
    </row>
    <row r="244" spans="13:18" x14ac:dyDescent="0.15">
      <c r="M244" s="46">
        <v>2020</v>
      </c>
      <c r="N244" s="26" t="s">
        <v>63</v>
      </c>
      <c r="O244" s="26" t="str">
        <f>I$74</f>
        <v>refined petroleum and coke 19</v>
      </c>
      <c r="P244" s="26" t="str">
        <f t="shared" si="83"/>
        <v>Cogeneration and Waste Heat Recovery</v>
      </c>
      <c r="Q244" s="47">
        <f t="shared" si="78"/>
        <v>0</v>
      </c>
      <c r="R244" s="47">
        <f t="shared" si="79"/>
        <v>0</v>
      </c>
    </row>
    <row r="245" spans="13:18" x14ac:dyDescent="0.15">
      <c r="M245" s="46">
        <v>2020</v>
      </c>
      <c r="N245" s="26" t="s">
        <v>63</v>
      </c>
      <c r="O245" s="26" t="str">
        <f>I$74</f>
        <v>refined petroleum and coke 19</v>
      </c>
      <c r="P245" s="26" t="str">
        <f t="shared" si="83"/>
        <v>Improvement in Eqpt Efficiency Standards</v>
      </c>
      <c r="Q245" s="47">
        <f t="shared" si="78"/>
        <v>18.253483195255466</v>
      </c>
      <c r="R245" s="47">
        <f t="shared" si="79"/>
        <v>128.49738555919291</v>
      </c>
    </row>
    <row r="246" spans="13:18" x14ac:dyDescent="0.15">
      <c r="M246" s="46">
        <v>2020</v>
      </c>
      <c r="N246" s="26" t="s">
        <v>63</v>
      </c>
      <c r="O246" s="26" t="str">
        <f>I$75</f>
        <v>chemicals 20</v>
      </c>
      <c r="P246" s="26" t="str">
        <f t="shared" si="83"/>
        <v>Early Facility Retirement</v>
      </c>
      <c r="Q246" s="47">
        <f t="shared" si="78"/>
        <v>0</v>
      </c>
      <c r="R246" s="47">
        <f t="shared" si="79"/>
        <v>0</v>
      </c>
    </row>
    <row r="247" spans="13:18" x14ac:dyDescent="0.15">
      <c r="M247" s="46">
        <v>2020</v>
      </c>
      <c r="N247" s="26" t="s">
        <v>63</v>
      </c>
      <c r="O247" s="26" t="str">
        <f>I$75</f>
        <v>chemicals 20</v>
      </c>
      <c r="P247" s="26" t="str">
        <f t="shared" si="83"/>
        <v>Installation and System Integration</v>
      </c>
      <c r="Q247" s="47">
        <f t="shared" si="78"/>
        <v>0</v>
      </c>
      <c r="R247" s="47">
        <f t="shared" si="79"/>
        <v>0</v>
      </c>
    </row>
    <row r="248" spans="13:18" x14ac:dyDescent="0.15">
      <c r="M248" s="46">
        <v>2020</v>
      </c>
      <c r="N248" s="26" t="s">
        <v>63</v>
      </c>
      <c r="O248" s="26" t="str">
        <f>I$75</f>
        <v>chemicals 20</v>
      </c>
      <c r="P248" s="26" t="str">
        <f t="shared" si="83"/>
        <v>Cogeneration and Waste Heat Recovery</v>
      </c>
      <c r="Q248" s="47">
        <f t="shared" si="78"/>
        <v>0</v>
      </c>
      <c r="R248" s="47">
        <f t="shared" si="79"/>
        <v>0</v>
      </c>
    </row>
    <row r="249" spans="13:18" x14ac:dyDescent="0.15">
      <c r="M249" s="46">
        <v>2020</v>
      </c>
      <c r="N249" s="26" t="s">
        <v>63</v>
      </c>
      <c r="O249" s="26" t="str">
        <f>I$75</f>
        <v>chemicals 20</v>
      </c>
      <c r="P249" s="26" t="str">
        <f t="shared" si="83"/>
        <v>Improvement in Eqpt Efficiency Standards</v>
      </c>
      <c r="Q249" s="47">
        <f t="shared" si="78"/>
        <v>3.9486860065548441</v>
      </c>
      <c r="R249" s="47">
        <f t="shared" si="79"/>
        <v>27.797205761164115</v>
      </c>
    </row>
    <row r="250" spans="13:18" x14ac:dyDescent="0.15">
      <c r="M250" s="46">
        <v>2020</v>
      </c>
      <c r="N250" s="26" t="s">
        <v>63</v>
      </c>
      <c r="O250" s="26" t="str">
        <f>I$76</f>
        <v>rubber and plastic products 22</v>
      </c>
      <c r="P250" s="26" t="str">
        <f t="shared" si="83"/>
        <v>Early Facility Retirement</v>
      </c>
      <c r="Q250" s="47">
        <f t="shared" si="78"/>
        <v>0</v>
      </c>
      <c r="R250" s="47">
        <f t="shared" si="79"/>
        <v>0</v>
      </c>
    </row>
    <row r="251" spans="13:18" x14ac:dyDescent="0.15">
      <c r="M251" s="46">
        <v>2020</v>
      </c>
      <c r="N251" s="26" t="s">
        <v>63</v>
      </c>
      <c r="O251" s="26" t="str">
        <f>I$76</f>
        <v>rubber and plastic products 22</v>
      </c>
      <c r="P251" s="26" t="str">
        <f t="shared" si="83"/>
        <v>Installation and System Integration</v>
      </c>
      <c r="Q251" s="47">
        <f t="shared" si="78"/>
        <v>0</v>
      </c>
      <c r="R251" s="47">
        <f t="shared" si="79"/>
        <v>0</v>
      </c>
    </row>
    <row r="252" spans="13:18" x14ac:dyDescent="0.15">
      <c r="M252" s="46">
        <v>2020</v>
      </c>
      <c r="N252" s="26" t="s">
        <v>63</v>
      </c>
      <c r="O252" s="26" t="str">
        <f>I$76</f>
        <v>rubber and plastic products 22</v>
      </c>
      <c r="P252" s="26" t="str">
        <f t="shared" si="83"/>
        <v>Cogeneration and Waste Heat Recovery</v>
      </c>
      <c r="Q252" s="47">
        <f t="shared" si="78"/>
        <v>0</v>
      </c>
      <c r="R252" s="47">
        <f t="shared" si="79"/>
        <v>0</v>
      </c>
    </row>
    <row r="253" spans="13:18" x14ac:dyDescent="0.15">
      <c r="M253" s="46">
        <v>2020</v>
      </c>
      <c r="N253" s="26" t="s">
        <v>63</v>
      </c>
      <c r="O253" s="26" t="str">
        <f>I$76</f>
        <v>rubber and plastic products 22</v>
      </c>
      <c r="P253" s="26" t="str">
        <f t="shared" si="83"/>
        <v>Improvement in Eqpt Efficiency Standards</v>
      </c>
      <c r="Q253" s="47">
        <f t="shared" si="78"/>
        <v>0.21558210607125028</v>
      </c>
      <c r="R253" s="47">
        <f t="shared" si="79"/>
        <v>1.517613745671327</v>
      </c>
    </row>
    <row r="254" spans="13:18" x14ac:dyDescent="0.15">
      <c r="M254" s="46">
        <v>2020</v>
      </c>
      <c r="N254" s="26" t="s">
        <v>63</v>
      </c>
      <c r="O254" s="26" t="str">
        <f>I$77</f>
        <v>glass and glass products 231</v>
      </c>
      <c r="P254" s="26" t="str">
        <f t="shared" si="83"/>
        <v>Early Facility Retirement</v>
      </c>
      <c r="Q254" s="47">
        <f t="shared" si="78"/>
        <v>0</v>
      </c>
      <c r="R254" s="47">
        <f t="shared" si="79"/>
        <v>0</v>
      </c>
    </row>
    <row r="255" spans="13:18" x14ac:dyDescent="0.15">
      <c r="M255" s="46">
        <v>2020</v>
      </c>
      <c r="N255" s="26" t="s">
        <v>63</v>
      </c>
      <c r="O255" s="26" t="str">
        <f>I$77</f>
        <v>glass and glass products 231</v>
      </c>
      <c r="P255" s="26" t="str">
        <f t="shared" si="83"/>
        <v>Installation and System Integration</v>
      </c>
      <c r="Q255" s="47">
        <f t="shared" si="78"/>
        <v>0</v>
      </c>
      <c r="R255" s="47">
        <f t="shared" si="79"/>
        <v>0</v>
      </c>
    </row>
    <row r="256" spans="13:18" x14ac:dyDescent="0.15">
      <c r="M256" s="46">
        <v>2020</v>
      </c>
      <c r="N256" s="26" t="s">
        <v>63</v>
      </c>
      <c r="O256" s="26" t="str">
        <f>I$77</f>
        <v>glass and glass products 231</v>
      </c>
      <c r="P256" s="26" t="str">
        <f t="shared" si="83"/>
        <v>Cogeneration and Waste Heat Recovery</v>
      </c>
      <c r="Q256" s="47">
        <f t="shared" si="78"/>
        <v>0</v>
      </c>
      <c r="R256" s="47">
        <f t="shared" si="79"/>
        <v>0</v>
      </c>
    </row>
    <row r="257" spans="13:18" x14ac:dyDescent="0.15">
      <c r="M257" s="46">
        <v>2020</v>
      </c>
      <c r="N257" s="26" t="s">
        <v>63</v>
      </c>
      <c r="O257" s="26" t="str">
        <f>I$77</f>
        <v>glass and glass products 231</v>
      </c>
      <c r="P257" s="26" t="str">
        <f t="shared" si="83"/>
        <v>Improvement in Eqpt Efficiency Standards</v>
      </c>
      <c r="Q257" s="47">
        <f t="shared" si="78"/>
        <v>9.3411132885780221E-2</v>
      </c>
      <c r="R257" s="47">
        <f t="shared" si="79"/>
        <v>0.65757785676023772</v>
      </c>
    </row>
    <row r="258" spans="13:18" x14ac:dyDescent="0.15">
      <c r="M258" s="46">
        <v>2020</v>
      </c>
      <c r="N258" s="26" t="s">
        <v>63</v>
      </c>
      <c r="O258" s="26" t="str">
        <f>I$78</f>
        <v>cement and other nonmetallic minerals 239</v>
      </c>
      <c r="P258" s="26" t="str">
        <f t="shared" si="83"/>
        <v>Early Facility Retirement</v>
      </c>
      <c r="Q258" s="47">
        <f t="shared" ref="Q258:Q321" si="86">SUMIFS(D:D,B:B,N258,C:C,P258,A:A,M258)*SUMIFS(K:K,G:G,N258,I:I,O258)</f>
        <v>0</v>
      </c>
      <c r="R258" s="47">
        <f t="shared" ref="R258:R321" si="87">SUMIFS(E:E,B:B,N258,C:C,P258,A:A,M258)*SUMIFS(K:K,G:G,N258,I:I,O258)</f>
        <v>0</v>
      </c>
    </row>
    <row r="259" spans="13:18" x14ac:dyDescent="0.15">
      <c r="M259" s="46">
        <v>2020</v>
      </c>
      <c r="N259" s="26" t="s">
        <v>63</v>
      </c>
      <c r="O259" s="26" t="str">
        <f>I$78</f>
        <v>cement and other nonmetallic minerals 239</v>
      </c>
      <c r="P259" s="26" t="str">
        <f t="shared" si="83"/>
        <v>Installation and System Integration</v>
      </c>
      <c r="Q259" s="47">
        <f t="shared" si="86"/>
        <v>0</v>
      </c>
      <c r="R259" s="47">
        <f t="shared" si="87"/>
        <v>0</v>
      </c>
    </row>
    <row r="260" spans="13:18" x14ac:dyDescent="0.15">
      <c r="M260" s="46">
        <v>2020</v>
      </c>
      <c r="N260" s="26" t="s">
        <v>63</v>
      </c>
      <c r="O260" s="26" t="str">
        <f>I$78</f>
        <v>cement and other nonmetallic minerals 239</v>
      </c>
      <c r="P260" s="26" t="str">
        <f t="shared" si="83"/>
        <v>Cogeneration and Waste Heat Recovery</v>
      </c>
      <c r="Q260" s="47">
        <f t="shared" si="86"/>
        <v>0</v>
      </c>
      <c r="R260" s="47">
        <f t="shared" si="87"/>
        <v>0</v>
      </c>
    </row>
    <row r="261" spans="13:18" x14ac:dyDescent="0.15">
      <c r="M261" s="46">
        <v>2020</v>
      </c>
      <c r="N261" s="26" t="s">
        <v>63</v>
      </c>
      <c r="O261" s="26" t="str">
        <f>I$78</f>
        <v>cement and other nonmetallic minerals 239</v>
      </c>
      <c r="P261" s="26" t="str">
        <f t="shared" si="83"/>
        <v>Improvement in Eqpt Efficiency Standards</v>
      </c>
      <c r="Q261" s="47">
        <f t="shared" si="86"/>
        <v>2.2897748688796398</v>
      </c>
      <c r="R261" s="47">
        <f t="shared" si="87"/>
        <v>16.119119897437173</v>
      </c>
    </row>
    <row r="262" spans="13:18" x14ac:dyDescent="0.15">
      <c r="M262" s="46">
        <v>2020</v>
      </c>
      <c r="N262" s="26" t="s">
        <v>63</v>
      </c>
      <c r="O262" s="26" t="str">
        <f>I$79</f>
        <v>iron and steel 241</v>
      </c>
      <c r="P262" s="26" t="str">
        <f t="shared" si="83"/>
        <v>Early Facility Retirement</v>
      </c>
      <c r="Q262" s="47">
        <f t="shared" si="86"/>
        <v>0</v>
      </c>
      <c r="R262" s="47">
        <f t="shared" si="87"/>
        <v>0</v>
      </c>
    </row>
    <row r="263" spans="13:18" x14ac:dyDescent="0.15">
      <c r="M263" s="46">
        <v>2020</v>
      </c>
      <c r="N263" s="26" t="s">
        <v>63</v>
      </c>
      <c r="O263" s="26" t="str">
        <f>I$79</f>
        <v>iron and steel 241</v>
      </c>
      <c r="P263" s="26" t="str">
        <f t="shared" ref="P263:P326" si="88">P259</f>
        <v>Installation and System Integration</v>
      </c>
      <c r="Q263" s="47">
        <f t="shared" si="86"/>
        <v>0</v>
      </c>
      <c r="R263" s="47">
        <f t="shared" si="87"/>
        <v>0</v>
      </c>
    </row>
    <row r="264" spans="13:18" x14ac:dyDescent="0.15">
      <c r="M264" s="46">
        <v>2020</v>
      </c>
      <c r="N264" s="26" t="s">
        <v>63</v>
      </c>
      <c r="O264" s="26" t="str">
        <f>I$79</f>
        <v>iron and steel 241</v>
      </c>
      <c r="P264" s="26" t="str">
        <f t="shared" si="88"/>
        <v>Cogeneration and Waste Heat Recovery</v>
      </c>
      <c r="Q264" s="47">
        <f t="shared" si="86"/>
        <v>0</v>
      </c>
      <c r="R264" s="47">
        <f t="shared" si="87"/>
        <v>0</v>
      </c>
    </row>
    <row r="265" spans="13:18" x14ac:dyDescent="0.15">
      <c r="M265" s="46">
        <v>2020</v>
      </c>
      <c r="N265" s="26" t="s">
        <v>63</v>
      </c>
      <c r="O265" s="26" t="str">
        <f>I$79</f>
        <v>iron and steel 241</v>
      </c>
      <c r="P265" s="26" t="str">
        <f t="shared" si="88"/>
        <v>Improvement in Eqpt Efficiency Standards</v>
      </c>
      <c r="Q265" s="47">
        <f t="shared" si="86"/>
        <v>6.4326908601073809</v>
      </c>
      <c r="R265" s="47">
        <f t="shared" si="87"/>
        <v>45.283628817165379</v>
      </c>
    </row>
    <row r="266" spans="13:18" x14ac:dyDescent="0.15">
      <c r="M266" s="46">
        <v>2020</v>
      </c>
      <c r="N266" s="26" t="s">
        <v>63</v>
      </c>
      <c r="O266" s="26" t="str">
        <f>I$80</f>
        <v>other metals 242</v>
      </c>
      <c r="P266" s="26" t="str">
        <f t="shared" si="88"/>
        <v>Early Facility Retirement</v>
      </c>
      <c r="Q266" s="47">
        <f t="shared" si="86"/>
        <v>0</v>
      </c>
      <c r="R266" s="47">
        <f t="shared" si="87"/>
        <v>0</v>
      </c>
    </row>
    <row r="267" spans="13:18" x14ac:dyDescent="0.15">
      <c r="M267" s="46">
        <v>2020</v>
      </c>
      <c r="N267" s="26" t="s">
        <v>63</v>
      </c>
      <c r="O267" s="26" t="str">
        <f>I$80</f>
        <v>other metals 242</v>
      </c>
      <c r="P267" s="26" t="str">
        <f t="shared" si="88"/>
        <v>Installation and System Integration</v>
      </c>
      <c r="Q267" s="47">
        <f t="shared" si="86"/>
        <v>0</v>
      </c>
      <c r="R267" s="47">
        <f t="shared" si="87"/>
        <v>0</v>
      </c>
    </row>
    <row r="268" spans="13:18" x14ac:dyDescent="0.15">
      <c r="M268" s="46">
        <v>2020</v>
      </c>
      <c r="N268" s="26" t="s">
        <v>63</v>
      </c>
      <c r="O268" s="26" t="str">
        <f>I$80</f>
        <v>other metals 242</v>
      </c>
      <c r="P268" s="26" t="str">
        <f t="shared" si="88"/>
        <v>Cogeneration and Waste Heat Recovery</v>
      </c>
      <c r="Q268" s="47">
        <f t="shared" si="86"/>
        <v>0</v>
      </c>
      <c r="R268" s="47">
        <f t="shared" si="87"/>
        <v>0</v>
      </c>
    </row>
    <row r="269" spans="13:18" x14ac:dyDescent="0.15">
      <c r="M269" s="46">
        <v>2020</v>
      </c>
      <c r="N269" s="26" t="s">
        <v>63</v>
      </c>
      <c r="O269" s="26" t="str">
        <f>I$80</f>
        <v>other metals 242</v>
      </c>
      <c r="P269" s="26" t="str">
        <f t="shared" si="88"/>
        <v>Improvement in Eqpt Efficiency Standards</v>
      </c>
      <c r="Q269" s="47">
        <f t="shared" si="86"/>
        <v>1.1453991305673901</v>
      </c>
      <c r="R269" s="47">
        <f t="shared" si="87"/>
        <v>8.06316208941087</v>
      </c>
    </row>
    <row r="270" spans="13:18" x14ac:dyDescent="0.15">
      <c r="M270" s="46">
        <v>2020</v>
      </c>
      <c r="N270" s="26" t="s">
        <v>63</v>
      </c>
      <c r="O270" s="26" t="str">
        <f>I$81</f>
        <v>metal products except machinery and vehicles 25</v>
      </c>
      <c r="P270" s="26" t="str">
        <f t="shared" si="88"/>
        <v>Early Facility Retirement</v>
      </c>
      <c r="Q270" s="47">
        <f t="shared" si="86"/>
        <v>0</v>
      </c>
      <c r="R270" s="47">
        <f t="shared" si="87"/>
        <v>0</v>
      </c>
    </row>
    <row r="271" spans="13:18" x14ac:dyDescent="0.15">
      <c r="M271" s="46">
        <v>2020</v>
      </c>
      <c r="N271" s="26" t="s">
        <v>63</v>
      </c>
      <c r="O271" s="26" t="str">
        <f>I$81</f>
        <v>metal products except machinery and vehicles 25</v>
      </c>
      <c r="P271" s="26" t="str">
        <f t="shared" si="88"/>
        <v>Installation and System Integration</v>
      </c>
      <c r="Q271" s="47">
        <f t="shared" si="86"/>
        <v>0</v>
      </c>
      <c r="R271" s="47">
        <f t="shared" si="87"/>
        <v>0</v>
      </c>
    </row>
    <row r="272" spans="13:18" x14ac:dyDescent="0.15">
      <c r="M272" s="46">
        <v>2020</v>
      </c>
      <c r="N272" s="26" t="s">
        <v>63</v>
      </c>
      <c r="O272" s="26" t="str">
        <f>I$81</f>
        <v>metal products except machinery and vehicles 25</v>
      </c>
      <c r="P272" s="26" t="str">
        <f t="shared" si="88"/>
        <v>Cogeneration and Waste Heat Recovery</v>
      </c>
      <c r="Q272" s="47">
        <f t="shared" si="86"/>
        <v>0</v>
      </c>
      <c r="R272" s="47">
        <f t="shared" si="87"/>
        <v>0</v>
      </c>
    </row>
    <row r="273" spans="13:18" x14ac:dyDescent="0.15">
      <c r="M273" s="46">
        <v>2020</v>
      </c>
      <c r="N273" s="26" t="s">
        <v>63</v>
      </c>
      <c r="O273" s="26" t="str">
        <f>I$81</f>
        <v>metal products except machinery and vehicles 25</v>
      </c>
      <c r="P273" s="26" t="str">
        <f t="shared" si="88"/>
        <v>Improvement in Eqpt Efficiency Standards</v>
      </c>
      <c r="Q273" s="47">
        <f t="shared" si="86"/>
        <v>0.33992922739178588</v>
      </c>
      <c r="R273" s="47">
        <f t="shared" si="87"/>
        <v>2.3929688666957762</v>
      </c>
    </row>
    <row r="274" spans="13:18" x14ac:dyDescent="0.15">
      <c r="M274" s="46">
        <v>2020</v>
      </c>
      <c r="N274" s="26" t="s">
        <v>63</v>
      </c>
      <c r="O274" s="26" t="str">
        <f>I$82</f>
        <v>computers and electronics 26</v>
      </c>
      <c r="P274" s="26" t="str">
        <f t="shared" si="88"/>
        <v>Early Facility Retirement</v>
      </c>
      <c r="Q274" s="47">
        <f t="shared" si="86"/>
        <v>0</v>
      </c>
      <c r="R274" s="47">
        <f t="shared" si="87"/>
        <v>0</v>
      </c>
    </row>
    <row r="275" spans="13:18" x14ac:dyDescent="0.15">
      <c r="M275" s="46">
        <v>2020</v>
      </c>
      <c r="N275" s="26" t="s">
        <v>63</v>
      </c>
      <c r="O275" s="26" t="str">
        <f>I$82</f>
        <v>computers and electronics 26</v>
      </c>
      <c r="P275" s="26" t="str">
        <f t="shared" si="88"/>
        <v>Installation and System Integration</v>
      </c>
      <c r="Q275" s="47">
        <f t="shared" si="86"/>
        <v>0</v>
      </c>
      <c r="R275" s="47">
        <f t="shared" si="87"/>
        <v>0</v>
      </c>
    </row>
    <row r="276" spans="13:18" x14ac:dyDescent="0.15">
      <c r="M276" s="46">
        <v>2020</v>
      </c>
      <c r="N276" s="26" t="s">
        <v>63</v>
      </c>
      <c r="O276" s="26" t="str">
        <f>I$82</f>
        <v>computers and electronics 26</v>
      </c>
      <c r="P276" s="26" t="str">
        <f t="shared" si="88"/>
        <v>Cogeneration and Waste Heat Recovery</v>
      </c>
      <c r="Q276" s="47">
        <f t="shared" si="86"/>
        <v>0</v>
      </c>
      <c r="R276" s="47">
        <f t="shared" si="87"/>
        <v>0</v>
      </c>
    </row>
    <row r="277" spans="13:18" x14ac:dyDescent="0.15">
      <c r="M277" s="46">
        <v>2020</v>
      </c>
      <c r="N277" s="26" t="s">
        <v>63</v>
      </c>
      <c r="O277" s="26" t="str">
        <f>I$82</f>
        <v>computers and electronics 26</v>
      </c>
      <c r="P277" s="26" t="str">
        <f t="shared" si="88"/>
        <v>Improvement in Eqpt Efficiency Standards</v>
      </c>
      <c r="Q277" s="47">
        <f t="shared" si="86"/>
        <v>0.23152533625632329</v>
      </c>
      <c r="R277" s="47">
        <f t="shared" si="87"/>
        <v>1.6298478532241687</v>
      </c>
    </row>
    <row r="278" spans="13:18" x14ac:dyDescent="0.15">
      <c r="M278" s="46">
        <v>2020</v>
      </c>
      <c r="N278" s="26" t="s">
        <v>63</v>
      </c>
      <c r="O278" s="26" t="str">
        <f>I$83</f>
        <v>appliances and electrical equipment 27</v>
      </c>
      <c r="P278" s="26" t="str">
        <f t="shared" si="88"/>
        <v>Early Facility Retirement</v>
      </c>
      <c r="Q278" s="47">
        <f t="shared" si="86"/>
        <v>0</v>
      </c>
      <c r="R278" s="47">
        <f t="shared" si="87"/>
        <v>0</v>
      </c>
    </row>
    <row r="279" spans="13:18" x14ac:dyDescent="0.15">
      <c r="M279" s="46">
        <v>2020</v>
      </c>
      <c r="N279" s="26" t="s">
        <v>63</v>
      </c>
      <c r="O279" s="26" t="str">
        <f>I$83</f>
        <v>appliances and electrical equipment 27</v>
      </c>
      <c r="P279" s="26" t="str">
        <f t="shared" si="88"/>
        <v>Installation and System Integration</v>
      </c>
      <c r="Q279" s="47">
        <f t="shared" si="86"/>
        <v>0</v>
      </c>
      <c r="R279" s="47">
        <f t="shared" si="87"/>
        <v>0</v>
      </c>
    </row>
    <row r="280" spans="13:18" x14ac:dyDescent="0.15">
      <c r="M280" s="46">
        <v>2020</v>
      </c>
      <c r="N280" s="26" t="s">
        <v>63</v>
      </c>
      <c r="O280" s="26" t="str">
        <f>I$83</f>
        <v>appliances and electrical equipment 27</v>
      </c>
      <c r="P280" s="26" t="str">
        <f t="shared" si="88"/>
        <v>Cogeneration and Waste Heat Recovery</v>
      </c>
      <c r="Q280" s="47">
        <f t="shared" si="86"/>
        <v>0</v>
      </c>
      <c r="R280" s="47">
        <f t="shared" si="87"/>
        <v>0</v>
      </c>
    </row>
    <row r="281" spans="13:18" x14ac:dyDescent="0.15">
      <c r="M281" s="46">
        <v>2020</v>
      </c>
      <c r="N281" s="26" t="s">
        <v>63</v>
      </c>
      <c r="O281" s="26" t="str">
        <f>I$83</f>
        <v>appliances and electrical equipment 27</v>
      </c>
      <c r="P281" s="26" t="str">
        <f t="shared" si="88"/>
        <v>Improvement in Eqpt Efficiency Standards</v>
      </c>
      <c r="Q281" s="47">
        <f t="shared" si="86"/>
        <v>0.12329008904839539</v>
      </c>
      <c r="R281" s="47">
        <f t="shared" si="87"/>
        <v>0.86791402707165155</v>
      </c>
    </row>
    <row r="282" spans="13:18" x14ac:dyDescent="0.15">
      <c r="M282" s="46">
        <v>2020</v>
      </c>
      <c r="N282" s="26" t="s">
        <v>63</v>
      </c>
      <c r="O282" s="26" t="str">
        <f>I$84</f>
        <v>other machinery 28</v>
      </c>
      <c r="P282" s="26" t="str">
        <f t="shared" si="88"/>
        <v>Early Facility Retirement</v>
      </c>
      <c r="Q282" s="47">
        <f t="shared" si="86"/>
        <v>0</v>
      </c>
      <c r="R282" s="47">
        <f t="shared" si="87"/>
        <v>0</v>
      </c>
    </row>
    <row r="283" spans="13:18" x14ac:dyDescent="0.15">
      <c r="M283" s="46">
        <v>2020</v>
      </c>
      <c r="N283" s="26" t="s">
        <v>63</v>
      </c>
      <c r="O283" s="26" t="str">
        <f>I$84</f>
        <v>other machinery 28</v>
      </c>
      <c r="P283" s="26" t="str">
        <f t="shared" si="88"/>
        <v>Installation and System Integration</v>
      </c>
      <c r="Q283" s="47">
        <f t="shared" si="86"/>
        <v>0</v>
      </c>
      <c r="R283" s="47">
        <f t="shared" si="87"/>
        <v>0</v>
      </c>
    </row>
    <row r="284" spans="13:18" x14ac:dyDescent="0.15">
      <c r="M284" s="46">
        <v>2020</v>
      </c>
      <c r="N284" s="26" t="s">
        <v>63</v>
      </c>
      <c r="O284" s="26" t="str">
        <f>I$84</f>
        <v>other machinery 28</v>
      </c>
      <c r="P284" s="26" t="str">
        <f t="shared" si="88"/>
        <v>Cogeneration and Waste Heat Recovery</v>
      </c>
      <c r="Q284" s="47">
        <f t="shared" si="86"/>
        <v>0</v>
      </c>
      <c r="R284" s="47">
        <f t="shared" si="87"/>
        <v>0</v>
      </c>
    </row>
    <row r="285" spans="13:18" x14ac:dyDescent="0.15">
      <c r="M285" s="46">
        <v>2020</v>
      </c>
      <c r="N285" s="26" t="s">
        <v>63</v>
      </c>
      <c r="O285" s="26" t="str">
        <f>I$84</f>
        <v>other machinery 28</v>
      </c>
      <c r="P285" s="26" t="str">
        <f t="shared" si="88"/>
        <v>Improvement in Eqpt Efficiency Standards</v>
      </c>
      <c r="Q285" s="47">
        <f t="shared" si="86"/>
        <v>7.626314616697033E-2</v>
      </c>
      <c r="R285" s="47">
        <f t="shared" si="87"/>
        <v>0.53686273420524111</v>
      </c>
    </row>
    <row r="286" spans="13:18" x14ac:dyDescent="0.15">
      <c r="M286" s="46">
        <v>2020</v>
      </c>
      <c r="N286" s="26" t="s">
        <v>63</v>
      </c>
      <c r="O286" s="26" t="str">
        <f>I$85</f>
        <v>road vehicles 29</v>
      </c>
      <c r="P286" s="26" t="str">
        <f t="shared" si="88"/>
        <v>Early Facility Retirement</v>
      </c>
      <c r="Q286" s="47">
        <f t="shared" si="86"/>
        <v>0</v>
      </c>
      <c r="R286" s="47">
        <f t="shared" si="87"/>
        <v>0</v>
      </c>
    </row>
    <row r="287" spans="13:18" x14ac:dyDescent="0.15">
      <c r="M287" s="46">
        <v>2020</v>
      </c>
      <c r="N287" s="26" t="s">
        <v>63</v>
      </c>
      <c r="O287" s="26" t="str">
        <f>I$85</f>
        <v>road vehicles 29</v>
      </c>
      <c r="P287" s="26" t="str">
        <f t="shared" si="88"/>
        <v>Installation and System Integration</v>
      </c>
      <c r="Q287" s="47">
        <f t="shared" si="86"/>
        <v>0</v>
      </c>
      <c r="R287" s="47">
        <f t="shared" si="87"/>
        <v>0</v>
      </c>
    </row>
    <row r="288" spans="13:18" x14ac:dyDescent="0.15">
      <c r="M288" s="46">
        <v>2020</v>
      </c>
      <c r="N288" s="26" t="s">
        <v>63</v>
      </c>
      <c r="O288" s="26" t="str">
        <f>I$85</f>
        <v>road vehicles 29</v>
      </c>
      <c r="P288" s="26" t="str">
        <f t="shared" si="88"/>
        <v>Cogeneration and Waste Heat Recovery</v>
      </c>
      <c r="Q288" s="47">
        <f t="shared" si="86"/>
        <v>0</v>
      </c>
      <c r="R288" s="47">
        <f t="shared" si="87"/>
        <v>0</v>
      </c>
    </row>
    <row r="289" spans="13:18" x14ac:dyDescent="0.15">
      <c r="M289" s="46">
        <v>2020</v>
      </c>
      <c r="N289" s="26" t="s">
        <v>63</v>
      </c>
      <c r="O289" s="26" t="str">
        <f>I$85</f>
        <v>road vehicles 29</v>
      </c>
      <c r="P289" s="26" t="str">
        <f t="shared" si="88"/>
        <v>Improvement in Eqpt Efficiency Standards</v>
      </c>
      <c r="Q289" s="47">
        <f t="shared" si="86"/>
        <v>0.17058705493857274</v>
      </c>
      <c r="R289" s="47">
        <f t="shared" si="87"/>
        <v>1.2008661763551272</v>
      </c>
    </row>
    <row r="290" spans="13:18" x14ac:dyDescent="0.15">
      <c r="M290" s="46">
        <v>2020</v>
      </c>
      <c r="N290" s="26" t="s">
        <v>63</v>
      </c>
      <c r="O290" s="26" t="str">
        <f>I$86</f>
        <v>nonroad vehicles 30</v>
      </c>
      <c r="P290" s="26" t="str">
        <f t="shared" si="88"/>
        <v>Early Facility Retirement</v>
      </c>
      <c r="Q290" s="47">
        <f t="shared" si="86"/>
        <v>0</v>
      </c>
      <c r="R290" s="47">
        <f t="shared" si="87"/>
        <v>0</v>
      </c>
    </row>
    <row r="291" spans="13:18" x14ac:dyDescent="0.15">
      <c r="M291" s="46">
        <v>2020</v>
      </c>
      <c r="N291" s="26" t="s">
        <v>63</v>
      </c>
      <c r="O291" s="26" t="str">
        <f>I$86</f>
        <v>nonroad vehicles 30</v>
      </c>
      <c r="P291" s="26" t="str">
        <f t="shared" si="88"/>
        <v>Installation and System Integration</v>
      </c>
      <c r="Q291" s="47">
        <f t="shared" si="86"/>
        <v>0</v>
      </c>
      <c r="R291" s="47">
        <f t="shared" si="87"/>
        <v>0</v>
      </c>
    </row>
    <row r="292" spans="13:18" x14ac:dyDescent="0.15">
      <c r="M292" s="46">
        <v>2020</v>
      </c>
      <c r="N292" s="26" t="s">
        <v>63</v>
      </c>
      <c r="O292" s="26" t="str">
        <f>I$86</f>
        <v>nonroad vehicles 30</v>
      </c>
      <c r="P292" s="26" t="str">
        <f t="shared" si="88"/>
        <v>Cogeneration and Waste Heat Recovery</v>
      </c>
      <c r="Q292" s="47">
        <f t="shared" si="86"/>
        <v>0</v>
      </c>
      <c r="R292" s="47">
        <f t="shared" si="87"/>
        <v>0</v>
      </c>
    </row>
    <row r="293" spans="13:18" x14ac:dyDescent="0.15">
      <c r="M293" s="46">
        <v>2020</v>
      </c>
      <c r="N293" s="26" t="s">
        <v>63</v>
      </c>
      <c r="O293" s="26" t="str">
        <f>I$86</f>
        <v>nonroad vehicles 30</v>
      </c>
      <c r="P293" s="26" t="str">
        <f t="shared" si="88"/>
        <v>Improvement in Eqpt Efficiency Standards</v>
      </c>
      <c r="Q293" s="47">
        <f t="shared" si="86"/>
        <v>5.1774593487249401E-2</v>
      </c>
      <c r="R293" s="47">
        <f t="shared" si="87"/>
        <v>0.36447289705401642</v>
      </c>
    </row>
    <row r="294" spans="13:18" x14ac:dyDescent="0.15">
      <c r="M294" s="46">
        <v>2020</v>
      </c>
      <c r="N294" s="26" t="s">
        <v>63</v>
      </c>
      <c r="O294" s="26" t="str">
        <f>I$87</f>
        <v>other manufacturing 31T33</v>
      </c>
      <c r="P294" s="26" t="str">
        <f t="shared" si="88"/>
        <v>Early Facility Retirement</v>
      </c>
      <c r="Q294" s="47">
        <f t="shared" si="86"/>
        <v>0</v>
      </c>
      <c r="R294" s="47">
        <f t="shared" si="87"/>
        <v>0</v>
      </c>
    </row>
    <row r="295" spans="13:18" x14ac:dyDescent="0.15">
      <c r="M295" s="46">
        <v>2020</v>
      </c>
      <c r="N295" s="26" t="s">
        <v>63</v>
      </c>
      <c r="O295" s="26" t="str">
        <f>I$87</f>
        <v>other manufacturing 31T33</v>
      </c>
      <c r="P295" s="26" t="str">
        <f t="shared" si="88"/>
        <v>Installation and System Integration</v>
      </c>
      <c r="Q295" s="47">
        <f t="shared" si="86"/>
        <v>0</v>
      </c>
      <c r="R295" s="47">
        <f t="shared" si="87"/>
        <v>0</v>
      </c>
    </row>
    <row r="296" spans="13:18" x14ac:dyDescent="0.15">
      <c r="M296" s="46">
        <v>2020</v>
      </c>
      <c r="N296" s="26" t="s">
        <v>63</v>
      </c>
      <c r="O296" s="26" t="str">
        <f>I$87</f>
        <v>other manufacturing 31T33</v>
      </c>
      <c r="P296" s="26" t="str">
        <f t="shared" si="88"/>
        <v>Cogeneration and Waste Heat Recovery</v>
      </c>
      <c r="Q296" s="47">
        <f t="shared" si="86"/>
        <v>0</v>
      </c>
      <c r="R296" s="47">
        <f t="shared" si="87"/>
        <v>0</v>
      </c>
    </row>
    <row r="297" spans="13:18" x14ac:dyDescent="0.15">
      <c r="M297" s="46">
        <v>2020</v>
      </c>
      <c r="N297" s="26" t="s">
        <v>63</v>
      </c>
      <c r="O297" s="26" t="str">
        <f>I$87</f>
        <v>other manufacturing 31T33</v>
      </c>
      <c r="P297" s="26" t="str">
        <f t="shared" si="88"/>
        <v>Improvement in Eqpt Efficiency Standards</v>
      </c>
      <c r="Q297" s="47">
        <f t="shared" si="86"/>
        <v>0.17172456619840282</v>
      </c>
      <c r="R297" s="47">
        <f t="shared" si="87"/>
        <v>1.2088738109182831</v>
      </c>
    </row>
    <row r="298" spans="13:18" x14ac:dyDescent="0.15">
      <c r="M298" s="46">
        <v>2020</v>
      </c>
      <c r="N298" s="26" t="s">
        <v>63</v>
      </c>
      <c r="O298" s="26" t="str">
        <f>I$88</f>
        <v>energy pipelines and gas processing 352T353</v>
      </c>
      <c r="P298" s="26" t="str">
        <f t="shared" si="88"/>
        <v>Early Facility Retirement</v>
      </c>
      <c r="Q298" s="47">
        <f t="shared" si="86"/>
        <v>0</v>
      </c>
      <c r="R298" s="47">
        <f t="shared" si="87"/>
        <v>0</v>
      </c>
    </row>
    <row r="299" spans="13:18" x14ac:dyDescent="0.15">
      <c r="M299" s="46">
        <v>2020</v>
      </c>
      <c r="N299" s="26" t="s">
        <v>63</v>
      </c>
      <c r="O299" s="26" t="str">
        <f>I$88</f>
        <v>energy pipelines and gas processing 352T353</v>
      </c>
      <c r="P299" s="26" t="str">
        <f t="shared" si="88"/>
        <v>Installation and System Integration</v>
      </c>
      <c r="Q299" s="47">
        <f t="shared" si="86"/>
        <v>0</v>
      </c>
      <c r="R299" s="47">
        <f t="shared" si="87"/>
        <v>0</v>
      </c>
    </row>
    <row r="300" spans="13:18" x14ac:dyDescent="0.15">
      <c r="M300" s="46">
        <v>2020</v>
      </c>
      <c r="N300" s="26" t="s">
        <v>63</v>
      </c>
      <c r="O300" s="26" t="str">
        <f>I$88</f>
        <v>energy pipelines and gas processing 352T353</v>
      </c>
      <c r="P300" s="26" t="str">
        <f t="shared" si="88"/>
        <v>Cogeneration and Waste Heat Recovery</v>
      </c>
      <c r="Q300" s="47">
        <f t="shared" si="86"/>
        <v>0</v>
      </c>
      <c r="R300" s="47">
        <f t="shared" si="87"/>
        <v>0</v>
      </c>
    </row>
    <row r="301" spans="13:18" x14ac:dyDescent="0.15">
      <c r="M301" s="46">
        <v>2020</v>
      </c>
      <c r="N301" s="26" t="s">
        <v>63</v>
      </c>
      <c r="O301" s="26" t="str">
        <f>I$88</f>
        <v>energy pipelines and gas processing 352T353</v>
      </c>
      <c r="P301" s="26" t="str">
        <f t="shared" si="88"/>
        <v>Improvement in Eqpt Efficiency Standards</v>
      </c>
      <c r="Q301" s="47">
        <f t="shared" si="86"/>
        <v>0.41193065608496032</v>
      </c>
      <c r="R301" s="47">
        <f t="shared" si="87"/>
        <v>2.8998307759890336</v>
      </c>
    </row>
    <row r="302" spans="13:18" x14ac:dyDescent="0.15">
      <c r="M302" s="46">
        <v>2020</v>
      </c>
      <c r="N302" s="26" t="s">
        <v>63</v>
      </c>
      <c r="O302" s="26" t="str">
        <f>I$89</f>
        <v>water and waste 36T39</v>
      </c>
      <c r="P302" s="26" t="str">
        <f t="shared" si="88"/>
        <v>Early Facility Retirement</v>
      </c>
      <c r="Q302" s="47">
        <f t="shared" si="86"/>
        <v>0</v>
      </c>
      <c r="R302" s="47">
        <f t="shared" si="87"/>
        <v>0</v>
      </c>
    </row>
    <row r="303" spans="13:18" x14ac:dyDescent="0.15">
      <c r="M303" s="46">
        <v>2020</v>
      </c>
      <c r="N303" s="26" t="s">
        <v>63</v>
      </c>
      <c r="O303" s="26" t="str">
        <f>I$89</f>
        <v>water and waste 36T39</v>
      </c>
      <c r="P303" s="26" t="str">
        <f t="shared" si="88"/>
        <v>Installation and System Integration</v>
      </c>
      <c r="Q303" s="47">
        <f t="shared" si="86"/>
        <v>0</v>
      </c>
      <c r="R303" s="47">
        <f t="shared" si="87"/>
        <v>0</v>
      </c>
    </row>
    <row r="304" spans="13:18" x14ac:dyDescent="0.15">
      <c r="M304" s="46">
        <v>2020</v>
      </c>
      <c r="N304" s="26" t="s">
        <v>63</v>
      </c>
      <c r="O304" s="26" t="str">
        <f>I$89</f>
        <v>water and waste 36T39</v>
      </c>
      <c r="P304" s="26" t="str">
        <f t="shared" si="88"/>
        <v>Cogeneration and Waste Heat Recovery</v>
      </c>
      <c r="Q304" s="47">
        <f t="shared" si="86"/>
        <v>0</v>
      </c>
      <c r="R304" s="47">
        <f t="shared" si="87"/>
        <v>0</v>
      </c>
    </row>
    <row r="305" spans="13:18" x14ac:dyDescent="0.15">
      <c r="M305" s="46">
        <v>2020</v>
      </c>
      <c r="N305" s="26" t="s">
        <v>63</v>
      </c>
      <c r="O305" s="26" t="str">
        <f>I$89</f>
        <v>water and waste 36T39</v>
      </c>
      <c r="P305" s="26" t="str">
        <f t="shared" si="88"/>
        <v>Improvement in Eqpt Efficiency Standards</v>
      </c>
      <c r="Q305" s="47">
        <f t="shared" si="86"/>
        <v>0.11860739288656774</v>
      </c>
      <c r="R305" s="47">
        <f t="shared" si="87"/>
        <v>0.83494967677606957</v>
      </c>
    </row>
    <row r="306" spans="13:18" x14ac:dyDescent="0.15">
      <c r="M306" s="46">
        <v>2020</v>
      </c>
      <c r="N306" s="26" t="s">
        <v>63</v>
      </c>
      <c r="O306" s="26" t="str">
        <f>I$90</f>
        <v>construction 41T43</v>
      </c>
      <c r="P306" s="26" t="str">
        <f t="shared" si="88"/>
        <v>Early Facility Retirement</v>
      </c>
      <c r="Q306" s="47">
        <f t="shared" si="86"/>
        <v>0</v>
      </c>
      <c r="R306" s="47">
        <f t="shared" si="87"/>
        <v>0</v>
      </c>
    </row>
    <row r="307" spans="13:18" x14ac:dyDescent="0.15">
      <c r="M307" s="46">
        <v>2020</v>
      </c>
      <c r="N307" s="26" t="s">
        <v>63</v>
      </c>
      <c r="O307" s="26" t="str">
        <f>I$90</f>
        <v>construction 41T43</v>
      </c>
      <c r="P307" s="26" t="str">
        <f t="shared" si="88"/>
        <v>Installation and System Integration</v>
      </c>
      <c r="Q307" s="47">
        <f t="shared" si="86"/>
        <v>0</v>
      </c>
      <c r="R307" s="47">
        <f t="shared" si="87"/>
        <v>0</v>
      </c>
    </row>
    <row r="308" spans="13:18" x14ac:dyDescent="0.15">
      <c r="M308" s="46">
        <v>2020</v>
      </c>
      <c r="N308" s="26" t="s">
        <v>63</v>
      </c>
      <c r="O308" s="26" t="str">
        <f>I$90</f>
        <v>construction 41T43</v>
      </c>
      <c r="P308" s="26" t="str">
        <f t="shared" si="88"/>
        <v>Cogeneration and Waste Heat Recovery</v>
      </c>
      <c r="Q308" s="47">
        <f t="shared" si="86"/>
        <v>0</v>
      </c>
      <c r="R308" s="47">
        <f t="shared" si="87"/>
        <v>0</v>
      </c>
    </row>
    <row r="309" spans="13:18" x14ac:dyDescent="0.15">
      <c r="M309" s="46">
        <v>2020</v>
      </c>
      <c r="N309" s="26" t="s">
        <v>63</v>
      </c>
      <c r="O309" s="26" t="str">
        <f>I$90</f>
        <v>construction 41T43</v>
      </c>
      <c r="P309" s="26" t="str">
        <f t="shared" si="88"/>
        <v>Improvement in Eqpt Efficiency Standards</v>
      </c>
      <c r="Q309" s="47">
        <f t="shared" si="86"/>
        <v>0.61165298695845982</v>
      </c>
      <c r="R309" s="47">
        <f t="shared" si="87"/>
        <v>4.3057979045918318</v>
      </c>
    </row>
    <row r="310" spans="13:18" x14ac:dyDescent="0.15">
      <c r="M310" s="46">
        <v>2020</v>
      </c>
      <c r="N310" s="26" t="s">
        <v>17</v>
      </c>
      <c r="O310" s="26" t="str">
        <f>O210</f>
        <v>agriculture and forestry 01T03</v>
      </c>
      <c r="P310" s="26" t="str">
        <f t="shared" si="88"/>
        <v>Early Facility Retirement</v>
      </c>
      <c r="Q310" s="47">
        <f t="shared" si="86"/>
        <v>0</v>
      </c>
      <c r="R310" s="47">
        <f t="shared" si="87"/>
        <v>0</v>
      </c>
    </row>
    <row r="311" spans="13:18" x14ac:dyDescent="0.15">
      <c r="M311" s="46">
        <v>2020</v>
      </c>
      <c r="N311" s="26" t="s">
        <v>17</v>
      </c>
      <c r="O311" s="26" t="str">
        <f t="shared" ref="O311:O375" si="89">O211</f>
        <v>agriculture and forestry 01T03</v>
      </c>
      <c r="P311" s="26" t="str">
        <f t="shared" si="88"/>
        <v>Installation and System Integration</v>
      </c>
      <c r="Q311" s="47">
        <f t="shared" si="86"/>
        <v>1.0883645416221595</v>
      </c>
      <c r="R311" s="47">
        <f t="shared" si="87"/>
        <v>11.074248415443105</v>
      </c>
    </row>
    <row r="312" spans="13:18" x14ac:dyDescent="0.15">
      <c r="M312" s="46">
        <v>2020</v>
      </c>
      <c r="N312" s="26" t="s">
        <v>17</v>
      </c>
      <c r="O312" s="26" t="str">
        <f t="shared" si="89"/>
        <v>agriculture and forestry 01T03</v>
      </c>
      <c r="P312" s="26" t="str">
        <f t="shared" si="88"/>
        <v>Cogeneration and Waste Heat Recovery</v>
      </c>
      <c r="Q312" s="47">
        <f t="shared" si="86"/>
        <v>0</v>
      </c>
      <c r="R312" s="47">
        <f t="shared" si="87"/>
        <v>0</v>
      </c>
    </row>
    <row r="313" spans="13:18" x14ac:dyDescent="0.15">
      <c r="M313" s="46">
        <v>2020</v>
      </c>
      <c r="N313" s="26" t="s">
        <v>17</v>
      </c>
      <c r="O313" s="26" t="str">
        <f t="shared" si="89"/>
        <v>agriculture and forestry 01T03</v>
      </c>
      <c r="P313" s="26" t="str">
        <f t="shared" si="88"/>
        <v>Improvement in Eqpt Efficiency Standards</v>
      </c>
      <c r="Q313" s="47">
        <f t="shared" si="86"/>
        <v>0</v>
      </c>
      <c r="R313" s="47">
        <f t="shared" si="87"/>
        <v>0</v>
      </c>
    </row>
    <row r="314" spans="13:18" x14ac:dyDescent="0.15">
      <c r="M314" s="46">
        <v>2020</v>
      </c>
      <c r="N314" s="26" t="s">
        <v>17</v>
      </c>
      <c r="O314" s="26" t="str">
        <f t="shared" si="89"/>
        <v>coal mining 05</v>
      </c>
      <c r="P314" s="26" t="str">
        <f t="shared" si="88"/>
        <v>Early Facility Retirement</v>
      </c>
      <c r="Q314" s="47">
        <f t="shared" si="86"/>
        <v>0</v>
      </c>
      <c r="R314" s="47">
        <f t="shared" si="87"/>
        <v>0</v>
      </c>
    </row>
    <row r="315" spans="13:18" x14ac:dyDescent="0.15">
      <c r="M315" s="46">
        <v>2020</v>
      </c>
      <c r="N315" s="26" t="s">
        <v>17</v>
      </c>
      <c r="O315" s="26" t="str">
        <f t="shared" si="89"/>
        <v>coal mining 05</v>
      </c>
      <c r="P315" s="26" t="str">
        <f t="shared" si="88"/>
        <v>Installation and System Integration</v>
      </c>
      <c r="Q315" s="47">
        <f t="shared" si="86"/>
        <v>12.07374028084312</v>
      </c>
      <c r="R315" s="47">
        <f t="shared" si="87"/>
        <v>122.85185161794523</v>
      </c>
    </row>
    <row r="316" spans="13:18" x14ac:dyDescent="0.15">
      <c r="M316" s="46">
        <v>2020</v>
      </c>
      <c r="N316" s="26" t="s">
        <v>17</v>
      </c>
      <c r="O316" s="26" t="str">
        <f t="shared" si="89"/>
        <v>coal mining 05</v>
      </c>
      <c r="P316" s="26" t="str">
        <f t="shared" si="88"/>
        <v>Cogeneration and Waste Heat Recovery</v>
      </c>
      <c r="Q316" s="47">
        <f t="shared" si="86"/>
        <v>0</v>
      </c>
      <c r="R316" s="47">
        <f t="shared" si="87"/>
        <v>0</v>
      </c>
    </row>
    <row r="317" spans="13:18" x14ac:dyDescent="0.15">
      <c r="M317" s="46">
        <v>2020</v>
      </c>
      <c r="N317" s="26" t="s">
        <v>17</v>
      </c>
      <c r="O317" s="26" t="str">
        <f t="shared" si="89"/>
        <v>coal mining 05</v>
      </c>
      <c r="P317" s="26" t="str">
        <f t="shared" si="88"/>
        <v>Improvement in Eqpt Efficiency Standards</v>
      </c>
      <c r="Q317" s="47">
        <f t="shared" si="86"/>
        <v>0</v>
      </c>
      <c r="R317" s="47">
        <f t="shared" si="87"/>
        <v>0</v>
      </c>
    </row>
    <row r="318" spans="13:18" x14ac:dyDescent="0.15">
      <c r="M318" s="46">
        <v>2020</v>
      </c>
      <c r="N318" s="26" t="s">
        <v>17</v>
      </c>
      <c r="O318" s="26" t="str">
        <f t="shared" si="89"/>
        <v>oil and gas extraction 06</v>
      </c>
      <c r="P318" s="26" t="str">
        <f t="shared" si="88"/>
        <v>Early Facility Retirement</v>
      </c>
      <c r="Q318" s="47">
        <f t="shared" si="86"/>
        <v>0</v>
      </c>
      <c r="R318" s="47">
        <f t="shared" si="87"/>
        <v>0</v>
      </c>
    </row>
    <row r="319" spans="13:18" x14ac:dyDescent="0.15">
      <c r="M319" s="46">
        <v>2020</v>
      </c>
      <c r="N319" s="26" t="s">
        <v>17</v>
      </c>
      <c r="O319" s="26" t="str">
        <f t="shared" si="89"/>
        <v>oil and gas extraction 06</v>
      </c>
      <c r="P319" s="26" t="str">
        <f t="shared" si="88"/>
        <v>Installation and System Integration</v>
      </c>
      <c r="Q319" s="47">
        <f t="shared" si="86"/>
        <v>0.51435356043200176</v>
      </c>
      <c r="R319" s="47">
        <f t="shared" si="87"/>
        <v>5.2336132644507689</v>
      </c>
    </row>
    <row r="320" spans="13:18" x14ac:dyDescent="0.15">
      <c r="M320" s="46">
        <v>2020</v>
      </c>
      <c r="N320" s="26" t="s">
        <v>17</v>
      </c>
      <c r="O320" s="26" t="str">
        <f t="shared" si="89"/>
        <v>oil and gas extraction 06</v>
      </c>
      <c r="P320" s="26" t="str">
        <f t="shared" si="88"/>
        <v>Cogeneration and Waste Heat Recovery</v>
      </c>
      <c r="Q320" s="47">
        <f t="shared" si="86"/>
        <v>0</v>
      </c>
      <c r="R320" s="47">
        <f t="shared" si="87"/>
        <v>0</v>
      </c>
    </row>
    <row r="321" spans="13:18" x14ac:dyDescent="0.15">
      <c r="M321" s="46">
        <v>2020</v>
      </c>
      <c r="N321" s="26" t="s">
        <v>17</v>
      </c>
      <c r="O321" s="26" t="str">
        <f t="shared" si="89"/>
        <v>oil and gas extraction 06</v>
      </c>
      <c r="P321" s="26" t="str">
        <f t="shared" si="88"/>
        <v>Improvement in Eqpt Efficiency Standards</v>
      </c>
      <c r="Q321" s="47">
        <f t="shared" si="86"/>
        <v>0</v>
      </c>
      <c r="R321" s="47">
        <f t="shared" si="87"/>
        <v>0</v>
      </c>
    </row>
    <row r="322" spans="13:18" x14ac:dyDescent="0.15">
      <c r="M322" s="46">
        <v>2020</v>
      </c>
      <c r="N322" s="26" t="s">
        <v>17</v>
      </c>
      <c r="O322" s="26" t="str">
        <f t="shared" si="89"/>
        <v>other mining and quarrying 07T08</v>
      </c>
      <c r="P322" s="26" t="str">
        <f t="shared" si="88"/>
        <v>Early Facility Retirement</v>
      </c>
      <c r="Q322" s="47">
        <f t="shared" ref="Q322:Q385" si="90">SUMIFS(D:D,B:B,N322,C:C,P322,A:A,M322)*SUMIFS(K:K,G:G,N322,I:I,O322)</f>
        <v>0</v>
      </c>
      <c r="R322" s="47">
        <f t="shared" ref="R322:R385" si="91">SUMIFS(E:E,B:B,N322,C:C,P322,A:A,M322)*SUMIFS(K:K,G:G,N322,I:I,O322)</f>
        <v>0</v>
      </c>
    </row>
    <row r="323" spans="13:18" x14ac:dyDescent="0.15">
      <c r="M323" s="46">
        <v>2020</v>
      </c>
      <c r="N323" s="26" t="s">
        <v>17</v>
      </c>
      <c r="O323" s="26" t="str">
        <f t="shared" si="89"/>
        <v>other mining and quarrying 07T08</v>
      </c>
      <c r="P323" s="26" t="str">
        <f t="shared" si="88"/>
        <v>Installation and System Integration</v>
      </c>
      <c r="Q323" s="47">
        <f t="shared" si="90"/>
        <v>0.40857823428936529</v>
      </c>
      <c r="R323" s="47">
        <f t="shared" si="91"/>
        <v>4.1573357920313025</v>
      </c>
    </row>
    <row r="324" spans="13:18" x14ac:dyDescent="0.15">
      <c r="M324" s="46">
        <v>2020</v>
      </c>
      <c r="N324" s="26" t="s">
        <v>17</v>
      </c>
      <c r="O324" s="26" t="str">
        <f t="shared" si="89"/>
        <v>other mining and quarrying 07T08</v>
      </c>
      <c r="P324" s="26" t="str">
        <f t="shared" si="88"/>
        <v>Cogeneration and Waste Heat Recovery</v>
      </c>
      <c r="Q324" s="47">
        <f t="shared" si="90"/>
        <v>0</v>
      </c>
      <c r="R324" s="47">
        <f t="shared" si="91"/>
        <v>0</v>
      </c>
    </row>
    <row r="325" spans="13:18" x14ac:dyDescent="0.15">
      <c r="M325" s="46">
        <v>2020</v>
      </c>
      <c r="N325" s="26" t="s">
        <v>17</v>
      </c>
      <c r="O325" s="26" t="str">
        <f t="shared" si="89"/>
        <v>other mining and quarrying 07T08</v>
      </c>
      <c r="P325" s="26" t="str">
        <f t="shared" si="88"/>
        <v>Improvement in Eqpt Efficiency Standards</v>
      </c>
      <c r="Q325" s="47">
        <f t="shared" si="90"/>
        <v>0</v>
      </c>
      <c r="R325" s="47">
        <f t="shared" si="91"/>
        <v>0</v>
      </c>
    </row>
    <row r="326" spans="13:18" x14ac:dyDescent="0.15">
      <c r="M326" s="46">
        <v>2020</v>
      </c>
      <c r="N326" s="26" t="s">
        <v>17</v>
      </c>
      <c r="O326" s="26" t="str">
        <f t="shared" si="89"/>
        <v>food beverage and tobacco 10T12</v>
      </c>
      <c r="P326" s="26" t="str">
        <f t="shared" si="88"/>
        <v>Early Facility Retirement</v>
      </c>
      <c r="Q326" s="47">
        <f t="shared" si="90"/>
        <v>0</v>
      </c>
      <c r="R326" s="47">
        <f t="shared" si="91"/>
        <v>0</v>
      </c>
    </row>
    <row r="327" spans="13:18" x14ac:dyDescent="0.15">
      <c r="M327" s="46">
        <v>2020</v>
      </c>
      <c r="N327" s="26" t="s">
        <v>17</v>
      </c>
      <c r="O327" s="26" t="str">
        <f t="shared" si="89"/>
        <v>food beverage and tobacco 10T12</v>
      </c>
      <c r="P327" s="26" t="str">
        <f t="shared" ref="P327:P390" si="92">P323</f>
        <v>Installation and System Integration</v>
      </c>
      <c r="Q327" s="47">
        <f t="shared" si="90"/>
        <v>0.99777206834897958</v>
      </c>
      <c r="R327" s="47">
        <f t="shared" si="91"/>
        <v>10.15245841289369</v>
      </c>
    </row>
    <row r="328" spans="13:18" x14ac:dyDescent="0.15">
      <c r="M328" s="46">
        <v>2020</v>
      </c>
      <c r="N328" s="26" t="s">
        <v>17</v>
      </c>
      <c r="O328" s="26" t="str">
        <f t="shared" si="89"/>
        <v>food beverage and tobacco 10T12</v>
      </c>
      <c r="P328" s="26" t="str">
        <f t="shared" si="92"/>
        <v>Cogeneration and Waste Heat Recovery</v>
      </c>
      <c r="Q328" s="47">
        <f t="shared" si="90"/>
        <v>0</v>
      </c>
      <c r="R328" s="47">
        <f t="shared" si="91"/>
        <v>0</v>
      </c>
    </row>
    <row r="329" spans="13:18" x14ac:dyDescent="0.15">
      <c r="M329" s="46">
        <v>2020</v>
      </c>
      <c r="N329" s="26" t="s">
        <v>17</v>
      </c>
      <c r="O329" s="26" t="str">
        <f t="shared" si="89"/>
        <v>food beverage and tobacco 10T12</v>
      </c>
      <c r="P329" s="26" t="str">
        <f t="shared" si="92"/>
        <v>Improvement in Eqpt Efficiency Standards</v>
      </c>
      <c r="Q329" s="47">
        <f t="shared" si="90"/>
        <v>0</v>
      </c>
      <c r="R329" s="47">
        <f t="shared" si="91"/>
        <v>0</v>
      </c>
    </row>
    <row r="330" spans="13:18" x14ac:dyDescent="0.15">
      <c r="M330" s="46">
        <v>2020</v>
      </c>
      <c r="N330" s="26" t="s">
        <v>17</v>
      </c>
      <c r="O330" s="26" t="str">
        <f t="shared" si="89"/>
        <v>textiles apparel and leather 13T15</v>
      </c>
      <c r="P330" s="26" t="str">
        <f t="shared" si="92"/>
        <v>Early Facility Retirement</v>
      </c>
      <c r="Q330" s="47">
        <f t="shared" si="90"/>
        <v>0</v>
      </c>
      <c r="R330" s="47">
        <f t="shared" si="91"/>
        <v>0</v>
      </c>
    </row>
    <row r="331" spans="13:18" x14ac:dyDescent="0.15">
      <c r="M331" s="46">
        <v>2020</v>
      </c>
      <c r="N331" s="26" t="s">
        <v>17</v>
      </c>
      <c r="O331" s="26" t="str">
        <f t="shared" si="89"/>
        <v>textiles apparel and leather 13T15</v>
      </c>
      <c r="P331" s="26" t="str">
        <f t="shared" si="92"/>
        <v>Installation and System Integration</v>
      </c>
      <c r="Q331" s="47">
        <f t="shared" si="90"/>
        <v>0.90284923110319615</v>
      </c>
      <c r="R331" s="47">
        <f t="shared" si="91"/>
        <v>9.1866064030590842</v>
      </c>
    </row>
    <row r="332" spans="13:18" x14ac:dyDescent="0.15">
      <c r="M332" s="46">
        <v>2020</v>
      </c>
      <c r="N332" s="26" t="s">
        <v>17</v>
      </c>
      <c r="O332" s="26" t="str">
        <f t="shared" si="89"/>
        <v>textiles apparel and leather 13T15</v>
      </c>
      <c r="P332" s="26" t="str">
        <f t="shared" si="92"/>
        <v>Cogeneration and Waste Heat Recovery</v>
      </c>
      <c r="Q332" s="47">
        <f t="shared" si="90"/>
        <v>0</v>
      </c>
      <c r="R332" s="47">
        <f t="shared" si="91"/>
        <v>0</v>
      </c>
    </row>
    <row r="333" spans="13:18" x14ac:dyDescent="0.15">
      <c r="M333" s="46">
        <v>2020</v>
      </c>
      <c r="N333" s="26" t="s">
        <v>17</v>
      </c>
      <c r="O333" s="26" t="str">
        <f t="shared" si="89"/>
        <v>textiles apparel and leather 13T15</v>
      </c>
      <c r="P333" s="26" t="str">
        <f t="shared" si="92"/>
        <v>Improvement in Eqpt Efficiency Standards</v>
      </c>
      <c r="Q333" s="47">
        <f t="shared" si="90"/>
        <v>0</v>
      </c>
      <c r="R333" s="47">
        <f t="shared" si="91"/>
        <v>0</v>
      </c>
    </row>
    <row r="334" spans="13:18" x14ac:dyDescent="0.15">
      <c r="M334" s="46">
        <v>2020</v>
      </c>
      <c r="N334" s="26" t="s">
        <v>17</v>
      </c>
      <c r="O334" s="26" t="str">
        <f t="shared" si="89"/>
        <v>wood products 16</v>
      </c>
      <c r="P334" s="26" t="str">
        <f t="shared" si="92"/>
        <v>Early Facility Retirement</v>
      </c>
      <c r="Q334" s="47">
        <f t="shared" si="90"/>
        <v>0</v>
      </c>
      <c r="R334" s="47">
        <f t="shared" si="91"/>
        <v>0</v>
      </c>
    </row>
    <row r="335" spans="13:18" x14ac:dyDescent="0.15">
      <c r="M335" s="46">
        <v>2020</v>
      </c>
      <c r="N335" s="26" t="s">
        <v>17</v>
      </c>
      <c r="O335" s="26" t="str">
        <f t="shared" si="89"/>
        <v>wood products 16</v>
      </c>
      <c r="P335" s="26" t="str">
        <f t="shared" si="92"/>
        <v>Installation and System Integration</v>
      </c>
      <c r="Q335" s="47">
        <f t="shared" si="90"/>
        <v>0.13386530522656365</v>
      </c>
      <c r="R335" s="47">
        <f t="shared" si="91"/>
        <v>1.3620966023741843</v>
      </c>
    </row>
    <row r="336" spans="13:18" x14ac:dyDescent="0.15">
      <c r="M336" s="46">
        <v>2020</v>
      </c>
      <c r="N336" s="26" t="s">
        <v>17</v>
      </c>
      <c r="O336" s="26" t="str">
        <f t="shared" si="89"/>
        <v>wood products 16</v>
      </c>
      <c r="P336" s="26" t="str">
        <f t="shared" si="92"/>
        <v>Cogeneration and Waste Heat Recovery</v>
      </c>
      <c r="Q336" s="47">
        <f t="shared" si="90"/>
        <v>0</v>
      </c>
      <c r="R336" s="47">
        <f t="shared" si="91"/>
        <v>0</v>
      </c>
    </row>
    <row r="337" spans="13:18" x14ac:dyDescent="0.15">
      <c r="M337" s="46">
        <v>2020</v>
      </c>
      <c r="N337" s="26" t="s">
        <v>17</v>
      </c>
      <c r="O337" s="26" t="str">
        <f t="shared" si="89"/>
        <v>wood products 16</v>
      </c>
      <c r="P337" s="26" t="str">
        <f t="shared" si="92"/>
        <v>Improvement in Eqpt Efficiency Standards</v>
      </c>
      <c r="Q337" s="47">
        <f t="shared" si="90"/>
        <v>0</v>
      </c>
      <c r="R337" s="47">
        <f t="shared" si="91"/>
        <v>0</v>
      </c>
    </row>
    <row r="338" spans="13:18" x14ac:dyDescent="0.15">
      <c r="M338" s="46">
        <v>2020</v>
      </c>
      <c r="N338" s="26" t="s">
        <v>17</v>
      </c>
      <c r="O338" s="26" t="str">
        <f t="shared" si="89"/>
        <v>pulp paper and printing 17T18</v>
      </c>
      <c r="P338" s="26" t="str">
        <f t="shared" si="92"/>
        <v>Early Facility Retirement</v>
      </c>
      <c r="Q338" s="47">
        <f t="shared" si="90"/>
        <v>0</v>
      </c>
      <c r="R338" s="47">
        <f t="shared" si="91"/>
        <v>0</v>
      </c>
    </row>
    <row r="339" spans="13:18" x14ac:dyDescent="0.15">
      <c r="M339" s="46">
        <v>2020</v>
      </c>
      <c r="N339" s="26" t="s">
        <v>17</v>
      </c>
      <c r="O339" s="26" t="str">
        <f t="shared" si="89"/>
        <v>pulp paper and printing 17T18</v>
      </c>
      <c r="P339" s="26" t="str">
        <f t="shared" si="92"/>
        <v>Installation and System Integration</v>
      </c>
      <c r="Q339" s="47">
        <f t="shared" si="90"/>
        <v>0.57282270352973264</v>
      </c>
      <c r="R339" s="47">
        <f t="shared" si="91"/>
        <v>5.8285442738139457</v>
      </c>
    </row>
    <row r="340" spans="13:18" x14ac:dyDescent="0.15">
      <c r="M340" s="46">
        <v>2020</v>
      </c>
      <c r="N340" s="26" t="s">
        <v>17</v>
      </c>
      <c r="O340" s="26" t="str">
        <f t="shared" si="89"/>
        <v>pulp paper and printing 17T18</v>
      </c>
      <c r="P340" s="26" t="str">
        <f t="shared" si="92"/>
        <v>Cogeneration and Waste Heat Recovery</v>
      </c>
      <c r="Q340" s="47">
        <f t="shared" si="90"/>
        <v>0</v>
      </c>
      <c r="R340" s="47">
        <f t="shared" si="91"/>
        <v>0</v>
      </c>
    </row>
    <row r="341" spans="13:18" x14ac:dyDescent="0.15">
      <c r="M341" s="46">
        <v>2020</v>
      </c>
      <c r="N341" s="26" t="s">
        <v>17</v>
      </c>
      <c r="O341" s="26" t="str">
        <f t="shared" si="89"/>
        <v>pulp paper and printing 17T18</v>
      </c>
      <c r="P341" s="26" t="str">
        <f t="shared" si="92"/>
        <v>Improvement in Eqpt Efficiency Standards</v>
      </c>
      <c r="Q341" s="47">
        <f t="shared" si="90"/>
        <v>0</v>
      </c>
      <c r="R341" s="47">
        <f t="shared" si="91"/>
        <v>0</v>
      </c>
    </row>
    <row r="342" spans="13:18" x14ac:dyDescent="0.15">
      <c r="M342" s="46">
        <v>2020</v>
      </c>
      <c r="N342" s="26" t="s">
        <v>17</v>
      </c>
      <c r="O342" s="26" t="str">
        <f t="shared" si="89"/>
        <v>refined petroleum and coke 19</v>
      </c>
      <c r="P342" s="26" t="str">
        <f t="shared" si="92"/>
        <v>Early Facility Retirement</v>
      </c>
      <c r="Q342" s="47">
        <f t="shared" si="90"/>
        <v>0</v>
      </c>
      <c r="R342" s="47">
        <f t="shared" si="91"/>
        <v>0</v>
      </c>
    </row>
    <row r="343" spans="13:18" x14ac:dyDescent="0.15">
      <c r="M343" s="46">
        <v>2020</v>
      </c>
      <c r="N343" s="26" t="s">
        <v>17</v>
      </c>
      <c r="O343" s="26" t="str">
        <f t="shared" si="89"/>
        <v>refined petroleum and coke 19</v>
      </c>
      <c r="P343" s="26" t="str">
        <f t="shared" si="92"/>
        <v>Installation and System Integration</v>
      </c>
      <c r="Q343" s="47">
        <f t="shared" si="90"/>
        <v>35.788658024030973</v>
      </c>
      <c r="R343" s="47">
        <f t="shared" si="91"/>
        <v>364.15417284979168</v>
      </c>
    </row>
    <row r="344" spans="13:18" x14ac:dyDescent="0.15">
      <c r="M344" s="46">
        <v>2020</v>
      </c>
      <c r="N344" s="26" t="s">
        <v>17</v>
      </c>
      <c r="O344" s="26" t="str">
        <f t="shared" si="89"/>
        <v>refined petroleum and coke 19</v>
      </c>
      <c r="P344" s="26" t="str">
        <f t="shared" si="92"/>
        <v>Cogeneration and Waste Heat Recovery</v>
      </c>
      <c r="Q344" s="47">
        <f t="shared" si="90"/>
        <v>0</v>
      </c>
      <c r="R344" s="47">
        <f t="shared" si="91"/>
        <v>0</v>
      </c>
    </row>
    <row r="345" spans="13:18" x14ac:dyDescent="0.15">
      <c r="M345" s="46">
        <v>2020</v>
      </c>
      <c r="N345" s="26" t="s">
        <v>17</v>
      </c>
      <c r="O345" s="26" t="str">
        <f t="shared" si="89"/>
        <v>refined petroleum and coke 19</v>
      </c>
      <c r="P345" s="26" t="str">
        <f t="shared" si="92"/>
        <v>Improvement in Eqpt Efficiency Standards</v>
      </c>
      <c r="Q345" s="47">
        <f t="shared" si="90"/>
        <v>0</v>
      </c>
      <c r="R345" s="47">
        <f t="shared" si="91"/>
        <v>0</v>
      </c>
    </row>
    <row r="346" spans="13:18" x14ac:dyDescent="0.15">
      <c r="M346" s="46">
        <v>2020</v>
      </c>
      <c r="N346" s="26" t="s">
        <v>17</v>
      </c>
      <c r="O346" s="26" t="str">
        <f t="shared" si="89"/>
        <v>chemicals 20</v>
      </c>
      <c r="P346" s="26" t="str">
        <f t="shared" si="92"/>
        <v>Early Facility Retirement</v>
      </c>
      <c r="Q346" s="47">
        <f t="shared" si="90"/>
        <v>0</v>
      </c>
      <c r="R346" s="47">
        <f t="shared" si="91"/>
        <v>0</v>
      </c>
    </row>
    <row r="347" spans="13:18" x14ac:dyDescent="0.15">
      <c r="M347" s="46">
        <v>2020</v>
      </c>
      <c r="N347" s="26" t="s">
        <v>17</v>
      </c>
      <c r="O347" s="26" t="str">
        <f t="shared" si="89"/>
        <v>chemicals 20</v>
      </c>
      <c r="P347" s="26" t="str">
        <f t="shared" si="92"/>
        <v>Installation and System Integration</v>
      </c>
      <c r="Q347" s="47">
        <f t="shared" si="90"/>
        <v>7.7419839063702618</v>
      </c>
      <c r="R347" s="47">
        <f t="shared" si="91"/>
        <v>78.775676465644665</v>
      </c>
    </row>
    <row r="348" spans="13:18" x14ac:dyDescent="0.15">
      <c r="M348" s="46">
        <v>2020</v>
      </c>
      <c r="N348" s="26" t="s">
        <v>17</v>
      </c>
      <c r="O348" s="26" t="str">
        <f t="shared" si="89"/>
        <v>chemicals 20</v>
      </c>
      <c r="P348" s="26" t="str">
        <f t="shared" si="92"/>
        <v>Cogeneration and Waste Heat Recovery</v>
      </c>
      <c r="Q348" s="47">
        <f t="shared" si="90"/>
        <v>0</v>
      </c>
      <c r="R348" s="47">
        <f t="shared" si="91"/>
        <v>0</v>
      </c>
    </row>
    <row r="349" spans="13:18" x14ac:dyDescent="0.15">
      <c r="M349" s="46">
        <v>2020</v>
      </c>
      <c r="N349" s="26" t="s">
        <v>17</v>
      </c>
      <c r="O349" s="26" t="str">
        <f t="shared" si="89"/>
        <v>chemicals 20</v>
      </c>
      <c r="P349" s="26" t="str">
        <f t="shared" si="92"/>
        <v>Improvement in Eqpt Efficiency Standards</v>
      </c>
      <c r="Q349" s="47">
        <f t="shared" si="90"/>
        <v>0</v>
      </c>
      <c r="R349" s="47">
        <f t="shared" si="91"/>
        <v>0</v>
      </c>
    </row>
    <row r="350" spans="13:18" x14ac:dyDescent="0.15">
      <c r="M350" s="46">
        <v>2020</v>
      </c>
      <c r="N350" s="26" t="s">
        <v>17</v>
      </c>
      <c r="O350" s="26" t="str">
        <f t="shared" si="89"/>
        <v>rubber and plastic products 22</v>
      </c>
      <c r="P350" s="26" t="str">
        <f t="shared" si="92"/>
        <v>Early Facility Retirement</v>
      </c>
      <c r="Q350" s="47">
        <f t="shared" si="90"/>
        <v>0</v>
      </c>
      <c r="R350" s="47">
        <f t="shared" si="91"/>
        <v>0</v>
      </c>
    </row>
    <row r="351" spans="13:18" x14ac:dyDescent="0.15">
      <c r="M351" s="46">
        <v>2020</v>
      </c>
      <c r="N351" s="26" t="s">
        <v>17</v>
      </c>
      <c r="O351" s="26" t="str">
        <f t="shared" si="89"/>
        <v>rubber and plastic products 22</v>
      </c>
      <c r="P351" s="26" t="str">
        <f t="shared" si="92"/>
        <v>Installation and System Integration</v>
      </c>
      <c r="Q351" s="47">
        <f t="shared" si="90"/>
        <v>0.42268065704247448</v>
      </c>
      <c r="R351" s="47">
        <f t="shared" si="91"/>
        <v>4.3008297472779127</v>
      </c>
    </row>
    <row r="352" spans="13:18" x14ac:dyDescent="0.15">
      <c r="M352" s="46">
        <v>2020</v>
      </c>
      <c r="N352" s="26" t="s">
        <v>17</v>
      </c>
      <c r="O352" s="26" t="str">
        <f t="shared" si="89"/>
        <v>rubber and plastic products 22</v>
      </c>
      <c r="P352" s="26" t="str">
        <f t="shared" si="92"/>
        <v>Cogeneration and Waste Heat Recovery</v>
      </c>
      <c r="Q352" s="47">
        <f t="shared" si="90"/>
        <v>0</v>
      </c>
      <c r="R352" s="47">
        <f t="shared" si="91"/>
        <v>0</v>
      </c>
    </row>
    <row r="353" spans="13:18" x14ac:dyDescent="0.15">
      <c r="M353" s="46">
        <v>2020</v>
      </c>
      <c r="N353" s="26" t="s">
        <v>17</v>
      </c>
      <c r="O353" s="26" t="str">
        <f t="shared" si="89"/>
        <v>rubber and plastic products 22</v>
      </c>
      <c r="P353" s="26" t="str">
        <f t="shared" si="92"/>
        <v>Improvement in Eqpt Efficiency Standards</v>
      </c>
      <c r="Q353" s="47">
        <f t="shared" si="90"/>
        <v>0</v>
      </c>
      <c r="R353" s="47">
        <f t="shared" si="91"/>
        <v>0</v>
      </c>
    </row>
    <row r="354" spans="13:18" x14ac:dyDescent="0.15">
      <c r="M354" s="46">
        <v>2020</v>
      </c>
      <c r="N354" s="26" t="s">
        <v>17</v>
      </c>
      <c r="O354" s="26" t="str">
        <f>O254</f>
        <v>glass and glass products 231</v>
      </c>
      <c r="P354" s="26" t="str">
        <f t="shared" si="92"/>
        <v>Early Facility Retirement</v>
      </c>
      <c r="Q354" s="47">
        <f t="shared" si="90"/>
        <v>0</v>
      </c>
      <c r="R354" s="47">
        <f t="shared" si="91"/>
        <v>0</v>
      </c>
    </row>
    <row r="355" spans="13:18" x14ac:dyDescent="0.15">
      <c r="M355" s="46">
        <v>2020</v>
      </c>
      <c r="N355" s="26" t="s">
        <v>17</v>
      </c>
      <c r="O355" s="26" t="str">
        <f t="shared" si="89"/>
        <v>glass and glass products 231</v>
      </c>
      <c r="P355" s="26" t="str">
        <f t="shared" si="92"/>
        <v>Installation and System Integration</v>
      </c>
      <c r="Q355" s="47">
        <f t="shared" si="90"/>
        <v>0.18314636470892556</v>
      </c>
      <c r="R355" s="47">
        <f t="shared" si="91"/>
        <v>1.8635376857730301</v>
      </c>
    </row>
    <row r="356" spans="13:18" x14ac:dyDescent="0.15">
      <c r="M356" s="46">
        <v>2020</v>
      </c>
      <c r="N356" s="26" t="s">
        <v>17</v>
      </c>
      <c r="O356" s="26" t="str">
        <f t="shared" si="89"/>
        <v>glass and glass products 231</v>
      </c>
      <c r="P356" s="26" t="str">
        <f t="shared" si="92"/>
        <v>Cogeneration and Waste Heat Recovery</v>
      </c>
      <c r="Q356" s="47">
        <f t="shared" si="90"/>
        <v>0</v>
      </c>
      <c r="R356" s="47">
        <f t="shared" si="91"/>
        <v>0</v>
      </c>
    </row>
    <row r="357" spans="13:18" x14ac:dyDescent="0.15">
      <c r="M357" s="46">
        <v>2020</v>
      </c>
      <c r="N357" s="26" t="s">
        <v>17</v>
      </c>
      <c r="O357" s="26" t="str">
        <f t="shared" si="89"/>
        <v>glass and glass products 231</v>
      </c>
      <c r="P357" s="26" t="str">
        <f t="shared" si="92"/>
        <v>Improvement in Eqpt Efficiency Standards</v>
      </c>
      <c r="Q357" s="47">
        <f t="shared" si="90"/>
        <v>0</v>
      </c>
      <c r="R357" s="47">
        <f t="shared" si="91"/>
        <v>0</v>
      </c>
    </row>
    <row r="358" spans="13:18" x14ac:dyDescent="0.15">
      <c r="M358" s="46">
        <v>2020</v>
      </c>
      <c r="N358" s="26" t="s">
        <v>17</v>
      </c>
      <c r="O358" s="26" t="str">
        <f t="shared" si="89"/>
        <v>cement and other nonmetallic minerals 239</v>
      </c>
      <c r="P358" s="26" t="str">
        <f t="shared" si="92"/>
        <v>Early Facility Retirement</v>
      </c>
      <c r="Q358" s="47">
        <f t="shared" si="90"/>
        <v>0</v>
      </c>
      <c r="R358" s="47">
        <f t="shared" si="91"/>
        <v>0</v>
      </c>
    </row>
    <row r="359" spans="13:18" x14ac:dyDescent="0.15">
      <c r="M359" s="46">
        <v>2020</v>
      </c>
      <c r="N359" s="26" t="s">
        <v>17</v>
      </c>
      <c r="O359" s="26" t="str">
        <f t="shared" si="89"/>
        <v>cement and other nonmetallic minerals 239</v>
      </c>
      <c r="P359" s="26" t="str">
        <f t="shared" si="92"/>
        <v>Installation and System Integration</v>
      </c>
      <c r="Q359" s="47">
        <f t="shared" si="90"/>
        <v>4.4894428563450344</v>
      </c>
      <c r="R359" s="47">
        <f t="shared" si="91"/>
        <v>45.68065527382953</v>
      </c>
    </row>
    <row r="360" spans="13:18" x14ac:dyDescent="0.15">
      <c r="M360" s="46">
        <v>2020</v>
      </c>
      <c r="N360" s="26" t="s">
        <v>17</v>
      </c>
      <c r="O360" s="26" t="str">
        <f t="shared" si="89"/>
        <v>cement and other nonmetallic minerals 239</v>
      </c>
      <c r="P360" s="26" t="str">
        <f t="shared" si="92"/>
        <v>Cogeneration and Waste Heat Recovery</v>
      </c>
      <c r="Q360" s="47">
        <f t="shared" si="90"/>
        <v>0</v>
      </c>
      <c r="R360" s="47">
        <f t="shared" si="91"/>
        <v>0</v>
      </c>
    </row>
    <row r="361" spans="13:18" x14ac:dyDescent="0.15">
      <c r="M361" s="46">
        <v>2020</v>
      </c>
      <c r="N361" s="26" t="s">
        <v>17</v>
      </c>
      <c r="O361" s="26" t="str">
        <f t="shared" si="89"/>
        <v>cement and other nonmetallic minerals 239</v>
      </c>
      <c r="P361" s="26" t="str">
        <f t="shared" si="92"/>
        <v>Improvement in Eqpt Efficiency Standards</v>
      </c>
      <c r="Q361" s="47">
        <f t="shared" si="90"/>
        <v>0</v>
      </c>
      <c r="R361" s="47">
        <f t="shared" si="91"/>
        <v>0</v>
      </c>
    </row>
    <row r="362" spans="13:18" x14ac:dyDescent="0.15">
      <c r="M362" s="46">
        <v>2020</v>
      </c>
      <c r="N362" s="26" t="s">
        <v>17</v>
      </c>
      <c r="O362" s="26" t="str">
        <f t="shared" si="89"/>
        <v>iron and steel 241</v>
      </c>
      <c r="P362" s="26" t="str">
        <f t="shared" si="92"/>
        <v>Early Facility Retirement</v>
      </c>
      <c r="Q362" s="47">
        <f t="shared" si="90"/>
        <v>0</v>
      </c>
      <c r="R362" s="47">
        <f t="shared" si="91"/>
        <v>0</v>
      </c>
    </row>
    <row r="363" spans="13:18" x14ac:dyDescent="0.15">
      <c r="M363" s="46">
        <v>2020</v>
      </c>
      <c r="N363" s="26" t="s">
        <v>17</v>
      </c>
      <c r="O363" s="26" t="str">
        <f t="shared" si="89"/>
        <v>iron and steel 241</v>
      </c>
      <c r="P363" s="26" t="str">
        <f t="shared" si="92"/>
        <v>Installation and System Integration</v>
      </c>
      <c r="Q363" s="47">
        <f t="shared" si="90"/>
        <v>12.612243422479056</v>
      </c>
      <c r="R363" s="47">
        <f t="shared" si="91"/>
        <v>128.33118995993544</v>
      </c>
    </row>
    <row r="364" spans="13:18" x14ac:dyDescent="0.15">
      <c r="M364" s="46">
        <v>2020</v>
      </c>
      <c r="N364" s="26" t="s">
        <v>17</v>
      </c>
      <c r="O364" s="26" t="str">
        <f t="shared" si="89"/>
        <v>iron and steel 241</v>
      </c>
      <c r="P364" s="26" t="str">
        <f t="shared" si="92"/>
        <v>Cogeneration and Waste Heat Recovery</v>
      </c>
      <c r="Q364" s="47">
        <f t="shared" si="90"/>
        <v>0</v>
      </c>
      <c r="R364" s="47">
        <f t="shared" si="91"/>
        <v>0</v>
      </c>
    </row>
    <row r="365" spans="13:18" x14ac:dyDescent="0.15">
      <c r="M365" s="46">
        <v>2020</v>
      </c>
      <c r="N365" s="26" t="s">
        <v>17</v>
      </c>
      <c r="O365" s="26" t="str">
        <f t="shared" si="89"/>
        <v>iron and steel 241</v>
      </c>
      <c r="P365" s="26" t="str">
        <f t="shared" si="92"/>
        <v>Improvement in Eqpt Efficiency Standards</v>
      </c>
      <c r="Q365" s="47">
        <f t="shared" si="90"/>
        <v>0</v>
      </c>
      <c r="R365" s="47">
        <f t="shared" si="91"/>
        <v>0</v>
      </c>
    </row>
    <row r="366" spans="13:18" x14ac:dyDescent="0.15">
      <c r="M366" s="46">
        <v>2020</v>
      </c>
      <c r="N366" s="26" t="s">
        <v>17</v>
      </c>
      <c r="O366" s="26" t="str">
        <f t="shared" si="89"/>
        <v>other metals 242</v>
      </c>
      <c r="P366" s="26" t="str">
        <f t="shared" si="92"/>
        <v>Early Facility Retirement</v>
      </c>
      <c r="Q366" s="47">
        <f t="shared" si="90"/>
        <v>0</v>
      </c>
      <c r="R366" s="47">
        <f t="shared" si="91"/>
        <v>0</v>
      </c>
    </row>
    <row r="367" spans="13:18" x14ac:dyDescent="0.15">
      <c r="M367" s="46">
        <v>2020</v>
      </c>
      <c r="N367" s="26" t="s">
        <v>17</v>
      </c>
      <c r="O367" s="26" t="str">
        <f t="shared" si="89"/>
        <v>other metals 242</v>
      </c>
      <c r="P367" s="26" t="str">
        <f t="shared" si="92"/>
        <v>Installation and System Integration</v>
      </c>
      <c r="Q367" s="47">
        <f t="shared" si="90"/>
        <v>2.2457246842374521</v>
      </c>
      <c r="R367" s="47">
        <f t="shared" si="91"/>
        <v>22.850535895694343</v>
      </c>
    </row>
    <row r="368" spans="13:18" x14ac:dyDescent="0.15">
      <c r="M368" s="46">
        <v>2020</v>
      </c>
      <c r="N368" s="26" t="s">
        <v>17</v>
      </c>
      <c r="O368" s="26" t="str">
        <f t="shared" si="89"/>
        <v>other metals 242</v>
      </c>
      <c r="P368" s="26" t="str">
        <f t="shared" si="92"/>
        <v>Cogeneration and Waste Heat Recovery</v>
      </c>
      <c r="Q368" s="47">
        <f t="shared" si="90"/>
        <v>0</v>
      </c>
      <c r="R368" s="47">
        <f t="shared" si="91"/>
        <v>0</v>
      </c>
    </row>
    <row r="369" spans="13:18" x14ac:dyDescent="0.15">
      <c r="M369" s="46">
        <v>2020</v>
      </c>
      <c r="N369" s="26" t="s">
        <v>17</v>
      </c>
      <c r="O369" s="26" t="str">
        <f>O269</f>
        <v>other metals 242</v>
      </c>
      <c r="P369" s="26" t="str">
        <f t="shared" si="92"/>
        <v>Improvement in Eqpt Efficiency Standards</v>
      </c>
      <c r="Q369" s="47">
        <f t="shared" si="90"/>
        <v>0</v>
      </c>
      <c r="R369" s="47">
        <f t="shared" si="91"/>
        <v>0</v>
      </c>
    </row>
    <row r="370" spans="13:18" x14ac:dyDescent="0.15">
      <c r="M370" s="46">
        <v>2020</v>
      </c>
      <c r="N370" s="26" t="s">
        <v>17</v>
      </c>
      <c r="O370" s="26" t="str">
        <f t="shared" si="89"/>
        <v>metal products except machinery and vehicles 25</v>
      </c>
      <c r="P370" s="26" t="str">
        <f t="shared" si="92"/>
        <v>Early Facility Retirement</v>
      </c>
      <c r="Q370" s="47">
        <f t="shared" si="90"/>
        <v>0</v>
      </c>
      <c r="R370" s="47">
        <f t="shared" si="91"/>
        <v>0</v>
      </c>
    </row>
    <row r="371" spans="13:18" x14ac:dyDescent="0.15">
      <c r="M371" s="46">
        <v>2020</v>
      </c>
      <c r="N371" s="26" t="s">
        <v>17</v>
      </c>
      <c r="O371" s="26" t="str">
        <f t="shared" si="89"/>
        <v>metal products except machinery and vehicles 25</v>
      </c>
      <c r="P371" s="26" t="str">
        <f t="shared" si="92"/>
        <v>Installation and System Integration</v>
      </c>
      <c r="Q371" s="47">
        <f t="shared" si="90"/>
        <v>0.6664816101871357</v>
      </c>
      <c r="R371" s="47">
        <f t="shared" si="91"/>
        <v>6.7815356282520236</v>
      </c>
    </row>
    <row r="372" spans="13:18" x14ac:dyDescent="0.15">
      <c r="M372" s="46">
        <v>2020</v>
      </c>
      <c r="N372" s="26" t="s">
        <v>17</v>
      </c>
      <c r="O372" s="26" t="str">
        <f t="shared" si="89"/>
        <v>metal products except machinery and vehicles 25</v>
      </c>
      <c r="P372" s="26" t="str">
        <f t="shared" si="92"/>
        <v>Cogeneration and Waste Heat Recovery</v>
      </c>
      <c r="Q372" s="47">
        <f t="shared" si="90"/>
        <v>0</v>
      </c>
      <c r="R372" s="47">
        <f t="shared" si="91"/>
        <v>0</v>
      </c>
    </row>
    <row r="373" spans="13:18" x14ac:dyDescent="0.15">
      <c r="M373" s="46">
        <v>2020</v>
      </c>
      <c r="N373" s="26" t="s">
        <v>17</v>
      </c>
      <c r="O373" s="26" t="str">
        <f t="shared" si="89"/>
        <v>metal products except machinery and vehicles 25</v>
      </c>
      <c r="P373" s="26" t="str">
        <f t="shared" si="92"/>
        <v>Improvement in Eqpt Efficiency Standards</v>
      </c>
      <c r="Q373" s="47">
        <f t="shared" si="90"/>
        <v>0</v>
      </c>
      <c r="R373" s="47">
        <f t="shared" si="91"/>
        <v>0</v>
      </c>
    </row>
    <row r="374" spans="13:18" x14ac:dyDescent="0.15">
      <c r="M374" s="46">
        <v>2020</v>
      </c>
      <c r="N374" s="26" t="s">
        <v>17</v>
      </c>
      <c r="O374" s="26" t="str">
        <f>O274</f>
        <v>computers and electronics 26</v>
      </c>
      <c r="P374" s="26" t="str">
        <f t="shared" si="92"/>
        <v>Early Facility Retirement</v>
      </c>
      <c r="Q374" s="47">
        <f t="shared" si="90"/>
        <v>0</v>
      </c>
      <c r="R374" s="47">
        <f t="shared" si="91"/>
        <v>0</v>
      </c>
    </row>
    <row r="375" spans="13:18" x14ac:dyDescent="0.15">
      <c r="M375" s="46">
        <v>2020</v>
      </c>
      <c r="N375" s="26" t="s">
        <v>17</v>
      </c>
      <c r="O375" s="26" t="str">
        <f t="shared" si="89"/>
        <v>computers and electronics 26</v>
      </c>
      <c r="P375" s="26" t="str">
        <f t="shared" si="92"/>
        <v>Installation and System Integration</v>
      </c>
      <c r="Q375" s="47">
        <f t="shared" si="90"/>
        <v>0.45393972178033759</v>
      </c>
      <c r="R375" s="47">
        <f t="shared" si="91"/>
        <v>4.618894729095091</v>
      </c>
    </row>
    <row r="376" spans="13:18" x14ac:dyDescent="0.15">
      <c r="M376" s="46">
        <v>2020</v>
      </c>
      <c r="N376" s="26" t="s">
        <v>17</v>
      </c>
      <c r="O376" s="26" t="str">
        <f t="shared" ref="O376:O378" si="93">O276</f>
        <v>computers and electronics 26</v>
      </c>
      <c r="P376" s="26" t="str">
        <f t="shared" si="92"/>
        <v>Cogeneration and Waste Heat Recovery</v>
      </c>
      <c r="Q376" s="47">
        <f t="shared" si="90"/>
        <v>0</v>
      </c>
      <c r="R376" s="47">
        <f t="shared" si="91"/>
        <v>0</v>
      </c>
    </row>
    <row r="377" spans="13:18" x14ac:dyDescent="0.15">
      <c r="M377" s="46">
        <v>2020</v>
      </c>
      <c r="N377" s="26" t="s">
        <v>17</v>
      </c>
      <c r="O377" s="26" t="str">
        <f t="shared" si="93"/>
        <v>computers and electronics 26</v>
      </c>
      <c r="P377" s="26" t="str">
        <f t="shared" si="92"/>
        <v>Improvement in Eqpt Efficiency Standards</v>
      </c>
      <c r="Q377" s="47">
        <f t="shared" si="90"/>
        <v>0</v>
      </c>
      <c r="R377" s="47">
        <f t="shared" si="91"/>
        <v>0</v>
      </c>
    </row>
    <row r="378" spans="13:18" x14ac:dyDescent="0.15">
      <c r="M378" s="46">
        <v>2020</v>
      </c>
      <c r="N378" s="26" t="s">
        <v>17</v>
      </c>
      <c r="O378" s="26" t="str">
        <f t="shared" si="93"/>
        <v>appliances and electrical equipment 27</v>
      </c>
      <c r="P378" s="26" t="str">
        <f t="shared" si="92"/>
        <v>Early Facility Retirement</v>
      </c>
      <c r="Q378" s="47">
        <f t="shared" si="90"/>
        <v>0</v>
      </c>
      <c r="R378" s="47">
        <f t="shared" si="91"/>
        <v>0</v>
      </c>
    </row>
    <row r="379" spans="13:18" x14ac:dyDescent="0.15">
      <c r="M379" s="46">
        <v>2020</v>
      </c>
      <c r="N379" s="26" t="s">
        <v>17</v>
      </c>
      <c r="O379" s="26" t="str">
        <f>O279</f>
        <v>appliances and electrical equipment 27</v>
      </c>
      <c r="P379" s="26" t="str">
        <f t="shared" si="92"/>
        <v>Installation and System Integration</v>
      </c>
      <c r="Q379" s="47">
        <f t="shared" si="90"/>
        <v>0.24172848477775669</v>
      </c>
      <c r="R379" s="47">
        <f t="shared" si="91"/>
        <v>2.459618250267178</v>
      </c>
    </row>
    <row r="380" spans="13:18" x14ac:dyDescent="0.15">
      <c r="M380" s="46">
        <v>2020</v>
      </c>
      <c r="N380" s="26" t="s">
        <v>17</v>
      </c>
      <c r="O380" s="26" t="str">
        <f t="shared" ref="O380:O391" si="94">O280</f>
        <v>appliances and electrical equipment 27</v>
      </c>
      <c r="P380" s="26" t="str">
        <f t="shared" si="92"/>
        <v>Cogeneration and Waste Heat Recovery</v>
      </c>
      <c r="Q380" s="47">
        <f t="shared" si="90"/>
        <v>0</v>
      </c>
      <c r="R380" s="47">
        <f t="shared" si="91"/>
        <v>0</v>
      </c>
    </row>
    <row r="381" spans="13:18" x14ac:dyDescent="0.15">
      <c r="M381" s="46">
        <v>2020</v>
      </c>
      <c r="N381" s="26" t="s">
        <v>17</v>
      </c>
      <c r="O381" s="26" t="str">
        <f t="shared" si="94"/>
        <v>appliances and electrical equipment 27</v>
      </c>
      <c r="P381" s="26" t="str">
        <f t="shared" si="92"/>
        <v>Improvement in Eqpt Efficiency Standards</v>
      </c>
      <c r="Q381" s="47">
        <f t="shared" si="90"/>
        <v>0</v>
      </c>
      <c r="R381" s="47">
        <f t="shared" si="91"/>
        <v>0</v>
      </c>
    </row>
    <row r="382" spans="13:18" x14ac:dyDescent="0.15">
      <c r="M382" s="46">
        <v>2020</v>
      </c>
      <c r="N382" s="26" t="s">
        <v>17</v>
      </c>
      <c r="O382" s="26" t="str">
        <f t="shared" si="94"/>
        <v>other machinery 28</v>
      </c>
      <c r="P382" s="26" t="str">
        <f t="shared" si="92"/>
        <v>Early Facility Retirement</v>
      </c>
      <c r="Q382" s="47">
        <f t="shared" si="90"/>
        <v>0</v>
      </c>
      <c r="R382" s="47">
        <f t="shared" si="91"/>
        <v>0</v>
      </c>
    </row>
    <row r="383" spans="13:18" x14ac:dyDescent="0.15">
      <c r="M383" s="46">
        <v>2020</v>
      </c>
      <c r="N383" s="26" t="s">
        <v>17</v>
      </c>
      <c r="O383" s="26" t="str">
        <f t="shared" si="94"/>
        <v>other machinery 28</v>
      </c>
      <c r="P383" s="26" t="str">
        <f t="shared" si="92"/>
        <v>Installation and System Integration</v>
      </c>
      <c r="Q383" s="47">
        <f t="shared" si="90"/>
        <v>0.14952519630422192</v>
      </c>
      <c r="R383" s="47">
        <f t="shared" si="91"/>
        <v>1.5214379970270198</v>
      </c>
    </row>
    <row r="384" spans="13:18" x14ac:dyDescent="0.15">
      <c r="M384" s="46">
        <v>2020</v>
      </c>
      <c r="N384" s="26" t="s">
        <v>17</v>
      </c>
      <c r="O384" s="26" t="str">
        <f t="shared" si="94"/>
        <v>other machinery 28</v>
      </c>
      <c r="P384" s="26" t="str">
        <f t="shared" si="92"/>
        <v>Cogeneration and Waste Heat Recovery</v>
      </c>
      <c r="Q384" s="47">
        <f t="shared" si="90"/>
        <v>0</v>
      </c>
      <c r="R384" s="47">
        <f t="shared" si="91"/>
        <v>0</v>
      </c>
    </row>
    <row r="385" spans="13:18" x14ac:dyDescent="0.15">
      <c r="M385" s="46">
        <v>2020</v>
      </c>
      <c r="N385" s="26" t="s">
        <v>17</v>
      </c>
      <c r="O385" s="26" t="str">
        <f t="shared" si="94"/>
        <v>other machinery 28</v>
      </c>
      <c r="P385" s="26" t="str">
        <f t="shared" si="92"/>
        <v>Improvement in Eqpt Efficiency Standards</v>
      </c>
      <c r="Q385" s="47">
        <f t="shared" si="90"/>
        <v>0</v>
      </c>
      <c r="R385" s="47">
        <f t="shared" si="91"/>
        <v>0</v>
      </c>
    </row>
    <row r="386" spans="13:18" x14ac:dyDescent="0.15">
      <c r="M386" s="46">
        <v>2020</v>
      </c>
      <c r="N386" s="26" t="s">
        <v>17</v>
      </c>
      <c r="O386" s="26" t="str">
        <f t="shared" si="94"/>
        <v>road vehicles 29</v>
      </c>
      <c r="P386" s="26" t="str">
        <f t="shared" si="92"/>
        <v>Early Facility Retirement</v>
      </c>
      <c r="Q386" s="47">
        <f t="shared" ref="Q386:Q449" si="95">SUMIFS(D:D,B:B,N386,C:C,P386,A:A,M386)*SUMIFS(K:K,G:G,N386,I:I,O386)</f>
        <v>0</v>
      </c>
      <c r="R386" s="47">
        <f t="shared" ref="R386:R449" si="96">SUMIFS(E:E,B:B,N386,C:C,P386,A:A,M386)*SUMIFS(K:K,G:G,N386,I:I,O386)</f>
        <v>0</v>
      </c>
    </row>
    <row r="387" spans="13:18" x14ac:dyDescent="0.15">
      <c r="M387" s="46">
        <v>2020</v>
      </c>
      <c r="N387" s="26" t="s">
        <v>17</v>
      </c>
      <c r="O387" s="26" t="str">
        <f t="shared" si="94"/>
        <v>road vehicles 29</v>
      </c>
      <c r="P387" s="26" t="str">
        <f t="shared" si="92"/>
        <v>Installation and System Integration</v>
      </c>
      <c r="Q387" s="47">
        <f t="shared" si="95"/>
        <v>0.334461193363359</v>
      </c>
      <c r="R387" s="47">
        <f t="shared" si="96"/>
        <v>3.403185420861726</v>
      </c>
    </row>
    <row r="388" spans="13:18" x14ac:dyDescent="0.15">
      <c r="M388" s="46">
        <v>2020</v>
      </c>
      <c r="N388" s="26" t="s">
        <v>17</v>
      </c>
      <c r="O388" s="26" t="str">
        <f t="shared" si="94"/>
        <v>road vehicles 29</v>
      </c>
      <c r="P388" s="26" t="str">
        <f t="shared" si="92"/>
        <v>Cogeneration and Waste Heat Recovery</v>
      </c>
      <c r="Q388" s="47">
        <f t="shared" si="95"/>
        <v>0</v>
      </c>
      <c r="R388" s="47">
        <f t="shared" si="96"/>
        <v>0</v>
      </c>
    </row>
    <row r="389" spans="13:18" x14ac:dyDescent="0.15">
      <c r="M389" s="46">
        <v>2020</v>
      </c>
      <c r="N389" s="26" t="s">
        <v>17</v>
      </c>
      <c r="O389" s="26" t="str">
        <f t="shared" si="94"/>
        <v>road vehicles 29</v>
      </c>
      <c r="P389" s="26" t="str">
        <f t="shared" si="92"/>
        <v>Improvement in Eqpt Efficiency Standards</v>
      </c>
      <c r="Q389" s="47">
        <f t="shared" si="95"/>
        <v>0</v>
      </c>
      <c r="R389" s="47">
        <f t="shared" si="96"/>
        <v>0</v>
      </c>
    </row>
    <row r="390" spans="13:18" x14ac:dyDescent="0.15">
      <c r="M390" s="46">
        <v>2020</v>
      </c>
      <c r="N390" s="26" t="s">
        <v>17</v>
      </c>
      <c r="O390" s="26" t="str">
        <f t="shared" si="94"/>
        <v>nonroad vehicles 30</v>
      </c>
      <c r="P390" s="26" t="str">
        <f t="shared" si="92"/>
        <v>Early Facility Retirement</v>
      </c>
      <c r="Q390" s="47">
        <f t="shared" si="95"/>
        <v>0</v>
      </c>
      <c r="R390" s="47">
        <f t="shared" si="96"/>
        <v>0</v>
      </c>
    </row>
    <row r="391" spans="13:18" x14ac:dyDescent="0.15">
      <c r="M391" s="46">
        <v>2020</v>
      </c>
      <c r="N391" s="26" t="s">
        <v>17</v>
      </c>
      <c r="O391" s="26" t="str">
        <f t="shared" si="94"/>
        <v>nonroad vehicles 30</v>
      </c>
      <c r="P391" s="26" t="str">
        <f t="shared" ref="P391:P409" si="97">P387</f>
        <v>Installation and System Integration</v>
      </c>
      <c r="Q391" s="47">
        <f t="shared" si="95"/>
        <v>0.1015117608418987</v>
      </c>
      <c r="R391" s="47">
        <f t="shared" si="96"/>
        <v>1.032895150164223</v>
      </c>
    </row>
    <row r="392" spans="13:18" x14ac:dyDescent="0.15">
      <c r="M392" s="46">
        <v>2020</v>
      </c>
      <c r="N392" s="26" t="s">
        <v>17</v>
      </c>
      <c r="O392" s="26" t="str">
        <f>O292</f>
        <v>nonroad vehicles 30</v>
      </c>
      <c r="P392" s="26" t="str">
        <f t="shared" si="97"/>
        <v>Cogeneration and Waste Heat Recovery</v>
      </c>
      <c r="Q392" s="47">
        <f t="shared" si="95"/>
        <v>0</v>
      </c>
      <c r="R392" s="47">
        <f t="shared" si="96"/>
        <v>0</v>
      </c>
    </row>
    <row r="393" spans="13:18" x14ac:dyDescent="0.15">
      <c r="M393" s="46">
        <v>2020</v>
      </c>
      <c r="N393" s="26" t="s">
        <v>17</v>
      </c>
      <c r="O393" s="26" t="str">
        <f t="shared" ref="O393:O400" si="98">O293</f>
        <v>nonroad vehicles 30</v>
      </c>
      <c r="P393" s="26" t="str">
        <f t="shared" si="97"/>
        <v>Improvement in Eqpt Efficiency Standards</v>
      </c>
      <c r="Q393" s="47">
        <f t="shared" si="95"/>
        <v>0</v>
      </c>
      <c r="R393" s="47">
        <f t="shared" si="96"/>
        <v>0</v>
      </c>
    </row>
    <row r="394" spans="13:18" x14ac:dyDescent="0.15">
      <c r="M394" s="46">
        <v>2020</v>
      </c>
      <c r="N394" s="26" t="s">
        <v>17</v>
      </c>
      <c r="O394" s="26" t="str">
        <f t="shared" si="98"/>
        <v>other manufacturing 31T33</v>
      </c>
      <c r="P394" s="26" t="str">
        <f t="shared" si="97"/>
        <v>Early Facility Retirement</v>
      </c>
      <c r="Q394" s="47">
        <f t="shared" si="95"/>
        <v>0</v>
      </c>
      <c r="R394" s="47">
        <f t="shared" si="96"/>
        <v>0</v>
      </c>
    </row>
    <row r="395" spans="13:18" x14ac:dyDescent="0.15">
      <c r="M395" s="46">
        <v>2020</v>
      </c>
      <c r="N395" s="26" t="s">
        <v>17</v>
      </c>
      <c r="O395" s="26" t="str">
        <f t="shared" si="98"/>
        <v>other manufacturing 31T33</v>
      </c>
      <c r="P395" s="26" t="str">
        <f t="shared" si="97"/>
        <v>Installation and System Integration</v>
      </c>
      <c r="Q395" s="47">
        <f t="shared" si="95"/>
        <v>0.33669145270844258</v>
      </c>
      <c r="R395" s="47">
        <f t="shared" si="96"/>
        <v>3.4258785949534754</v>
      </c>
    </row>
    <row r="396" spans="13:18" x14ac:dyDescent="0.15">
      <c r="M396" s="46">
        <v>2020</v>
      </c>
      <c r="N396" s="26" t="s">
        <v>17</v>
      </c>
      <c r="O396" s="26" t="str">
        <f t="shared" si="98"/>
        <v>other manufacturing 31T33</v>
      </c>
      <c r="P396" s="26" t="str">
        <f t="shared" si="97"/>
        <v>Cogeneration and Waste Heat Recovery</v>
      </c>
      <c r="Q396" s="47">
        <f t="shared" si="95"/>
        <v>0</v>
      </c>
      <c r="R396" s="47">
        <f t="shared" si="96"/>
        <v>0</v>
      </c>
    </row>
    <row r="397" spans="13:18" x14ac:dyDescent="0.15">
      <c r="M397" s="46">
        <v>2020</v>
      </c>
      <c r="N397" s="26" t="s">
        <v>17</v>
      </c>
      <c r="O397" s="26" t="str">
        <f t="shared" si="98"/>
        <v>other manufacturing 31T33</v>
      </c>
      <c r="P397" s="26" t="str">
        <f t="shared" si="97"/>
        <v>Improvement in Eqpt Efficiency Standards</v>
      </c>
      <c r="Q397" s="47">
        <f t="shared" si="95"/>
        <v>0</v>
      </c>
      <c r="R397" s="47">
        <f t="shared" si="96"/>
        <v>0</v>
      </c>
    </row>
    <row r="398" spans="13:18" x14ac:dyDescent="0.15">
      <c r="M398" s="46">
        <v>2020</v>
      </c>
      <c r="N398" s="26" t="s">
        <v>17</v>
      </c>
      <c r="O398" s="26" t="str">
        <f t="shared" si="98"/>
        <v>energy pipelines and gas processing 352T353</v>
      </c>
      <c r="P398" s="26" t="str">
        <f t="shared" si="97"/>
        <v>Early Facility Retirement</v>
      </c>
      <c r="Q398" s="47">
        <f t="shared" si="95"/>
        <v>0</v>
      </c>
      <c r="R398" s="47">
        <f t="shared" si="96"/>
        <v>0</v>
      </c>
    </row>
    <row r="399" spans="13:18" x14ac:dyDescent="0.15">
      <c r="M399" s="46">
        <v>2020</v>
      </c>
      <c r="N399" s="26" t="s">
        <v>17</v>
      </c>
      <c r="O399" s="26" t="str">
        <f t="shared" si="98"/>
        <v>energy pipelines and gas processing 352T353</v>
      </c>
      <c r="P399" s="26" t="str">
        <f t="shared" si="97"/>
        <v>Installation and System Integration</v>
      </c>
      <c r="Q399" s="47">
        <f t="shared" si="95"/>
        <v>0.80765107801842906</v>
      </c>
      <c r="R399" s="47">
        <f t="shared" si="96"/>
        <v>8.2179530193492649</v>
      </c>
    </row>
    <row r="400" spans="13:18" x14ac:dyDescent="0.15">
      <c r="M400" s="46">
        <v>2020</v>
      </c>
      <c r="N400" s="26" t="s">
        <v>17</v>
      </c>
      <c r="O400" s="26" t="str">
        <f t="shared" si="98"/>
        <v>energy pipelines and gas processing 352T353</v>
      </c>
      <c r="P400" s="26" t="str">
        <f t="shared" si="97"/>
        <v>Cogeneration and Waste Heat Recovery</v>
      </c>
      <c r="Q400" s="47">
        <f t="shared" si="95"/>
        <v>0</v>
      </c>
      <c r="R400" s="47">
        <f t="shared" si="96"/>
        <v>0</v>
      </c>
    </row>
    <row r="401" spans="13:18" x14ac:dyDescent="0.15">
      <c r="M401" s="46">
        <v>2020</v>
      </c>
      <c r="N401" s="26" t="s">
        <v>17</v>
      </c>
      <c r="O401" s="26" t="str">
        <f>O301</f>
        <v>energy pipelines and gas processing 352T353</v>
      </c>
      <c r="P401" s="26" t="str">
        <f t="shared" si="97"/>
        <v>Improvement in Eqpt Efficiency Standards</v>
      </c>
      <c r="Q401" s="47">
        <f t="shared" si="95"/>
        <v>0</v>
      </c>
      <c r="R401" s="47">
        <f t="shared" si="96"/>
        <v>0</v>
      </c>
    </row>
    <row r="402" spans="13:18" x14ac:dyDescent="0.15">
      <c r="M402" s="46">
        <v>2020</v>
      </c>
      <c r="N402" s="26" t="s">
        <v>17</v>
      </c>
      <c r="O402" s="26" t="str">
        <f t="shared" ref="O402:O405" si="99">O302</f>
        <v>water and waste 36T39</v>
      </c>
      <c r="P402" s="26" t="str">
        <f t="shared" si="97"/>
        <v>Early Facility Retirement</v>
      </c>
      <c r="Q402" s="47">
        <f t="shared" si="95"/>
        <v>0</v>
      </c>
      <c r="R402" s="47">
        <f t="shared" si="96"/>
        <v>0</v>
      </c>
    </row>
    <row r="403" spans="13:18" x14ac:dyDescent="0.15">
      <c r="M403" s="46">
        <v>2020</v>
      </c>
      <c r="N403" s="26" t="s">
        <v>17</v>
      </c>
      <c r="O403" s="26" t="str">
        <f t="shared" si="99"/>
        <v>water and waste 36T39</v>
      </c>
      <c r="P403" s="26" t="str">
        <f t="shared" si="97"/>
        <v>Installation and System Integration</v>
      </c>
      <c r="Q403" s="47">
        <f t="shared" si="95"/>
        <v>0.23254736521972888</v>
      </c>
      <c r="R403" s="47">
        <f t="shared" si="96"/>
        <v>2.3661991844770127</v>
      </c>
    </row>
    <row r="404" spans="13:18" x14ac:dyDescent="0.15">
      <c r="M404" s="46">
        <v>2020</v>
      </c>
      <c r="N404" s="26" t="s">
        <v>17</v>
      </c>
      <c r="O404" s="26" t="str">
        <f t="shared" si="99"/>
        <v>water and waste 36T39</v>
      </c>
      <c r="P404" s="26" t="str">
        <f t="shared" si="97"/>
        <v>Cogeneration and Waste Heat Recovery</v>
      </c>
      <c r="Q404" s="47">
        <f t="shared" si="95"/>
        <v>0</v>
      </c>
      <c r="R404" s="47">
        <f t="shared" si="96"/>
        <v>0</v>
      </c>
    </row>
    <row r="405" spans="13:18" x14ac:dyDescent="0.15">
      <c r="M405" s="46">
        <v>2020</v>
      </c>
      <c r="N405" s="26" t="s">
        <v>17</v>
      </c>
      <c r="O405" s="26" t="str">
        <f t="shared" si="99"/>
        <v>water and waste 36T39</v>
      </c>
      <c r="P405" s="26" t="str">
        <f t="shared" si="97"/>
        <v>Improvement in Eqpt Efficiency Standards</v>
      </c>
      <c r="Q405" s="47">
        <f t="shared" si="95"/>
        <v>0</v>
      </c>
      <c r="R405" s="47">
        <f t="shared" si="96"/>
        <v>0</v>
      </c>
    </row>
    <row r="406" spans="13:18" x14ac:dyDescent="0.15">
      <c r="M406" s="46">
        <v>2020</v>
      </c>
      <c r="N406" s="26" t="s">
        <v>17</v>
      </c>
      <c r="O406" s="26" t="str">
        <f>O306</f>
        <v>construction 41T43</v>
      </c>
      <c r="P406" s="26" t="str">
        <f t="shared" si="97"/>
        <v>Early Facility Retirement</v>
      </c>
      <c r="Q406" s="47">
        <f t="shared" si="95"/>
        <v>0</v>
      </c>
      <c r="R406" s="47">
        <f t="shared" si="96"/>
        <v>0</v>
      </c>
    </row>
    <row r="407" spans="13:18" x14ac:dyDescent="0.15">
      <c r="M407" s="46">
        <v>2020</v>
      </c>
      <c r="N407" s="26" t="s">
        <v>17</v>
      </c>
      <c r="O407" s="26" t="str">
        <f t="shared" ref="O407:O409" si="100">O307</f>
        <v>construction 41T43</v>
      </c>
      <c r="P407" s="26" t="str">
        <f t="shared" si="97"/>
        <v>Installation and System Integration</v>
      </c>
      <c r="Q407" s="47">
        <f t="shared" si="95"/>
        <v>1.1992362961893877</v>
      </c>
      <c r="R407" s="47">
        <f t="shared" si="96"/>
        <v>12.202382698928222</v>
      </c>
    </row>
    <row r="408" spans="13:18" x14ac:dyDescent="0.15">
      <c r="M408" s="46">
        <v>2020</v>
      </c>
      <c r="N408" s="26" t="s">
        <v>17</v>
      </c>
      <c r="O408" s="26" t="str">
        <f t="shared" si="100"/>
        <v>construction 41T43</v>
      </c>
      <c r="P408" s="26" t="str">
        <f t="shared" si="97"/>
        <v>Cogeneration and Waste Heat Recovery</v>
      </c>
      <c r="Q408" s="47">
        <f t="shared" si="95"/>
        <v>0</v>
      </c>
      <c r="R408" s="47">
        <f t="shared" si="96"/>
        <v>0</v>
      </c>
    </row>
    <row r="409" spans="13:18" x14ac:dyDescent="0.15">
      <c r="M409" s="46">
        <v>2020</v>
      </c>
      <c r="N409" s="26" t="s">
        <v>17</v>
      </c>
      <c r="O409" s="26" t="str">
        <f t="shared" si="100"/>
        <v>construction 41T43</v>
      </c>
      <c r="P409" s="26" t="str">
        <f t="shared" si="97"/>
        <v>Improvement in Eqpt Efficiency Standards</v>
      </c>
      <c r="Q409" s="47">
        <f t="shared" si="95"/>
        <v>0</v>
      </c>
      <c r="R409" s="47">
        <f t="shared" si="96"/>
        <v>0</v>
      </c>
    </row>
    <row r="410" spans="13:18" x14ac:dyDescent="0.15">
      <c r="M410" s="46">
        <v>2021</v>
      </c>
      <c r="N410" s="26" t="s">
        <v>385</v>
      </c>
      <c r="O410" s="26" t="s">
        <v>40</v>
      </c>
      <c r="P410" s="26" t="s">
        <v>427</v>
      </c>
      <c r="Q410" s="47">
        <f t="shared" si="95"/>
        <v>0</v>
      </c>
      <c r="R410" s="47">
        <f t="shared" si="96"/>
        <v>0</v>
      </c>
    </row>
    <row r="411" spans="13:18" x14ac:dyDescent="0.15">
      <c r="M411" s="46">
        <v>2021</v>
      </c>
      <c r="N411" s="26" t="s">
        <v>385</v>
      </c>
      <c r="O411" s="26" t="s">
        <v>40</v>
      </c>
      <c r="P411" s="26" t="s">
        <v>429</v>
      </c>
      <c r="Q411" s="47">
        <f t="shared" si="95"/>
        <v>0</v>
      </c>
      <c r="R411" s="47">
        <f t="shared" si="96"/>
        <v>0</v>
      </c>
    </row>
    <row r="412" spans="13:18" x14ac:dyDescent="0.15">
      <c r="M412" s="46">
        <v>2021</v>
      </c>
      <c r="N412" s="26" t="s">
        <v>385</v>
      </c>
      <c r="O412" s="26" t="s">
        <v>40</v>
      </c>
      <c r="P412" s="26" t="s">
        <v>430</v>
      </c>
      <c r="Q412" s="47">
        <f t="shared" si="95"/>
        <v>0</v>
      </c>
      <c r="R412" s="47">
        <f t="shared" si="96"/>
        <v>0</v>
      </c>
    </row>
    <row r="413" spans="13:18" x14ac:dyDescent="0.15">
      <c r="M413" s="46">
        <v>2021</v>
      </c>
      <c r="N413" s="26" t="s">
        <v>385</v>
      </c>
      <c r="O413" s="26" t="s">
        <v>40</v>
      </c>
      <c r="P413" s="26" t="s">
        <v>431</v>
      </c>
      <c r="Q413" s="47">
        <f t="shared" si="95"/>
        <v>1.1550886011950063</v>
      </c>
      <c r="R413" s="47">
        <f t="shared" si="96"/>
        <v>6.54550207343837</v>
      </c>
    </row>
    <row r="414" spans="13:18" x14ac:dyDescent="0.15">
      <c r="M414" s="46">
        <v>2021</v>
      </c>
      <c r="N414" s="26" t="s">
        <v>385</v>
      </c>
      <c r="O414" s="26" t="s">
        <v>41</v>
      </c>
      <c r="P414" s="26" t="s">
        <v>427</v>
      </c>
      <c r="Q414" s="47">
        <f t="shared" si="95"/>
        <v>0</v>
      </c>
      <c r="R414" s="47">
        <f t="shared" si="96"/>
        <v>0</v>
      </c>
    </row>
    <row r="415" spans="13:18" x14ac:dyDescent="0.15">
      <c r="M415" s="46">
        <v>2021</v>
      </c>
      <c r="N415" s="26" t="s">
        <v>385</v>
      </c>
      <c r="O415" s="26" t="s">
        <v>41</v>
      </c>
      <c r="P415" s="26" t="s">
        <v>429</v>
      </c>
      <c r="Q415" s="47">
        <f t="shared" si="95"/>
        <v>0</v>
      </c>
      <c r="R415" s="47">
        <f t="shared" si="96"/>
        <v>0</v>
      </c>
    </row>
    <row r="416" spans="13:18" x14ac:dyDescent="0.15">
      <c r="M416" s="46">
        <v>2021</v>
      </c>
      <c r="N416" s="26" t="s">
        <v>385</v>
      </c>
      <c r="O416" s="26" t="s">
        <v>41</v>
      </c>
      <c r="P416" s="26" t="s">
        <v>430</v>
      </c>
      <c r="Q416" s="47">
        <f t="shared" si="95"/>
        <v>0</v>
      </c>
      <c r="R416" s="47">
        <f t="shared" si="96"/>
        <v>0</v>
      </c>
    </row>
    <row r="417" spans="13:18" x14ac:dyDescent="0.15">
      <c r="M417" s="46">
        <v>2021</v>
      </c>
      <c r="N417" s="26" t="s">
        <v>385</v>
      </c>
      <c r="O417" s="26" t="s">
        <v>41</v>
      </c>
      <c r="P417" s="26" t="s">
        <v>431</v>
      </c>
      <c r="Q417" s="47">
        <f t="shared" si="95"/>
        <v>0.24987462102878363</v>
      </c>
      <c r="R417" s="47">
        <f t="shared" si="96"/>
        <v>1.415956185829774</v>
      </c>
    </row>
    <row r="418" spans="13:18" x14ac:dyDescent="0.15">
      <c r="M418" s="46">
        <v>2021</v>
      </c>
      <c r="N418" s="26" t="s">
        <v>385</v>
      </c>
      <c r="O418" s="26" t="s">
        <v>45</v>
      </c>
      <c r="P418" s="26" t="s">
        <v>427</v>
      </c>
      <c r="Q418" s="47">
        <f t="shared" si="95"/>
        <v>0</v>
      </c>
      <c r="R418" s="47">
        <f t="shared" si="96"/>
        <v>0</v>
      </c>
    </row>
    <row r="419" spans="13:18" x14ac:dyDescent="0.15">
      <c r="M419" s="46">
        <v>2021</v>
      </c>
      <c r="N419" s="26" t="s">
        <v>385</v>
      </c>
      <c r="O419" s="26" t="s">
        <v>45</v>
      </c>
      <c r="P419" s="26" t="s">
        <v>429</v>
      </c>
      <c r="Q419" s="47">
        <f t="shared" si="95"/>
        <v>0</v>
      </c>
      <c r="R419" s="47">
        <f t="shared" si="96"/>
        <v>0</v>
      </c>
    </row>
    <row r="420" spans="13:18" x14ac:dyDescent="0.15">
      <c r="M420" s="46">
        <v>2021</v>
      </c>
      <c r="N420" s="26" t="s">
        <v>385</v>
      </c>
      <c r="O420" s="26" t="s">
        <v>45</v>
      </c>
      <c r="P420" s="26" t="s">
        <v>430</v>
      </c>
      <c r="Q420" s="47">
        <f t="shared" si="95"/>
        <v>0</v>
      </c>
      <c r="R420" s="47">
        <f t="shared" si="96"/>
        <v>0</v>
      </c>
    </row>
    <row r="421" spans="13:18" x14ac:dyDescent="0.15">
      <c r="M421" s="46">
        <v>2021</v>
      </c>
      <c r="N421" s="26" t="s">
        <v>385</v>
      </c>
      <c r="O421" s="26" t="s">
        <v>45</v>
      </c>
      <c r="P421" s="26" t="s">
        <v>431</v>
      </c>
      <c r="Q421" s="47">
        <f t="shared" si="95"/>
        <v>0.40706356195362553</v>
      </c>
      <c r="R421" s="47">
        <f t="shared" si="96"/>
        <v>2.3066935177372119</v>
      </c>
    </row>
    <row r="422" spans="13:18" x14ac:dyDescent="0.15">
      <c r="M422" s="46">
        <v>2021</v>
      </c>
      <c r="N422" s="26" t="s">
        <v>385</v>
      </c>
      <c r="O422" s="26" t="s">
        <v>37</v>
      </c>
      <c r="P422" s="26" t="s">
        <v>427</v>
      </c>
      <c r="Q422" s="47">
        <f t="shared" si="95"/>
        <v>0</v>
      </c>
      <c r="R422" s="47">
        <f t="shared" si="96"/>
        <v>0</v>
      </c>
    </row>
    <row r="423" spans="13:18" x14ac:dyDescent="0.15">
      <c r="M423" s="46">
        <v>2021</v>
      </c>
      <c r="N423" s="26" t="s">
        <v>385</v>
      </c>
      <c r="O423" s="26" t="s">
        <v>37</v>
      </c>
      <c r="P423" s="26" t="s">
        <v>429</v>
      </c>
      <c r="Q423" s="47">
        <f t="shared" si="95"/>
        <v>0</v>
      </c>
      <c r="R423" s="47">
        <f t="shared" si="96"/>
        <v>0</v>
      </c>
    </row>
    <row r="424" spans="13:18" x14ac:dyDescent="0.15">
      <c r="M424" s="46">
        <v>2021</v>
      </c>
      <c r="N424" s="26" t="s">
        <v>385</v>
      </c>
      <c r="O424" s="26" t="s">
        <v>37</v>
      </c>
      <c r="P424" s="26" t="s">
        <v>430</v>
      </c>
      <c r="Q424" s="47">
        <f t="shared" si="95"/>
        <v>0</v>
      </c>
      <c r="R424" s="47">
        <f t="shared" si="96"/>
        <v>0</v>
      </c>
    </row>
    <row r="425" spans="13:18" x14ac:dyDescent="0.15">
      <c r="M425" s="46">
        <v>2021</v>
      </c>
      <c r="N425" s="26" t="s">
        <v>385</v>
      </c>
      <c r="O425" s="26" t="s">
        <v>37</v>
      </c>
      <c r="P425" s="26" t="s">
        <v>431</v>
      </c>
      <c r="Q425" s="47">
        <f t="shared" si="95"/>
        <v>2.9139702716562389E-2</v>
      </c>
      <c r="R425" s="47">
        <f t="shared" si="96"/>
        <v>0.16512498206052023</v>
      </c>
    </row>
    <row r="426" spans="13:18" x14ac:dyDescent="0.15">
      <c r="M426" s="46">
        <v>2021</v>
      </c>
      <c r="N426" s="26" t="s">
        <v>385</v>
      </c>
      <c r="O426" s="26" t="s">
        <v>39</v>
      </c>
      <c r="P426" s="26" t="s">
        <v>427</v>
      </c>
      <c r="Q426" s="47">
        <f t="shared" si="95"/>
        <v>0</v>
      </c>
      <c r="R426" s="47">
        <f t="shared" si="96"/>
        <v>0</v>
      </c>
    </row>
    <row r="427" spans="13:18" x14ac:dyDescent="0.15">
      <c r="M427" s="46">
        <v>2021</v>
      </c>
      <c r="N427" s="26" t="s">
        <v>385</v>
      </c>
      <c r="O427" s="26" t="s">
        <v>39</v>
      </c>
      <c r="P427" s="26" t="s">
        <v>429</v>
      </c>
      <c r="Q427" s="47">
        <f t="shared" si="95"/>
        <v>0</v>
      </c>
      <c r="R427" s="47">
        <f t="shared" si="96"/>
        <v>0</v>
      </c>
    </row>
    <row r="428" spans="13:18" x14ac:dyDescent="0.15">
      <c r="M428" s="46">
        <v>2021</v>
      </c>
      <c r="N428" s="26" t="s">
        <v>385</v>
      </c>
      <c r="O428" s="26" t="s">
        <v>39</v>
      </c>
      <c r="P428" s="26" t="s">
        <v>430</v>
      </c>
      <c r="Q428" s="47">
        <f t="shared" si="95"/>
        <v>0</v>
      </c>
      <c r="R428" s="47">
        <f t="shared" si="96"/>
        <v>0</v>
      </c>
    </row>
    <row r="429" spans="13:18" x14ac:dyDescent="0.15">
      <c r="M429" s="46">
        <v>2021</v>
      </c>
      <c r="N429" s="26" t="s">
        <v>385</v>
      </c>
      <c r="O429" s="26" t="s">
        <v>39</v>
      </c>
      <c r="P429" s="26" t="s">
        <v>431</v>
      </c>
      <c r="Q429" s="47">
        <f t="shared" si="95"/>
        <v>1.8488007427062948E-2</v>
      </c>
      <c r="R429" s="47">
        <f t="shared" si="96"/>
        <v>0.1047653754200234</v>
      </c>
    </row>
    <row r="430" spans="13:18" x14ac:dyDescent="0.15">
      <c r="M430" s="46">
        <v>2021</v>
      </c>
      <c r="N430" s="26" t="s">
        <v>385</v>
      </c>
      <c r="O430" s="26" t="s">
        <v>393</v>
      </c>
      <c r="P430" s="26" t="s">
        <v>427</v>
      </c>
      <c r="Q430" s="47">
        <f t="shared" si="95"/>
        <v>0</v>
      </c>
      <c r="R430" s="47">
        <f t="shared" si="96"/>
        <v>0</v>
      </c>
    </row>
    <row r="431" spans="13:18" x14ac:dyDescent="0.15">
      <c r="M431" s="46">
        <v>2021</v>
      </c>
      <c r="N431" s="26" t="s">
        <v>385</v>
      </c>
      <c r="O431" s="26" t="s">
        <v>393</v>
      </c>
      <c r="P431" s="26" t="s">
        <v>429</v>
      </c>
      <c r="Q431" s="47">
        <f t="shared" si="95"/>
        <v>0</v>
      </c>
      <c r="R431" s="47">
        <f t="shared" si="96"/>
        <v>0</v>
      </c>
    </row>
    <row r="432" spans="13:18" x14ac:dyDescent="0.15">
      <c r="M432" s="46">
        <v>2021</v>
      </c>
      <c r="N432" s="26" t="s">
        <v>385</v>
      </c>
      <c r="O432" s="26" t="s">
        <v>393</v>
      </c>
      <c r="P432" s="26" t="s">
        <v>430</v>
      </c>
      <c r="Q432" s="47">
        <f t="shared" si="95"/>
        <v>0</v>
      </c>
      <c r="R432" s="47">
        <f t="shared" si="96"/>
        <v>0</v>
      </c>
    </row>
    <row r="433" spans="13:18" x14ac:dyDescent="0.15">
      <c r="M433" s="46">
        <v>2021</v>
      </c>
      <c r="N433" s="26" t="s">
        <v>385</v>
      </c>
      <c r="O433" s="26" t="s">
        <v>393</v>
      </c>
      <c r="P433" s="26" t="s">
        <v>431</v>
      </c>
      <c r="Q433" s="47">
        <f t="shared" si="95"/>
        <v>3.2203362919246449E-2</v>
      </c>
      <c r="R433" s="47">
        <f t="shared" si="96"/>
        <v>0.18248572320906323</v>
      </c>
    </row>
    <row r="434" spans="13:18" x14ac:dyDescent="0.15">
      <c r="M434" s="46">
        <v>2021</v>
      </c>
      <c r="N434" s="26" t="s">
        <v>394</v>
      </c>
      <c r="O434" s="26" t="s">
        <v>40</v>
      </c>
      <c r="P434" s="26" t="s">
        <v>427</v>
      </c>
      <c r="Q434" s="47">
        <f t="shared" si="95"/>
        <v>0</v>
      </c>
      <c r="R434" s="47">
        <f t="shared" si="96"/>
        <v>0</v>
      </c>
    </row>
    <row r="435" spans="13:18" x14ac:dyDescent="0.15">
      <c r="M435" s="46">
        <v>2021</v>
      </c>
      <c r="N435" s="26" t="s">
        <v>394</v>
      </c>
      <c r="O435" s="26" t="s">
        <v>40</v>
      </c>
      <c r="P435" s="26" t="s">
        <v>429</v>
      </c>
      <c r="Q435" s="47">
        <f t="shared" si="95"/>
        <v>0</v>
      </c>
      <c r="R435" s="47">
        <f t="shared" si="96"/>
        <v>0</v>
      </c>
    </row>
    <row r="436" spans="13:18" x14ac:dyDescent="0.15">
      <c r="M436" s="46">
        <v>2021</v>
      </c>
      <c r="N436" s="26" t="s">
        <v>394</v>
      </c>
      <c r="O436" s="26" t="s">
        <v>40</v>
      </c>
      <c r="P436" s="26" t="s">
        <v>430</v>
      </c>
      <c r="Q436" s="47">
        <f t="shared" si="95"/>
        <v>0.29342651403492154</v>
      </c>
      <c r="R436" s="47">
        <f t="shared" si="96"/>
        <v>0.97949570152664478</v>
      </c>
    </row>
    <row r="437" spans="13:18" x14ac:dyDescent="0.15">
      <c r="M437" s="46">
        <v>2021</v>
      </c>
      <c r="N437" s="26" t="s">
        <v>394</v>
      </c>
      <c r="O437" s="26" t="s">
        <v>40</v>
      </c>
      <c r="P437" s="26" t="s">
        <v>431</v>
      </c>
      <c r="Q437" s="47">
        <f t="shared" si="95"/>
        <v>0</v>
      </c>
      <c r="R437" s="47">
        <f t="shared" si="96"/>
        <v>0</v>
      </c>
    </row>
    <row r="438" spans="13:18" x14ac:dyDescent="0.15">
      <c r="M438" s="46">
        <v>2021</v>
      </c>
      <c r="N438" s="26" t="s">
        <v>394</v>
      </c>
      <c r="O438" s="26" t="s">
        <v>41</v>
      </c>
      <c r="P438" s="26" t="s">
        <v>427</v>
      </c>
      <c r="Q438" s="47">
        <f t="shared" si="95"/>
        <v>0</v>
      </c>
      <c r="R438" s="47">
        <f t="shared" si="96"/>
        <v>0</v>
      </c>
    </row>
    <row r="439" spans="13:18" x14ac:dyDescent="0.15">
      <c r="M439" s="46">
        <v>2021</v>
      </c>
      <c r="N439" s="26" t="s">
        <v>394</v>
      </c>
      <c r="O439" s="26" t="s">
        <v>41</v>
      </c>
      <c r="P439" s="26" t="s">
        <v>429</v>
      </c>
      <c r="Q439" s="47">
        <f t="shared" si="95"/>
        <v>0</v>
      </c>
      <c r="R439" s="47">
        <f t="shared" si="96"/>
        <v>0</v>
      </c>
    </row>
    <row r="440" spans="13:18" x14ac:dyDescent="0.15">
      <c r="M440" s="46">
        <v>2021</v>
      </c>
      <c r="N440" s="26" t="s">
        <v>394</v>
      </c>
      <c r="O440" s="26" t="s">
        <v>41</v>
      </c>
      <c r="P440" s="26" t="s">
        <v>430</v>
      </c>
      <c r="Q440" s="47">
        <f t="shared" si="95"/>
        <v>6.3475510812261021E-2</v>
      </c>
      <c r="R440" s="47">
        <f t="shared" si="96"/>
        <v>0.21188947494164836</v>
      </c>
    </row>
    <row r="441" spans="13:18" x14ac:dyDescent="0.15">
      <c r="M441" s="46">
        <v>2021</v>
      </c>
      <c r="N441" s="26" t="s">
        <v>394</v>
      </c>
      <c r="O441" s="26" t="s">
        <v>41</v>
      </c>
      <c r="P441" s="26" t="s">
        <v>431</v>
      </c>
      <c r="Q441" s="47">
        <f t="shared" si="95"/>
        <v>0</v>
      </c>
      <c r="R441" s="47">
        <f t="shared" si="96"/>
        <v>0</v>
      </c>
    </row>
    <row r="442" spans="13:18" x14ac:dyDescent="0.15">
      <c r="M442" s="46">
        <v>2021</v>
      </c>
      <c r="N442" s="26" t="s">
        <v>394</v>
      </c>
      <c r="O442" s="26" t="s">
        <v>45</v>
      </c>
      <c r="P442" s="26" t="s">
        <v>427</v>
      </c>
      <c r="Q442" s="47">
        <f t="shared" si="95"/>
        <v>0</v>
      </c>
      <c r="R442" s="47">
        <f t="shared" si="96"/>
        <v>0</v>
      </c>
    </row>
    <row r="443" spans="13:18" x14ac:dyDescent="0.15">
      <c r="M443" s="46">
        <v>2021</v>
      </c>
      <c r="N443" s="26" t="s">
        <v>394</v>
      </c>
      <c r="O443" s="26" t="s">
        <v>45</v>
      </c>
      <c r="P443" s="26" t="s">
        <v>429</v>
      </c>
      <c r="Q443" s="47">
        <f t="shared" si="95"/>
        <v>0</v>
      </c>
      <c r="R443" s="47">
        <f t="shared" si="96"/>
        <v>0</v>
      </c>
    </row>
    <row r="444" spans="13:18" x14ac:dyDescent="0.15">
      <c r="M444" s="46">
        <v>2021</v>
      </c>
      <c r="N444" s="26" t="s">
        <v>394</v>
      </c>
      <c r="O444" s="26" t="s">
        <v>45</v>
      </c>
      <c r="P444" s="26" t="s">
        <v>430</v>
      </c>
      <c r="Q444" s="47">
        <f t="shared" si="95"/>
        <v>0.10340612992901124</v>
      </c>
      <c r="R444" s="47">
        <f t="shared" si="96"/>
        <v>0.34518305242490088</v>
      </c>
    </row>
    <row r="445" spans="13:18" x14ac:dyDescent="0.15">
      <c r="M445" s="46">
        <v>2021</v>
      </c>
      <c r="N445" s="26" t="s">
        <v>394</v>
      </c>
      <c r="O445" s="26" t="s">
        <v>45</v>
      </c>
      <c r="P445" s="26" t="s">
        <v>431</v>
      </c>
      <c r="Q445" s="47">
        <f t="shared" si="95"/>
        <v>0</v>
      </c>
      <c r="R445" s="47">
        <f t="shared" si="96"/>
        <v>0</v>
      </c>
    </row>
    <row r="446" spans="13:18" x14ac:dyDescent="0.15">
      <c r="M446" s="46">
        <v>2021</v>
      </c>
      <c r="N446" s="26" t="s">
        <v>394</v>
      </c>
      <c r="O446" s="26" t="s">
        <v>46</v>
      </c>
      <c r="P446" s="26" t="s">
        <v>427</v>
      </c>
      <c r="Q446" s="47">
        <f t="shared" si="95"/>
        <v>0</v>
      </c>
      <c r="R446" s="47">
        <f t="shared" si="96"/>
        <v>0</v>
      </c>
    </row>
    <row r="447" spans="13:18" x14ac:dyDescent="0.15">
      <c r="M447" s="46">
        <v>2021</v>
      </c>
      <c r="N447" s="26" t="s">
        <v>394</v>
      </c>
      <c r="O447" s="26" t="s">
        <v>46</v>
      </c>
      <c r="P447" s="26" t="s">
        <v>429</v>
      </c>
      <c r="Q447" s="47">
        <f t="shared" si="95"/>
        <v>0</v>
      </c>
      <c r="R447" s="47">
        <f t="shared" si="96"/>
        <v>0</v>
      </c>
    </row>
    <row r="448" spans="13:18" x14ac:dyDescent="0.15">
      <c r="M448" s="46">
        <v>2021</v>
      </c>
      <c r="N448" s="26" t="s">
        <v>394</v>
      </c>
      <c r="O448" s="26" t="s">
        <v>46</v>
      </c>
      <c r="P448" s="26" t="s">
        <v>430</v>
      </c>
      <c r="Q448" s="47">
        <f t="shared" si="95"/>
        <v>1.8412402195564379E-2</v>
      </c>
      <c r="R448" s="47">
        <f t="shared" si="96"/>
        <v>6.1462982868646571E-2</v>
      </c>
    </row>
    <row r="449" spans="13:18" x14ac:dyDescent="0.15">
      <c r="M449" s="46">
        <v>2021</v>
      </c>
      <c r="N449" s="26" t="s">
        <v>394</v>
      </c>
      <c r="O449" s="26" t="s">
        <v>46</v>
      </c>
      <c r="P449" s="26" t="s">
        <v>431</v>
      </c>
      <c r="Q449" s="47">
        <f t="shared" si="95"/>
        <v>0</v>
      </c>
      <c r="R449" s="47">
        <f t="shared" si="96"/>
        <v>0</v>
      </c>
    </row>
    <row r="450" spans="13:18" x14ac:dyDescent="0.15">
      <c r="M450" s="46">
        <v>2021</v>
      </c>
      <c r="N450" s="26" t="s">
        <v>394</v>
      </c>
      <c r="O450" s="26" t="s">
        <v>39</v>
      </c>
      <c r="P450" s="26" t="s">
        <v>427</v>
      </c>
      <c r="Q450" s="47">
        <f t="shared" ref="Q450:Q513" si="101">SUMIFS(D:D,B:B,N450,C:C,P450,A:A,M450)*SUMIFS(K:K,G:G,N450,I:I,O450)</f>
        <v>0</v>
      </c>
      <c r="R450" s="47">
        <f t="shared" ref="R450:R513" si="102">SUMIFS(E:E,B:B,N450,C:C,P450,A:A,M450)*SUMIFS(K:K,G:G,N450,I:I,O450)</f>
        <v>0</v>
      </c>
    </row>
    <row r="451" spans="13:18" x14ac:dyDescent="0.15">
      <c r="M451" s="46">
        <v>2021</v>
      </c>
      <c r="N451" s="26" t="s">
        <v>394</v>
      </c>
      <c r="O451" s="26" t="s">
        <v>39</v>
      </c>
      <c r="P451" s="26" t="s">
        <v>429</v>
      </c>
      <c r="Q451" s="47">
        <f t="shared" si="101"/>
        <v>0</v>
      </c>
      <c r="R451" s="47">
        <f t="shared" si="102"/>
        <v>0</v>
      </c>
    </row>
    <row r="452" spans="13:18" x14ac:dyDescent="0.15">
      <c r="M452" s="46">
        <v>2021</v>
      </c>
      <c r="N452" s="26" t="s">
        <v>394</v>
      </c>
      <c r="O452" s="26" t="s">
        <v>39</v>
      </c>
      <c r="P452" s="26" t="s">
        <v>430</v>
      </c>
      <c r="Q452" s="47">
        <f t="shared" si="101"/>
        <v>4.6964982298002729E-3</v>
      </c>
      <c r="R452" s="47">
        <f t="shared" si="102"/>
        <v>1.5677519270700196E-2</v>
      </c>
    </row>
    <row r="453" spans="13:18" x14ac:dyDescent="0.15">
      <c r="M453" s="46">
        <v>2021</v>
      </c>
      <c r="N453" s="26" t="s">
        <v>394</v>
      </c>
      <c r="O453" s="26" t="s">
        <v>39</v>
      </c>
      <c r="P453" s="26" t="s">
        <v>431</v>
      </c>
      <c r="Q453" s="47">
        <f t="shared" si="101"/>
        <v>0</v>
      </c>
      <c r="R453" s="47">
        <f t="shared" si="102"/>
        <v>0</v>
      </c>
    </row>
    <row r="454" spans="13:18" x14ac:dyDescent="0.15">
      <c r="M454" s="46">
        <v>2021</v>
      </c>
      <c r="N454" s="26" t="s">
        <v>394</v>
      </c>
      <c r="O454" s="26" t="s">
        <v>37</v>
      </c>
      <c r="P454" s="26" t="s">
        <v>427</v>
      </c>
      <c r="Q454" s="47">
        <f t="shared" si="101"/>
        <v>0</v>
      </c>
      <c r="R454" s="47">
        <f t="shared" si="102"/>
        <v>0</v>
      </c>
    </row>
    <row r="455" spans="13:18" x14ac:dyDescent="0.15">
      <c r="M455" s="46">
        <v>2021</v>
      </c>
      <c r="N455" s="26" t="s">
        <v>394</v>
      </c>
      <c r="O455" s="26" t="s">
        <v>37</v>
      </c>
      <c r="P455" s="26" t="s">
        <v>429</v>
      </c>
      <c r="Q455" s="47">
        <f t="shared" si="101"/>
        <v>0</v>
      </c>
      <c r="R455" s="47">
        <f t="shared" si="102"/>
        <v>0</v>
      </c>
    </row>
    <row r="456" spans="13:18" x14ac:dyDescent="0.15">
      <c r="M456" s="46">
        <v>2021</v>
      </c>
      <c r="N456" s="26" t="s">
        <v>394</v>
      </c>
      <c r="O456" s="26" t="s">
        <v>37</v>
      </c>
      <c r="P456" s="26" t="s">
        <v>430</v>
      </c>
      <c r="Q456" s="47">
        <f t="shared" si="101"/>
        <v>7.4023424517296686E-3</v>
      </c>
      <c r="R456" s="47">
        <f t="shared" si="102"/>
        <v>2.4709977680594006E-2</v>
      </c>
    </row>
    <row r="457" spans="13:18" x14ac:dyDescent="0.15">
      <c r="M457" s="46">
        <v>2021</v>
      </c>
      <c r="N457" s="26" t="s">
        <v>394</v>
      </c>
      <c r="O457" s="26" t="s">
        <v>37</v>
      </c>
      <c r="P457" s="26" t="s">
        <v>431</v>
      </c>
      <c r="Q457" s="47">
        <f t="shared" si="101"/>
        <v>0</v>
      </c>
      <c r="R457" s="47">
        <f t="shared" si="102"/>
        <v>0</v>
      </c>
    </row>
    <row r="458" spans="13:18" x14ac:dyDescent="0.15">
      <c r="M458" s="46">
        <v>2021</v>
      </c>
      <c r="N458" s="26" t="s">
        <v>394</v>
      </c>
      <c r="O458" s="26" t="s">
        <v>393</v>
      </c>
      <c r="P458" s="26" t="s">
        <v>427</v>
      </c>
      <c r="Q458" s="47">
        <f t="shared" si="101"/>
        <v>0</v>
      </c>
      <c r="R458" s="47">
        <f t="shared" si="102"/>
        <v>0</v>
      </c>
    </row>
    <row r="459" spans="13:18" x14ac:dyDescent="0.15">
      <c r="M459" s="46">
        <v>2021</v>
      </c>
      <c r="N459" s="26" t="s">
        <v>394</v>
      </c>
      <c r="O459" s="26" t="s">
        <v>393</v>
      </c>
      <c r="P459" s="26" t="s">
        <v>429</v>
      </c>
      <c r="Q459" s="47">
        <f t="shared" si="101"/>
        <v>0</v>
      </c>
      <c r="R459" s="47">
        <f t="shared" si="102"/>
        <v>0</v>
      </c>
    </row>
    <row r="460" spans="13:18" x14ac:dyDescent="0.15">
      <c r="M460" s="46">
        <v>2021</v>
      </c>
      <c r="N460" s="26" t="s">
        <v>394</v>
      </c>
      <c r="O460" s="26" t="s">
        <v>393</v>
      </c>
      <c r="P460" s="26" t="s">
        <v>430</v>
      </c>
      <c r="Q460" s="47">
        <f t="shared" si="101"/>
        <v>8.1806023467118193E-3</v>
      </c>
      <c r="R460" s="47">
        <f t="shared" si="102"/>
        <v>2.730790999190133E-2</v>
      </c>
    </row>
    <row r="461" spans="13:18" x14ac:dyDescent="0.15">
      <c r="M461" s="46">
        <v>2021</v>
      </c>
      <c r="N461" s="26" t="s">
        <v>394</v>
      </c>
      <c r="O461" s="26" t="s">
        <v>393</v>
      </c>
      <c r="P461" s="26" t="s">
        <v>431</v>
      </c>
      <c r="Q461" s="47">
        <f t="shared" si="101"/>
        <v>0</v>
      </c>
      <c r="R461" s="47">
        <f t="shared" si="102"/>
        <v>0</v>
      </c>
    </row>
    <row r="462" spans="13:18" x14ac:dyDescent="0.15">
      <c r="M462" s="46">
        <v>2021</v>
      </c>
      <c r="N462" s="26" t="s">
        <v>396</v>
      </c>
      <c r="O462" s="26" t="s">
        <v>52</v>
      </c>
      <c r="P462" s="26" t="s">
        <v>427</v>
      </c>
      <c r="Q462" s="47">
        <f t="shared" si="101"/>
        <v>0</v>
      </c>
      <c r="R462" s="47">
        <f t="shared" si="102"/>
        <v>0</v>
      </c>
    </row>
    <row r="463" spans="13:18" x14ac:dyDescent="0.15">
      <c r="M463" s="46">
        <v>2021</v>
      </c>
      <c r="N463" s="26" t="s">
        <v>396</v>
      </c>
      <c r="O463" s="26" t="s">
        <v>52</v>
      </c>
      <c r="P463" s="26" t="s">
        <v>429</v>
      </c>
      <c r="Q463" s="47">
        <f t="shared" si="101"/>
        <v>0</v>
      </c>
      <c r="R463" s="47">
        <f t="shared" si="102"/>
        <v>0</v>
      </c>
    </row>
    <row r="464" spans="13:18" x14ac:dyDescent="0.15">
      <c r="M464" s="46">
        <v>2021</v>
      </c>
      <c r="N464" s="26" t="s">
        <v>396</v>
      </c>
      <c r="O464" s="26" t="s">
        <v>52</v>
      </c>
      <c r="P464" s="26" t="s">
        <v>430</v>
      </c>
      <c r="Q464" s="47">
        <f t="shared" si="101"/>
        <v>0</v>
      </c>
      <c r="R464" s="47">
        <f t="shared" si="102"/>
        <v>0</v>
      </c>
    </row>
    <row r="465" spans="13:18" x14ac:dyDescent="0.15">
      <c r="M465" s="46">
        <v>2021</v>
      </c>
      <c r="N465" s="26" t="s">
        <v>396</v>
      </c>
      <c r="O465" s="26" t="s">
        <v>52</v>
      </c>
      <c r="P465" s="26" t="s">
        <v>431</v>
      </c>
      <c r="Q465" s="47">
        <f t="shared" si="101"/>
        <v>0</v>
      </c>
      <c r="R465" s="47">
        <f t="shared" si="102"/>
        <v>0</v>
      </c>
    </row>
    <row r="466" spans="13:18" x14ac:dyDescent="0.15">
      <c r="M466" s="46">
        <v>2021</v>
      </c>
      <c r="N466" s="26" t="s">
        <v>398</v>
      </c>
      <c r="O466" s="26" t="s">
        <v>37</v>
      </c>
      <c r="P466" s="26" t="s">
        <v>427</v>
      </c>
      <c r="Q466" s="47">
        <f t="shared" si="101"/>
        <v>0</v>
      </c>
      <c r="R466" s="47">
        <f t="shared" si="102"/>
        <v>0</v>
      </c>
    </row>
    <row r="467" spans="13:18" x14ac:dyDescent="0.15">
      <c r="M467" s="46">
        <v>2021</v>
      </c>
      <c r="N467" s="26" t="s">
        <v>398</v>
      </c>
      <c r="O467" s="26" t="s">
        <v>37</v>
      </c>
      <c r="P467" s="26" t="s">
        <v>429</v>
      </c>
      <c r="Q467" s="47">
        <f t="shared" si="101"/>
        <v>1.1275114805540321</v>
      </c>
      <c r="R467" s="47">
        <f t="shared" si="102"/>
        <v>4.1900070095526543</v>
      </c>
    </row>
    <row r="468" spans="13:18" x14ac:dyDescent="0.15">
      <c r="M468" s="46">
        <v>2021</v>
      </c>
      <c r="N468" s="26" t="s">
        <v>398</v>
      </c>
      <c r="O468" s="26" t="s">
        <v>37</v>
      </c>
      <c r="P468" s="26" t="s">
        <v>430</v>
      </c>
      <c r="Q468" s="47">
        <f t="shared" si="101"/>
        <v>0</v>
      </c>
      <c r="R468" s="47">
        <f t="shared" si="102"/>
        <v>0</v>
      </c>
    </row>
    <row r="469" spans="13:18" x14ac:dyDescent="0.15">
      <c r="M469" s="46">
        <v>2021</v>
      </c>
      <c r="N469" s="26" t="s">
        <v>398</v>
      </c>
      <c r="O469" s="26" t="s">
        <v>37</v>
      </c>
      <c r="P469" s="26" t="s">
        <v>431</v>
      </c>
      <c r="Q469" s="47">
        <f t="shared" si="101"/>
        <v>0.18757122597017167</v>
      </c>
      <c r="R469" s="47">
        <f t="shared" si="102"/>
        <v>4.1682494660038145</v>
      </c>
    </row>
    <row r="470" spans="13:18" x14ac:dyDescent="0.15">
      <c r="M470" s="46">
        <v>2021</v>
      </c>
      <c r="N470" s="26" t="s">
        <v>398</v>
      </c>
      <c r="O470" s="26" t="s">
        <v>393</v>
      </c>
      <c r="P470" s="26" t="s">
        <v>427</v>
      </c>
      <c r="Q470" s="47">
        <f t="shared" si="101"/>
        <v>0</v>
      </c>
      <c r="R470" s="47">
        <f t="shared" si="102"/>
        <v>0</v>
      </c>
    </row>
    <row r="471" spans="13:18" x14ac:dyDescent="0.15">
      <c r="M471" s="46">
        <v>2021</v>
      </c>
      <c r="N471" s="26" t="s">
        <v>398</v>
      </c>
      <c r="O471" s="26" t="s">
        <v>393</v>
      </c>
      <c r="P471" s="26" t="s">
        <v>429</v>
      </c>
      <c r="Q471" s="47">
        <f t="shared" si="101"/>
        <v>1.2460546271551611</v>
      </c>
      <c r="R471" s="47">
        <f t="shared" si="102"/>
        <v>4.6305316727242385</v>
      </c>
    </row>
    <row r="472" spans="13:18" x14ac:dyDescent="0.15">
      <c r="M472" s="46">
        <v>2021</v>
      </c>
      <c r="N472" s="26" t="s">
        <v>398</v>
      </c>
      <c r="O472" s="26" t="s">
        <v>393</v>
      </c>
      <c r="P472" s="26" t="s">
        <v>430</v>
      </c>
      <c r="Q472" s="47">
        <f t="shared" si="101"/>
        <v>0</v>
      </c>
      <c r="R472" s="47">
        <f t="shared" si="102"/>
        <v>0</v>
      </c>
    </row>
    <row r="473" spans="13:18" x14ac:dyDescent="0.15">
      <c r="M473" s="46">
        <v>2021</v>
      </c>
      <c r="N473" s="26" t="s">
        <v>398</v>
      </c>
      <c r="O473" s="26" t="s">
        <v>393</v>
      </c>
      <c r="P473" s="26" t="s">
        <v>431</v>
      </c>
      <c r="Q473" s="47">
        <f t="shared" si="101"/>
        <v>0.20729189730862202</v>
      </c>
      <c r="R473" s="47">
        <f t="shared" si="102"/>
        <v>4.6064866068582671</v>
      </c>
    </row>
    <row r="474" spans="13:18" x14ac:dyDescent="0.15">
      <c r="M474" s="46">
        <v>2021</v>
      </c>
      <c r="N474" s="26" t="s">
        <v>398</v>
      </c>
      <c r="O474" s="26" t="s">
        <v>41</v>
      </c>
      <c r="P474" s="26" t="s">
        <v>427</v>
      </c>
      <c r="Q474" s="47">
        <f t="shared" si="101"/>
        <v>0</v>
      </c>
      <c r="R474" s="47">
        <f t="shared" si="102"/>
        <v>0</v>
      </c>
    </row>
    <row r="475" spans="13:18" x14ac:dyDescent="0.15">
      <c r="M475" s="46">
        <v>2021</v>
      </c>
      <c r="N475" s="26" t="s">
        <v>398</v>
      </c>
      <c r="O475" s="26" t="s">
        <v>41</v>
      </c>
      <c r="P475" s="26" t="s">
        <v>429</v>
      </c>
      <c r="Q475" s="47">
        <f t="shared" si="101"/>
        <v>9.6684755726388545</v>
      </c>
      <c r="R475" s="47">
        <f t="shared" si="102"/>
        <v>35.929550270423228</v>
      </c>
    </row>
    <row r="476" spans="13:18" x14ac:dyDescent="0.15">
      <c r="M476" s="46">
        <v>2021</v>
      </c>
      <c r="N476" s="26" t="s">
        <v>398</v>
      </c>
      <c r="O476" s="26" t="s">
        <v>41</v>
      </c>
      <c r="P476" s="26" t="s">
        <v>430</v>
      </c>
      <c r="Q476" s="47">
        <f t="shared" si="101"/>
        <v>0</v>
      </c>
      <c r="R476" s="47">
        <f t="shared" si="102"/>
        <v>0</v>
      </c>
    </row>
    <row r="477" spans="13:18" x14ac:dyDescent="0.15">
      <c r="M477" s="46">
        <v>2021</v>
      </c>
      <c r="N477" s="26" t="s">
        <v>398</v>
      </c>
      <c r="O477" s="26" t="s">
        <v>41</v>
      </c>
      <c r="P477" s="26" t="s">
        <v>431</v>
      </c>
      <c r="Q477" s="47">
        <f t="shared" si="101"/>
        <v>1.6084340139325268</v>
      </c>
      <c r="R477" s="47">
        <f t="shared" si="102"/>
        <v>35.742978087389481</v>
      </c>
    </row>
    <row r="478" spans="13:18" x14ac:dyDescent="0.15">
      <c r="M478" s="46">
        <v>2021</v>
      </c>
      <c r="N478" s="26" t="s">
        <v>398</v>
      </c>
      <c r="O478" s="26" t="s">
        <v>45</v>
      </c>
      <c r="P478" s="26" t="s">
        <v>427</v>
      </c>
      <c r="Q478" s="47">
        <f t="shared" si="101"/>
        <v>0</v>
      </c>
      <c r="R478" s="47">
        <f t="shared" si="102"/>
        <v>0</v>
      </c>
    </row>
    <row r="479" spans="13:18" x14ac:dyDescent="0.15">
      <c r="M479" s="46">
        <v>2021</v>
      </c>
      <c r="N479" s="26" t="s">
        <v>398</v>
      </c>
      <c r="O479" s="26" t="s">
        <v>45</v>
      </c>
      <c r="P479" s="26" t="s">
        <v>429</v>
      </c>
      <c r="Q479" s="47">
        <f t="shared" si="101"/>
        <v>15.750635614997615</v>
      </c>
      <c r="R479" s="47">
        <f t="shared" si="102"/>
        <v>58.531797476085302</v>
      </c>
    </row>
    <row r="480" spans="13:18" x14ac:dyDescent="0.15">
      <c r="M480" s="46">
        <v>2021</v>
      </c>
      <c r="N480" s="26" t="s">
        <v>398</v>
      </c>
      <c r="O480" s="26" t="s">
        <v>45</v>
      </c>
      <c r="P480" s="26" t="s">
        <v>430</v>
      </c>
      <c r="Q480" s="47">
        <f t="shared" si="101"/>
        <v>0</v>
      </c>
      <c r="R480" s="47">
        <f t="shared" si="102"/>
        <v>0</v>
      </c>
    </row>
    <row r="481" spans="13:18" x14ac:dyDescent="0.15">
      <c r="M481" s="46">
        <v>2021</v>
      </c>
      <c r="N481" s="26" t="s">
        <v>398</v>
      </c>
      <c r="O481" s="26" t="s">
        <v>45</v>
      </c>
      <c r="P481" s="26" t="s">
        <v>431</v>
      </c>
      <c r="Q481" s="47">
        <f t="shared" si="101"/>
        <v>2.6202536143249264</v>
      </c>
      <c r="R481" s="47">
        <f t="shared" si="102"/>
        <v>58.227858096109479</v>
      </c>
    </row>
    <row r="482" spans="13:18" x14ac:dyDescent="0.15">
      <c r="M482" s="46">
        <v>2021</v>
      </c>
      <c r="N482" s="26" t="s">
        <v>398</v>
      </c>
      <c r="O482" s="26" t="s">
        <v>46</v>
      </c>
      <c r="P482" s="26" t="s">
        <v>427</v>
      </c>
      <c r="Q482" s="47">
        <f t="shared" si="101"/>
        <v>0</v>
      </c>
      <c r="R482" s="47">
        <f t="shared" si="102"/>
        <v>0</v>
      </c>
    </row>
    <row r="483" spans="13:18" x14ac:dyDescent="0.15">
      <c r="M483" s="46">
        <v>2021</v>
      </c>
      <c r="N483" s="26" t="s">
        <v>398</v>
      </c>
      <c r="O483" s="26" t="s">
        <v>46</v>
      </c>
      <c r="P483" s="26" t="s">
        <v>429</v>
      </c>
      <c r="Q483" s="47">
        <f t="shared" si="101"/>
        <v>2.8045439663800171</v>
      </c>
      <c r="R483" s="47">
        <f t="shared" si="102"/>
        <v>10.422119047476739</v>
      </c>
    </row>
    <row r="484" spans="13:18" x14ac:dyDescent="0.15">
      <c r="M484" s="46">
        <v>2021</v>
      </c>
      <c r="N484" s="26" t="s">
        <v>398</v>
      </c>
      <c r="O484" s="26" t="s">
        <v>46</v>
      </c>
      <c r="P484" s="26" t="s">
        <v>430</v>
      </c>
      <c r="Q484" s="47">
        <f t="shared" si="101"/>
        <v>0</v>
      </c>
      <c r="R484" s="47">
        <f t="shared" si="102"/>
        <v>0</v>
      </c>
    </row>
    <row r="485" spans="13:18" x14ac:dyDescent="0.15">
      <c r="M485" s="46">
        <v>2021</v>
      </c>
      <c r="N485" s="26" t="s">
        <v>398</v>
      </c>
      <c r="O485" s="26" t="s">
        <v>46</v>
      </c>
      <c r="P485" s="26" t="s">
        <v>431</v>
      </c>
      <c r="Q485" s="47">
        <f t="shared" si="101"/>
        <v>0.46655999440702689</v>
      </c>
      <c r="R485" s="47">
        <f t="shared" si="102"/>
        <v>10.367999875711707</v>
      </c>
    </row>
    <row r="486" spans="13:18" x14ac:dyDescent="0.15">
      <c r="M486" s="46">
        <v>2021</v>
      </c>
      <c r="N486" s="26" t="s">
        <v>404</v>
      </c>
      <c r="O486" s="26" t="s">
        <v>35</v>
      </c>
      <c r="P486" s="26" t="s">
        <v>427</v>
      </c>
      <c r="Q486" s="47">
        <f t="shared" si="101"/>
        <v>0</v>
      </c>
      <c r="R486" s="47">
        <f t="shared" si="102"/>
        <v>0</v>
      </c>
    </row>
    <row r="487" spans="13:18" x14ac:dyDescent="0.15">
      <c r="M487" s="46">
        <v>2021</v>
      </c>
      <c r="N487" s="26" t="s">
        <v>404</v>
      </c>
      <c r="O487" s="26" t="s">
        <v>35</v>
      </c>
      <c r="P487" s="26" t="s">
        <v>429</v>
      </c>
      <c r="Q487" s="47">
        <f t="shared" si="101"/>
        <v>0</v>
      </c>
      <c r="R487" s="47">
        <f t="shared" si="102"/>
        <v>0</v>
      </c>
    </row>
    <row r="488" spans="13:18" x14ac:dyDescent="0.15">
      <c r="M488" s="46">
        <v>2021</v>
      </c>
      <c r="N488" s="26" t="s">
        <v>404</v>
      </c>
      <c r="O488" s="26" t="s">
        <v>35</v>
      </c>
      <c r="P488" s="26" t="s">
        <v>430</v>
      </c>
      <c r="Q488" s="47">
        <f t="shared" si="101"/>
        <v>0</v>
      </c>
      <c r="R488" s="47">
        <f t="shared" si="102"/>
        <v>0</v>
      </c>
    </row>
    <row r="489" spans="13:18" x14ac:dyDescent="0.15">
      <c r="M489" s="46">
        <v>2021</v>
      </c>
      <c r="N489" s="26" t="s">
        <v>404</v>
      </c>
      <c r="O489" s="26" t="s">
        <v>35</v>
      </c>
      <c r="P489" s="26" t="s">
        <v>431</v>
      </c>
      <c r="Q489" s="47">
        <f t="shared" si="101"/>
        <v>10.392235601571397</v>
      </c>
      <c r="R489" s="47">
        <f t="shared" si="102"/>
        <v>51.961178007856986</v>
      </c>
    </row>
    <row r="490" spans="13:18" x14ac:dyDescent="0.15">
      <c r="M490" s="46">
        <v>2021</v>
      </c>
      <c r="N490" s="26" t="s">
        <v>404</v>
      </c>
      <c r="O490" s="26" t="s">
        <v>40</v>
      </c>
      <c r="P490" s="26" t="s">
        <v>427</v>
      </c>
      <c r="Q490" s="47">
        <f t="shared" si="101"/>
        <v>0</v>
      </c>
      <c r="R490" s="47">
        <f t="shared" si="102"/>
        <v>0</v>
      </c>
    </row>
    <row r="491" spans="13:18" x14ac:dyDescent="0.15">
      <c r="M491" s="46">
        <v>2021</v>
      </c>
      <c r="N491" s="26" t="s">
        <v>404</v>
      </c>
      <c r="O491" s="26" t="s">
        <v>40</v>
      </c>
      <c r="P491" s="26" t="s">
        <v>429</v>
      </c>
      <c r="Q491" s="47">
        <f t="shared" si="101"/>
        <v>0</v>
      </c>
      <c r="R491" s="47">
        <f t="shared" si="102"/>
        <v>0</v>
      </c>
    </row>
    <row r="492" spans="13:18" x14ac:dyDescent="0.15">
      <c r="M492" s="46">
        <v>2021</v>
      </c>
      <c r="N492" s="26" t="s">
        <v>404</v>
      </c>
      <c r="O492" s="26" t="s">
        <v>40</v>
      </c>
      <c r="P492" s="26" t="s">
        <v>430</v>
      </c>
      <c r="Q492" s="47">
        <f t="shared" si="101"/>
        <v>0</v>
      </c>
      <c r="R492" s="47">
        <f t="shared" si="102"/>
        <v>0</v>
      </c>
    </row>
    <row r="493" spans="13:18" x14ac:dyDescent="0.15">
      <c r="M493" s="46">
        <v>2021</v>
      </c>
      <c r="N493" s="26" t="s">
        <v>404</v>
      </c>
      <c r="O493" s="26" t="s">
        <v>40</v>
      </c>
      <c r="P493" s="26" t="s">
        <v>431</v>
      </c>
      <c r="Q493" s="47">
        <f t="shared" si="101"/>
        <v>30.804386826169722</v>
      </c>
      <c r="R493" s="47">
        <f t="shared" si="102"/>
        <v>154.02193413084859</v>
      </c>
    </row>
    <row r="494" spans="13:18" x14ac:dyDescent="0.15">
      <c r="M494" s="46">
        <v>2021</v>
      </c>
      <c r="N494" s="26" t="s">
        <v>404</v>
      </c>
      <c r="O494" s="26" t="s">
        <v>41</v>
      </c>
      <c r="P494" s="26" t="s">
        <v>427</v>
      </c>
      <c r="Q494" s="47">
        <f t="shared" si="101"/>
        <v>0</v>
      </c>
      <c r="R494" s="47">
        <f t="shared" si="102"/>
        <v>0</v>
      </c>
    </row>
    <row r="495" spans="13:18" x14ac:dyDescent="0.15">
      <c r="M495" s="46">
        <v>2021</v>
      </c>
      <c r="N495" s="26" t="s">
        <v>404</v>
      </c>
      <c r="O495" s="26" t="s">
        <v>41</v>
      </c>
      <c r="P495" s="26" t="s">
        <v>429</v>
      </c>
      <c r="Q495" s="47">
        <f t="shared" si="101"/>
        <v>0</v>
      </c>
      <c r="R495" s="47">
        <f t="shared" si="102"/>
        <v>0</v>
      </c>
    </row>
    <row r="496" spans="13:18" x14ac:dyDescent="0.15">
      <c r="M496" s="46">
        <v>2021</v>
      </c>
      <c r="N496" s="26" t="s">
        <v>404</v>
      </c>
      <c r="O496" s="26" t="s">
        <v>41</v>
      </c>
      <c r="P496" s="26" t="s">
        <v>430</v>
      </c>
      <c r="Q496" s="47">
        <f t="shared" si="101"/>
        <v>0</v>
      </c>
      <c r="R496" s="47">
        <f t="shared" si="102"/>
        <v>0</v>
      </c>
    </row>
    <row r="497" spans="13:18" x14ac:dyDescent="0.15">
      <c r="M497" s="46">
        <v>2021</v>
      </c>
      <c r="N497" s="26" t="s">
        <v>404</v>
      </c>
      <c r="O497" s="26" t="s">
        <v>41</v>
      </c>
      <c r="P497" s="26" t="s">
        <v>431</v>
      </c>
      <c r="Q497" s="47">
        <f t="shared" si="101"/>
        <v>6.6637610969842287</v>
      </c>
      <c r="R497" s="47">
        <f t="shared" si="102"/>
        <v>33.318805484921143</v>
      </c>
    </row>
    <row r="498" spans="13:18" x14ac:dyDescent="0.15">
      <c r="M498" s="46">
        <v>2021</v>
      </c>
      <c r="N498" s="26" t="s">
        <v>404</v>
      </c>
      <c r="O498" s="26" t="s">
        <v>45</v>
      </c>
      <c r="P498" s="26" t="s">
        <v>427</v>
      </c>
      <c r="Q498" s="47">
        <f t="shared" si="101"/>
        <v>0</v>
      </c>
      <c r="R498" s="47">
        <f t="shared" si="102"/>
        <v>0</v>
      </c>
    </row>
    <row r="499" spans="13:18" x14ac:dyDescent="0.15">
      <c r="M499" s="46">
        <v>2021</v>
      </c>
      <c r="N499" s="26" t="s">
        <v>404</v>
      </c>
      <c r="O499" s="26" t="s">
        <v>45</v>
      </c>
      <c r="P499" s="26" t="s">
        <v>429</v>
      </c>
      <c r="Q499" s="47">
        <f t="shared" si="101"/>
        <v>0</v>
      </c>
      <c r="R499" s="47">
        <f t="shared" si="102"/>
        <v>0</v>
      </c>
    </row>
    <row r="500" spans="13:18" x14ac:dyDescent="0.15">
      <c r="M500" s="46">
        <v>2021</v>
      </c>
      <c r="N500" s="26" t="s">
        <v>404</v>
      </c>
      <c r="O500" s="26" t="s">
        <v>45</v>
      </c>
      <c r="P500" s="26" t="s">
        <v>430</v>
      </c>
      <c r="Q500" s="47">
        <f t="shared" si="101"/>
        <v>0</v>
      </c>
      <c r="R500" s="47">
        <f t="shared" si="102"/>
        <v>0</v>
      </c>
    </row>
    <row r="501" spans="13:18" x14ac:dyDescent="0.15">
      <c r="M501" s="46">
        <v>2021</v>
      </c>
      <c r="N501" s="26" t="s">
        <v>404</v>
      </c>
      <c r="O501" s="26" t="s">
        <v>45</v>
      </c>
      <c r="P501" s="26" t="s">
        <v>431</v>
      </c>
      <c r="Q501" s="47">
        <f t="shared" si="101"/>
        <v>10.855741639459781</v>
      </c>
      <c r="R501" s="47">
        <f t="shared" si="102"/>
        <v>54.278708197298911</v>
      </c>
    </row>
    <row r="502" spans="13:18" x14ac:dyDescent="0.15">
      <c r="M502" s="46">
        <v>2021</v>
      </c>
      <c r="N502" s="26" t="s">
        <v>406</v>
      </c>
      <c r="O502" s="26" t="s">
        <v>40</v>
      </c>
      <c r="P502" s="26" t="s">
        <v>427</v>
      </c>
      <c r="Q502" s="47">
        <f t="shared" si="101"/>
        <v>0</v>
      </c>
      <c r="R502" s="47">
        <f t="shared" si="102"/>
        <v>0</v>
      </c>
    </row>
    <row r="503" spans="13:18" x14ac:dyDescent="0.15">
      <c r="M503" s="46">
        <v>2021</v>
      </c>
      <c r="N503" s="26" t="s">
        <v>406</v>
      </c>
      <c r="O503" s="26" t="s">
        <v>40</v>
      </c>
      <c r="P503" s="26" t="s">
        <v>429</v>
      </c>
      <c r="Q503" s="47">
        <f t="shared" si="101"/>
        <v>0</v>
      </c>
      <c r="R503" s="47">
        <f t="shared" si="102"/>
        <v>0</v>
      </c>
    </row>
    <row r="504" spans="13:18" x14ac:dyDescent="0.15">
      <c r="M504" s="46">
        <v>2021</v>
      </c>
      <c r="N504" s="26" t="s">
        <v>406</v>
      </c>
      <c r="O504" s="26" t="s">
        <v>40</v>
      </c>
      <c r="P504" s="26" t="s">
        <v>430</v>
      </c>
      <c r="Q504" s="47">
        <f t="shared" si="101"/>
        <v>0</v>
      </c>
      <c r="R504" s="47">
        <f t="shared" si="102"/>
        <v>0</v>
      </c>
    </row>
    <row r="505" spans="13:18" x14ac:dyDescent="0.15">
      <c r="M505" s="46">
        <v>2021</v>
      </c>
      <c r="N505" s="26" t="s">
        <v>406</v>
      </c>
      <c r="O505" s="26" t="s">
        <v>40</v>
      </c>
      <c r="P505" s="26" t="s">
        <v>431</v>
      </c>
      <c r="Q505" s="47">
        <f t="shared" si="101"/>
        <v>2.899941116513447</v>
      </c>
      <c r="R505" s="47">
        <f t="shared" si="102"/>
        <v>26.679458271923714</v>
      </c>
    </row>
    <row r="506" spans="13:18" x14ac:dyDescent="0.15">
      <c r="M506" s="46">
        <v>2021</v>
      </c>
      <c r="N506" s="26" t="s">
        <v>406</v>
      </c>
      <c r="O506" s="26" t="s">
        <v>45</v>
      </c>
      <c r="P506" s="26" t="s">
        <v>427</v>
      </c>
      <c r="Q506" s="47">
        <f t="shared" si="101"/>
        <v>0</v>
      </c>
      <c r="R506" s="47">
        <f t="shared" si="102"/>
        <v>0</v>
      </c>
    </row>
    <row r="507" spans="13:18" x14ac:dyDescent="0.15">
      <c r="M507" s="46">
        <v>2021</v>
      </c>
      <c r="N507" s="26" t="s">
        <v>406</v>
      </c>
      <c r="O507" s="26" t="s">
        <v>45</v>
      </c>
      <c r="P507" s="26" t="s">
        <v>429</v>
      </c>
      <c r="Q507" s="47">
        <f t="shared" si="101"/>
        <v>0</v>
      </c>
      <c r="R507" s="47">
        <f t="shared" si="102"/>
        <v>0</v>
      </c>
    </row>
    <row r="508" spans="13:18" x14ac:dyDescent="0.15">
      <c r="M508" s="46">
        <v>2021</v>
      </c>
      <c r="N508" s="26" t="s">
        <v>406</v>
      </c>
      <c r="O508" s="26" t="s">
        <v>45</v>
      </c>
      <c r="P508" s="26" t="s">
        <v>430</v>
      </c>
      <c r="Q508" s="47">
        <f t="shared" si="101"/>
        <v>0</v>
      </c>
      <c r="R508" s="47">
        <f t="shared" si="102"/>
        <v>0</v>
      </c>
    </row>
    <row r="509" spans="13:18" x14ac:dyDescent="0.15">
      <c r="M509" s="46">
        <v>2021</v>
      </c>
      <c r="N509" s="26" t="s">
        <v>406</v>
      </c>
      <c r="O509" s="26" t="s">
        <v>45</v>
      </c>
      <c r="P509" s="26" t="s">
        <v>431</v>
      </c>
      <c r="Q509" s="47">
        <f t="shared" si="101"/>
        <v>1.0219652060651301</v>
      </c>
      <c r="R509" s="47">
        <f t="shared" si="102"/>
        <v>9.4020798957991989</v>
      </c>
    </row>
    <row r="510" spans="13:18" x14ac:dyDescent="0.15">
      <c r="M510" s="46">
        <v>2021</v>
      </c>
      <c r="N510" s="26" t="s">
        <v>406</v>
      </c>
      <c r="O510" s="26" t="s">
        <v>46</v>
      </c>
      <c r="P510" s="26" t="s">
        <v>427</v>
      </c>
      <c r="Q510" s="47">
        <f t="shared" si="101"/>
        <v>0</v>
      </c>
      <c r="R510" s="47">
        <f t="shared" si="102"/>
        <v>0</v>
      </c>
    </row>
    <row r="511" spans="13:18" x14ac:dyDescent="0.15">
      <c r="M511" s="46">
        <v>2021</v>
      </c>
      <c r="N511" s="26" t="s">
        <v>406</v>
      </c>
      <c r="O511" s="26" t="s">
        <v>46</v>
      </c>
      <c r="P511" s="26" t="s">
        <v>429</v>
      </c>
      <c r="Q511" s="47">
        <f t="shared" si="101"/>
        <v>0</v>
      </c>
      <c r="R511" s="47">
        <f t="shared" si="102"/>
        <v>0</v>
      </c>
    </row>
    <row r="512" spans="13:18" x14ac:dyDescent="0.15">
      <c r="M512" s="46">
        <v>2021</v>
      </c>
      <c r="N512" s="26" t="s">
        <v>406</v>
      </c>
      <c r="O512" s="26" t="s">
        <v>46</v>
      </c>
      <c r="P512" s="26" t="s">
        <v>430</v>
      </c>
      <c r="Q512" s="47">
        <f t="shared" si="101"/>
        <v>0</v>
      </c>
      <c r="R512" s="47">
        <f t="shared" si="102"/>
        <v>0</v>
      </c>
    </row>
    <row r="513" spans="13:18" x14ac:dyDescent="0.15">
      <c r="M513" s="46">
        <v>2021</v>
      </c>
      <c r="N513" s="26" t="s">
        <v>406</v>
      </c>
      <c r="O513" s="26" t="s">
        <v>46</v>
      </c>
      <c r="P513" s="26" t="s">
        <v>431</v>
      </c>
      <c r="Q513" s="47">
        <f t="shared" si="101"/>
        <v>0.18197020250986903</v>
      </c>
      <c r="R513" s="47">
        <f t="shared" si="102"/>
        <v>1.6741258630907951</v>
      </c>
    </row>
    <row r="514" spans="13:18" x14ac:dyDescent="0.15">
      <c r="M514" s="46">
        <v>2021</v>
      </c>
      <c r="N514" s="26" t="s">
        <v>406</v>
      </c>
      <c r="O514" s="26" t="s">
        <v>39</v>
      </c>
      <c r="P514" s="26" t="s">
        <v>427</v>
      </c>
      <c r="Q514" s="47">
        <f t="shared" ref="Q514:Q577" si="103">SUMIFS(D:D,B:B,N514,C:C,P514,A:A,M514)*SUMIFS(K:K,G:G,N514,I:I,O514)</f>
        <v>0</v>
      </c>
      <c r="R514" s="47">
        <f t="shared" ref="R514:R577" si="104">SUMIFS(E:E,B:B,N514,C:C,P514,A:A,M514)*SUMIFS(K:K,G:G,N514,I:I,O514)</f>
        <v>0</v>
      </c>
    </row>
    <row r="515" spans="13:18" x14ac:dyDescent="0.15">
      <c r="M515" s="46">
        <v>2021</v>
      </c>
      <c r="N515" s="26" t="s">
        <v>406</v>
      </c>
      <c r="O515" s="26" t="s">
        <v>39</v>
      </c>
      <c r="P515" s="26" t="s">
        <v>429</v>
      </c>
      <c r="Q515" s="47">
        <f t="shared" si="103"/>
        <v>0</v>
      </c>
      <c r="R515" s="47">
        <f t="shared" si="104"/>
        <v>0</v>
      </c>
    </row>
    <row r="516" spans="13:18" x14ac:dyDescent="0.15">
      <c r="M516" s="46">
        <v>2021</v>
      </c>
      <c r="N516" s="26" t="s">
        <v>406</v>
      </c>
      <c r="O516" s="26" t="s">
        <v>39</v>
      </c>
      <c r="P516" s="26" t="s">
        <v>430</v>
      </c>
      <c r="Q516" s="47">
        <f t="shared" si="103"/>
        <v>0</v>
      </c>
      <c r="R516" s="47">
        <f t="shared" si="104"/>
        <v>0</v>
      </c>
    </row>
    <row r="517" spans="13:18" x14ac:dyDescent="0.15">
      <c r="M517" s="46">
        <v>2021</v>
      </c>
      <c r="N517" s="26" t="s">
        <v>406</v>
      </c>
      <c r="O517" s="26" t="s">
        <v>39</v>
      </c>
      <c r="P517" s="26" t="s">
        <v>431</v>
      </c>
      <c r="Q517" s="47">
        <f t="shared" si="103"/>
        <v>4.6415602097258077E-2</v>
      </c>
      <c r="R517" s="47">
        <f t="shared" si="104"/>
        <v>0.42702353929477432</v>
      </c>
    </row>
    <row r="518" spans="13:18" x14ac:dyDescent="0.15">
      <c r="M518" s="46">
        <v>2021</v>
      </c>
      <c r="N518" s="26" t="s">
        <v>406</v>
      </c>
      <c r="O518" s="26" t="s">
        <v>408</v>
      </c>
      <c r="P518" s="26" t="s">
        <v>427</v>
      </c>
      <c r="Q518" s="47">
        <f t="shared" si="103"/>
        <v>0</v>
      </c>
      <c r="R518" s="47">
        <f t="shared" si="104"/>
        <v>0</v>
      </c>
    </row>
    <row r="519" spans="13:18" x14ac:dyDescent="0.15">
      <c r="M519" s="46">
        <v>2021</v>
      </c>
      <c r="N519" s="26" t="s">
        <v>406</v>
      </c>
      <c r="O519" s="26" t="s">
        <v>408</v>
      </c>
      <c r="P519" s="26" t="s">
        <v>429</v>
      </c>
      <c r="Q519" s="47">
        <f t="shared" si="103"/>
        <v>0</v>
      </c>
      <c r="R519" s="47">
        <f t="shared" si="104"/>
        <v>0</v>
      </c>
    </row>
    <row r="520" spans="13:18" x14ac:dyDescent="0.15">
      <c r="M520" s="46">
        <v>2021</v>
      </c>
      <c r="N520" s="26" t="s">
        <v>406</v>
      </c>
      <c r="O520" s="26" t="s">
        <v>408</v>
      </c>
      <c r="P520" s="26" t="s">
        <v>430</v>
      </c>
      <c r="Q520" s="47">
        <f t="shared" si="103"/>
        <v>0</v>
      </c>
      <c r="R520" s="47">
        <f t="shared" si="104"/>
        <v>0</v>
      </c>
    </row>
    <row r="521" spans="13:18" x14ac:dyDescent="0.15">
      <c r="M521" s="46">
        <v>2021</v>
      </c>
      <c r="N521" s="26" t="s">
        <v>406</v>
      </c>
      <c r="O521" s="26" t="s">
        <v>408</v>
      </c>
      <c r="P521" s="26" t="s">
        <v>431</v>
      </c>
      <c r="Q521" s="47">
        <f t="shared" si="103"/>
        <v>1.8843223053648446E-2</v>
      </c>
      <c r="R521" s="47">
        <f t="shared" si="104"/>
        <v>0.17335765209356571</v>
      </c>
    </row>
    <row r="522" spans="13:18" x14ac:dyDescent="0.15">
      <c r="M522" s="46">
        <v>2021</v>
      </c>
      <c r="N522" s="26" t="s">
        <v>409</v>
      </c>
      <c r="O522" s="26" t="s">
        <v>45</v>
      </c>
      <c r="P522" s="26" t="s">
        <v>427</v>
      </c>
      <c r="Q522" s="47">
        <f t="shared" si="103"/>
        <v>0</v>
      </c>
      <c r="R522" s="47">
        <f t="shared" si="104"/>
        <v>0</v>
      </c>
    </row>
    <row r="523" spans="13:18" x14ac:dyDescent="0.15">
      <c r="M523" s="46">
        <v>2021</v>
      </c>
      <c r="N523" s="26" t="s">
        <v>409</v>
      </c>
      <c r="O523" s="26" t="s">
        <v>45</v>
      </c>
      <c r="P523" s="26" t="s">
        <v>429</v>
      </c>
      <c r="Q523" s="47">
        <f t="shared" si="103"/>
        <v>0</v>
      </c>
      <c r="R523" s="47">
        <f t="shared" si="104"/>
        <v>0</v>
      </c>
    </row>
    <row r="524" spans="13:18" x14ac:dyDescent="0.15">
      <c r="M524" s="46">
        <v>2021</v>
      </c>
      <c r="N524" s="26" t="s">
        <v>409</v>
      </c>
      <c r="O524" s="26" t="s">
        <v>45</v>
      </c>
      <c r="P524" s="26" t="s">
        <v>430</v>
      </c>
      <c r="Q524" s="47">
        <f t="shared" si="103"/>
        <v>1.0522389573508661</v>
      </c>
      <c r="R524" s="47">
        <f t="shared" si="104"/>
        <v>7.4408326269811269</v>
      </c>
    </row>
    <row r="525" spans="13:18" x14ac:dyDescent="0.15">
      <c r="M525" s="46">
        <v>2021</v>
      </c>
      <c r="N525" s="26" t="s">
        <v>409</v>
      </c>
      <c r="O525" s="26" t="s">
        <v>45</v>
      </c>
      <c r="P525" s="26" t="s">
        <v>431</v>
      </c>
      <c r="Q525" s="47">
        <f t="shared" si="103"/>
        <v>2.8593449928012671</v>
      </c>
      <c r="R525" s="47">
        <f t="shared" si="104"/>
        <v>24.304432438810771</v>
      </c>
    </row>
    <row r="526" spans="13:18" x14ac:dyDescent="0.15">
      <c r="M526" s="46">
        <v>2021</v>
      </c>
      <c r="N526" s="26" t="s">
        <v>409</v>
      </c>
      <c r="O526" s="26" t="s">
        <v>40</v>
      </c>
      <c r="P526" s="26" t="s">
        <v>427</v>
      </c>
      <c r="Q526" s="47">
        <f t="shared" si="103"/>
        <v>0</v>
      </c>
      <c r="R526" s="47">
        <f t="shared" si="104"/>
        <v>0</v>
      </c>
    </row>
    <row r="527" spans="13:18" x14ac:dyDescent="0.15">
      <c r="M527" s="46">
        <v>2021</v>
      </c>
      <c r="N527" s="26" t="s">
        <v>409</v>
      </c>
      <c r="O527" s="26" t="s">
        <v>40</v>
      </c>
      <c r="P527" s="26" t="s">
        <v>429</v>
      </c>
      <c r="Q527" s="47">
        <f t="shared" si="103"/>
        <v>0</v>
      </c>
      <c r="R527" s="47">
        <f t="shared" si="104"/>
        <v>0</v>
      </c>
    </row>
    <row r="528" spans="13:18" x14ac:dyDescent="0.15">
      <c r="M528" s="46">
        <v>2021</v>
      </c>
      <c r="N528" s="26" t="s">
        <v>409</v>
      </c>
      <c r="O528" s="26" t="s">
        <v>40</v>
      </c>
      <c r="P528" s="26" t="s">
        <v>430</v>
      </c>
      <c r="Q528" s="47">
        <f t="shared" si="103"/>
        <v>2.9858462878280685</v>
      </c>
      <c r="R528" s="47">
        <f t="shared" si="104"/>
        <v>21.114198749641343</v>
      </c>
    </row>
    <row r="529" spans="13:18" x14ac:dyDescent="0.15">
      <c r="M529" s="46">
        <v>2021</v>
      </c>
      <c r="N529" s="26" t="s">
        <v>409</v>
      </c>
      <c r="O529" s="26" t="s">
        <v>40</v>
      </c>
      <c r="P529" s="26" t="s">
        <v>431</v>
      </c>
      <c r="Q529" s="47">
        <f t="shared" si="103"/>
        <v>8.1137127386632297</v>
      </c>
      <c r="R529" s="47">
        <f t="shared" si="104"/>
        <v>68.96655827863745</v>
      </c>
    </row>
    <row r="530" spans="13:18" x14ac:dyDescent="0.15">
      <c r="M530" s="46">
        <v>2021</v>
      </c>
      <c r="N530" s="26" t="s">
        <v>409</v>
      </c>
      <c r="O530" s="26" t="s">
        <v>46</v>
      </c>
      <c r="P530" s="26" t="s">
        <v>427</v>
      </c>
      <c r="Q530" s="47">
        <f t="shared" si="103"/>
        <v>0</v>
      </c>
      <c r="R530" s="47">
        <f t="shared" si="104"/>
        <v>0</v>
      </c>
    </row>
    <row r="531" spans="13:18" x14ac:dyDescent="0.15">
      <c r="M531" s="46">
        <v>2021</v>
      </c>
      <c r="N531" s="26" t="s">
        <v>409</v>
      </c>
      <c r="O531" s="26" t="s">
        <v>46</v>
      </c>
      <c r="P531" s="26" t="s">
        <v>429</v>
      </c>
      <c r="Q531" s="47">
        <f t="shared" si="103"/>
        <v>0</v>
      </c>
      <c r="R531" s="47">
        <f t="shared" si="104"/>
        <v>0</v>
      </c>
    </row>
    <row r="532" spans="13:18" x14ac:dyDescent="0.15">
      <c r="M532" s="46">
        <v>2021</v>
      </c>
      <c r="N532" s="26" t="s">
        <v>409</v>
      </c>
      <c r="O532" s="26" t="s">
        <v>46</v>
      </c>
      <c r="P532" s="26" t="s">
        <v>430</v>
      </c>
      <c r="Q532" s="47">
        <f t="shared" si="103"/>
        <v>0.18736071934890092</v>
      </c>
      <c r="R532" s="47">
        <f t="shared" si="104"/>
        <v>1.3249079439672282</v>
      </c>
    </row>
    <row r="533" spans="13:18" x14ac:dyDescent="0.15">
      <c r="M533" s="46">
        <v>2021</v>
      </c>
      <c r="N533" s="26" t="s">
        <v>409</v>
      </c>
      <c r="O533" s="26" t="s">
        <v>46</v>
      </c>
      <c r="P533" s="26" t="s">
        <v>431</v>
      </c>
      <c r="Q533" s="47">
        <f t="shared" si="103"/>
        <v>0.50913238953505691</v>
      </c>
      <c r="R533" s="47">
        <f t="shared" si="104"/>
        <v>4.3276253110479832</v>
      </c>
    </row>
    <row r="534" spans="13:18" x14ac:dyDescent="0.15">
      <c r="M534" s="46">
        <v>2021</v>
      </c>
      <c r="N534" s="26" t="s">
        <v>409</v>
      </c>
      <c r="O534" s="26" t="s">
        <v>44</v>
      </c>
      <c r="P534" s="26" t="s">
        <v>427</v>
      </c>
      <c r="Q534" s="47">
        <f t="shared" si="103"/>
        <v>0</v>
      </c>
      <c r="R534" s="47">
        <f t="shared" si="104"/>
        <v>0</v>
      </c>
    </row>
    <row r="535" spans="13:18" x14ac:dyDescent="0.15">
      <c r="M535" s="46">
        <v>2021</v>
      </c>
      <c r="N535" s="26" t="s">
        <v>409</v>
      </c>
      <c r="O535" s="26" t="s">
        <v>44</v>
      </c>
      <c r="P535" s="26" t="s">
        <v>429</v>
      </c>
      <c r="Q535" s="47">
        <f t="shared" si="103"/>
        <v>0</v>
      </c>
      <c r="R535" s="47">
        <f t="shared" si="104"/>
        <v>0</v>
      </c>
    </row>
    <row r="536" spans="13:18" x14ac:dyDescent="0.15">
      <c r="M536" s="46">
        <v>2021</v>
      </c>
      <c r="N536" s="26" t="s">
        <v>409</v>
      </c>
      <c r="O536" s="26" t="s">
        <v>44</v>
      </c>
      <c r="P536" s="26" t="s">
        <v>430</v>
      </c>
      <c r="Q536" s="47">
        <f t="shared" si="103"/>
        <v>0.37455403547216448</v>
      </c>
      <c r="R536" s="47">
        <f t="shared" si="104"/>
        <v>2.6486321079817348</v>
      </c>
    </row>
    <row r="537" spans="13:18" x14ac:dyDescent="0.15">
      <c r="M537" s="46">
        <v>2021</v>
      </c>
      <c r="N537" s="26" t="s">
        <v>409</v>
      </c>
      <c r="O537" s="26" t="s">
        <v>44</v>
      </c>
      <c r="P537" s="26" t="s">
        <v>431</v>
      </c>
      <c r="Q537" s="47">
        <f t="shared" si="103"/>
        <v>1.0178098790004471</v>
      </c>
      <c r="R537" s="47">
        <f t="shared" si="104"/>
        <v>8.6513839715037992</v>
      </c>
    </row>
    <row r="538" spans="13:18" x14ac:dyDescent="0.15">
      <c r="M538" s="46">
        <v>2021</v>
      </c>
      <c r="N538" s="26" t="s">
        <v>411</v>
      </c>
      <c r="O538" s="26" t="s">
        <v>35</v>
      </c>
      <c r="P538" s="26" t="s">
        <v>427</v>
      </c>
      <c r="Q538" s="47">
        <f t="shared" si="103"/>
        <v>0.82732940965096158</v>
      </c>
      <c r="R538" s="47">
        <f t="shared" si="104"/>
        <v>2.6888205813656247</v>
      </c>
    </row>
    <row r="539" spans="13:18" x14ac:dyDescent="0.15">
      <c r="M539" s="46">
        <v>2021</v>
      </c>
      <c r="N539" s="26" t="s">
        <v>411</v>
      </c>
      <c r="O539" s="26" t="s">
        <v>35</v>
      </c>
      <c r="P539" s="26" t="s">
        <v>429</v>
      </c>
      <c r="Q539" s="47">
        <f t="shared" si="103"/>
        <v>0</v>
      </c>
      <c r="R539" s="47">
        <f t="shared" si="104"/>
        <v>0</v>
      </c>
    </row>
    <row r="540" spans="13:18" x14ac:dyDescent="0.15">
      <c r="M540" s="46">
        <v>2021</v>
      </c>
      <c r="N540" s="26" t="s">
        <v>411</v>
      </c>
      <c r="O540" s="26" t="s">
        <v>35</v>
      </c>
      <c r="P540" s="26" t="s">
        <v>430</v>
      </c>
      <c r="Q540" s="47">
        <f t="shared" si="103"/>
        <v>0</v>
      </c>
      <c r="R540" s="47">
        <f t="shared" si="104"/>
        <v>0</v>
      </c>
    </row>
    <row r="541" spans="13:18" x14ac:dyDescent="0.15">
      <c r="M541" s="46">
        <v>2021</v>
      </c>
      <c r="N541" s="26" t="s">
        <v>411</v>
      </c>
      <c r="O541" s="26" t="s">
        <v>35</v>
      </c>
      <c r="P541" s="26" t="s">
        <v>431</v>
      </c>
      <c r="Q541" s="47">
        <f t="shared" si="103"/>
        <v>0</v>
      </c>
      <c r="R541" s="47">
        <f t="shared" si="104"/>
        <v>0</v>
      </c>
    </row>
    <row r="542" spans="13:18" x14ac:dyDescent="0.15">
      <c r="M542" s="46">
        <v>2021</v>
      </c>
      <c r="N542" s="26" t="s">
        <v>411</v>
      </c>
      <c r="O542" s="26" t="s">
        <v>45</v>
      </c>
      <c r="P542" s="26" t="s">
        <v>427</v>
      </c>
      <c r="Q542" s="47">
        <f t="shared" si="103"/>
        <v>0.86422928292152812</v>
      </c>
      <c r="R542" s="47">
        <f t="shared" si="104"/>
        <v>2.8087451694949657</v>
      </c>
    </row>
    <row r="543" spans="13:18" x14ac:dyDescent="0.15">
      <c r="M543" s="46">
        <v>2021</v>
      </c>
      <c r="N543" s="26" t="s">
        <v>411</v>
      </c>
      <c r="O543" s="26" t="s">
        <v>45</v>
      </c>
      <c r="P543" s="26" t="s">
        <v>429</v>
      </c>
      <c r="Q543" s="47">
        <f t="shared" si="103"/>
        <v>0</v>
      </c>
      <c r="R543" s="47">
        <f t="shared" si="104"/>
        <v>0</v>
      </c>
    </row>
    <row r="544" spans="13:18" x14ac:dyDescent="0.15">
      <c r="M544" s="46">
        <v>2021</v>
      </c>
      <c r="N544" s="26" t="s">
        <v>411</v>
      </c>
      <c r="O544" s="26" t="s">
        <v>45</v>
      </c>
      <c r="P544" s="26" t="s">
        <v>430</v>
      </c>
      <c r="Q544" s="47">
        <f t="shared" si="103"/>
        <v>0</v>
      </c>
      <c r="R544" s="47">
        <f t="shared" si="104"/>
        <v>0</v>
      </c>
    </row>
    <row r="545" spans="13:18" x14ac:dyDescent="0.15">
      <c r="M545" s="46">
        <v>2021</v>
      </c>
      <c r="N545" s="26" t="s">
        <v>411</v>
      </c>
      <c r="O545" s="26" t="s">
        <v>45</v>
      </c>
      <c r="P545" s="26" t="s">
        <v>431</v>
      </c>
      <c r="Q545" s="47">
        <f t="shared" si="103"/>
        <v>0</v>
      </c>
      <c r="R545" s="47">
        <f t="shared" si="104"/>
        <v>0</v>
      </c>
    </row>
    <row r="546" spans="13:18" x14ac:dyDescent="0.15">
      <c r="M546" s="46">
        <v>2021</v>
      </c>
      <c r="N546" s="26" t="s">
        <v>411</v>
      </c>
      <c r="O546" s="26" t="s">
        <v>46</v>
      </c>
      <c r="P546" s="26" t="s">
        <v>427</v>
      </c>
      <c r="Q546" s="47">
        <f t="shared" si="103"/>
        <v>0.1538838863543138</v>
      </c>
      <c r="R546" s="47">
        <f t="shared" si="104"/>
        <v>0.50012263065151974</v>
      </c>
    </row>
    <row r="547" spans="13:18" x14ac:dyDescent="0.15">
      <c r="M547" s="46">
        <v>2021</v>
      </c>
      <c r="N547" s="26" t="s">
        <v>411</v>
      </c>
      <c r="O547" s="26" t="s">
        <v>46</v>
      </c>
      <c r="P547" s="26" t="s">
        <v>429</v>
      </c>
      <c r="Q547" s="47">
        <f t="shared" si="103"/>
        <v>0</v>
      </c>
      <c r="R547" s="47">
        <f t="shared" si="104"/>
        <v>0</v>
      </c>
    </row>
    <row r="548" spans="13:18" x14ac:dyDescent="0.15">
      <c r="M548" s="46">
        <v>2021</v>
      </c>
      <c r="N548" s="26" t="s">
        <v>411</v>
      </c>
      <c r="O548" s="26" t="s">
        <v>46</v>
      </c>
      <c r="P548" s="26" t="s">
        <v>430</v>
      </c>
      <c r="Q548" s="47">
        <f t="shared" si="103"/>
        <v>0</v>
      </c>
      <c r="R548" s="47">
        <f t="shared" si="104"/>
        <v>0</v>
      </c>
    </row>
    <row r="549" spans="13:18" x14ac:dyDescent="0.15">
      <c r="M549" s="46">
        <v>2021</v>
      </c>
      <c r="N549" s="26" t="s">
        <v>411</v>
      </c>
      <c r="O549" s="26" t="s">
        <v>46</v>
      </c>
      <c r="P549" s="26" t="s">
        <v>431</v>
      </c>
      <c r="Q549" s="47">
        <f t="shared" si="103"/>
        <v>0</v>
      </c>
      <c r="R549" s="47">
        <f t="shared" si="104"/>
        <v>0</v>
      </c>
    </row>
    <row r="550" spans="13:18" x14ac:dyDescent="0.15">
      <c r="M550" s="46">
        <v>2021</v>
      </c>
      <c r="N550" s="26" t="s">
        <v>411</v>
      </c>
      <c r="O550" s="26" t="s">
        <v>40</v>
      </c>
      <c r="P550" s="26" t="s">
        <v>427</v>
      </c>
      <c r="Q550" s="47">
        <f t="shared" si="103"/>
        <v>2.4523477088703838</v>
      </c>
      <c r="R550" s="47">
        <f t="shared" si="104"/>
        <v>7.9701300538287452</v>
      </c>
    </row>
    <row r="551" spans="13:18" x14ac:dyDescent="0.15">
      <c r="M551" s="46">
        <v>2021</v>
      </c>
      <c r="N551" s="26" t="s">
        <v>411</v>
      </c>
      <c r="O551" s="26" t="s">
        <v>40</v>
      </c>
      <c r="P551" s="26" t="s">
        <v>429</v>
      </c>
      <c r="Q551" s="47">
        <f t="shared" si="103"/>
        <v>0</v>
      </c>
      <c r="R551" s="47">
        <f t="shared" si="104"/>
        <v>0</v>
      </c>
    </row>
    <row r="552" spans="13:18" x14ac:dyDescent="0.15">
      <c r="M552" s="46">
        <v>2021</v>
      </c>
      <c r="N552" s="26" t="s">
        <v>411</v>
      </c>
      <c r="O552" s="26" t="s">
        <v>40</v>
      </c>
      <c r="P552" s="26" t="s">
        <v>430</v>
      </c>
      <c r="Q552" s="47">
        <f t="shared" si="103"/>
        <v>0</v>
      </c>
      <c r="R552" s="47">
        <f t="shared" si="104"/>
        <v>0</v>
      </c>
    </row>
    <row r="553" spans="13:18" x14ac:dyDescent="0.15">
      <c r="M553" s="46">
        <v>2021</v>
      </c>
      <c r="N553" s="26" t="s">
        <v>411</v>
      </c>
      <c r="O553" s="26" t="s">
        <v>40</v>
      </c>
      <c r="P553" s="26" t="s">
        <v>431</v>
      </c>
      <c r="Q553" s="47">
        <f t="shared" si="103"/>
        <v>0</v>
      </c>
      <c r="R553" s="47">
        <f t="shared" si="104"/>
        <v>0</v>
      </c>
    </row>
    <row r="554" spans="13:18" x14ac:dyDescent="0.15">
      <c r="M554" s="46">
        <v>2021</v>
      </c>
      <c r="N554" s="26" t="s">
        <v>84</v>
      </c>
      <c r="O554" s="26" t="s">
        <v>53</v>
      </c>
      <c r="P554" s="26" t="s">
        <v>427</v>
      </c>
      <c r="Q554" s="47">
        <f t="shared" si="103"/>
        <v>0</v>
      </c>
      <c r="R554" s="47">
        <f t="shared" si="104"/>
        <v>0</v>
      </c>
    </row>
    <row r="555" spans="13:18" x14ac:dyDescent="0.15">
      <c r="M555" s="46">
        <v>2021</v>
      </c>
      <c r="N555" s="26" t="s">
        <v>84</v>
      </c>
      <c r="O555" s="26" t="s">
        <v>53</v>
      </c>
      <c r="P555" s="26" t="s">
        <v>429</v>
      </c>
      <c r="Q555" s="47">
        <f t="shared" si="103"/>
        <v>0</v>
      </c>
      <c r="R555" s="47">
        <f t="shared" si="104"/>
        <v>0</v>
      </c>
    </row>
    <row r="556" spans="13:18" x14ac:dyDescent="0.15">
      <c r="M556" s="46">
        <v>2021</v>
      </c>
      <c r="N556" s="26" t="s">
        <v>84</v>
      </c>
      <c r="O556" s="26" t="s">
        <v>53</v>
      </c>
      <c r="P556" s="26" t="s">
        <v>430</v>
      </c>
      <c r="Q556" s="47">
        <f t="shared" si="103"/>
        <v>0</v>
      </c>
      <c r="R556" s="47">
        <f t="shared" si="104"/>
        <v>0</v>
      </c>
    </row>
    <row r="557" spans="13:18" x14ac:dyDescent="0.15">
      <c r="M557" s="46">
        <v>2021</v>
      </c>
      <c r="N557" s="26" t="s">
        <v>84</v>
      </c>
      <c r="O557" s="26" t="s">
        <v>53</v>
      </c>
      <c r="P557" s="26" t="s">
        <v>431</v>
      </c>
      <c r="Q557" s="47">
        <f t="shared" si="103"/>
        <v>0</v>
      </c>
      <c r="R557" s="47">
        <f t="shared" si="104"/>
        <v>0</v>
      </c>
    </row>
    <row r="558" spans="13:18" x14ac:dyDescent="0.15">
      <c r="M558" s="46">
        <v>2021</v>
      </c>
      <c r="N558" s="26" t="s">
        <v>84</v>
      </c>
      <c r="O558" s="26" t="s">
        <v>43</v>
      </c>
      <c r="P558" s="26" t="s">
        <v>427</v>
      </c>
      <c r="Q558" s="47">
        <f t="shared" si="103"/>
        <v>0</v>
      </c>
      <c r="R558" s="47">
        <f t="shared" si="104"/>
        <v>0</v>
      </c>
    </row>
    <row r="559" spans="13:18" x14ac:dyDescent="0.15">
      <c r="M559" s="46">
        <v>2021</v>
      </c>
      <c r="N559" s="26" t="s">
        <v>84</v>
      </c>
      <c r="O559" s="26" t="s">
        <v>43</v>
      </c>
      <c r="P559" s="26" t="s">
        <v>429</v>
      </c>
      <c r="Q559" s="47">
        <f t="shared" si="103"/>
        <v>0</v>
      </c>
      <c r="R559" s="47">
        <f t="shared" si="104"/>
        <v>0</v>
      </c>
    </row>
    <row r="560" spans="13:18" x14ac:dyDescent="0.15">
      <c r="M560" s="46">
        <v>2021</v>
      </c>
      <c r="N560" s="26" t="s">
        <v>84</v>
      </c>
      <c r="O560" s="26" t="s">
        <v>43</v>
      </c>
      <c r="P560" s="26" t="s">
        <v>430</v>
      </c>
      <c r="Q560" s="47">
        <f t="shared" si="103"/>
        <v>0</v>
      </c>
      <c r="R560" s="47">
        <f t="shared" si="104"/>
        <v>0</v>
      </c>
    </row>
    <row r="561" spans="13:18" x14ac:dyDescent="0.15">
      <c r="M561" s="46">
        <v>2021</v>
      </c>
      <c r="N561" s="26" t="s">
        <v>84</v>
      </c>
      <c r="O561" s="26" t="s">
        <v>43</v>
      </c>
      <c r="P561" s="26" t="s">
        <v>431</v>
      </c>
      <c r="Q561" s="47">
        <f t="shared" si="103"/>
        <v>0</v>
      </c>
      <c r="R561" s="47">
        <f t="shared" si="104"/>
        <v>0</v>
      </c>
    </row>
    <row r="562" spans="13:18" x14ac:dyDescent="0.15">
      <c r="M562" s="46">
        <v>2021</v>
      </c>
      <c r="N562" s="26" t="s">
        <v>84</v>
      </c>
      <c r="O562" s="26" t="s">
        <v>415</v>
      </c>
      <c r="P562" s="26" t="s">
        <v>427</v>
      </c>
      <c r="Q562" s="47">
        <f t="shared" si="103"/>
        <v>0</v>
      </c>
      <c r="R562" s="47">
        <f t="shared" si="104"/>
        <v>0</v>
      </c>
    </row>
    <row r="563" spans="13:18" x14ac:dyDescent="0.15">
      <c r="M563" s="46">
        <v>2021</v>
      </c>
      <c r="N563" s="26" t="s">
        <v>84</v>
      </c>
      <c r="O563" s="26" t="s">
        <v>415</v>
      </c>
      <c r="P563" s="26" t="s">
        <v>429</v>
      </c>
      <c r="Q563" s="47">
        <f t="shared" si="103"/>
        <v>0</v>
      </c>
      <c r="R563" s="47">
        <f t="shared" si="104"/>
        <v>0</v>
      </c>
    </row>
    <row r="564" spans="13:18" x14ac:dyDescent="0.15">
      <c r="M564" s="46">
        <v>2021</v>
      </c>
      <c r="N564" s="26" t="s">
        <v>84</v>
      </c>
      <c r="O564" s="26" t="s">
        <v>415</v>
      </c>
      <c r="P564" s="26" t="s">
        <v>430</v>
      </c>
      <c r="Q564" s="47">
        <f t="shared" si="103"/>
        <v>0</v>
      </c>
      <c r="R564" s="47">
        <f t="shared" si="104"/>
        <v>0</v>
      </c>
    </row>
    <row r="565" spans="13:18" x14ac:dyDescent="0.15">
      <c r="M565" s="46">
        <v>2021</v>
      </c>
      <c r="N565" s="26" t="s">
        <v>84</v>
      </c>
      <c r="O565" s="26" t="s">
        <v>415</v>
      </c>
      <c r="P565" s="26" t="s">
        <v>431</v>
      </c>
      <c r="Q565" s="47">
        <f t="shared" si="103"/>
        <v>0</v>
      </c>
      <c r="R565" s="47">
        <f t="shared" si="104"/>
        <v>0</v>
      </c>
    </row>
    <row r="566" spans="13:18" x14ac:dyDescent="0.15">
      <c r="M566" s="46">
        <v>2021</v>
      </c>
      <c r="N566" s="26" t="s">
        <v>84</v>
      </c>
      <c r="O566" s="26" t="s">
        <v>49</v>
      </c>
      <c r="P566" s="26" t="s">
        <v>427</v>
      </c>
      <c r="Q566" s="47">
        <f t="shared" si="103"/>
        <v>0</v>
      </c>
      <c r="R566" s="47">
        <f t="shared" si="104"/>
        <v>0</v>
      </c>
    </row>
    <row r="567" spans="13:18" x14ac:dyDescent="0.15">
      <c r="M567" s="46">
        <v>2021</v>
      </c>
      <c r="N567" s="26" t="s">
        <v>84</v>
      </c>
      <c r="O567" s="26" t="s">
        <v>49</v>
      </c>
      <c r="P567" s="26" t="s">
        <v>429</v>
      </c>
      <c r="Q567" s="47">
        <f t="shared" si="103"/>
        <v>0</v>
      </c>
      <c r="R567" s="47">
        <f t="shared" si="104"/>
        <v>0</v>
      </c>
    </row>
    <row r="568" spans="13:18" x14ac:dyDescent="0.15">
      <c r="M568" s="46">
        <v>2021</v>
      </c>
      <c r="N568" s="26" t="s">
        <v>84</v>
      </c>
      <c r="O568" s="26" t="s">
        <v>49</v>
      </c>
      <c r="P568" s="26" t="s">
        <v>430</v>
      </c>
      <c r="Q568" s="47">
        <f t="shared" si="103"/>
        <v>0</v>
      </c>
      <c r="R568" s="47">
        <f t="shared" si="104"/>
        <v>0</v>
      </c>
    </row>
    <row r="569" spans="13:18" x14ac:dyDescent="0.15">
      <c r="M569" s="46">
        <v>2021</v>
      </c>
      <c r="N569" s="26" t="s">
        <v>84</v>
      </c>
      <c r="O569" s="26" t="s">
        <v>49</v>
      </c>
      <c r="P569" s="26" t="s">
        <v>431</v>
      </c>
      <c r="Q569" s="47">
        <f t="shared" si="103"/>
        <v>0</v>
      </c>
      <c r="R569" s="47">
        <f t="shared" si="104"/>
        <v>0</v>
      </c>
    </row>
    <row r="570" spans="13:18" x14ac:dyDescent="0.15">
      <c r="M570" s="46">
        <v>2021</v>
      </c>
      <c r="N570" s="26" t="s">
        <v>84</v>
      </c>
      <c r="O570" s="26" t="s">
        <v>51</v>
      </c>
      <c r="P570" s="26" t="s">
        <v>427</v>
      </c>
      <c r="Q570" s="47">
        <f t="shared" si="103"/>
        <v>0</v>
      </c>
      <c r="R570" s="47">
        <f t="shared" si="104"/>
        <v>0</v>
      </c>
    </row>
    <row r="571" spans="13:18" x14ac:dyDescent="0.15">
      <c r="M571" s="46">
        <v>2021</v>
      </c>
      <c r="N571" s="26" t="s">
        <v>84</v>
      </c>
      <c r="O571" s="26" t="s">
        <v>51</v>
      </c>
      <c r="P571" s="26" t="s">
        <v>429</v>
      </c>
      <c r="Q571" s="47">
        <f t="shared" si="103"/>
        <v>0</v>
      </c>
      <c r="R571" s="47">
        <f t="shared" si="104"/>
        <v>0</v>
      </c>
    </row>
    <row r="572" spans="13:18" x14ac:dyDescent="0.15">
      <c r="M572" s="46">
        <v>2021</v>
      </c>
      <c r="N572" s="26" t="s">
        <v>84</v>
      </c>
      <c r="O572" s="26" t="s">
        <v>51</v>
      </c>
      <c r="P572" s="26" t="s">
        <v>430</v>
      </c>
      <c r="Q572" s="47">
        <f t="shared" si="103"/>
        <v>0</v>
      </c>
      <c r="R572" s="47">
        <f t="shared" si="104"/>
        <v>0</v>
      </c>
    </row>
    <row r="573" spans="13:18" x14ac:dyDescent="0.15">
      <c r="M573" s="46">
        <v>2021</v>
      </c>
      <c r="N573" s="26" t="s">
        <v>84</v>
      </c>
      <c r="O573" s="26" t="s">
        <v>51</v>
      </c>
      <c r="P573" s="26" t="s">
        <v>431</v>
      </c>
      <c r="Q573" s="47">
        <f t="shared" si="103"/>
        <v>0</v>
      </c>
      <c r="R573" s="47">
        <f t="shared" si="104"/>
        <v>0</v>
      </c>
    </row>
    <row r="574" spans="13:18" x14ac:dyDescent="0.15">
      <c r="M574" s="46">
        <v>2021</v>
      </c>
      <c r="N574" s="26" t="s">
        <v>418</v>
      </c>
      <c r="O574" s="26" t="s">
        <v>34</v>
      </c>
      <c r="P574" s="26" t="s">
        <v>427</v>
      </c>
      <c r="Q574" s="47">
        <f t="shared" si="103"/>
        <v>0</v>
      </c>
      <c r="R574" s="47">
        <f t="shared" si="104"/>
        <v>0</v>
      </c>
    </row>
    <row r="575" spans="13:18" x14ac:dyDescent="0.15">
      <c r="M575" s="46">
        <v>2021</v>
      </c>
      <c r="N575" s="26" t="s">
        <v>418</v>
      </c>
      <c r="O575" s="26" t="s">
        <v>34</v>
      </c>
      <c r="P575" s="26" t="s">
        <v>429</v>
      </c>
      <c r="Q575" s="47">
        <f t="shared" si="103"/>
        <v>0</v>
      </c>
      <c r="R575" s="47">
        <f t="shared" si="104"/>
        <v>0</v>
      </c>
    </row>
    <row r="576" spans="13:18" x14ac:dyDescent="0.15">
      <c r="M576" s="46">
        <v>2021</v>
      </c>
      <c r="N576" s="26" t="s">
        <v>418</v>
      </c>
      <c r="O576" s="26" t="s">
        <v>34</v>
      </c>
      <c r="P576" s="26" t="s">
        <v>430</v>
      </c>
      <c r="Q576" s="47">
        <f t="shared" si="103"/>
        <v>0</v>
      </c>
      <c r="R576" s="47">
        <f t="shared" si="104"/>
        <v>0</v>
      </c>
    </row>
    <row r="577" spans="13:18" x14ac:dyDescent="0.15">
      <c r="M577" s="46">
        <v>2021</v>
      </c>
      <c r="N577" s="26" t="s">
        <v>418</v>
      </c>
      <c r="O577" s="26" t="s">
        <v>34</v>
      </c>
      <c r="P577" s="26" t="s">
        <v>431</v>
      </c>
      <c r="Q577" s="47">
        <f t="shared" si="103"/>
        <v>0</v>
      </c>
      <c r="R577" s="47">
        <f t="shared" si="104"/>
        <v>0</v>
      </c>
    </row>
    <row r="578" spans="13:18" x14ac:dyDescent="0.15">
      <c r="M578" s="46">
        <v>2021</v>
      </c>
      <c r="N578" s="26" t="s">
        <v>418</v>
      </c>
      <c r="O578" s="26" t="s">
        <v>35</v>
      </c>
      <c r="P578" s="26" t="s">
        <v>427</v>
      </c>
      <c r="Q578" s="47">
        <f t="shared" ref="Q578:Q641" si="105">SUMIFS(D:D,B:B,N578,C:C,P578,A:A,M578)*SUMIFS(K:K,G:G,N578,I:I,O578)</f>
        <v>0</v>
      </c>
      <c r="R578" s="47">
        <f t="shared" ref="R578:R641" si="106">SUMIFS(E:E,B:B,N578,C:C,P578,A:A,M578)*SUMIFS(K:K,G:G,N578,I:I,O578)</f>
        <v>0</v>
      </c>
    </row>
    <row r="579" spans="13:18" x14ac:dyDescent="0.15">
      <c r="M579" s="46">
        <v>2021</v>
      </c>
      <c r="N579" s="26" t="s">
        <v>418</v>
      </c>
      <c r="O579" s="26" t="s">
        <v>35</v>
      </c>
      <c r="P579" s="26" t="s">
        <v>429</v>
      </c>
      <c r="Q579" s="47">
        <f t="shared" si="105"/>
        <v>0</v>
      </c>
      <c r="R579" s="47">
        <f t="shared" si="106"/>
        <v>0</v>
      </c>
    </row>
    <row r="580" spans="13:18" x14ac:dyDescent="0.15">
      <c r="M580" s="46">
        <v>2021</v>
      </c>
      <c r="N580" s="26" t="s">
        <v>418</v>
      </c>
      <c r="O580" s="26" t="s">
        <v>35</v>
      </c>
      <c r="P580" s="26" t="s">
        <v>430</v>
      </c>
      <c r="Q580" s="47">
        <f t="shared" si="105"/>
        <v>0</v>
      </c>
      <c r="R580" s="47">
        <f t="shared" si="106"/>
        <v>0</v>
      </c>
    </row>
    <row r="581" spans="13:18" x14ac:dyDescent="0.15">
      <c r="M581" s="46">
        <v>2021</v>
      </c>
      <c r="N581" s="26" t="s">
        <v>418</v>
      </c>
      <c r="O581" s="26" t="s">
        <v>35</v>
      </c>
      <c r="P581" s="26" t="s">
        <v>431</v>
      </c>
      <c r="Q581" s="47">
        <f t="shared" si="105"/>
        <v>0</v>
      </c>
      <c r="R581" s="47">
        <f t="shared" si="106"/>
        <v>0</v>
      </c>
    </row>
    <row r="582" spans="13:18" x14ac:dyDescent="0.15">
      <c r="M582" s="46">
        <v>2021</v>
      </c>
      <c r="N582" s="26" t="s">
        <v>418</v>
      </c>
      <c r="O582" s="26" t="s">
        <v>36</v>
      </c>
      <c r="P582" s="26" t="s">
        <v>427</v>
      </c>
      <c r="Q582" s="47">
        <f t="shared" si="105"/>
        <v>0</v>
      </c>
      <c r="R582" s="47">
        <f t="shared" si="106"/>
        <v>0</v>
      </c>
    </row>
    <row r="583" spans="13:18" x14ac:dyDescent="0.15">
      <c r="M583" s="46">
        <v>2021</v>
      </c>
      <c r="N583" s="26" t="s">
        <v>418</v>
      </c>
      <c r="O583" s="26" t="s">
        <v>36</v>
      </c>
      <c r="P583" s="26" t="s">
        <v>429</v>
      </c>
      <c r="Q583" s="47">
        <f t="shared" si="105"/>
        <v>0</v>
      </c>
      <c r="R583" s="47">
        <f t="shared" si="106"/>
        <v>0</v>
      </c>
    </row>
    <row r="584" spans="13:18" x14ac:dyDescent="0.15">
      <c r="M584" s="46">
        <v>2021</v>
      </c>
      <c r="N584" s="26" t="s">
        <v>418</v>
      </c>
      <c r="O584" s="26" t="s">
        <v>36</v>
      </c>
      <c r="P584" s="26" t="s">
        <v>430</v>
      </c>
      <c r="Q584" s="47">
        <f t="shared" si="105"/>
        <v>0</v>
      </c>
      <c r="R584" s="47">
        <f t="shared" si="106"/>
        <v>0</v>
      </c>
    </row>
    <row r="585" spans="13:18" x14ac:dyDescent="0.15">
      <c r="M585" s="46">
        <v>2021</v>
      </c>
      <c r="N585" s="26" t="s">
        <v>418</v>
      </c>
      <c r="O585" s="26" t="s">
        <v>36</v>
      </c>
      <c r="P585" s="26" t="s">
        <v>431</v>
      </c>
      <c r="Q585" s="47">
        <f t="shared" si="105"/>
        <v>0</v>
      </c>
      <c r="R585" s="47">
        <f t="shared" si="106"/>
        <v>0</v>
      </c>
    </row>
    <row r="586" spans="13:18" x14ac:dyDescent="0.15">
      <c r="M586" s="46">
        <v>2021</v>
      </c>
      <c r="N586" s="26" t="s">
        <v>418</v>
      </c>
      <c r="O586" s="26" t="s">
        <v>422</v>
      </c>
      <c r="P586" s="26" t="s">
        <v>427</v>
      </c>
      <c r="Q586" s="47">
        <f t="shared" si="105"/>
        <v>0</v>
      </c>
      <c r="R586" s="47">
        <f t="shared" si="106"/>
        <v>0</v>
      </c>
    </row>
    <row r="587" spans="13:18" x14ac:dyDescent="0.15">
      <c r="M587" s="46">
        <v>2021</v>
      </c>
      <c r="N587" s="26" t="s">
        <v>418</v>
      </c>
      <c r="O587" s="26" t="s">
        <v>422</v>
      </c>
      <c r="P587" s="26" t="s">
        <v>429</v>
      </c>
      <c r="Q587" s="47">
        <f t="shared" si="105"/>
        <v>0</v>
      </c>
      <c r="R587" s="47">
        <f t="shared" si="106"/>
        <v>0</v>
      </c>
    </row>
    <row r="588" spans="13:18" x14ac:dyDescent="0.15">
      <c r="M588" s="46">
        <v>2021</v>
      </c>
      <c r="N588" s="26" t="s">
        <v>418</v>
      </c>
      <c r="O588" s="26" t="s">
        <v>422</v>
      </c>
      <c r="P588" s="26" t="s">
        <v>430</v>
      </c>
      <c r="Q588" s="47">
        <f t="shared" si="105"/>
        <v>0</v>
      </c>
      <c r="R588" s="47">
        <f t="shared" si="106"/>
        <v>0</v>
      </c>
    </row>
    <row r="589" spans="13:18" x14ac:dyDescent="0.15">
      <c r="M589" s="46">
        <v>2021</v>
      </c>
      <c r="N589" s="26" t="s">
        <v>418</v>
      </c>
      <c r="O589" s="26" t="s">
        <v>422</v>
      </c>
      <c r="P589" s="26" t="s">
        <v>431</v>
      </c>
      <c r="Q589" s="47">
        <f t="shared" si="105"/>
        <v>0</v>
      </c>
      <c r="R589" s="47">
        <f t="shared" si="106"/>
        <v>0</v>
      </c>
    </row>
    <row r="590" spans="13:18" x14ac:dyDescent="0.15">
      <c r="M590" s="46">
        <v>2021</v>
      </c>
      <c r="N590" s="26" t="s">
        <v>418</v>
      </c>
      <c r="O590" s="26" t="s">
        <v>41</v>
      </c>
      <c r="P590" s="26" t="s">
        <v>427</v>
      </c>
      <c r="Q590" s="47">
        <f t="shared" si="105"/>
        <v>0</v>
      </c>
      <c r="R590" s="47">
        <f t="shared" si="106"/>
        <v>0</v>
      </c>
    </row>
    <row r="591" spans="13:18" x14ac:dyDescent="0.15">
      <c r="M591" s="46">
        <v>2021</v>
      </c>
      <c r="N591" s="26" t="s">
        <v>418</v>
      </c>
      <c r="O591" s="26" t="s">
        <v>41</v>
      </c>
      <c r="P591" s="26" t="s">
        <v>429</v>
      </c>
      <c r="Q591" s="47">
        <f t="shared" si="105"/>
        <v>0</v>
      </c>
      <c r="R591" s="47">
        <f t="shared" si="106"/>
        <v>0</v>
      </c>
    </row>
    <row r="592" spans="13:18" x14ac:dyDescent="0.15">
      <c r="M592" s="46">
        <v>2021</v>
      </c>
      <c r="N592" s="26" t="s">
        <v>418</v>
      </c>
      <c r="O592" s="26" t="s">
        <v>41</v>
      </c>
      <c r="P592" s="26" t="s">
        <v>430</v>
      </c>
      <c r="Q592" s="47">
        <f t="shared" si="105"/>
        <v>0</v>
      </c>
      <c r="R592" s="47">
        <f t="shared" si="106"/>
        <v>0</v>
      </c>
    </row>
    <row r="593" spans="13:18" x14ac:dyDescent="0.15">
      <c r="M593" s="46">
        <v>2021</v>
      </c>
      <c r="N593" s="26" t="s">
        <v>418</v>
      </c>
      <c r="O593" s="26" t="s">
        <v>41</v>
      </c>
      <c r="P593" s="26" t="s">
        <v>431</v>
      </c>
      <c r="Q593" s="47">
        <f t="shared" si="105"/>
        <v>0</v>
      </c>
      <c r="R593" s="47">
        <f t="shared" si="106"/>
        <v>0</v>
      </c>
    </row>
    <row r="594" spans="13:18" x14ac:dyDescent="0.15">
      <c r="M594" s="46">
        <v>2021</v>
      </c>
      <c r="N594" s="26" t="s">
        <v>418</v>
      </c>
      <c r="O594" s="26" t="s">
        <v>45</v>
      </c>
      <c r="P594" s="26" t="s">
        <v>427</v>
      </c>
      <c r="Q594" s="47">
        <f t="shared" si="105"/>
        <v>0</v>
      </c>
      <c r="R594" s="47">
        <f t="shared" si="106"/>
        <v>0</v>
      </c>
    </row>
    <row r="595" spans="13:18" x14ac:dyDescent="0.15">
      <c r="M595" s="46">
        <v>2021</v>
      </c>
      <c r="N595" s="26" t="s">
        <v>418</v>
      </c>
      <c r="O595" s="26" t="s">
        <v>45</v>
      </c>
      <c r="P595" s="26" t="s">
        <v>429</v>
      </c>
      <c r="Q595" s="47">
        <f t="shared" si="105"/>
        <v>0</v>
      </c>
      <c r="R595" s="47">
        <f t="shared" si="106"/>
        <v>0</v>
      </c>
    </row>
    <row r="596" spans="13:18" x14ac:dyDescent="0.15">
      <c r="M596" s="46">
        <v>2021</v>
      </c>
      <c r="N596" s="26" t="s">
        <v>418</v>
      </c>
      <c r="O596" s="26" t="s">
        <v>45</v>
      </c>
      <c r="P596" s="26" t="s">
        <v>430</v>
      </c>
      <c r="Q596" s="47">
        <f t="shared" si="105"/>
        <v>0</v>
      </c>
      <c r="R596" s="47">
        <f t="shared" si="106"/>
        <v>0</v>
      </c>
    </row>
    <row r="597" spans="13:18" x14ac:dyDescent="0.15">
      <c r="M597" s="46">
        <v>2021</v>
      </c>
      <c r="N597" s="26" t="s">
        <v>418</v>
      </c>
      <c r="O597" s="26" t="s">
        <v>45</v>
      </c>
      <c r="P597" s="26" t="s">
        <v>431</v>
      </c>
      <c r="Q597" s="47">
        <f t="shared" si="105"/>
        <v>0</v>
      </c>
      <c r="R597" s="47">
        <f t="shared" si="106"/>
        <v>0</v>
      </c>
    </row>
    <row r="598" spans="13:18" x14ac:dyDescent="0.15">
      <c r="M598" s="46">
        <v>2021</v>
      </c>
      <c r="N598" s="26" t="s">
        <v>418</v>
      </c>
      <c r="O598" s="26" t="s">
        <v>408</v>
      </c>
      <c r="P598" s="26" t="s">
        <v>427</v>
      </c>
      <c r="Q598" s="47">
        <f t="shared" si="105"/>
        <v>0</v>
      </c>
      <c r="R598" s="47">
        <f t="shared" si="106"/>
        <v>0</v>
      </c>
    </row>
    <row r="599" spans="13:18" x14ac:dyDescent="0.15">
      <c r="M599" s="46">
        <v>2021</v>
      </c>
      <c r="N599" s="26" t="s">
        <v>418</v>
      </c>
      <c r="O599" s="26" t="s">
        <v>408</v>
      </c>
      <c r="P599" s="26" t="s">
        <v>429</v>
      </c>
      <c r="Q599" s="47">
        <f t="shared" si="105"/>
        <v>0</v>
      </c>
      <c r="R599" s="47">
        <f t="shared" si="106"/>
        <v>0</v>
      </c>
    </row>
    <row r="600" spans="13:18" x14ac:dyDescent="0.15">
      <c r="M600" s="46">
        <v>2021</v>
      </c>
      <c r="N600" s="26" t="s">
        <v>418</v>
      </c>
      <c r="O600" s="26" t="s">
        <v>408</v>
      </c>
      <c r="P600" s="26" t="s">
        <v>430</v>
      </c>
      <c r="Q600" s="47">
        <f t="shared" si="105"/>
        <v>0</v>
      </c>
      <c r="R600" s="47">
        <f t="shared" si="106"/>
        <v>0</v>
      </c>
    </row>
    <row r="601" spans="13:18" x14ac:dyDescent="0.15">
      <c r="M601" s="46">
        <v>2021</v>
      </c>
      <c r="N601" s="26" t="s">
        <v>418</v>
      </c>
      <c r="O601" s="26" t="s">
        <v>408</v>
      </c>
      <c r="P601" s="26" t="s">
        <v>431</v>
      </c>
      <c r="Q601" s="47">
        <f t="shared" si="105"/>
        <v>0</v>
      </c>
      <c r="R601" s="47">
        <f t="shared" si="106"/>
        <v>0</v>
      </c>
    </row>
    <row r="602" spans="13:18" x14ac:dyDescent="0.15">
      <c r="M602" s="46">
        <v>2021</v>
      </c>
      <c r="N602" s="26" t="s">
        <v>423</v>
      </c>
      <c r="O602" s="26" t="s">
        <v>40</v>
      </c>
      <c r="P602" s="26" t="s">
        <v>427</v>
      </c>
      <c r="Q602" s="47">
        <f t="shared" si="105"/>
        <v>0</v>
      </c>
      <c r="R602" s="47">
        <f t="shared" si="106"/>
        <v>0</v>
      </c>
    </row>
    <row r="603" spans="13:18" x14ac:dyDescent="0.15">
      <c r="M603" s="46">
        <v>2021</v>
      </c>
      <c r="N603" s="26" t="s">
        <v>423</v>
      </c>
      <c r="O603" s="26" t="s">
        <v>40</v>
      </c>
      <c r="P603" s="26" t="s">
        <v>429</v>
      </c>
      <c r="Q603" s="47">
        <f t="shared" si="105"/>
        <v>0</v>
      </c>
      <c r="R603" s="47">
        <f t="shared" si="106"/>
        <v>0</v>
      </c>
    </row>
    <row r="604" spans="13:18" x14ac:dyDescent="0.15">
      <c r="M604" s="46">
        <v>2021</v>
      </c>
      <c r="N604" s="26" t="s">
        <v>423</v>
      </c>
      <c r="O604" s="26" t="s">
        <v>40</v>
      </c>
      <c r="P604" s="26" t="s">
        <v>430</v>
      </c>
      <c r="Q604" s="47">
        <f t="shared" si="105"/>
        <v>0</v>
      </c>
      <c r="R604" s="47">
        <f t="shared" si="106"/>
        <v>0</v>
      </c>
    </row>
    <row r="605" spans="13:18" x14ac:dyDescent="0.15">
      <c r="M605" s="46">
        <v>2021</v>
      </c>
      <c r="N605" s="26" t="s">
        <v>423</v>
      </c>
      <c r="O605" s="26" t="s">
        <v>40</v>
      </c>
      <c r="P605" s="26" t="s">
        <v>431</v>
      </c>
      <c r="Q605" s="47">
        <f t="shared" si="105"/>
        <v>0</v>
      </c>
      <c r="R605" s="47">
        <f t="shared" si="106"/>
        <v>0</v>
      </c>
    </row>
    <row r="606" spans="13:18" x14ac:dyDescent="0.15">
      <c r="M606" s="46">
        <v>2021</v>
      </c>
      <c r="N606" s="26" t="s">
        <v>423</v>
      </c>
      <c r="O606" s="26" t="s">
        <v>45</v>
      </c>
      <c r="P606" s="26" t="s">
        <v>427</v>
      </c>
      <c r="Q606" s="47">
        <f t="shared" si="105"/>
        <v>0</v>
      </c>
      <c r="R606" s="47">
        <f t="shared" si="106"/>
        <v>0</v>
      </c>
    </row>
    <row r="607" spans="13:18" x14ac:dyDescent="0.15">
      <c r="M607" s="46">
        <v>2021</v>
      </c>
      <c r="N607" s="26" t="s">
        <v>423</v>
      </c>
      <c r="O607" s="26" t="s">
        <v>45</v>
      </c>
      <c r="P607" s="26" t="s">
        <v>429</v>
      </c>
      <c r="Q607" s="47">
        <f t="shared" si="105"/>
        <v>0</v>
      </c>
      <c r="R607" s="47">
        <f t="shared" si="106"/>
        <v>0</v>
      </c>
    </row>
    <row r="608" spans="13:18" x14ac:dyDescent="0.15">
      <c r="M608" s="46">
        <v>2021</v>
      </c>
      <c r="N608" s="26" t="s">
        <v>423</v>
      </c>
      <c r="O608" s="26" t="s">
        <v>45</v>
      </c>
      <c r="P608" s="26" t="s">
        <v>430</v>
      </c>
      <c r="Q608" s="47">
        <f t="shared" si="105"/>
        <v>0</v>
      </c>
      <c r="R608" s="47">
        <f t="shared" si="106"/>
        <v>0</v>
      </c>
    </row>
    <row r="609" spans="13:18" x14ac:dyDescent="0.15">
      <c r="M609" s="46">
        <v>2021</v>
      </c>
      <c r="N609" s="26" t="s">
        <v>423</v>
      </c>
      <c r="O609" s="26" t="s">
        <v>45</v>
      </c>
      <c r="P609" s="26" t="s">
        <v>431</v>
      </c>
      <c r="Q609" s="47">
        <f t="shared" si="105"/>
        <v>0</v>
      </c>
      <c r="R609" s="47">
        <f t="shared" si="106"/>
        <v>0</v>
      </c>
    </row>
    <row r="610" spans="13:18" x14ac:dyDescent="0.15">
      <c r="M610" s="46">
        <v>2021</v>
      </c>
      <c r="N610" s="26" t="s">
        <v>423</v>
      </c>
      <c r="O610" s="26" t="s">
        <v>393</v>
      </c>
      <c r="P610" s="26" t="s">
        <v>427</v>
      </c>
      <c r="Q610" s="47">
        <f t="shared" si="105"/>
        <v>0</v>
      </c>
      <c r="R610" s="47">
        <f t="shared" si="106"/>
        <v>0</v>
      </c>
    </row>
    <row r="611" spans="13:18" x14ac:dyDescent="0.15">
      <c r="M611" s="46">
        <v>2021</v>
      </c>
      <c r="N611" s="26" t="s">
        <v>423</v>
      </c>
      <c r="O611" s="26" t="s">
        <v>393</v>
      </c>
      <c r="P611" s="26" t="s">
        <v>429</v>
      </c>
      <c r="Q611" s="47">
        <f t="shared" si="105"/>
        <v>0</v>
      </c>
      <c r="R611" s="47">
        <f t="shared" si="106"/>
        <v>0</v>
      </c>
    </row>
    <row r="612" spans="13:18" x14ac:dyDescent="0.15">
      <c r="M612" s="46">
        <v>2021</v>
      </c>
      <c r="N612" s="26" t="s">
        <v>423</v>
      </c>
      <c r="O612" s="26" t="s">
        <v>393</v>
      </c>
      <c r="P612" s="26" t="s">
        <v>430</v>
      </c>
      <c r="Q612" s="47">
        <f t="shared" si="105"/>
        <v>0</v>
      </c>
      <c r="R612" s="47">
        <f t="shared" si="106"/>
        <v>0</v>
      </c>
    </row>
    <row r="613" spans="13:18" x14ac:dyDescent="0.15">
      <c r="M613" s="46">
        <v>2021</v>
      </c>
      <c r="N613" s="26" t="s">
        <v>423</v>
      </c>
      <c r="O613" s="26" t="s">
        <v>393</v>
      </c>
      <c r="P613" s="26" t="s">
        <v>431</v>
      </c>
      <c r="Q613" s="47">
        <f t="shared" si="105"/>
        <v>0</v>
      </c>
      <c r="R613" s="47">
        <f t="shared" si="106"/>
        <v>0</v>
      </c>
    </row>
    <row r="614" spans="13:18" x14ac:dyDescent="0.15">
      <c r="M614" s="46">
        <v>2021</v>
      </c>
      <c r="N614" s="26" t="s">
        <v>423</v>
      </c>
      <c r="O614" s="26" t="s">
        <v>37</v>
      </c>
      <c r="P614" s="26" t="s">
        <v>427</v>
      </c>
      <c r="Q614" s="47">
        <f t="shared" si="105"/>
        <v>0</v>
      </c>
      <c r="R614" s="47">
        <f t="shared" si="106"/>
        <v>0</v>
      </c>
    </row>
    <row r="615" spans="13:18" x14ac:dyDescent="0.15">
      <c r="M615" s="46">
        <v>2021</v>
      </c>
      <c r="N615" s="26" t="s">
        <v>423</v>
      </c>
      <c r="O615" s="26" t="s">
        <v>37</v>
      </c>
      <c r="P615" s="26" t="s">
        <v>429</v>
      </c>
      <c r="Q615" s="47">
        <f t="shared" si="105"/>
        <v>0</v>
      </c>
      <c r="R615" s="47">
        <f t="shared" si="106"/>
        <v>0</v>
      </c>
    </row>
    <row r="616" spans="13:18" x14ac:dyDescent="0.15">
      <c r="M616" s="46">
        <v>2021</v>
      </c>
      <c r="N616" s="26" t="s">
        <v>423</v>
      </c>
      <c r="O616" s="26" t="s">
        <v>37</v>
      </c>
      <c r="P616" s="26" t="s">
        <v>430</v>
      </c>
      <c r="Q616" s="47">
        <f t="shared" si="105"/>
        <v>0</v>
      </c>
      <c r="R616" s="47">
        <f t="shared" si="106"/>
        <v>0</v>
      </c>
    </row>
    <row r="617" spans="13:18" x14ac:dyDescent="0.15">
      <c r="M617" s="46">
        <v>2021</v>
      </c>
      <c r="N617" s="26" t="s">
        <v>423</v>
      </c>
      <c r="O617" s="26" t="s">
        <v>37</v>
      </c>
      <c r="P617" s="26" t="s">
        <v>431</v>
      </c>
      <c r="Q617" s="47">
        <f t="shared" si="105"/>
        <v>0</v>
      </c>
      <c r="R617" s="47">
        <f t="shared" si="106"/>
        <v>0</v>
      </c>
    </row>
    <row r="618" spans="13:18" x14ac:dyDescent="0.15">
      <c r="M618" s="46">
        <v>2021</v>
      </c>
      <c r="N618" s="26" t="s">
        <v>399</v>
      </c>
      <c r="O618" s="26" t="s">
        <v>34</v>
      </c>
      <c r="P618" s="26" t="s">
        <v>427</v>
      </c>
      <c r="Q618" s="47">
        <f t="shared" si="105"/>
        <v>1.1950165569168929E-2</v>
      </c>
      <c r="R618" s="47">
        <f t="shared" si="106"/>
        <v>5.9750827845844644E-2</v>
      </c>
    </row>
    <row r="619" spans="13:18" x14ac:dyDescent="0.15">
      <c r="M619" s="46">
        <v>2021</v>
      </c>
      <c r="N619" s="26" t="s">
        <v>399</v>
      </c>
      <c r="O619" s="26" t="s">
        <v>34</v>
      </c>
      <c r="P619" s="26" t="s">
        <v>429</v>
      </c>
      <c r="Q619" s="47">
        <f t="shared" si="105"/>
        <v>0</v>
      </c>
      <c r="R619" s="47">
        <f t="shared" si="106"/>
        <v>0</v>
      </c>
    </row>
    <row r="620" spans="13:18" x14ac:dyDescent="0.15">
      <c r="M620" s="46">
        <v>2021</v>
      </c>
      <c r="N620" s="26" t="s">
        <v>399</v>
      </c>
      <c r="O620" s="26" t="s">
        <v>34</v>
      </c>
      <c r="P620" s="26" t="s">
        <v>430</v>
      </c>
      <c r="Q620" s="47">
        <f t="shared" si="105"/>
        <v>0</v>
      </c>
      <c r="R620" s="47">
        <f t="shared" si="106"/>
        <v>0</v>
      </c>
    </row>
    <row r="621" spans="13:18" x14ac:dyDescent="0.15">
      <c r="M621" s="46">
        <v>2021</v>
      </c>
      <c r="N621" s="26" t="s">
        <v>399</v>
      </c>
      <c r="O621" s="26" t="s">
        <v>34</v>
      </c>
      <c r="P621" s="26" t="s">
        <v>431</v>
      </c>
      <c r="Q621" s="47">
        <f t="shared" si="105"/>
        <v>3.632336347411476</v>
      </c>
      <c r="R621" s="47">
        <f t="shared" si="106"/>
        <v>28.866417326818702</v>
      </c>
    </row>
    <row r="622" spans="13:18" x14ac:dyDescent="0.15">
      <c r="M622" s="46">
        <v>2021</v>
      </c>
      <c r="N622" s="26" t="s">
        <v>399</v>
      </c>
      <c r="O622" s="26" t="s">
        <v>35</v>
      </c>
      <c r="P622" s="26" t="s">
        <v>427</v>
      </c>
      <c r="Q622" s="47">
        <f t="shared" si="105"/>
        <v>0.13256881300099294</v>
      </c>
      <c r="R622" s="47">
        <f t="shared" si="106"/>
        <v>0.66284406500496473</v>
      </c>
    </row>
    <row r="623" spans="13:18" x14ac:dyDescent="0.15">
      <c r="M623" s="46">
        <v>2021</v>
      </c>
      <c r="N623" s="26" t="s">
        <v>399</v>
      </c>
      <c r="O623" s="26" t="s">
        <v>35</v>
      </c>
      <c r="P623" s="26" t="s">
        <v>429</v>
      </c>
      <c r="Q623" s="47">
        <f t="shared" si="105"/>
        <v>0</v>
      </c>
      <c r="R623" s="47">
        <f t="shared" si="106"/>
        <v>0</v>
      </c>
    </row>
    <row r="624" spans="13:18" x14ac:dyDescent="0.15">
      <c r="M624" s="46">
        <v>2021</v>
      </c>
      <c r="N624" s="26" t="s">
        <v>399</v>
      </c>
      <c r="O624" s="26" t="s">
        <v>35</v>
      </c>
      <c r="P624" s="26" t="s">
        <v>430</v>
      </c>
      <c r="Q624" s="47">
        <f t="shared" si="105"/>
        <v>0</v>
      </c>
      <c r="R624" s="47">
        <f t="shared" si="106"/>
        <v>0</v>
      </c>
    </row>
    <row r="625" spans="13:18" x14ac:dyDescent="0.15">
      <c r="M625" s="46">
        <v>2021</v>
      </c>
      <c r="N625" s="26" t="s">
        <v>399</v>
      </c>
      <c r="O625" s="26" t="s">
        <v>35</v>
      </c>
      <c r="P625" s="26" t="s">
        <v>431</v>
      </c>
      <c r="Q625" s="47">
        <f t="shared" si="105"/>
        <v>40.295217267871699</v>
      </c>
      <c r="R625" s="47">
        <f t="shared" si="106"/>
        <v>320.22875820906165</v>
      </c>
    </row>
    <row r="626" spans="13:18" x14ac:dyDescent="0.15">
      <c r="M626" s="46">
        <v>2021</v>
      </c>
      <c r="N626" s="26" t="s">
        <v>399</v>
      </c>
      <c r="O626" s="26" t="s">
        <v>36</v>
      </c>
      <c r="P626" s="26" t="s">
        <v>427</v>
      </c>
      <c r="Q626" s="47">
        <f t="shared" si="105"/>
        <v>5.6475656576359112E-3</v>
      </c>
      <c r="R626" s="47">
        <f t="shared" si="106"/>
        <v>2.8237828288179556E-2</v>
      </c>
    </row>
    <row r="627" spans="13:18" x14ac:dyDescent="0.15">
      <c r="M627" s="46">
        <v>2021</v>
      </c>
      <c r="N627" s="26" t="s">
        <v>399</v>
      </c>
      <c r="O627" s="26" t="s">
        <v>36</v>
      </c>
      <c r="P627" s="26" t="s">
        <v>429</v>
      </c>
      <c r="Q627" s="47">
        <f t="shared" si="105"/>
        <v>0</v>
      </c>
      <c r="R627" s="47">
        <f t="shared" si="106"/>
        <v>0</v>
      </c>
    </row>
    <row r="628" spans="13:18" x14ac:dyDescent="0.15">
      <c r="M628" s="46">
        <v>2021</v>
      </c>
      <c r="N628" s="26" t="s">
        <v>399</v>
      </c>
      <c r="O628" s="26" t="s">
        <v>36</v>
      </c>
      <c r="P628" s="26" t="s">
        <v>430</v>
      </c>
      <c r="Q628" s="47">
        <f t="shared" si="105"/>
        <v>0</v>
      </c>
      <c r="R628" s="47">
        <f t="shared" si="106"/>
        <v>0</v>
      </c>
    </row>
    <row r="629" spans="13:18" x14ac:dyDescent="0.15">
      <c r="M629" s="46">
        <v>2021</v>
      </c>
      <c r="N629" s="26" t="s">
        <v>399</v>
      </c>
      <c r="O629" s="26" t="s">
        <v>36</v>
      </c>
      <c r="P629" s="26" t="s">
        <v>431</v>
      </c>
      <c r="Q629" s="47">
        <f t="shared" si="105"/>
        <v>1.7166170538715262</v>
      </c>
      <c r="R629" s="47">
        <f t="shared" si="106"/>
        <v>13.642069326179641</v>
      </c>
    </row>
    <row r="630" spans="13:18" x14ac:dyDescent="0.15">
      <c r="M630" s="46">
        <v>2021</v>
      </c>
      <c r="N630" s="26" t="s">
        <v>399</v>
      </c>
      <c r="O630" s="26" t="s">
        <v>422</v>
      </c>
      <c r="P630" s="26" t="s">
        <v>427</v>
      </c>
      <c r="Q630" s="47">
        <f t="shared" si="105"/>
        <v>4.4861600695290408E-3</v>
      </c>
      <c r="R630" s="47">
        <f t="shared" si="106"/>
        <v>2.2430800347645205E-2</v>
      </c>
    </row>
    <row r="631" spans="13:18" x14ac:dyDescent="0.15">
      <c r="M631" s="46">
        <v>2021</v>
      </c>
      <c r="N631" s="26" t="s">
        <v>399</v>
      </c>
      <c r="O631" s="26" t="s">
        <v>422</v>
      </c>
      <c r="P631" s="26" t="s">
        <v>429</v>
      </c>
      <c r="Q631" s="47">
        <f t="shared" si="105"/>
        <v>0</v>
      </c>
      <c r="R631" s="47">
        <f t="shared" si="106"/>
        <v>0</v>
      </c>
    </row>
    <row r="632" spans="13:18" x14ac:dyDescent="0.15">
      <c r="M632" s="46">
        <v>2021</v>
      </c>
      <c r="N632" s="26" t="s">
        <v>399</v>
      </c>
      <c r="O632" s="26" t="s">
        <v>422</v>
      </c>
      <c r="P632" s="26" t="s">
        <v>430</v>
      </c>
      <c r="Q632" s="47">
        <f t="shared" si="105"/>
        <v>0</v>
      </c>
      <c r="R632" s="47">
        <f t="shared" si="106"/>
        <v>0</v>
      </c>
    </row>
    <row r="633" spans="13:18" x14ac:dyDescent="0.15">
      <c r="M633" s="46">
        <v>2021</v>
      </c>
      <c r="N633" s="26" t="s">
        <v>399</v>
      </c>
      <c r="O633" s="26" t="s">
        <v>422</v>
      </c>
      <c r="P633" s="26" t="s">
        <v>431</v>
      </c>
      <c r="Q633" s="47">
        <f t="shared" si="105"/>
        <v>1.3635997080155582</v>
      </c>
      <c r="R633" s="47">
        <f t="shared" si="106"/>
        <v>10.836617117342692</v>
      </c>
    </row>
    <row r="634" spans="13:18" x14ac:dyDescent="0.15">
      <c r="M634" s="46">
        <v>2021</v>
      </c>
      <c r="N634" s="26" t="s">
        <v>399</v>
      </c>
      <c r="O634" s="26" t="s">
        <v>393</v>
      </c>
      <c r="P634" s="26" t="s">
        <v>427</v>
      </c>
      <c r="Q634" s="47">
        <f t="shared" si="105"/>
        <v>1.0955466630041925E-2</v>
      </c>
      <c r="R634" s="47">
        <f t="shared" si="106"/>
        <v>5.4777333150209627E-2</v>
      </c>
    </row>
    <row r="635" spans="13:18" x14ac:dyDescent="0.15">
      <c r="M635" s="46">
        <v>2021</v>
      </c>
      <c r="N635" s="26" t="s">
        <v>399</v>
      </c>
      <c r="O635" s="26" t="s">
        <v>393</v>
      </c>
      <c r="P635" s="26" t="s">
        <v>429</v>
      </c>
      <c r="Q635" s="47">
        <f t="shared" si="105"/>
        <v>0</v>
      </c>
      <c r="R635" s="47">
        <f t="shared" si="106"/>
        <v>0</v>
      </c>
    </row>
    <row r="636" spans="13:18" x14ac:dyDescent="0.15">
      <c r="M636" s="46">
        <v>2021</v>
      </c>
      <c r="N636" s="26" t="s">
        <v>399</v>
      </c>
      <c r="O636" s="26" t="s">
        <v>393</v>
      </c>
      <c r="P636" s="26" t="s">
        <v>430</v>
      </c>
      <c r="Q636" s="47">
        <f t="shared" si="105"/>
        <v>0</v>
      </c>
      <c r="R636" s="47">
        <f t="shared" si="106"/>
        <v>0</v>
      </c>
    </row>
    <row r="637" spans="13:18" x14ac:dyDescent="0.15">
      <c r="M637" s="46">
        <v>2021</v>
      </c>
      <c r="N637" s="26" t="s">
        <v>399</v>
      </c>
      <c r="O637" s="26" t="s">
        <v>393</v>
      </c>
      <c r="P637" s="26" t="s">
        <v>431</v>
      </c>
      <c r="Q637" s="47">
        <f t="shared" si="105"/>
        <v>3.3299906526669369</v>
      </c>
      <c r="R637" s="47">
        <f t="shared" si="106"/>
        <v>26.463656082617732</v>
      </c>
    </row>
    <row r="638" spans="13:18" x14ac:dyDescent="0.15">
      <c r="M638" s="46">
        <v>2021</v>
      </c>
      <c r="N638" s="26" t="s">
        <v>399</v>
      </c>
      <c r="O638" s="26" t="s">
        <v>37</v>
      </c>
      <c r="P638" s="26" t="s">
        <v>427</v>
      </c>
      <c r="Q638" s="47">
        <f t="shared" si="105"/>
        <v>9.9132206012511499E-3</v>
      </c>
      <c r="R638" s="47">
        <f t="shared" si="106"/>
        <v>4.9566103006255753E-2</v>
      </c>
    </row>
    <row r="639" spans="13:18" x14ac:dyDescent="0.15">
      <c r="M639" s="46">
        <v>2021</v>
      </c>
      <c r="N639" s="26" t="s">
        <v>399</v>
      </c>
      <c r="O639" s="26" t="s">
        <v>37</v>
      </c>
      <c r="P639" s="26" t="s">
        <v>429</v>
      </c>
      <c r="Q639" s="47">
        <f t="shared" si="105"/>
        <v>0</v>
      </c>
      <c r="R639" s="47">
        <f t="shared" si="106"/>
        <v>0</v>
      </c>
    </row>
    <row r="640" spans="13:18" x14ac:dyDescent="0.15">
      <c r="M640" s="46">
        <v>2021</v>
      </c>
      <c r="N640" s="26" t="s">
        <v>399</v>
      </c>
      <c r="O640" s="26" t="s">
        <v>37</v>
      </c>
      <c r="P640" s="26" t="s">
        <v>430</v>
      </c>
      <c r="Q640" s="47">
        <f t="shared" si="105"/>
        <v>0</v>
      </c>
      <c r="R640" s="47">
        <f t="shared" si="106"/>
        <v>0</v>
      </c>
    </row>
    <row r="641" spans="13:18" x14ac:dyDescent="0.15">
      <c r="M641" s="46">
        <v>2021</v>
      </c>
      <c r="N641" s="26" t="s">
        <v>399</v>
      </c>
      <c r="O641" s="26" t="s">
        <v>37</v>
      </c>
      <c r="P641" s="26" t="s">
        <v>431</v>
      </c>
      <c r="Q641" s="47">
        <f t="shared" si="105"/>
        <v>3.0131926877007258</v>
      </c>
      <c r="R641" s="47">
        <f t="shared" si="106"/>
        <v>23.946041690569913</v>
      </c>
    </row>
    <row r="642" spans="13:18" x14ac:dyDescent="0.15">
      <c r="M642" s="46">
        <v>2021</v>
      </c>
      <c r="N642" s="26" t="s">
        <v>399</v>
      </c>
      <c r="O642" s="26" t="s">
        <v>38</v>
      </c>
      <c r="P642" s="26" t="s">
        <v>427</v>
      </c>
      <c r="Q642" s="47">
        <f t="shared" ref="Q642:Q705" si="107">SUMIFS(D:D,B:B,N642,C:C,P642,A:A,M642)*SUMIFS(K:K,G:G,N642,I:I,O642)</f>
        <v>1.4698315686033552E-3</v>
      </c>
      <c r="R642" s="47">
        <f t="shared" ref="R642:R705" si="108">SUMIFS(E:E,B:B,N642,C:C,P642,A:A,M642)*SUMIFS(K:K,G:G,N642,I:I,O642)</f>
        <v>7.3491578430167764E-3</v>
      </c>
    </row>
    <row r="643" spans="13:18" x14ac:dyDescent="0.15">
      <c r="M643" s="46">
        <v>2021</v>
      </c>
      <c r="N643" s="26" t="s">
        <v>399</v>
      </c>
      <c r="O643" s="26" t="s">
        <v>38</v>
      </c>
      <c r="P643" s="26" t="s">
        <v>429</v>
      </c>
      <c r="Q643" s="47">
        <f t="shared" si="107"/>
        <v>0</v>
      </c>
      <c r="R643" s="47">
        <f t="shared" si="108"/>
        <v>0</v>
      </c>
    </row>
    <row r="644" spans="13:18" x14ac:dyDescent="0.15">
      <c r="M644" s="46">
        <v>2021</v>
      </c>
      <c r="N644" s="26" t="s">
        <v>399</v>
      </c>
      <c r="O644" s="26" t="s">
        <v>38</v>
      </c>
      <c r="P644" s="26" t="s">
        <v>430</v>
      </c>
      <c r="Q644" s="47">
        <f t="shared" si="107"/>
        <v>0</v>
      </c>
      <c r="R644" s="47">
        <f t="shared" si="108"/>
        <v>0</v>
      </c>
    </row>
    <row r="645" spans="13:18" x14ac:dyDescent="0.15">
      <c r="M645" s="46">
        <v>2021</v>
      </c>
      <c r="N645" s="26" t="s">
        <v>399</v>
      </c>
      <c r="O645" s="26" t="s">
        <v>38</v>
      </c>
      <c r="P645" s="26" t="s">
        <v>431</v>
      </c>
      <c r="Q645" s="47">
        <f t="shared" si="107"/>
        <v>0.44676557829332952</v>
      </c>
      <c r="R645" s="47">
        <f t="shared" si="108"/>
        <v>3.5504756159112949</v>
      </c>
    </row>
    <row r="646" spans="13:18" x14ac:dyDescent="0.15">
      <c r="M646" s="46">
        <v>2021</v>
      </c>
      <c r="N646" s="26" t="s">
        <v>399</v>
      </c>
      <c r="O646" s="26" t="s">
        <v>39</v>
      </c>
      <c r="P646" s="26" t="s">
        <v>427</v>
      </c>
      <c r="Q646" s="47">
        <f t="shared" si="107"/>
        <v>6.2895527069970645E-3</v>
      </c>
      <c r="R646" s="47">
        <f t="shared" si="108"/>
        <v>3.1447763534985324E-2</v>
      </c>
    </row>
    <row r="647" spans="13:18" x14ac:dyDescent="0.15">
      <c r="M647" s="46">
        <v>2021</v>
      </c>
      <c r="N647" s="26" t="s">
        <v>399</v>
      </c>
      <c r="O647" s="26" t="s">
        <v>39</v>
      </c>
      <c r="P647" s="26" t="s">
        <v>429</v>
      </c>
      <c r="Q647" s="47">
        <f t="shared" si="107"/>
        <v>0</v>
      </c>
      <c r="R647" s="47">
        <f t="shared" si="108"/>
        <v>0</v>
      </c>
    </row>
    <row r="648" spans="13:18" x14ac:dyDescent="0.15">
      <c r="M648" s="46">
        <v>2021</v>
      </c>
      <c r="N648" s="26" t="s">
        <v>399</v>
      </c>
      <c r="O648" s="26" t="s">
        <v>39</v>
      </c>
      <c r="P648" s="26" t="s">
        <v>430</v>
      </c>
      <c r="Q648" s="47">
        <f t="shared" si="107"/>
        <v>0</v>
      </c>
      <c r="R648" s="47">
        <f t="shared" si="108"/>
        <v>0</v>
      </c>
    </row>
    <row r="649" spans="13:18" x14ac:dyDescent="0.15">
      <c r="M649" s="46">
        <v>2021</v>
      </c>
      <c r="N649" s="26" t="s">
        <v>399</v>
      </c>
      <c r="O649" s="26" t="s">
        <v>39</v>
      </c>
      <c r="P649" s="26" t="s">
        <v>431</v>
      </c>
      <c r="Q649" s="47">
        <f t="shared" si="107"/>
        <v>1.9117535045311078</v>
      </c>
      <c r="R649" s="47">
        <f t="shared" si="108"/>
        <v>15.192831612945247</v>
      </c>
    </row>
    <row r="650" spans="13:18" x14ac:dyDescent="0.15">
      <c r="M650" s="46">
        <v>2021</v>
      </c>
      <c r="N650" s="26" t="s">
        <v>399</v>
      </c>
      <c r="O650" s="26" t="s">
        <v>40</v>
      </c>
      <c r="P650" s="26" t="s">
        <v>427</v>
      </c>
      <c r="Q650" s="47">
        <f t="shared" si="107"/>
        <v>0.39295692989786074</v>
      </c>
      <c r="R650" s="47">
        <f t="shared" si="108"/>
        <v>1.9647846494893038</v>
      </c>
    </row>
    <row r="651" spans="13:18" x14ac:dyDescent="0.15">
      <c r="M651" s="46">
        <v>2021</v>
      </c>
      <c r="N651" s="26" t="s">
        <v>399</v>
      </c>
      <c r="O651" s="26" t="s">
        <v>40</v>
      </c>
      <c r="P651" s="26" t="s">
        <v>429</v>
      </c>
      <c r="Q651" s="47">
        <f t="shared" si="107"/>
        <v>0</v>
      </c>
      <c r="R651" s="47">
        <f t="shared" si="108"/>
        <v>0</v>
      </c>
    </row>
    <row r="652" spans="13:18" x14ac:dyDescent="0.15">
      <c r="M652" s="46">
        <v>2021</v>
      </c>
      <c r="N652" s="26" t="s">
        <v>399</v>
      </c>
      <c r="O652" s="26" t="s">
        <v>40</v>
      </c>
      <c r="P652" s="26" t="s">
        <v>430</v>
      </c>
      <c r="Q652" s="47">
        <f t="shared" si="107"/>
        <v>0</v>
      </c>
      <c r="R652" s="47">
        <f t="shared" si="108"/>
        <v>0</v>
      </c>
    </row>
    <row r="653" spans="13:18" x14ac:dyDescent="0.15">
      <c r="M653" s="46">
        <v>2021</v>
      </c>
      <c r="N653" s="26" t="s">
        <v>399</v>
      </c>
      <c r="O653" s="26" t="s">
        <v>40</v>
      </c>
      <c r="P653" s="26" t="s">
        <v>431</v>
      </c>
      <c r="Q653" s="47">
        <f t="shared" si="107"/>
        <v>119.44200531562072</v>
      </c>
      <c r="R653" s="47">
        <f t="shared" si="108"/>
        <v>949.21352045216497</v>
      </c>
    </row>
    <row r="654" spans="13:18" x14ac:dyDescent="0.15">
      <c r="M654" s="46">
        <v>2021</v>
      </c>
      <c r="N654" s="26" t="s">
        <v>399</v>
      </c>
      <c r="O654" s="26" t="s">
        <v>41</v>
      </c>
      <c r="P654" s="26" t="s">
        <v>427</v>
      </c>
      <c r="Q654" s="47">
        <f t="shared" si="107"/>
        <v>8.5006434863333452E-2</v>
      </c>
      <c r="R654" s="47">
        <f t="shared" si="108"/>
        <v>0.42503217431666729</v>
      </c>
    </row>
    <row r="655" spans="13:18" x14ac:dyDescent="0.15">
      <c r="M655" s="46">
        <v>2021</v>
      </c>
      <c r="N655" s="26" t="s">
        <v>399</v>
      </c>
      <c r="O655" s="26" t="s">
        <v>41</v>
      </c>
      <c r="P655" s="26" t="s">
        <v>429</v>
      </c>
      <c r="Q655" s="47">
        <f t="shared" si="107"/>
        <v>0</v>
      </c>
      <c r="R655" s="47">
        <f t="shared" si="108"/>
        <v>0</v>
      </c>
    </row>
    <row r="656" spans="13:18" x14ac:dyDescent="0.15">
      <c r="M656" s="46">
        <v>2021</v>
      </c>
      <c r="N656" s="26" t="s">
        <v>399</v>
      </c>
      <c r="O656" s="26" t="s">
        <v>41</v>
      </c>
      <c r="P656" s="26" t="s">
        <v>430</v>
      </c>
      <c r="Q656" s="47">
        <f t="shared" si="107"/>
        <v>0</v>
      </c>
      <c r="R656" s="47">
        <f t="shared" si="108"/>
        <v>0</v>
      </c>
    </row>
    <row r="657" spans="13:18" x14ac:dyDescent="0.15">
      <c r="M657" s="46">
        <v>2021</v>
      </c>
      <c r="N657" s="26" t="s">
        <v>399</v>
      </c>
      <c r="O657" s="26" t="s">
        <v>41</v>
      </c>
      <c r="P657" s="26" t="s">
        <v>431</v>
      </c>
      <c r="Q657" s="47">
        <f t="shared" si="107"/>
        <v>25.838300007706557</v>
      </c>
      <c r="R657" s="47">
        <f t="shared" si="108"/>
        <v>205.33868003978333</v>
      </c>
    </row>
    <row r="658" spans="13:18" x14ac:dyDescent="0.15">
      <c r="M658" s="46">
        <v>2021</v>
      </c>
      <c r="N658" s="26" t="s">
        <v>399</v>
      </c>
      <c r="O658" s="26" t="s">
        <v>42</v>
      </c>
      <c r="P658" s="26" t="s">
        <v>427</v>
      </c>
      <c r="Q658" s="47">
        <f t="shared" si="107"/>
        <v>4.6410036723671935E-3</v>
      </c>
      <c r="R658" s="47">
        <f t="shared" si="108"/>
        <v>2.3205018361835968E-2</v>
      </c>
    </row>
    <row r="659" spans="13:18" x14ac:dyDescent="0.15">
      <c r="M659" s="46">
        <v>2021</v>
      </c>
      <c r="N659" s="26" t="s">
        <v>399</v>
      </c>
      <c r="O659" s="26" t="s">
        <v>42</v>
      </c>
      <c r="P659" s="26" t="s">
        <v>429</v>
      </c>
      <c r="Q659" s="47">
        <f t="shared" si="107"/>
        <v>0</v>
      </c>
      <c r="R659" s="47">
        <f t="shared" si="108"/>
        <v>0</v>
      </c>
    </row>
    <row r="660" spans="13:18" x14ac:dyDescent="0.15">
      <c r="M660" s="46">
        <v>2021</v>
      </c>
      <c r="N660" s="26" t="s">
        <v>399</v>
      </c>
      <c r="O660" s="26" t="s">
        <v>42</v>
      </c>
      <c r="P660" s="26" t="s">
        <v>430</v>
      </c>
      <c r="Q660" s="47">
        <f t="shared" si="107"/>
        <v>0</v>
      </c>
      <c r="R660" s="47">
        <f t="shared" si="108"/>
        <v>0</v>
      </c>
    </row>
    <row r="661" spans="13:18" x14ac:dyDescent="0.15">
      <c r="M661" s="46">
        <v>2021</v>
      </c>
      <c r="N661" s="26" t="s">
        <v>399</v>
      </c>
      <c r="O661" s="26" t="s">
        <v>42</v>
      </c>
      <c r="P661" s="26" t="s">
        <v>431</v>
      </c>
      <c r="Q661" s="47">
        <f t="shared" si="107"/>
        <v>1.4106655033384496</v>
      </c>
      <c r="R661" s="47">
        <f t="shared" si="108"/>
        <v>11.210652107405608</v>
      </c>
    </row>
    <row r="662" spans="13:18" x14ac:dyDescent="0.15">
      <c r="M662" s="46">
        <v>2021</v>
      </c>
      <c r="N662" s="26" t="s">
        <v>399</v>
      </c>
      <c r="O662" s="26" t="s">
        <v>43</v>
      </c>
      <c r="P662" s="26" t="s">
        <v>427</v>
      </c>
      <c r="Q662" s="47">
        <f t="shared" si="107"/>
        <v>2.0109341107355464E-3</v>
      </c>
      <c r="R662" s="47">
        <f t="shared" si="108"/>
        <v>1.0054670553677732E-2</v>
      </c>
    </row>
    <row r="663" spans="13:18" x14ac:dyDescent="0.15">
      <c r="M663" s="46">
        <v>2021</v>
      </c>
      <c r="N663" s="26" t="s">
        <v>399</v>
      </c>
      <c r="O663" s="26" t="s">
        <v>43</v>
      </c>
      <c r="P663" s="26" t="s">
        <v>429</v>
      </c>
      <c r="Q663" s="47">
        <f t="shared" si="107"/>
        <v>0</v>
      </c>
      <c r="R663" s="47">
        <f t="shared" si="108"/>
        <v>0</v>
      </c>
    </row>
    <row r="664" spans="13:18" x14ac:dyDescent="0.15">
      <c r="M664" s="46">
        <v>2021</v>
      </c>
      <c r="N664" s="26" t="s">
        <v>399</v>
      </c>
      <c r="O664" s="26" t="s">
        <v>43</v>
      </c>
      <c r="P664" s="26" t="s">
        <v>430</v>
      </c>
      <c r="Q664" s="47">
        <f t="shared" si="107"/>
        <v>0</v>
      </c>
      <c r="R664" s="47">
        <f t="shared" si="108"/>
        <v>0</v>
      </c>
    </row>
    <row r="665" spans="13:18" x14ac:dyDescent="0.15">
      <c r="M665" s="46">
        <v>2021</v>
      </c>
      <c r="N665" s="26" t="s">
        <v>399</v>
      </c>
      <c r="O665" s="26" t="s">
        <v>43</v>
      </c>
      <c r="P665" s="26" t="s">
        <v>431</v>
      </c>
      <c r="Q665" s="47">
        <f t="shared" si="107"/>
        <v>0.61123747787389704</v>
      </c>
      <c r="R665" s="47">
        <f t="shared" si="108"/>
        <v>4.857544685990848</v>
      </c>
    </row>
    <row r="666" spans="13:18" x14ac:dyDescent="0.15">
      <c r="M666" s="46">
        <v>2021</v>
      </c>
      <c r="N666" s="26" t="s">
        <v>399</v>
      </c>
      <c r="O666" s="26" t="s">
        <v>44</v>
      </c>
      <c r="P666" s="26" t="s">
        <v>427</v>
      </c>
      <c r="Q666" s="47">
        <f t="shared" si="107"/>
        <v>4.9293764538381128E-2</v>
      </c>
      <c r="R666" s="47">
        <f t="shared" si="108"/>
        <v>0.24646882269190565</v>
      </c>
    </row>
    <row r="667" spans="13:18" x14ac:dyDescent="0.15">
      <c r="M667" s="46">
        <v>2021</v>
      </c>
      <c r="N667" s="26" t="s">
        <v>399</v>
      </c>
      <c r="O667" s="26" t="s">
        <v>44</v>
      </c>
      <c r="P667" s="26" t="s">
        <v>429</v>
      </c>
      <c r="Q667" s="47">
        <f t="shared" si="107"/>
        <v>0</v>
      </c>
      <c r="R667" s="47">
        <f t="shared" si="108"/>
        <v>0</v>
      </c>
    </row>
    <row r="668" spans="13:18" x14ac:dyDescent="0.15">
      <c r="M668" s="46">
        <v>2021</v>
      </c>
      <c r="N668" s="26" t="s">
        <v>399</v>
      </c>
      <c r="O668" s="26" t="s">
        <v>44</v>
      </c>
      <c r="P668" s="26" t="s">
        <v>430</v>
      </c>
      <c r="Q668" s="47">
        <f t="shared" si="107"/>
        <v>0</v>
      </c>
      <c r="R668" s="47">
        <f t="shared" si="108"/>
        <v>0</v>
      </c>
    </row>
    <row r="669" spans="13:18" x14ac:dyDescent="0.15">
      <c r="M669" s="46">
        <v>2021</v>
      </c>
      <c r="N669" s="26" t="s">
        <v>399</v>
      </c>
      <c r="O669" s="26" t="s">
        <v>44</v>
      </c>
      <c r="P669" s="26" t="s">
        <v>431</v>
      </c>
      <c r="Q669" s="47">
        <f t="shared" si="107"/>
        <v>14.983184257752233</v>
      </c>
      <c r="R669" s="47">
        <f t="shared" si="108"/>
        <v>119.07235682541291</v>
      </c>
    </row>
    <row r="670" spans="13:18" x14ac:dyDescent="0.15">
      <c r="M670" s="46">
        <v>2021</v>
      </c>
      <c r="N670" s="26" t="s">
        <v>399</v>
      </c>
      <c r="O670" s="26" t="s">
        <v>45</v>
      </c>
      <c r="P670" s="26" t="s">
        <v>427</v>
      </c>
      <c r="Q670" s="47">
        <f t="shared" si="107"/>
        <v>0.13848153934953389</v>
      </c>
      <c r="R670" s="47">
        <f t="shared" si="108"/>
        <v>0.69240769674766955</v>
      </c>
    </row>
    <row r="671" spans="13:18" x14ac:dyDescent="0.15">
      <c r="M671" s="46">
        <v>2021</v>
      </c>
      <c r="N671" s="26" t="s">
        <v>399</v>
      </c>
      <c r="O671" s="26" t="s">
        <v>45</v>
      </c>
      <c r="P671" s="26" t="s">
        <v>429</v>
      </c>
      <c r="Q671" s="47">
        <f t="shared" si="107"/>
        <v>0</v>
      </c>
      <c r="R671" s="47">
        <f t="shared" si="108"/>
        <v>0</v>
      </c>
    </row>
    <row r="672" spans="13:18" x14ac:dyDescent="0.15">
      <c r="M672" s="46">
        <v>2021</v>
      </c>
      <c r="N672" s="26" t="s">
        <v>399</v>
      </c>
      <c r="O672" s="26" t="s">
        <v>45</v>
      </c>
      <c r="P672" s="26" t="s">
        <v>430</v>
      </c>
      <c r="Q672" s="47">
        <f t="shared" si="107"/>
        <v>0</v>
      </c>
      <c r="R672" s="47">
        <f t="shared" si="108"/>
        <v>0</v>
      </c>
    </row>
    <row r="673" spans="13:18" x14ac:dyDescent="0.15">
      <c r="M673" s="46">
        <v>2021</v>
      </c>
      <c r="N673" s="26" t="s">
        <v>399</v>
      </c>
      <c r="O673" s="26" t="s">
        <v>45</v>
      </c>
      <c r="P673" s="26" t="s">
        <v>431</v>
      </c>
      <c r="Q673" s="47">
        <f t="shared" si="107"/>
        <v>42.092431767017466</v>
      </c>
      <c r="R673" s="47">
        <f t="shared" si="108"/>
        <v>334.51134076646218</v>
      </c>
    </row>
    <row r="674" spans="13:18" x14ac:dyDescent="0.15">
      <c r="M674" s="46">
        <v>2021</v>
      </c>
      <c r="N674" s="26" t="s">
        <v>399</v>
      </c>
      <c r="O674" s="26" t="s">
        <v>46</v>
      </c>
      <c r="P674" s="26" t="s">
        <v>427</v>
      </c>
      <c r="Q674" s="47">
        <f t="shared" si="107"/>
        <v>2.4657897949714649E-2</v>
      </c>
      <c r="R674" s="47">
        <f t="shared" si="108"/>
        <v>0.12328948974857323</v>
      </c>
    </row>
    <row r="675" spans="13:18" x14ac:dyDescent="0.15">
      <c r="M675" s="46">
        <v>2021</v>
      </c>
      <c r="N675" s="26" t="s">
        <v>399</v>
      </c>
      <c r="O675" s="26" t="s">
        <v>46</v>
      </c>
      <c r="P675" s="26" t="s">
        <v>429</v>
      </c>
      <c r="Q675" s="47">
        <f t="shared" si="107"/>
        <v>0</v>
      </c>
      <c r="R675" s="47">
        <f t="shared" si="108"/>
        <v>0</v>
      </c>
    </row>
    <row r="676" spans="13:18" x14ac:dyDescent="0.15">
      <c r="M676" s="46">
        <v>2021</v>
      </c>
      <c r="N676" s="26" t="s">
        <v>399</v>
      </c>
      <c r="O676" s="26" t="s">
        <v>46</v>
      </c>
      <c r="P676" s="26" t="s">
        <v>430</v>
      </c>
      <c r="Q676" s="47">
        <f t="shared" si="107"/>
        <v>0</v>
      </c>
      <c r="R676" s="47">
        <f t="shared" si="108"/>
        <v>0</v>
      </c>
    </row>
    <row r="677" spans="13:18" x14ac:dyDescent="0.15">
      <c r="M677" s="46">
        <v>2021</v>
      </c>
      <c r="N677" s="26" t="s">
        <v>399</v>
      </c>
      <c r="O677" s="26" t="s">
        <v>46</v>
      </c>
      <c r="P677" s="26" t="s">
        <v>431</v>
      </c>
      <c r="Q677" s="47">
        <f t="shared" si="107"/>
        <v>7.4949404219627267</v>
      </c>
      <c r="R677" s="47">
        <f t="shared" si="108"/>
        <v>59.562787519442807</v>
      </c>
    </row>
    <row r="678" spans="13:18" x14ac:dyDescent="0.15">
      <c r="M678" s="46">
        <v>2021</v>
      </c>
      <c r="N678" s="26" t="s">
        <v>399</v>
      </c>
      <c r="O678" s="26" t="s">
        <v>47</v>
      </c>
      <c r="P678" s="26" t="s">
        <v>427</v>
      </c>
      <c r="Q678" s="47">
        <f t="shared" si="107"/>
        <v>7.3179208674620565E-3</v>
      </c>
      <c r="R678" s="47">
        <f t="shared" si="108"/>
        <v>3.6589604337310289E-2</v>
      </c>
    </row>
    <row r="679" spans="13:18" x14ac:dyDescent="0.15">
      <c r="M679" s="46">
        <v>2021</v>
      </c>
      <c r="N679" s="26" t="s">
        <v>399</v>
      </c>
      <c r="O679" s="26" t="s">
        <v>47</v>
      </c>
      <c r="P679" s="26" t="s">
        <v>429</v>
      </c>
      <c r="Q679" s="47">
        <f t="shared" si="107"/>
        <v>0</v>
      </c>
      <c r="R679" s="47">
        <f t="shared" si="108"/>
        <v>0</v>
      </c>
    </row>
    <row r="680" spans="13:18" x14ac:dyDescent="0.15">
      <c r="M680" s="46">
        <v>2021</v>
      </c>
      <c r="N680" s="26" t="s">
        <v>399</v>
      </c>
      <c r="O680" s="26" t="s">
        <v>47</v>
      </c>
      <c r="P680" s="26" t="s">
        <v>430</v>
      </c>
      <c r="Q680" s="47">
        <f t="shared" si="107"/>
        <v>0</v>
      </c>
      <c r="R680" s="47">
        <f t="shared" si="108"/>
        <v>0</v>
      </c>
    </row>
    <row r="681" spans="13:18" x14ac:dyDescent="0.15">
      <c r="M681" s="46">
        <v>2021</v>
      </c>
      <c r="N681" s="26" t="s">
        <v>399</v>
      </c>
      <c r="O681" s="26" t="s">
        <v>47</v>
      </c>
      <c r="P681" s="26" t="s">
        <v>431</v>
      </c>
      <c r="Q681" s="47">
        <f t="shared" si="107"/>
        <v>2.2243331944238434</v>
      </c>
      <c r="R681" s="47">
        <f t="shared" si="108"/>
        <v>17.676923093835061</v>
      </c>
    </row>
    <row r="682" spans="13:18" x14ac:dyDescent="0.15">
      <c r="M682" s="46">
        <v>2021</v>
      </c>
      <c r="N682" s="26" t="s">
        <v>399</v>
      </c>
      <c r="O682" s="26" t="s">
        <v>48</v>
      </c>
      <c r="P682" s="26" t="s">
        <v>427</v>
      </c>
      <c r="Q682" s="47">
        <f t="shared" si="107"/>
        <v>4.9842259888514045E-3</v>
      </c>
      <c r="R682" s="47">
        <f t="shared" si="108"/>
        <v>2.4921129944257023E-2</v>
      </c>
    </row>
    <row r="683" spans="13:18" x14ac:dyDescent="0.15">
      <c r="M683" s="46">
        <v>2021</v>
      </c>
      <c r="N683" s="26" t="s">
        <v>399</v>
      </c>
      <c r="O683" s="26" t="s">
        <v>48</v>
      </c>
      <c r="P683" s="26" t="s">
        <v>429</v>
      </c>
      <c r="Q683" s="47">
        <f t="shared" si="107"/>
        <v>0</v>
      </c>
      <c r="R683" s="47">
        <f t="shared" si="108"/>
        <v>0</v>
      </c>
    </row>
    <row r="684" spans="13:18" x14ac:dyDescent="0.15">
      <c r="M684" s="46">
        <v>2021</v>
      </c>
      <c r="N684" s="26" t="s">
        <v>399</v>
      </c>
      <c r="O684" s="26" t="s">
        <v>48</v>
      </c>
      <c r="P684" s="26" t="s">
        <v>430</v>
      </c>
      <c r="Q684" s="47">
        <f t="shared" si="107"/>
        <v>0</v>
      </c>
      <c r="R684" s="47">
        <f t="shared" si="108"/>
        <v>0</v>
      </c>
    </row>
    <row r="685" spans="13:18" x14ac:dyDescent="0.15">
      <c r="M685" s="46">
        <v>2021</v>
      </c>
      <c r="N685" s="26" t="s">
        <v>399</v>
      </c>
      <c r="O685" s="26" t="s">
        <v>48</v>
      </c>
      <c r="P685" s="26" t="s">
        <v>431</v>
      </c>
      <c r="Q685" s="47">
        <f t="shared" si="107"/>
        <v>1.5149903252994785</v>
      </c>
      <c r="R685" s="47">
        <f t="shared" si="108"/>
        <v>12.039728371342234</v>
      </c>
    </row>
    <row r="686" spans="13:18" x14ac:dyDescent="0.15">
      <c r="M686" s="46">
        <v>2021</v>
      </c>
      <c r="N686" s="26" t="s">
        <v>399</v>
      </c>
      <c r="O686" s="26" t="s">
        <v>49</v>
      </c>
      <c r="P686" s="26" t="s">
        <v>427</v>
      </c>
      <c r="Q686" s="47">
        <f t="shared" si="107"/>
        <v>2.6541616392362897E-3</v>
      </c>
      <c r="R686" s="47">
        <f t="shared" si="108"/>
        <v>1.3270808196181448E-2</v>
      </c>
    </row>
    <row r="687" spans="13:18" x14ac:dyDescent="0.15">
      <c r="M687" s="46">
        <v>2021</v>
      </c>
      <c r="N687" s="26" t="s">
        <v>399</v>
      </c>
      <c r="O687" s="26" t="s">
        <v>49</v>
      </c>
      <c r="P687" s="26" t="s">
        <v>429</v>
      </c>
      <c r="Q687" s="47">
        <f t="shared" si="107"/>
        <v>0</v>
      </c>
      <c r="R687" s="47">
        <f t="shared" si="108"/>
        <v>0</v>
      </c>
    </row>
    <row r="688" spans="13:18" x14ac:dyDescent="0.15">
      <c r="M688" s="46">
        <v>2021</v>
      </c>
      <c r="N688" s="26" t="s">
        <v>399</v>
      </c>
      <c r="O688" s="26" t="s">
        <v>49</v>
      </c>
      <c r="P688" s="26" t="s">
        <v>430</v>
      </c>
      <c r="Q688" s="47">
        <f t="shared" si="107"/>
        <v>0</v>
      </c>
      <c r="R688" s="47">
        <f t="shared" si="108"/>
        <v>0</v>
      </c>
    </row>
    <row r="689" spans="13:18" x14ac:dyDescent="0.15">
      <c r="M689" s="46">
        <v>2021</v>
      </c>
      <c r="N689" s="26" t="s">
        <v>399</v>
      </c>
      <c r="O689" s="26" t="s">
        <v>49</v>
      </c>
      <c r="P689" s="26" t="s">
        <v>431</v>
      </c>
      <c r="Q689" s="47">
        <f t="shared" si="107"/>
        <v>0.80675098083797236</v>
      </c>
      <c r="R689" s="47">
        <f t="shared" si="108"/>
        <v>6.4113034323721259</v>
      </c>
    </row>
    <row r="690" spans="13:18" x14ac:dyDescent="0.15">
      <c r="M690" s="46">
        <v>2021</v>
      </c>
      <c r="N690" s="26" t="s">
        <v>399</v>
      </c>
      <c r="O690" s="26" t="s">
        <v>50</v>
      </c>
      <c r="P690" s="26" t="s">
        <v>427</v>
      </c>
      <c r="Q690" s="47">
        <f t="shared" si="107"/>
        <v>1.6417760633167223E-3</v>
      </c>
      <c r="R690" s="47">
        <f t="shared" si="108"/>
        <v>8.2088803165836118E-3</v>
      </c>
    </row>
    <row r="691" spans="13:18" x14ac:dyDescent="0.15">
      <c r="M691" s="46">
        <v>2021</v>
      </c>
      <c r="N691" s="26" t="s">
        <v>399</v>
      </c>
      <c r="O691" s="26" t="s">
        <v>50</v>
      </c>
      <c r="P691" s="26" t="s">
        <v>429</v>
      </c>
      <c r="Q691" s="47">
        <f t="shared" si="107"/>
        <v>0</v>
      </c>
      <c r="R691" s="47">
        <f t="shared" si="108"/>
        <v>0</v>
      </c>
    </row>
    <row r="692" spans="13:18" x14ac:dyDescent="0.15">
      <c r="M692" s="46">
        <v>2021</v>
      </c>
      <c r="N692" s="26" t="s">
        <v>399</v>
      </c>
      <c r="O692" s="26" t="s">
        <v>50</v>
      </c>
      <c r="P692" s="26" t="s">
        <v>430</v>
      </c>
      <c r="Q692" s="47">
        <f t="shared" si="107"/>
        <v>0</v>
      </c>
      <c r="R692" s="47">
        <f t="shared" si="108"/>
        <v>0</v>
      </c>
    </row>
    <row r="693" spans="13:18" x14ac:dyDescent="0.15">
      <c r="M693" s="46">
        <v>2021</v>
      </c>
      <c r="N693" s="26" t="s">
        <v>399</v>
      </c>
      <c r="O693" s="26" t="s">
        <v>50</v>
      </c>
      <c r="P693" s="26" t="s">
        <v>431</v>
      </c>
      <c r="Q693" s="47">
        <f t="shared" si="107"/>
        <v>0.49902930922405492</v>
      </c>
      <c r="R693" s="47">
        <f t="shared" si="108"/>
        <v>3.9658189442288965</v>
      </c>
    </row>
    <row r="694" spans="13:18" x14ac:dyDescent="0.15">
      <c r="M694" s="46">
        <v>2021</v>
      </c>
      <c r="N694" s="26" t="s">
        <v>399</v>
      </c>
      <c r="O694" s="26" t="s">
        <v>51</v>
      </c>
      <c r="P694" s="26" t="s">
        <v>427</v>
      </c>
      <c r="Q694" s="47">
        <f t="shared" si="107"/>
        <v>3.6723602104831625E-3</v>
      </c>
      <c r="R694" s="47">
        <f t="shared" si="108"/>
        <v>1.8361801052415815E-2</v>
      </c>
    </row>
    <row r="695" spans="13:18" x14ac:dyDescent="0.15">
      <c r="M695" s="46">
        <v>2021</v>
      </c>
      <c r="N695" s="26" t="s">
        <v>399</v>
      </c>
      <c r="O695" s="26" t="s">
        <v>51</v>
      </c>
      <c r="P695" s="26" t="s">
        <v>429</v>
      </c>
      <c r="Q695" s="47">
        <f t="shared" si="107"/>
        <v>0</v>
      </c>
      <c r="R695" s="47">
        <f t="shared" si="108"/>
        <v>0</v>
      </c>
    </row>
    <row r="696" spans="13:18" x14ac:dyDescent="0.15">
      <c r="M696" s="46">
        <v>2021</v>
      </c>
      <c r="N696" s="26" t="s">
        <v>399</v>
      </c>
      <c r="O696" s="26" t="s">
        <v>51</v>
      </c>
      <c r="P696" s="26" t="s">
        <v>430</v>
      </c>
      <c r="Q696" s="47">
        <f t="shared" si="107"/>
        <v>0</v>
      </c>
      <c r="R696" s="47">
        <f t="shared" si="108"/>
        <v>0</v>
      </c>
    </row>
    <row r="697" spans="13:18" x14ac:dyDescent="0.15">
      <c r="M697" s="46">
        <v>2021</v>
      </c>
      <c r="N697" s="26" t="s">
        <v>399</v>
      </c>
      <c r="O697" s="26" t="s">
        <v>51</v>
      </c>
      <c r="P697" s="26" t="s">
        <v>431</v>
      </c>
      <c r="Q697" s="47">
        <f t="shared" si="107"/>
        <v>1.1162395530100864</v>
      </c>
      <c r="R697" s="47">
        <f t="shared" si="108"/>
        <v>8.8708295961779733</v>
      </c>
    </row>
    <row r="698" spans="13:18" x14ac:dyDescent="0.15">
      <c r="M698" s="46">
        <v>2021</v>
      </c>
      <c r="N698" s="26" t="s">
        <v>399</v>
      </c>
      <c r="O698" s="26" t="s">
        <v>52</v>
      </c>
      <c r="P698" s="26" t="s">
        <v>427</v>
      </c>
      <c r="Q698" s="47">
        <f t="shared" si="107"/>
        <v>1.1145919431282856E-3</v>
      </c>
      <c r="R698" s="47">
        <f t="shared" si="108"/>
        <v>5.5729597156414287E-3</v>
      </c>
    </row>
    <row r="699" spans="13:18" x14ac:dyDescent="0.15">
      <c r="M699" s="46">
        <v>2021</v>
      </c>
      <c r="N699" s="26" t="s">
        <v>399</v>
      </c>
      <c r="O699" s="26" t="s">
        <v>52</v>
      </c>
      <c r="P699" s="26" t="s">
        <v>429</v>
      </c>
      <c r="Q699" s="47">
        <f t="shared" si="107"/>
        <v>0</v>
      </c>
      <c r="R699" s="47">
        <f t="shared" si="108"/>
        <v>0</v>
      </c>
    </row>
    <row r="700" spans="13:18" x14ac:dyDescent="0.15">
      <c r="M700" s="46">
        <v>2021</v>
      </c>
      <c r="N700" s="26" t="s">
        <v>399</v>
      </c>
      <c r="O700" s="26" t="s">
        <v>52</v>
      </c>
      <c r="P700" s="26" t="s">
        <v>430</v>
      </c>
      <c r="Q700" s="47">
        <f t="shared" si="107"/>
        <v>0</v>
      </c>
      <c r="R700" s="47">
        <f t="shared" si="108"/>
        <v>0</v>
      </c>
    </row>
    <row r="701" spans="13:18" x14ac:dyDescent="0.15">
      <c r="M701" s="46">
        <v>2021</v>
      </c>
      <c r="N701" s="26" t="s">
        <v>399</v>
      </c>
      <c r="O701" s="26" t="s">
        <v>52</v>
      </c>
      <c r="P701" s="26" t="s">
        <v>431</v>
      </c>
      <c r="Q701" s="47">
        <f t="shared" si="107"/>
        <v>0.33878801127258473</v>
      </c>
      <c r="R701" s="47">
        <f t="shared" si="108"/>
        <v>2.6923707452605963</v>
      </c>
    </row>
    <row r="702" spans="13:18" x14ac:dyDescent="0.15">
      <c r="M702" s="46">
        <v>2021</v>
      </c>
      <c r="N702" s="26" t="s">
        <v>399</v>
      </c>
      <c r="O702" s="26" t="s">
        <v>53</v>
      </c>
      <c r="P702" s="26" t="s">
        <v>427</v>
      </c>
      <c r="Q702" s="47">
        <f t="shared" si="107"/>
        <v>3.696848300104505E-3</v>
      </c>
      <c r="R702" s="47">
        <f t="shared" si="108"/>
        <v>1.8484241500522525E-2</v>
      </c>
    </row>
    <row r="703" spans="13:18" x14ac:dyDescent="0.15">
      <c r="M703" s="46">
        <v>2021</v>
      </c>
      <c r="N703" s="26" t="s">
        <v>399</v>
      </c>
      <c r="O703" s="26" t="s">
        <v>53</v>
      </c>
      <c r="P703" s="26" t="s">
        <v>429</v>
      </c>
      <c r="Q703" s="47">
        <f t="shared" si="107"/>
        <v>0</v>
      </c>
      <c r="R703" s="47">
        <f t="shared" si="108"/>
        <v>0</v>
      </c>
    </row>
    <row r="704" spans="13:18" x14ac:dyDescent="0.15">
      <c r="M704" s="46">
        <v>2021</v>
      </c>
      <c r="N704" s="26" t="s">
        <v>399</v>
      </c>
      <c r="O704" s="26" t="s">
        <v>53</v>
      </c>
      <c r="P704" s="26" t="s">
        <v>430</v>
      </c>
      <c r="Q704" s="47">
        <f t="shared" si="107"/>
        <v>0</v>
      </c>
      <c r="R704" s="47">
        <f t="shared" si="108"/>
        <v>0</v>
      </c>
    </row>
    <row r="705" spans="13:18" x14ac:dyDescent="0.15">
      <c r="M705" s="46">
        <v>2021</v>
      </c>
      <c r="N705" s="26" t="s">
        <v>399</v>
      </c>
      <c r="O705" s="26" t="s">
        <v>53</v>
      </c>
      <c r="P705" s="26" t="s">
        <v>431</v>
      </c>
      <c r="Q705" s="47">
        <f t="shared" si="107"/>
        <v>1.123682879003808</v>
      </c>
      <c r="R705" s="47">
        <f t="shared" si="108"/>
        <v>8.9299822004205414</v>
      </c>
    </row>
    <row r="706" spans="13:18" x14ac:dyDescent="0.15">
      <c r="M706" s="46">
        <v>2021</v>
      </c>
      <c r="N706" s="26" t="s">
        <v>399</v>
      </c>
      <c r="O706" s="26" t="s">
        <v>54</v>
      </c>
      <c r="P706" s="26" t="s">
        <v>427</v>
      </c>
      <c r="Q706" s="47">
        <f t="shared" ref="Q706:Q769" si="109">SUMIFS(D:D,B:B,N706,C:C,P706,A:A,M706)*SUMIFS(K:K,G:G,N706,I:I,O706)</f>
        <v>8.867951624051228E-3</v>
      </c>
      <c r="R706" s="47">
        <f t="shared" ref="R706:R769" si="110">SUMIFS(E:E,B:B,N706,C:C,P706,A:A,M706)*SUMIFS(K:K,G:G,N706,I:I,O706)</f>
        <v>4.4339758120256145E-2</v>
      </c>
    </row>
    <row r="707" spans="13:18" x14ac:dyDescent="0.15">
      <c r="M707" s="46">
        <v>2021</v>
      </c>
      <c r="N707" s="26" t="s">
        <v>399</v>
      </c>
      <c r="O707" s="26" t="s">
        <v>54</v>
      </c>
      <c r="P707" s="26" t="s">
        <v>429</v>
      </c>
      <c r="Q707" s="47">
        <f t="shared" si="109"/>
        <v>0</v>
      </c>
      <c r="R707" s="47">
        <f t="shared" si="110"/>
        <v>0</v>
      </c>
    </row>
    <row r="708" spans="13:18" x14ac:dyDescent="0.15">
      <c r="M708" s="46">
        <v>2021</v>
      </c>
      <c r="N708" s="26" t="s">
        <v>399</v>
      </c>
      <c r="O708" s="26" t="s">
        <v>54</v>
      </c>
      <c r="P708" s="26" t="s">
        <v>430</v>
      </c>
      <c r="Q708" s="47">
        <f t="shared" si="109"/>
        <v>0</v>
      </c>
      <c r="R708" s="47">
        <f t="shared" si="110"/>
        <v>0</v>
      </c>
    </row>
    <row r="709" spans="13:18" x14ac:dyDescent="0.15">
      <c r="M709" s="46">
        <v>2021</v>
      </c>
      <c r="N709" s="26" t="s">
        <v>399</v>
      </c>
      <c r="O709" s="26" t="s">
        <v>54</v>
      </c>
      <c r="P709" s="26" t="s">
        <v>431</v>
      </c>
      <c r="Q709" s="47">
        <f t="shared" si="109"/>
        <v>2.6954758764374209</v>
      </c>
      <c r="R709" s="47">
        <f t="shared" si="110"/>
        <v>21.421125166193402</v>
      </c>
    </row>
    <row r="710" spans="13:18" x14ac:dyDescent="0.15">
      <c r="M710" s="46">
        <v>2021</v>
      </c>
      <c r="N710" s="26" t="s">
        <v>399</v>
      </c>
      <c r="O710" s="26" t="s">
        <v>408</v>
      </c>
      <c r="P710" s="26" t="s">
        <v>427</v>
      </c>
      <c r="Q710" s="47">
        <f t="shared" si="109"/>
        <v>2.553353596863611E-3</v>
      </c>
      <c r="R710" s="47">
        <f t="shared" si="110"/>
        <v>1.2766767984318056E-2</v>
      </c>
    </row>
    <row r="711" spans="13:18" x14ac:dyDescent="0.15">
      <c r="M711" s="46">
        <v>2021</v>
      </c>
      <c r="N711" s="26" t="s">
        <v>399</v>
      </c>
      <c r="O711" s="26" t="s">
        <v>408</v>
      </c>
      <c r="P711" s="26" t="s">
        <v>429</v>
      </c>
      <c r="Q711" s="47">
        <f t="shared" si="109"/>
        <v>0</v>
      </c>
      <c r="R711" s="47">
        <f t="shared" si="110"/>
        <v>0</v>
      </c>
    </row>
    <row r="712" spans="13:18" x14ac:dyDescent="0.15">
      <c r="M712" s="46">
        <v>2021</v>
      </c>
      <c r="N712" s="26" t="s">
        <v>399</v>
      </c>
      <c r="O712" s="26" t="s">
        <v>408</v>
      </c>
      <c r="P712" s="26" t="s">
        <v>430</v>
      </c>
      <c r="Q712" s="47">
        <f t="shared" si="109"/>
        <v>0</v>
      </c>
      <c r="R712" s="47">
        <f t="shared" si="110"/>
        <v>0</v>
      </c>
    </row>
    <row r="713" spans="13:18" x14ac:dyDescent="0.15">
      <c r="M713" s="46">
        <v>2021</v>
      </c>
      <c r="N713" s="26" t="s">
        <v>399</v>
      </c>
      <c r="O713" s="26" t="s">
        <v>408</v>
      </c>
      <c r="P713" s="26" t="s">
        <v>431</v>
      </c>
      <c r="Q713" s="47">
        <f t="shared" si="109"/>
        <v>0.77610967178645762</v>
      </c>
      <c r="R713" s="47">
        <f t="shared" si="110"/>
        <v>6.1677949216166779</v>
      </c>
    </row>
    <row r="714" spans="13:18" x14ac:dyDescent="0.15">
      <c r="M714" s="46">
        <v>2021</v>
      </c>
      <c r="N714" s="26" t="s">
        <v>399</v>
      </c>
      <c r="O714" s="26" t="s">
        <v>55</v>
      </c>
      <c r="P714" s="26" t="s">
        <v>427</v>
      </c>
      <c r="Q714" s="47">
        <f t="shared" si="109"/>
        <v>1.3167529580355731E-2</v>
      </c>
      <c r="R714" s="47">
        <f t="shared" si="110"/>
        <v>6.5837647901778665E-2</v>
      </c>
    </row>
    <row r="715" spans="13:18" x14ac:dyDescent="0.15">
      <c r="M715" s="46">
        <v>2021</v>
      </c>
      <c r="N715" s="26" t="s">
        <v>399</v>
      </c>
      <c r="O715" s="26" t="s">
        <v>55</v>
      </c>
      <c r="P715" s="26" t="s">
        <v>429</v>
      </c>
      <c r="Q715" s="47">
        <f t="shared" si="109"/>
        <v>0</v>
      </c>
      <c r="R715" s="47">
        <f t="shared" si="110"/>
        <v>0</v>
      </c>
    </row>
    <row r="716" spans="13:18" x14ac:dyDescent="0.15">
      <c r="M716" s="46">
        <v>2021</v>
      </c>
      <c r="N716" s="26" t="s">
        <v>399</v>
      </c>
      <c r="O716" s="26" t="s">
        <v>55</v>
      </c>
      <c r="P716" s="26" t="s">
        <v>430</v>
      </c>
      <c r="Q716" s="47">
        <f t="shared" si="109"/>
        <v>0</v>
      </c>
      <c r="R716" s="47">
        <f t="shared" si="110"/>
        <v>0</v>
      </c>
    </row>
    <row r="717" spans="13:18" x14ac:dyDescent="0.15">
      <c r="M717" s="46">
        <v>2021</v>
      </c>
      <c r="N717" s="26" t="s">
        <v>399</v>
      </c>
      <c r="O717" s="26" t="s">
        <v>55</v>
      </c>
      <c r="P717" s="26" t="s">
        <v>431</v>
      </c>
      <c r="Q717" s="47">
        <f t="shared" si="109"/>
        <v>4.0023626470698472</v>
      </c>
      <c r="R717" s="47">
        <f t="shared" si="110"/>
        <v>31.807040817109982</v>
      </c>
    </row>
    <row r="718" spans="13:18" x14ac:dyDescent="0.15">
      <c r="M718" s="46">
        <v>2021</v>
      </c>
      <c r="N718" s="26" t="s">
        <v>403</v>
      </c>
      <c r="O718" s="26" t="s">
        <v>34</v>
      </c>
      <c r="P718" s="26" t="s">
        <v>427</v>
      </c>
      <c r="Q718" s="47">
        <f t="shared" si="109"/>
        <v>0</v>
      </c>
      <c r="R718" s="47">
        <f t="shared" si="110"/>
        <v>0</v>
      </c>
    </row>
    <row r="719" spans="13:18" x14ac:dyDescent="0.15">
      <c r="M719" s="46">
        <v>2021</v>
      </c>
      <c r="N719" s="26" t="s">
        <v>403</v>
      </c>
      <c r="O719" s="26" t="s">
        <v>34</v>
      </c>
      <c r="P719" s="26" t="s">
        <v>429</v>
      </c>
      <c r="Q719" s="47">
        <f t="shared" si="109"/>
        <v>2.3027840555384556</v>
      </c>
      <c r="R719" s="47">
        <f t="shared" si="110"/>
        <v>16.28831430695605</v>
      </c>
    </row>
    <row r="720" spans="13:18" x14ac:dyDescent="0.15">
      <c r="M720" s="46">
        <v>2021</v>
      </c>
      <c r="N720" s="26" t="s">
        <v>403</v>
      </c>
      <c r="O720" s="26" t="s">
        <v>34</v>
      </c>
      <c r="P720" s="26" t="s">
        <v>430</v>
      </c>
      <c r="Q720" s="47">
        <f t="shared" si="109"/>
        <v>0</v>
      </c>
      <c r="R720" s="47">
        <f t="shared" si="110"/>
        <v>0</v>
      </c>
    </row>
    <row r="721" spans="13:18" x14ac:dyDescent="0.15">
      <c r="M721" s="46">
        <v>2021</v>
      </c>
      <c r="N721" s="26" t="s">
        <v>403</v>
      </c>
      <c r="O721" s="26" t="s">
        <v>34</v>
      </c>
      <c r="P721" s="26" t="s">
        <v>431</v>
      </c>
      <c r="Q721" s="47">
        <f t="shared" si="109"/>
        <v>0</v>
      </c>
      <c r="R721" s="47">
        <f t="shared" si="110"/>
        <v>0</v>
      </c>
    </row>
    <row r="722" spans="13:18" x14ac:dyDescent="0.15">
      <c r="M722" s="46">
        <v>2021</v>
      </c>
      <c r="N722" s="26" t="s">
        <v>403</v>
      </c>
      <c r="O722" s="26" t="s">
        <v>35</v>
      </c>
      <c r="P722" s="26" t="s">
        <v>427</v>
      </c>
      <c r="Q722" s="47">
        <f t="shared" si="109"/>
        <v>0</v>
      </c>
      <c r="R722" s="47">
        <f t="shared" si="110"/>
        <v>0</v>
      </c>
    </row>
    <row r="723" spans="13:18" x14ac:dyDescent="0.15">
      <c r="M723" s="46">
        <v>2021</v>
      </c>
      <c r="N723" s="26" t="s">
        <v>403</v>
      </c>
      <c r="O723" s="26" t="s">
        <v>35</v>
      </c>
      <c r="P723" s="26" t="s">
        <v>429</v>
      </c>
      <c r="Q723" s="47">
        <f t="shared" si="109"/>
        <v>25.545867718180585</v>
      </c>
      <c r="R723" s="47">
        <f t="shared" si="110"/>
        <v>180.6939394238388</v>
      </c>
    </row>
    <row r="724" spans="13:18" x14ac:dyDescent="0.15">
      <c r="M724" s="46">
        <v>2021</v>
      </c>
      <c r="N724" s="26" t="s">
        <v>403</v>
      </c>
      <c r="O724" s="26" t="s">
        <v>35</v>
      </c>
      <c r="P724" s="26" t="s">
        <v>430</v>
      </c>
      <c r="Q724" s="47">
        <f t="shared" si="109"/>
        <v>0</v>
      </c>
      <c r="R724" s="47">
        <f t="shared" si="110"/>
        <v>0</v>
      </c>
    </row>
    <row r="725" spans="13:18" x14ac:dyDescent="0.15">
      <c r="M725" s="46">
        <v>2021</v>
      </c>
      <c r="N725" s="26" t="s">
        <v>403</v>
      </c>
      <c r="O725" s="26" t="s">
        <v>35</v>
      </c>
      <c r="P725" s="26" t="s">
        <v>431</v>
      </c>
      <c r="Q725" s="47">
        <f t="shared" si="109"/>
        <v>0</v>
      </c>
      <c r="R725" s="47">
        <f t="shared" si="110"/>
        <v>0</v>
      </c>
    </row>
    <row r="726" spans="13:18" x14ac:dyDescent="0.15">
      <c r="M726" s="46">
        <v>2021</v>
      </c>
      <c r="N726" s="26" t="s">
        <v>403</v>
      </c>
      <c r="O726" s="26" t="s">
        <v>36</v>
      </c>
      <c r="P726" s="26" t="s">
        <v>427</v>
      </c>
      <c r="Q726" s="47">
        <f t="shared" si="109"/>
        <v>0</v>
      </c>
      <c r="R726" s="47">
        <f t="shared" si="110"/>
        <v>0</v>
      </c>
    </row>
    <row r="727" spans="13:18" x14ac:dyDescent="0.15">
      <c r="M727" s="46">
        <v>2021</v>
      </c>
      <c r="N727" s="26" t="s">
        <v>403</v>
      </c>
      <c r="O727" s="26" t="s">
        <v>36</v>
      </c>
      <c r="P727" s="26" t="s">
        <v>429</v>
      </c>
      <c r="Q727" s="47">
        <f t="shared" si="109"/>
        <v>1.0882798295751952</v>
      </c>
      <c r="R727" s="47">
        <f t="shared" si="110"/>
        <v>7.6977447691665777</v>
      </c>
    </row>
    <row r="728" spans="13:18" x14ac:dyDescent="0.15">
      <c r="M728" s="46">
        <v>2021</v>
      </c>
      <c r="N728" s="26" t="s">
        <v>403</v>
      </c>
      <c r="O728" s="26" t="s">
        <v>36</v>
      </c>
      <c r="P728" s="26" t="s">
        <v>430</v>
      </c>
      <c r="Q728" s="47">
        <f t="shared" si="109"/>
        <v>0</v>
      </c>
      <c r="R728" s="47">
        <f t="shared" si="110"/>
        <v>0</v>
      </c>
    </row>
    <row r="729" spans="13:18" x14ac:dyDescent="0.15">
      <c r="M729" s="46">
        <v>2021</v>
      </c>
      <c r="N729" s="26" t="s">
        <v>403</v>
      </c>
      <c r="O729" s="26" t="s">
        <v>36</v>
      </c>
      <c r="P729" s="26" t="s">
        <v>431</v>
      </c>
      <c r="Q729" s="47">
        <f t="shared" si="109"/>
        <v>0</v>
      </c>
      <c r="R729" s="47">
        <f t="shared" si="110"/>
        <v>0</v>
      </c>
    </row>
    <row r="730" spans="13:18" x14ac:dyDescent="0.15">
      <c r="M730" s="46">
        <v>2021</v>
      </c>
      <c r="N730" s="26" t="s">
        <v>403</v>
      </c>
      <c r="O730" s="26" t="s">
        <v>422</v>
      </c>
      <c r="P730" s="26" t="s">
        <v>427</v>
      </c>
      <c r="Q730" s="47">
        <f t="shared" si="109"/>
        <v>0</v>
      </c>
      <c r="R730" s="47">
        <f t="shared" si="110"/>
        <v>0</v>
      </c>
    </row>
    <row r="731" spans="13:18" x14ac:dyDescent="0.15">
      <c r="M731" s="46">
        <v>2021</v>
      </c>
      <c r="N731" s="26" t="s">
        <v>403</v>
      </c>
      <c r="O731" s="26" t="s">
        <v>422</v>
      </c>
      <c r="P731" s="26" t="s">
        <v>429</v>
      </c>
      <c r="Q731" s="47">
        <f t="shared" si="109"/>
        <v>0.86447822157021437</v>
      </c>
      <c r="R731" s="47">
        <f t="shared" si="110"/>
        <v>6.1147257601458147</v>
      </c>
    </row>
    <row r="732" spans="13:18" x14ac:dyDescent="0.15">
      <c r="M732" s="46">
        <v>2021</v>
      </c>
      <c r="N732" s="26" t="s">
        <v>403</v>
      </c>
      <c r="O732" s="26" t="s">
        <v>422</v>
      </c>
      <c r="P732" s="26" t="s">
        <v>430</v>
      </c>
      <c r="Q732" s="47">
        <f t="shared" si="109"/>
        <v>0</v>
      </c>
      <c r="R732" s="47">
        <f t="shared" si="110"/>
        <v>0</v>
      </c>
    </row>
    <row r="733" spans="13:18" x14ac:dyDescent="0.15">
      <c r="M733" s="46">
        <v>2021</v>
      </c>
      <c r="N733" s="26" t="s">
        <v>403</v>
      </c>
      <c r="O733" s="26" t="s">
        <v>422</v>
      </c>
      <c r="P733" s="26" t="s">
        <v>431</v>
      </c>
      <c r="Q733" s="47">
        <f t="shared" si="109"/>
        <v>0</v>
      </c>
      <c r="R733" s="47">
        <f t="shared" si="110"/>
        <v>0</v>
      </c>
    </row>
    <row r="734" spans="13:18" x14ac:dyDescent="0.15">
      <c r="M734" s="46">
        <v>2021</v>
      </c>
      <c r="N734" s="26" t="s">
        <v>403</v>
      </c>
      <c r="O734" s="26" t="s">
        <v>393</v>
      </c>
      <c r="P734" s="26" t="s">
        <v>427</v>
      </c>
      <c r="Q734" s="47">
        <f t="shared" si="109"/>
        <v>0</v>
      </c>
      <c r="R734" s="47">
        <f t="shared" si="110"/>
        <v>0</v>
      </c>
    </row>
    <row r="735" spans="13:18" x14ac:dyDescent="0.15">
      <c r="M735" s="46">
        <v>2021</v>
      </c>
      <c r="N735" s="26" t="s">
        <v>403</v>
      </c>
      <c r="O735" s="26" t="s">
        <v>393</v>
      </c>
      <c r="P735" s="26" t="s">
        <v>429</v>
      </c>
      <c r="Q735" s="47">
        <f t="shared" si="109"/>
        <v>2.1111066395374336</v>
      </c>
      <c r="R735" s="47">
        <f t="shared" si="110"/>
        <v>14.932519789506268</v>
      </c>
    </row>
    <row r="736" spans="13:18" x14ac:dyDescent="0.15">
      <c r="M736" s="46">
        <v>2021</v>
      </c>
      <c r="N736" s="26" t="s">
        <v>403</v>
      </c>
      <c r="O736" s="26" t="s">
        <v>393</v>
      </c>
      <c r="P736" s="26" t="s">
        <v>430</v>
      </c>
      <c r="Q736" s="47">
        <f t="shared" si="109"/>
        <v>0</v>
      </c>
      <c r="R736" s="47">
        <f t="shared" si="110"/>
        <v>0</v>
      </c>
    </row>
    <row r="737" spans="13:18" x14ac:dyDescent="0.15">
      <c r="M737" s="46">
        <v>2021</v>
      </c>
      <c r="N737" s="26" t="s">
        <v>403</v>
      </c>
      <c r="O737" s="26" t="s">
        <v>393</v>
      </c>
      <c r="P737" s="26" t="s">
        <v>431</v>
      </c>
      <c r="Q737" s="47">
        <f t="shared" si="109"/>
        <v>0</v>
      </c>
      <c r="R737" s="47">
        <f t="shared" si="110"/>
        <v>0</v>
      </c>
    </row>
    <row r="738" spans="13:18" x14ac:dyDescent="0.15">
      <c r="M738" s="46">
        <v>2021</v>
      </c>
      <c r="N738" s="26" t="s">
        <v>403</v>
      </c>
      <c r="O738" s="26" t="s">
        <v>37</v>
      </c>
      <c r="P738" s="26" t="s">
        <v>427</v>
      </c>
      <c r="Q738" s="47">
        <f t="shared" si="109"/>
        <v>0</v>
      </c>
      <c r="R738" s="47">
        <f t="shared" si="110"/>
        <v>0</v>
      </c>
    </row>
    <row r="739" spans="13:18" x14ac:dyDescent="0.15">
      <c r="M739" s="46">
        <v>2021</v>
      </c>
      <c r="N739" s="26" t="s">
        <v>403</v>
      </c>
      <c r="O739" s="26" t="s">
        <v>37</v>
      </c>
      <c r="P739" s="26" t="s">
        <v>429</v>
      </c>
      <c r="Q739" s="47">
        <f t="shared" si="109"/>
        <v>1.9102669504841061</v>
      </c>
      <c r="R739" s="47">
        <f t="shared" si="110"/>
        <v>13.511917639363713</v>
      </c>
    </row>
    <row r="740" spans="13:18" x14ac:dyDescent="0.15">
      <c r="M740" s="46">
        <v>2021</v>
      </c>
      <c r="N740" s="26" t="s">
        <v>403</v>
      </c>
      <c r="O740" s="26" t="s">
        <v>37</v>
      </c>
      <c r="P740" s="26" t="s">
        <v>430</v>
      </c>
      <c r="Q740" s="47">
        <f t="shared" si="109"/>
        <v>0</v>
      </c>
      <c r="R740" s="47">
        <f t="shared" si="110"/>
        <v>0</v>
      </c>
    </row>
    <row r="741" spans="13:18" x14ac:dyDescent="0.15">
      <c r="M741" s="46">
        <v>2021</v>
      </c>
      <c r="N741" s="26" t="s">
        <v>403</v>
      </c>
      <c r="O741" s="26" t="s">
        <v>37</v>
      </c>
      <c r="P741" s="26" t="s">
        <v>431</v>
      </c>
      <c r="Q741" s="47">
        <f t="shared" si="109"/>
        <v>0</v>
      </c>
      <c r="R741" s="47">
        <f t="shared" si="110"/>
        <v>0</v>
      </c>
    </row>
    <row r="742" spans="13:18" x14ac:dyDescent="0.15">
      <c r="M742" s="46">
        <v>2021</v>
      </c>
      <c r="N742" s="26" t="s">
        <v>403</v>
      </c>
      <c r="O742" s="26" t="s">
        <v>38</v>
      </c>
      <c r="P742" s="26" t="s">
        <v>427</v>
      </c>
      <c r="Q742" s="47">
        <f t="shared" si="109"/>
        <v>0</v>
      </c>
      <c r="R742" s="47">
        <f t="shared" si="110"/>
        <v>0</v>
      </c>
    </row>
    <row r="743" spans="13:18" x14ac:dyDescent="0.15">
      <c r="M743" s="46">
        <v>2021</v>
      </c>
      <c r="N743" s="26" t="s">
        <v>403</v>
      </c>
      <c r="O743" s="26" t="s">
        <v>38</v>
      </c>
      <c r="P743" s="26" t="s">
        <v>429</v>
      </c>
      <c r="Q743" s="47">
        <f t="shared" si="109"/>
        <v>0.28323496280581428</v>
      </c>
      <c r="R743" s="47">
        <f t="shared" si="110"/>
        <v>2.0034097794816295</v>
      </c>
    </row>
    <row r="744" spans="13:18" x14ac:dyDescent="0.15">
      <c r="M744" s="46">
        <v>2021</v>
      </c>
      <c r="N744" s="26" t="s">
        <v>403</v>
      </c>
      <c r="O744" s="26" t="s">
        <v>38</v>
      </c>
      <c r="P744" s="26" t="s">
        <v>430</v>
      </c>
      <c r="Q744" s="47">
        <f t="shared" si="109"/>
        <v>0</v>
      </c>
      <c r="R744" s="47">
        <f t="shared" si="110"/>
        <v>0</v>
      </c>
    </row>
    <row r="745" spans="13:18" x14ac:dyDescent="0.15">
      <c r="M745" s="46">
        <v>2021</v>
      </c>
      <c r="N745" s="26" t="s">
        <v>403</v>
      </c>
      <c r="O745" s="26" t="s">
        <v>38</v>
      </c>
      <c r="P745" s="26" t="s">
        <v>431</v>
      </c>
      <c r="Q745" s="47">
        <f t="shared" si="109"/>
        <v>0</v>
      </c>
      <c r="R745" s="47">
        <f t="shared" si="110"/>
        <v>0</v>
      </c>
    </row>
    <row r="746" spans="13:18" x14ac:dyDescent="0.15">
      <c r="M746" s="46">
        <v>2021</v>
      </c>
      <c r="N746" s="26" t="s">
        <v>403</v>
      </c>
      <c r="O746" s="26" t="s">
        <v>39</v>
      </c>
      <c r="P746" s="26" t="s">
        <v>427</v>
      </c>
      <c r="Q746" s="47">
        <f t="shared" si="109"/>
        <v>0</v>
      </c>
      <c r="R746" s="47">
        <f t="shared" si="110"/>
        <v>0</v>
      </c>
    </row>
    <row r="747" spans="13:18" x14ac:dyDescent="0.15">
      <c r="M747" s="46">
        <v>2021</v>
      </c>
      <c r="N747" s="26" t="s">
        <v>403</v>
      </c>
      <c r="O747" s="26" t="s">
        <v>39</v>
      </c>
      <c r="P747" s="26" t="s">
        <v>429</v>
      </c>
      <c r="Q747" s="47">
        <f t="shared" si="109"/>
        <v>1.2119900436784343</v>
      </c>
      <c r="R747" s="47">
        <f t="shared" si="110"/>
        <v>8.5727859374637134</v>
      </c>
    </row>
    <row r="748" spans="13:18" x14ac:dyDescent="0.15">
      <c r="M748" s="46">
        <v>2021</v>
      </c>
      <c r="N748" s="26" t="s">
        <v>403</v>
      </c>
      <c r="O748" s="26" t="s">
        <v>39</v>
      </c>
      <c r="P748" s="26" t="s">
        <v>430</v>
      </c>
      <c r="Q748" s="47">
        <f t="shared" si="109"/>
        <v>0</v>
      </c>
      <c r="R748" s="47">
        <f t="shared" si="110"/>
        <v>0</v>
      </c>
    </row>
    <row r="749" spans="13:18" x14ac:dyDescent="0.15">
      <c r="M749" s="46">
        <v>2021</v>
      </c>
      <c r="N749" s="26" t="s">
        <v>403</v>
      </c>
      <c r="O749" s="26" t="s">
        <v>39</v>
      </c>
      <c r="P749" s="26" t="s">
        <v>431</v>
      </c>
      <c r="Q749" s="47">
        <f t="shared" si="109"/>
        <v>0</v>
      </c>
      <c r="R749" s="47">
        <f t="shared" si="110"/>
        <v>0</v>
      </c>
    </row>
    <row r="750" spans="13:18" x14ac:dyDescent="0.15">
      <c r="M750" s="46">
        <v>2021</v>
      </c>
      <c r="N750" s="26" t="s">
        <v>403</v>
      </c>
      <c r="O750" s="26" t="s">
        <v>40</v>
      </c>
      <c r="P750" s="26" t="s">
        <v>427</v>
      </c>
      <c r="Q750" s="47">
        <f t="shared" si="109"/>
        <v>0</v>
      </c>
      <c r="R750" s="47">
        <f t="shared" si="110"/>
        <v>0</v>
      </c>
    </row>
    <row r="751" spans="13:18" x14ac:dyDescent="0.15">
      <c r="M751" s="46">
        <v>2021</v>
      </c>
      <c r="N751" s="26" t="s">
        <v>403</v>
      </c>
      <c r="O751" s="26" t="s">
        <v>40</v>
      </c>
      <c r="P751" s="26" t="s">
        <v>429</v>
      </c>
      <c r="Q751" s="47">
        <f t="shared" si="109"/>
        <v>75.722377856984536</v>
      </c>
      <c r="R751" s="47">
        <f t="shared" si="110"/>
        <v>535.60814251697252</v>
      </c>
    </row>
    <row r="752" spans="13:18" x14ac:dyDescent="0.15">
      <c r="M752" s="46">
        <v>2021</v>
      </c>
      <c r="N752" s="26" t="s">
        <v>403</v>
      </c>
      <c r="O752" s="26" t="s">
        <v>40</v>
      </c>
      <c r="P752" s="26" t="s">
        <v>430</v>
      </c>
      <c r="Q752" s="47">
        <f t="shared" si="109"/>
        <v>0</v>
      </c>
      <c r="R752" s="47">
        <f t="shared" si="110"/>
        <v>0</v>
      </c>
    </row>
    <row r="753" spans="13:18" x14ac:dyDescent="0.15">
      <c r="M753" s="46">
        <v>2021</v>
      </c>
      <c r="N753" s="26" t="s">
        <v>403</v>
      </c>
      <c r="O753" s="26" t="s">
        <v>40</v>
      </c>
      <c r="P753" s="26" t="s">
        <v>431</v>
      </c>
      <c r="Q753" s="47">
        <f t="shared" si="109"/>
        <v>0</v>
      </c>
      <c r="R753" s="47">
        <f t="shared" si="110"/>
        <v>0</v>
      </c>
    </row>
    <row r="754" spans="13:18" x14ac:dyDescent="0.15">
      <c r="M754" s="46">
        <v>2021</v>
      </c>
      <c r="N754" s="26" t="s">
        <v>403</v>
      </c>
      <c r="O754" s="26" t="s">
        <v>41</v>
      </c>
      <c r="P754" s="26" t="s">
        <v>427</v>
      </c>
      <c r="Q754" s="47">
        <f t="shared" si="109"/>
        <v>0</v>
      </c>
      <c r="R754" s="47">
        <f t="shared" si="110"/>
        <v>0</v>
      </c>
    </row>
    <row r="755" spans="13:18" x14ac:dyDescent="0.15">
      <c r="M755" s="46">
        <v>2021</v>
      </c>
      <c r="N755" s="26" t="s">
        <v>403</v>
      </c>
      <c r="O755" s="26" t="s">
        <v>41</v>
      </c>
      <c r="P755" s="26" t="s">
        <v>429</v>
      </c>
      <c r="Q755" s="47">
        <f t="shared" si="109"/>
        <v>16.380648593395687</v>
      </c>
      <c r="R755" s="47">
        <f t="shared" si="110"/>
        <v>115.86546823585593</v>
      </c>
    </row>
    <row r="756" spans="13:18" x14ac:dyDescent="0.15">
      <c r="M756" s="46">
        <v>2021</v>
      </c>
      <c r="N756" s="26" t="s">
        <v>403</v>
      </c>
      <c r="O756" s="26" t="s">
        <v>41</v>
      </c>
      <c r="P756" s="26" t="s">
        <v>430</v>
      </c>
      <c r="Q756" s="47">
        <f t="shared" si="109"/>
        <v>0</v>
      </c>
      <c r="R756" s="47">
        <f t="shared" si="110"/>
        <v>0</v>
      </c>
    </row>
    <row r="757" spans="13:18" x14ac:dyDescent="0.15">
      <c r="M757" s="46">
        <v>2021</v>
      </c>
      <c r="N757" s="26" t="s">
        <v>403</v>
      </c>
      <c r="O757" s="26" t="s">
        <v>41</v>
      </c>
      <c r="P757" s="26" t="s">
        <v>431</v>
      </c>
      <c r="Q757" s="47">
        <f t="shared" si="109"/>
        <v>0</v>
      </c>
      <c r="R757" s="47">
        <f t="shared" si="110"/>
        <v>0</v>
      </c>
    </row>
    <row r="758" spans="13:18" x14ac:dyDescent="0.15">
      <c r="M758" s="46">
        <v>2021</v>
      </c>
      <c r="N758" s="26" t="s">
        <v>403</v>
      </c>
      <c r="O758" s="26" t="s">
        <v>42</v>
      </c>
      <c r="P758" s="26" t="s">
        <v>427</v>
      </c>
      <c r="Q758" s="47">
        <f t="shared" si="109"/>
        <v>0</v>
      </c>
      <c r="R758" s="47">
        <f t="shared" si="110"/>
        <v>0</v>
      </c>
    </row>
    <row r="759" spans="13:18" x14ac:dyDescent="0.15">
      <c r="M759" s="46">
        <v>2021</v>
      </c>
      <c r="N759" s="26" t="s">
        <v>403</v>
      </c>
      <c r="O759" s="26" t="s">
        <v>42</v>
      </c>
      <c r="P759" s="26" t="s">
        <v>429</v>
      </c>
      <c r="Q759" s="47">
        <f t="shared" si="109"/>
        <v>0.89431641733862877</v>
      </c>
      <c r="R759" s="47">
        <f t="shared" si="110"/>
        <v>6.3257806829291736</v>
      </c>
    </row>
    <row r="760" spans="13:18" x14ac:dyDescent="0.15">
      <c r="M760" s="46">
        <v>2021</v>
      </c>
      <c r="N760" s="26" t="s">
        <v>403</v>
      </c>
      <c r="O760" s="26" t="s">
        <v>42</v>
      </c>
      <c r="P760" s="26" t="s">
        <v>430</v>
      </c>
      <c r="Q760" s="47">
        <f t="shared" si="109"/>
        <v>0</v>
      </c>
      <c r="R760" s="47">
        <f t="shared" si="110"/>
        <v>0</v>
      </c>
    </row>
    <row r="761" spans="13:18" x14ac:dyDescent="0.15">
      <c r="M761" s="46">
        <v>2021</v>
      </c>
      <c r="N761" s="26" t="s">
        <v>403</v>
      </c>
      <c r="O761" s="26" t="s">
        <v>42</v>
      </c>
      <c r="P761" s="26" t="s">
        <v>431</v>
      </c>
      <c r="Q761" s="47">
        <f t="shared" si="109"/>
        <v>0</v>
      </c>
      <c r="R761" s="47">
        <f t="shared" si="110"/>
        <v>0</v>
      </c>
    </row>
    <row r="762" spans="13:18" x14ac:dyDescent="0.15">
      <c r="M762" s="46">
        <v>2021</v>
      </c>
      <c r="N762" s="26" t="s">
        <v>403</v>
      </c>
      <c r="O762" s="26" t="s">
        <v>43</v>
      </c>
      <c r="P762" s="26" t="s">
        <v>427</v>
      </c>
      <c r="Q762" s="47">
        <f t="shared" si="109"/>
        <v>0</v>
      </c>
      <c r="R762" s="47">
        <f t="shared" si="110"/>
        <v>0</v>
      </c>
    </row>
    <row r="763" spans="13:18" x14ac:dyDescent="0.15">
      <c r="M763" s="46">
        <v>2021</v>
      </c>
      <c r="N763" s="26" t="s">
        <v>403</v>
      </c>
      <c r="O763" s="26" t="s">
        <v>43</v>
      </c>
      <c r="P763" s="26" t="s">
        <v>429</v>
      </c>
      <c r="Q763" s="47">
        <f t="shared" si="109"/>
        <v>0.38750484084399706</v>
      </c>
      <c r="R763" s="47">
        <f t="shared" si="110"/>
        <v>2.7409433498349145</v>
      </c>
    </row>
    <row r="764" spans="13:18" x14ac:dyDescent="0.15">
      <c r="M764" s="46">
        <v>2021</v>
      </c>
      <c r="N764" s="26" t="s">
        <v>403</v>
      </c>
      <c r="O764" s="26" t="s">
        <v>43</v>
      </c>
      <c r="P764" s="26" t="s">
        <v>430</v>
      </c>
      <c r="Q764" s="47">
        <f t="shared" si="109"/>
        <v>0</v>
      </c>
      <c r="R764" s="47">
        <f t="shared" si="110"/>
        <v>0</v>
      </c>
    </row>
    <row r="765" spans="13:18" x14ac:dyDescent="0.15">
      <c r="M765" s="46">
        <v>2021</v>
      </c>
      <c r="N765" s="26" t="s">
        <v>403</v>
      </c>
      <c r="O765" s="26" t="s">
        <v>43</v>
      </c>
      <c r="P765" s="26" t="s">
        <v>431</v>
      </c>
      <c r="Q765" s="47">
        <f t="shared" si="109"/>
        <v>0</v>
      </c>
      <c r="R765" s="47">
        <f t="shared" si="110"/>
        <v>0</v>
      </c>
    </row>
    <row r="766" spans="13:18" x14ac:dyDescent="0.15">
      <c r="M766" s="46">
        <v>2021</v>
      </c>
      <c r="N766" s="26" t="s">
        <v>403</v>
      </c>
      <c r="O766" s="26" t="s">
        <v>44</v>
      </c>
      <c r="P766" s="26" t="s">
        <v>427</v>
      </c>
      <c r="Q766" s="47">
        <f t="shared" si="109"/>
        <v>0</v>
      </c>
      <c r="R766" s="47">
        <f t="shared" si="110"/>
        <v>0</v>
      </c>
    </row>
    <row r="767" spans="13:18" x14ac:dyDescent="0.15">
      <c r="M767" s="46">
        <v>2021</v>
      </c>
      <c r="N767" s="26" t="s">
        <v>403</v>
      </c>
      <c r="O767" s="26" t="s">
        <v>44</v>
      </c>
      <c r="P767" s="26" t="s">
        <v>429</v>
      </c>
      <c r="Q767" s="47">
        <f t="shared" si="109"/>
        <v>9.4988554224981527</v>
      </c>
      <c r="R767" s="47">
        <f t="shared" si="110"/>
        <v>67.188385426702879</v>
      </c>
    </row>
    <row r="768" spans="13:18" x14ac:dyDescent="0.15">
      <c r="M768" s="46">
        <v>2021</v>
      </c>
      <c r="N768" s="26" t="s">
        <v>403</v>
      </c>
      <c r="O768" s="26" t="s">
        <v>44</v>
      </c>
      <c r="P768" s="26" t="s">
        <v>430</v>
      </c>
      <c r="Q768" s="47">
        <f t="shared" si="109"/>
        <v>0</v>
      </c>
      <c r="R768" s="47">
        <f t="shared" si="110"/>
        <v>0</v>
      </c>
    </row>
    <row r="769" spans="13:18" x14ac:dyDescent="0.15">
      <c r="M769" s="46">
        <v>2021</v>
      </c>
      <c r="N769" s="26" t="s">
        <v>403</v>
      </c>
      <c r="O769" s="26" t="s">
        <v>44</v>
      </c>
      <c r="P769" s="26" t="s">
        <v>431</v>
      </c>
      <c r="Q769" s="47">
        <f t="shared" si="109"/>
        <v>0</v>
      </c>
      <c r="R769" s="47">
        <f t="shared" si="110"/>
        <v>0</v>
      </c>
    </row>
    <row r="770" spans="13:18" x14ac:dyDescent="0.15">
      <c r="M770" s="46">
        <v>2021</v>
      </c>
      <c r="N770" s="26" t="s">
        <v>403</v>
      </c>
      <c r="O770" s="26" t="s">
        <v>45</v>
      </c>
      <c r="P770" s="26" t="s">
        <v>427</v>
      </c>
      <c r="Q770" s="47">
        <f t="shared" ref="Q770:Q833" si="111">SUMIFS(D:D,B:B,N770,C:C,P770,A:A,M770)*SUMIFS(K:K,G:G,N770,I:I,O770)</f>
        <v>0</v>
      </c>
      <c r="R770" s="47">
        <f t="shared" ref="R770:R833" si="112">SUMIFS(E:E,B:B,N770,C:C,P770,A:A,M770)*SUMIFS(K:K,G:G,N770,I:I,O770)</f>
        <v>0</v>
      </c>
    </row>
    <row r="771" spans="13:18" x14ac:dyDescent="0.15">
      <c r="M771" s="46">
        <v>2021</v>
      </c>
      <c r="N771" s="26" t="s">
        <v>403</v>
      </c>
      <c r="O771" s="26" t="s">
        <v>45</v>
      </c>
      <c r="P771" s="26" t="s">
        <v>429</v>
      </c>
      <c r="Q771" s="47">
        <f t="shared" si="111"/>
        <v>26.685243727774161</v>
      </c>
      <c r="R771" s="47">
        <f t="shared" si="112"/>
        <v>188.75310350977651</v>
      </c>
    </row>
    <row r="772" spans="13:18" x14ac:dyDescent="0.15">
      <c r="M772" s="46">
        <v>2021</v>
      </c>
      <c r="N772" s="26" t="s">
        <v>403</v>
      </c>
      <c r="O772" s="26" t="s">
        <v>45</v>
      </c>
      <c r="P772" s="26" t="s">
        <v>430</v>
      </c>
      <c r="Q772" s="47">
        <f t="shared" si="111"/>
        <v>0</v>
      </c>
      <c r="R772" s="47">
        <f t="shared" si="112"/>
        <v>0</v>
      </c>
    </row>
    <row r="773" spans="13:18" x14ac:dyDescent="0.15">
      <c r="M773" s="46">
        <v>2021</v>
      </c>
      <c r="N773" s="26" t="s">
        <v>403</v>
      </c>
      <c r="O773" s="26" t="s">
        <v>45</v>
      </c>
      <c r="P773" s="26" t="s">
        <v>431</v>
      </c>
      <c r="Q773" s="47">
        <f t="shared" si="111"/>
        <v>0</v>
      </c>
      <c r="R773" s="47">
        <f t="shared" si="112"/>
        <v>0</v>
      </c>
    </row>
    <row r="774" spans="13:18" x14ac:dyDescent="0.15">
      <c r="M774" s="46">
        <v>2021</v>
      </c>
      <c r="N774" s="26" t="s">
        <v>403</v>
      </c>
      <c r="O774" s="26" t="s">
        <v>46</v>
      </c>
      <c r="P774" s="26" t="s">
        <v>427</v>
      </c>
      <c r="Q774" s="47">
        <f t="shared" si="111"/>
        <v>0</v>
      </c>
      <c r="R774" s="47">
        <f t="shared" si="112"/>
        <v>0</v>
      </c>
    </row>
    <row r="775" spans="13:18" x14ac:dyDescent="0.15">
      <c r="M775" s="46">
        <v>2021</v>
      </c>
      <c r="N775" s="26" t="s">
        <v>403</v>
      </c>
      <c r="O775" s="26" t="s">
        <v>46</v>
      </c>
      <c r="P775" s="26" t="s">
        <v>429</v>
      </c>
      <c r="Q775" s="47">
        <f t="shared" si="111"/>
        <v>4.7515504210412489</v>
      </c>
      <c r="R775" s="47">
        <f t="shared" si="112"/>
        <v>33.60920730588095</v>
      </c>
    </row>
    <row r="776" spans="13:18" x14ac:dyDescent="0.15">
      <c r="M776" s="46">
        <v>2021</v>
      </c>
      <c r="N776" s="26" t="s">
        <v>403</v>
      </c>
      <c r="O776" s="26" t="s">
        <v>46</v>
      </c>
      <c r="P776" s="26" t="s">
        <v>430</v>
      </c>
      <c r="Q776" s="47">
        <f t="shared" si="111"/>
        <v>0</v>
      </c>
      <c r="R776" s="47">
        <f t="shared" si="112"/>
        <v>0</v>
      </c>
    </row>
    <row r="777" spans="13:18" x14ac:dyDescent="0.15">
      <c r="M777" s="46">
        <v>2021</v>
      </c>
      <c r="N777" s="26" t="s">
        <v>403</v>
      </c>
      <c r="O777" s="26" t="s">
        <v>46</v>
      </c>
      <c r="P777" s="26" t="s">
        <v>431</v>
      </c>
      <c r="Q777" s="47">
        <f t="shared" si="111"/>
        <v>0</v>
      </c>
      <c r="R777" s="47">
        <f t="shared" si="112"/>
        <v>0</v>
      </c>
    </row>
    <row r="778" spans="13:18" x14ac:dyDescent="0.15">
      <c r="M778" s="46">
        <v>2021</v>
      </c>
      <c r="N778" s="26" t="s">
        <v>403</v>
      </c>
      <c r="O778" s="26" t="s">
        <v>47</v>
      </c>
      <c r="P778" s="26" t="s">
        <v>427</v>
      </c>
      <c r="Q778" s="47">
        <f t="shared" si="111"/>
        <v>0</v>
      </c>
      <c r="R778" s="47">
        <f t="shared" si="112"/>
        <v>0</v>
      </c>
    </row>
    <row r="779" spans="13:18" x14ac:dyDescent="0.15">
      <c r="M779" s="46">
        <v>2021</v>
      </c>
      <c r="N779" s="26" t="s">
        <v>403</v>
      </c>
      <c r="O779" s="26" t="s">
        <v>47</v>
      </c>
      <c r="P779" s="26" t="s">
        <v>429</v>
      </c>
      <c r="Q779" s="47">
        <f t="shared" si="111"/>
        <v>1.4101554824278228</v>
      </c>
      <c r="R779" s="47">
        <f t="shared" si="112"/>
        <v>9.974472275947214</v>
      </c>
    </row>
    <row r="780" spans="13:18" x14ac:dyDescent="0.15">
      <c r="M780" s="46">
        <v>2021</v>
      </c>
      <c r="N780" s="26" t="s">
        <v>403</v>
      </c>
      <c r="O780" s="26" t="s">
        <v>47</v>
      </c>
      <c r="P780" s="26" t="s">
        <v>430</v>
      </c>
      <c r="Q780" s="47">
        <f t="shared" si="111"/>
        <v>0</v>
      </c>
      <c r="R780" s="47">
        <f t="shared" si="112"/>
        <v>0</v>
      </c>
    </row>
    <row r="781" spans="13:18" x14ac:dyDescent="0.15">
      <c r="M781" s="46">
        <v>2021</v>
      </c>
      <c r="N781" s="26" t="s">
        <v>403</v>
      </c>
      <c r="O781" s="26" t="s">
        <v>47</v>
      </c>
      <c r="P781" s="26" t="s">
        <v>431</v>
      </c>
      <c r="Q781" s="47">
        <f t="shared" si="111"/>
        <v>0</v>
      </c>
      <c r="R781" s="47">
        <f t="shared" si="112"/>
        <v>0</v>
      </c>
    </row>
    <row r="782" spans="13:18" x14ac:dyDescent="0.15">
      <c r="M782" s="46">
        <v>2021</v>
      </c>
      <c r="N782" s="26" t="s">
        <v>403</v>
      </c>
      <c r="O782" s="26" t="s">
        <v>48</v>
      </c>
      <c r="P782" s="26" t="s">
        <v>427</v>
      </c>
      <c r="Q782" s="47">
        <f t="shared" si="111"/>
        <v>0</v>
      </c>
      <c r="R782" s="47">
        <f t="shared" si="112"/>
        <v>0</v>
      </c>
    </row>
    <row r="783" spans="13:18" x14ac:dyDescent="0.15">
      <c r="M783" s="46">
        <v>2021</v>
      </c>
      <c r="N783" s="26" t="s">
        <v>403</v>
      </c>
      <c r="O783" s="26" t="s">
        <v>48</v>
      </c>
      <c r="P783" s="26" t="s">
        <v>429</v>
      </c>
      <c r="Q783" s="47">
        <f t="shared" si="111"/>
        <v>0.9604549886688819</v>
      </c>
      <c r="R783" s="47">
        <f t="shared" si="112"/>
        <v>6.7935995541990186</v>
      </c>
    </row>
    <row r="784" spans="13:18" x14ac:dyDescent="0.15">
      <c r="M784" s="46">
        <v>2021</v>
      </c>
      <c r="N784" s="26" t="s">
        <v>403</v>
      </c>
      <c r="O784" s="26" t="s">
        <v>48</v>
      </c>
      <c r="P784" s="26" t="s">
        <v>430</v>
      </c>
      <c r="Q784" s="47">
        <f t="shared" si="111"/>
        <v>0</v>
      </c>
      <c r="R784" s="47">
        <f t="shared" si="112"/>
        <v>0</v>
      </c>
    </row>
    <row r="785" spans="13:18" x14ac:dyDescent="0.15">
      <c r="M785" s="46">
        <v>2021</v>
      </c>
      <c r="N785" s="26" t="s">
        <v>403</v>
      </c>
      <c r="O785" s="26" t="s">
        <v>48</v>
      </c>
      <c r="P785" s="26" t="s">
        <v>431</v>
      </c>
      <c r="Q785" s="47">
        <f t="shared" si="111"/>
        <v>0</v>
      </c>
      <c r="R785" s="47">
        <f t="shared" si="112"/>
        <v>0</v>
      </c>
    </row>
    <row r="786" spans="13:18" x14ac:dyDescent="0.15">
      <c r="M786" s="46">
        <v>2021</v>
      </c>
      <c r="N786" s="26" t="s">
        <v>403</v>
      </c>
      <c r="O786" s="26" t="s">
        <v>49</v>
      </c>
      <c r="P786" s="26" t="s">
        <v>427</v>
      </c>
      <c r="Q786" s="47">
        <f t="shared" si="111"/>
        <v>0</v>
      </c>
      <c r="R786" s="47">
        <f t="shared" si="112"/>
        <v>0</v>
      </c>
    </row>
    <row r="787" spans="13:18" x14ac:dyDescent="0.15">
      <c r="M787" s="46">
        <v>2021</v>
      </c>
      <c r="N787" s="26" t="s">
        <v>403</v>
      </c>
      <c r="O787" s="26" t="s">
        <v>49</v>
      </c>
      <c r="P787" s="26" t="s">
        <v>429</v>
      </c>
      <c r="Q787" s="47">
        <f t="shared" si="111"/>
        <v>0.51145409394358654</v>
      </c>
      <c r="R787" s="47">
        <f t="shared" si="112"/>
        <v>3.6176753159707831</v>
      </c>
    </row>
    <row r="788" spans="13:18" x14ac:dyDescent="0.15">
      <c r="M788" s="46">
        <v>2021</v>
      </c>
      <c r="N788" s="26" t="s">
        <v>403</v>
      </c>
      <c r="O788" s="26" t="s">
        <v>49</v>
      </c>
      <c r="P788" s="26" t="s">
        <v>430</v>
      </c>
      <c r="Q788" s="47">
        <f t="shared" si="111"/>
        <v>0</v>
      </c>
      <c r="R788" s="47">
        <f t="shared" si="112"/>
        <v>0</v>
      </c>
    </row>
    <row r="789" spans="13:18" x14ac:dyDescent="0.15">
      <c r="M789" s="46">
        <v>2021</v>
      </c>
      <c r="N789" s="26" t="s">
        <v>403</v>
      </c>
      <c r="O789" s="26" t="s">
        <v>49</v>
      </c>
      <c r="P789" s="26" t="s">
        <v>431</v>
      </c>
      <c r="Q789" s="47">
        <f t="shared" si="111"/>
        <v>0</v>
      </c>
      <c r="R789" s="47">
        <f t="shared" si="112"/>
        <v>0</v>
      </c>
    </row>
    <row r="790" spans="13:18" x14ac:dyDescent="0.15">
      <c r="M790" s="46">
        <v>2021</v>
      </c>
      <c r="N790" s="26" t="s">
        <v>403</v>
      </c>
      <c r="O790" s="26" t="s">
        <v>50</v>
      </c>
      <c r="P790" s="26" t="s">
        <v>427</v>
      </c>
      <c r="Q790" s="47">
        <f t="shared" si="111"/>
        <v>0</v>
      </c>
      <c r="R790" s="47">
        <f t="shared" si="112"/>
        <v>0</v>
      </c>
    </row>
    <row r="791" spans="13:18" x14ac:dyDescent="0.15">
      <c r="M791" s="46">
        <v>2021</v>
      </c>
      <c r="N791" s="26" t="s">
        <v>403</v>
      </c>
      <c r="O791" s="26" t="s">
        <v>50</v>
      </c>
      <c r="P791" s="26" t="s">
        <v>429</v>
      </c>
      <c r="Q791" s="47">
        <f t="shared" si="111"/>
        <v>0.31636848205052664</v>
      </c>
      <c r="R791" s="47">
        <f t="shared" si="112"/>
        <v>2.2377735593833701</v>
      </c>
    </row>
    <row r="792" spans="13:18" x14ac:dyDescent="0.15">
      <c r="M792" s="46">
        <v>2021</v>
      </c>
      <c r="N792" s="26" t="s">
        <v>403</v>
      </c>
      <c r="O792" s="26" t="s">
        <v>50</v>
      </c>
      <c r="P792" s="26" t="s">
        <v>430</v>
      </c>
      <c r="Q792" s="47">
        <f t="shared" si="111"/>
        <v>0</v>
      </c>
      <c r="R792" s="47">
        <f t="shared" si="112"/>
        <v>0</v>
      </c>
    </row>
    <row r="793" spans="13:18" x14ac:dyDescent="0.15">
      <c r="M793" s="46">
        <v>2021</v>
      </c>
      <c r="N793" s="26" t="s">
        <v>403</v>
      </c>
      <c r="O793" s="26" t="s">
        <v>50</v>
      </c>
      <c r="P793" s="26" t="s">
        <v>431</v>
      </c>
      <c r="Q793" s="47">
        <f t="shared" si="111"/>
        <v>0</v>
      </c>
      <c r="R793" s="47">
        <f t="shared" si="112"/>
        <v>0</v>
      </c>
    </row>
    <row r="794" spans="13:18" x14ac:dyDescent="0.15">
      <c r="M794" s="46">
        <v>2021</v>
      </c>
      <c r="N794" s="26" t="s">
        <v>403</v>
      </c>
      <c r="O794" s="26" t="s">
        <v>51</v>
      </c>
      <c r="P794" s="26" t="s">
        <v>427</v>
      </c>
      <c r="Q794" s="47">
        <f t="shared" si="111"/>
        <v>0</v>
      </c>
      <c r="R794" s="47">
        <f t="shared" si="112"/>
        <v>0</v>
      </c>
    </row>
    <row r="795" spans="13:18" x14ac:dyDescent="0.15">
      <c r="M795" s="46">
        <v>2021</v>
      </c>
      <c r="N795" s="26" t="s">
        <v>403</v>
      </c>
      <c r="O795" s="26" t="s">
        <v>51</v>
      </c>
      <c r="P795" s="26" t="s">
        <v>429</v>
      </c>
      <c r="Q795" s="47">
        <f t="shared" si="111"/>
        <v>0.70765986378568557</v>
      </c>
      <c r="R795" s="47">
        <f t="shared" si="112"/>
        <v>5.0055003012706338</v>
      </c>
    </row>
    <row r="796" spans="13:18" x14ac:dyDescent="0.15">
      <c r="M796" s="46">
        <v>2021</v>
      </c>
      <c r="N796" s="26" t="s">
        <v>403</v>
      </c>
      <c r="O796" s="26" t="s">
        <v>51</v>
      </c>
      <c r="P796" s="26" t="s">
        <v>430</v>
      </c>
      <c r="Q796" s="47">
        <f t="shared" si="111"/>
        <v>0</v>
      </c>
      <c r="R796" s="47">
        <f t="shared" si="112"/>
        <v>0</v>
      </c>
    </row>
    <row r="797" spans="13:18" x14ac:dyDescent="0.15">
      <c r="M797" s="46">
        <v>2021</v>
      </c>
      <c r="N797" s="26" t="s">
        <v>403</v>
      </c>
      <c r="O797" s="26" t="s">
        <v>51</v>
      </c>
      <c r="P797" s="26" t="s">
        <v>431</v>
      </c>
      <c r="Q797" s="47">
        <f t="shared" si="111"/>
        <v>0</v>
      </c>
      <c r="R797" s="47">
        <f t="shared" si="112"/>
        <v>0</v>
      </c>
    </row>
    <row r="798" spans="13:18" x14ac:dyDescent="0.15">
      <c r="M798" s="46">
        <v>2021</v>
      </c>
      <c r="N798" s="26" t="s">
        <v>403</v>
      </c>
      <c r="O798" s="26" t="s">
        <v>52</v>
      </c>
      <c r="P798" s="26" t="s">
        <v>427</v>
      </c>
      <c r="Q798" s="47">
        <f t="shared" si="111"/>
        <v>0</v>
      </c>
      <c r="R798" s="47">
        <f t="shared" si="112"/>
        <v>0</v>
      </c>
    </row>
    <row r="799" spans="13:18" x14ac:dyDescent="0.15">
      <c r="M799" s="46">
        <v>2021</v>
      </c>
      <c r="N799" s="26" t="s">
        <v>403</v>
      </c>
      <c r="O799" s="26" t="s">
        <v>52</v>
      </c>
      <c r="P799" s="26" t="s">
        <v>429</v>
      </c>
      <c r="Q799" s="47">
        <f t="shared" si="111"/>
        <v>0.21478066895486028</v>
      </c>
      <c r="R799" s="47">
        <f t="shared" si="112"/>
        <v>1.5192110760802597</v>
      </c>
    </row>
    <row r="800" spans="13:18" x14ac:dyDescent="0.15">
      <c r="M800" s="46">
        <v>2021</v>
      </c>
      <c r="N800" s="26" t="s">
        <v>403</v>
      </c>
      <c r="O800" s="26" t="s">
        <v>52</v>
      </c>
      <c r="P800" s="26" t="s">
        <v>430</v>
      </c>
      <c r="Q800" s="47">
        <f t="shared" si="111"/>
        <v>0</v>
      </c>
      <c r="R800" s="47">
        <f t="shared" si="112"/>
        <v>0</v>
      </c>
    </row>
    <row r="801" spans="13:18" x14ac:dyDescent="0.15">
      <c r="M801" s="46">
        <v>2021</v>
      </c>
      <c r="N801" s="26" t="s">
        <v>403</v>
      </c>
      <c r="O801" s="26" t="s">
        <v>52</v>
      </c>
      <c r="P801" s="26" t="s">
        <v>431</v>
      </c>
      <c r="Q801" s="47">
        <f t="shared" si="111"/>
        <v>0</v>
      </c>
      <c r="R801" s="47">
        <f t="shared" si="112"/>
        <v>0</v>
      </c>
    </row>
    <row r="802" spans="13:18" x14ac:dyDescent="0.15">
      <c r="M802" s="46">
        <v>2021</v>
      </c>
      <c r="N802" s="26" t="s">
        <v>403</v>
      </c>
      <c r="O802" s="26" t="s">
        <v>53</v>
      </c>
      <c r="P802" s="26" t="s">
        <v>427</v>
      </c>
      <c r="Q802" s="47">
        <f t="shared" si="111"/>
        <v>0</v>
      </c>
      <c r="R802" s="47">
        <f t="shared" si="112"/>
        <v>0</v>
      </c>
    </row>
    <row r="803" spans="13:18" x14ac:dyDescent="0.15">
      <c r="M803" s="46">
        <v>2021</v>
      </c>
      <c r="N803" s="26" t="s">
        <v>403</v>
      </c>
      <c r="O803" s="26" t="s">
        <v>53</v>
      </c>
      <c r="P803" s="26" t="s">
        <v>429</v>
      </c>
      <c r="Q803" s="47">
        <f t="shared" si="111"/>
        <v>0.71237869232443907</v>
      </c>
      <c r="R803" s="47">
        <f t="shared" si="112"/>
        <v>5.0388780564339939</v>
      </c>
    </row>
    <row r="804" spans="13:18" x14ac:dyDescent="0.15">
      <c r="M804" s="46">
        <v>2021</v>
      </c>
      <c r="N804" s="26" t="s">
        <v>403</v>
      </c>
      <c r="O804" s="26" t="s">
        <v>53</v>
      </c>
      <c r="P804" s="26" t="s">
        <v>430</v>
      </c>
      <c r="Q804" s="47">
        <f t="shared" si="111"/>
        <v>0</v>
      </c>
      <c r="R804" s="47">
        <f t="shared" si="112"/>
        <v>0</v>
      </c>
    </row>
    <row r="805" spans="13:18" x14ac:dyDescent="0.15">
      <c r="M805" s="46">
        <v>2021</v>
      </c>
      <c r="N805" s="26" t="s">
        <v>403</v>
      </c>
      <c r="O805" s="26" t="s">
        <v>53</v>
      </c>
      <c r="P805" s="26" t="s">
        <v>431</v>
      </c>
      <c r="Q805" s="47">
        <f t="shared" si="111"/>
        <v>0</v>
      </c>
      <c r="R805" s="47">
        <f t="shared" si="112"/>
        <v>0</v>
      </c>
    </row>
    <row r="806" spans="13:18" x14ac:dyDescent="0.15">
      <c r="M806" s="46">
        <v>2021</v>
      </c>
      <c r="N806" s="26" t="s">
        <v>403</v>
      </c>
      <c r="O806" s="26" t="s">
        <v>54</v>
      </c>
      <c r="P806" s="26" t="s">
        <v>427</v>
      </c>
      <c r="Q806" s="47">
        <f t="shared" si="111"/>
        <v>0</v>
      </c>
      <c r="R806" s="47">
        <f t="shared" si="112"/>
        <v>0</v>
      </c>
    </row>
    <row r="807" spans="13:18" x14ac:dyDescent="0.15">
      <c r="M807" s="46">
        <v>2021</v>
      </c>
      <c r="N807" s="26" t="s">
        <v>403</v>
      </c>
      <c r="O807" s="26" t="s">
        <v>54</v>
      </c>
      <c r="P807" s="26" t="s">
        <v>429</v>
      </c>
      <c r="Q807" s="47">
        <f t="shared" si="111"/>
        <v>1.7088447425228179</v>
      </c>
      <c r="R807" s="47">
        <f t="shared" si="112"/>
        <v>12.087195150173395</v>
      </c>
    </row>
    <row r="808" spans="13:18" x14ac:dyDescent="0.15">
      <c r="M808" s="46">
        <v>2021</v>
      </c>
      <c r="N808" s="26" t="s">
        <v>403</v>
      </c>
      <c r="O808" s="26" t="s">
        <v>54</v>
      </c>
      <c r="P808" s="26" t="s">
        <v>430</v>
      </c>
      <c r="Q808" s="47">
        <f t="shared" si="111"/>
        <v>0</v>
      </c>
      <c r="R808" s="47">
        <f t="shared" si="112"/>
        <v>0</v>
      </c>
    </row>
    <row r="809" spans="13:18" x14ac:dyDescent="0.15">
      <c r="M809" s="46">
        <v>2021</v>
      </c>
      <c r="N809" s="26" t="s">
        <v>403</v>
      </c>
      <c r="O809" s="26" t="s">
        <v>54</v>
      </c>
      <c r="P809" s="26" t="s">
        <v>431</v>
      </c>
      <c r="Q809" s="47">
        <f t="shared" si="111"/>
        <v>0</v>
      </c>
      <c r="R809" s="47">
        <f t="shared" si="112"/>
        <v>0</v>
      </c>
    </row>
    <row r="810" spans="13:18" x14ac:dyDescent="0.15">
      <c r="M810" s="46">
        <v>2021</v>
      </c>
      <c r="N810" s="26" t="s">
        <v>403</v>
      </c>
      <c r="O810" s="26" t="s">
        <v>408</v>
      </c>
      <c r="P810" s="26" t="s">
        <v>427</v>
      </c>
      <c r="Q810" s="47">
        <f t="shared" si="111"/>
        <v>0</v>
      </c>
      <c r="R810" s="47">
        <f t="shared" si="112"/>
        <v>0</v>
      </c>
    </row>
    <row r="811" spans="13:18" x14ac:dyDescent="0.15">
      <c r="M811" s="46">
        <v>2021</v>
      </c>
      <c r="N811" s="26" t="s">
        <v>403</v>
      </c>
      <c r="O811" s="26" t="s">
        <v>408</v>
      </c>
      <c r="P811" s="26" t="s">
        <v>429</v>
      </c>
      <c r="Q811" s="47">
        <f t="shared" si="111"/>
        <v>0.49202849257411585</v>
      </c>
      <c r="R811" s="47">
        <f t="shared" si="112"/>
        <v>3.4802719411529961</v>
      </c>
    </row>
    <row r="812" spans="13:18" x14ac:dyDescent="0.15">
      <c r="M812" s="46">
        <v>2021</v>
      </c>
      <c r="N812" s="26" t="s">
        <v>403</v>
      </c>
      <c r="O812" s="26" t="s">
        <v>408</v>
      </c>
      <c r="P812" s="26" t="s">
        <v>430</v>
      </c>
      <c r="Q812" s="47">
        <f t="shared" si="111"/>
        <v>0</v>
      </c>
      <c r="R812" s="47">
        <f t="shared" si="112"/>
        <v>0</v>
      </c>
    </row>
    <row r="813" spans="13:18" x14ac:dyDescent="0.15">
      <c r="M813" s="46">
        <v>2021</v>
      </c>
      <c r="N813" s="26" t="s">
        <v>403</v>
      </c>
      <c r="O813" s="26" t="s">
        <v>408</v>
      </c>
      <c r="P813" s="26" t="s">
        <v>431</v>
      </c>
      <c r="Q813" s="47">
        <f t="shared" si="111"/>
        <v>0</v>
      </c>
      <c r="R813" s="47">
        <f t="shared" si="112"/>
        <v>0</v>
      </c>
    </row>
    <row r="814" spans="13:18" x14ac:dyDescent="0.15">
      <c r="M814" s="46">
        <v>2021</v>
      </c>
      <c r="N814" s="26" t="s">
        <v>403</v>
      </c>
      <c r="O814" s="26" t="s">
        <v>55</v>
      </c>
      <c r="P814" s="26" t="s">
        <v>427</v>
      </c>
      <c r="Q814" s="47">
        <f t="shared" si="111"/>
        <v>0</v>
      </c>
      <c r="R814" s="47">
        <f t="shared" si="112"/>
        <v>0</v>
      </c>
    </row>
    <row r="815" spans="13:18" x14ac:dyDescent="0.15">
      <c r="M815" s="46">
        <v>2021</v>
      </c>
      <c r="N815" s="26" t="s">
        <v>403</v>
      </c>
      <c r="O815" s="26" t="s">
        <v>55</v>
      </c>
      <c r="P815" s="26" t="s">
        <v>429</v>
      </c>
      <c r="Q815" s="47">
        <f t="shared" si="111"/>
        <v>2.537368791500592</v>
      </c>
      <c r="R815" s="47">
        <f t="shared" si="112"/>
        <v>17.94760576408407</v>
      </c>
    </row>
    <row r="816" spans="13:18" x14ac:dyDescent="0.15">
      <c r="M816" s="46">
        <v>2021</v>
      </c>
      <c r="N816" s="26" t="s">
        <v>403</v>
      </c>
      <c r="O816" s="26" t="s">
        <v>55</v>
      </c>
      <c r="P816" s="26" t="s">
        <v>430</v>
      </c>
      <c r="Q816" s="47">
        <f t="shared" si="111"/>
        <v>0</v>
      </c>
      <c r="R816" s="47">
        <f t="shared" si="112"/>
        <v>0</v>
      </c>
    </row>
    <row r="817" spans="13:18" x14ac:dyDescent="0.15">
      <c r="M817" s="46">
        <v>2021</v>
      </c>
      <c r="N817" s="26" t="s">
        <v>403</v>
      </c>
      <c r="O817" s="26" t="s">
        <v>55</v>
      </c>
      <c r="P817" s="26" t="s">
        <v>431</v>
      </c>
      <c r="Q817" s="47">
        <f t="shared" si="111"/>
        <v>0</v>
      </c>
      <c r="R817" s="47">
        <f t="shared" si="112"/>
        <v>0</v>
      </c>
    </row>
    <row r="818" spans="13:18" x14ac:dyDescent="0.15">
      <c r="M818" s="46">
        <v>2022</v>
      </c>
      <c r="N818" s="26" t="s">
        <v>385</v>
      </c>
      <c r="O818" s="26" t="s">
        <v>40</v>
      </c>
      <c r="P818" s="26" t="s">
        <v>427</v>
      </c>
      <c r="Q818" s="47">
        <f t="shared" si="111"/>
        <v>0</v>
      </c>
      <c r="R818" s="47">
        <f t="shared" si="112"/>
        <v>0</v>
      </c>
    </row>
    <row r="819" spans="13:18" x14ac:dyDescent="0.15">
      <c r="M819" s="46">
        <v>2022</v>
      </c>
      <c r="N819" s="26" t="s">
        <v>385</v>
      </c>
      <c r="O819" s="26" t="s">
        <v>40</v>
      </c>
      <c r="P819" s="26" t="s">
        <v>429</v>
      </c>
      <c r="Q819" s="47">
        <f t="shared" si="111"/>
        <v>0</v>
      </c>
      <c r="R819" s="47">
        <f t="shared" si="112"/>
        <v>0</v>
      </c>
    </row>
    <row r="820" spans="13:18" x14ac:dyDescent="0.15">
      <c r="M820" s="46">
        <v>2022</v>
      </c>
      <c r="N820" s="26" t="s">
        <v>385</v>
      </c>
      <c r="O820" s="26" t="s">
        <v>40</v>
      </c>
      <c r="P820" s="26" t="s">
        <v>430</v>
      </c>
      <c r="Q820" s="47">
        <f t="shared" si="111"/>
        <v>19.648414350224336</v>
      </c>
      <c r="R820" s="47">
        <f t="shared" si="112"/>
        <v>65.49471450074779</v>
      </c>
    </row>
    <row r="821" spans="13:18" x14ac:dyDescent="0.15">
      <c r="M821" s="46">
        <v>2022</v>
      </c>
      <c r="N821" s="26" t="s">
        <v>385</v>
      </c>
      <c r="O821" s="26" t="s">
        <v>40</v>
      </c>
      <c r="P821" s="26" t="s">
        <v>431</v>
      </c>
      <c r="Q821" s="47">
        <f t="shared" si="111"/>
        <v>15.48056888199493</v>
      </c>
      <c r="R821" s="47">
        <f t="shared" si="112"/>
        <v>219.55614520137041</v>
      </c>
    </row>
    <row r="822" spans="13:18" x14ac:dyDescent="0.15">
      <c r="M822" s="46">
        <v>2022</v>
      </c>
      <c r="N822" s="26" t="s">
        <v>385</v>
      </c>
      <c r="O822" s="26" t="s">
        <v>41</v>
      </c>
      <c r="P822" s="26" t="s">
        <v>427</v>
      </c>
      <c r="Q822" s="47">
        <f t="shared" si="111"/>
        <v>0</v>
      </c>
      <c r="R822" s="47">
        <f t="shared" si="112"/>
        <v>0</v>
      </c>
    </row>
    <row r="823" spans="13:18" x14ac:dyDescent="0.15">
      <c r="M823" s="46">
        <v>2022</v>
      </c>
      <c r="N823" s="26" t="s">
        <v>385</v>
      </c>
      <c r="O823" s="26" t="s">
        <v>41</v>
      </c>
      <c r="P823" s="26" t="s">
        <v>429</v>
      </c>
      <c r="Q823" s="47">
        <f t="shared" si="111"/>
        <v>0</v>
      </c>
      <c r="R823" s="47">
        <f t="shared" si="112"/>
        <v>0</v>
      </c>
    </row>
    <row r="824" spans="13:18" x14ac:dyDescent="0.15">
      <c r="M824" s="46">
        <v>2022</v>
      </c>
      <c r="N824" s="26" t="s">
        <v>385</v>
      </c>
      <c r="O824" s="26" t="s">
        <v>41</v>
      </c>
      <c r="P824" s="26" t="s">
        <v>430</v>
      </c>
      <c r="Q824" s="47">
        <f t="shared" si="111"/>
        <v>4.2504445845102374</v>
      </c>
      <c r="R824" s="47">
        <f t="shared" si="112"/>
        <v>14.168148615034124</v>
      </c>
    </row>
    <row r="825" spans="13:18" x14ac:dyDescent="0.15">
      <c r="M825" s="46">
        <v>2022</v>
      </c>
      <c r="N825" s="26" t="s">
        <v>385</v>
      </c>
      <c r="O825" s="26" t="s">
        <v>41</v>
      </c>
      <c r="P825" s="26" t="s">
        <v>431</v>
      </c>
      <c r="Q825" s="47">
        <f t="shared" si="111"/>
        <v>3.3488351271898837</v>
      </c>
      <c r="R825" s="47">
        <f t="shared" si="112"/>
        <v>47.495498198125759</v>
      </c>
    </row>
    <row r="826" spans="13:18" x14ac:dyDescent="0.15">
      <c r="M826" s="46">
        <v>2022</v>
      </c>
      <c r="N826" s="26" t="s">
        <v>385</v>
      </c>
      <c r="O826" s="26" t="s">
        <v>45</v>
      </c>
      <c r="P826" s="26" t="s">
        <v>427</v>
      </c>
      <c r="Q826" s="47">
        <f t="shared" si="111"/>
        <v>0</v>
      </c>
      <c r="R826" s="47">
        <f t="shared" si="112"/>
        <v>0</v>
      </c>
    </row>
    <row r="827" spans="13:18" x14ac:dyDescent="0.15">
      <c r="M827" s="46">
        <v>2022</v>
      </c>
      <c r="N827" s="26" t="s">
        <v>385</v>
      </c>
      <c r="O827" s="26" t="s">
        <v>45</v>
      </c>
      <c r="P827" s="26" t="s">
        <v>429</v>
      </c>
      <c r="Q827" s="47">
        <f t="shared" si="111"/>
        <v>0</v>
      </c>
      <c r="R827" s="47">
        <f t="shared" si="112"/>
        <v>0</v>
      </c>
    </row>
    <row r="828" spans="13:18" x14ac:dyDescent="0.15">
      <c r="M828" s="46">
        <v>2022</v>
      </c>
      <c r="N828" s="26" t="s">
        <v>385</v>
      </c>
      <c r="O828" s="26" t="s">
        <v>45</v>
      </c>
      <c r="P828" s="26" t="s">
        <v>430</v>
      </c>
      <c r="Q828" s="47">
        <f t="shared" si="111"/>
        <v>6.9242770847781667</v>
      </c>
      <c r="R828" s="47">
        <f t="shared" si="112"/>
        <v>23.080923615927222</v>
      </c>
    </row>
    <row r="829" spans="13:18" x14ac:dyDescent="0.15">
      <c r="M829" s="46">
        <v>2022</v>
      </c>
      <c r="N829" s="26" t="s">
        <v>385</v>
      </c>
      <c r="O829" s="26" t="s">
        <v>45</v>
      </c>
      <c r="P829" s="26" t="s">
        <v>431</v>
      </c>
      <c r="Q829" s="47">
        <f t="shared" si="111"/>
        <v>5.4554910364918889</v>
      </c>
      <c r="R829" s="47">
        <f t="shared" si="112"/>
        <v>77.373550757937849</v>
      </c>
    </row>
    <row r="830" spans="13:18" x14ac:dyDescent="0.15">
      <c r="M830" s="46">
        <v>2022</v>
      </c>
      <c r="N830" s="26" t="s">
        <v>385</v>
      </c>
      <c r="O830" s="26" t="s">
        <v>37</v>
      </c>
      <c r="P830" s="26" t="s">
        <v>427</v>
      </c>
      <c r="Q830" s="47">
        <f t="shared" si="111"/>
        <v>0</v>
      </c>
      <c r="R830" s="47">
        <f t="shared" si="112"/>
        <v>0</v>
      </c>
    </row>
    <row r="831" spans="13:18" x14ac:dyDescent="0.15">
      <c r="M831" s="46">
        <v>2022</v>
      </c>
      <c r="N831" s="26" t="s">
        <v>385</v>
      </c>
      <c r="O831" s="26" t="s">
        <v>37</v>
      </c>
      <c r="P831" s="26" t="s">
        <v>429</v>
      </c>
      <c r="Q831" s="47">
        <f t="shared" si="111"/>
        <v>0</v>
      </c>
      <c r="R831" s="47">
        <f t="shared" si="112"/>
        <v>0</v>
      </c>
    </row>
    <row r="832" spans="13:18" x14ac:dyDescent="0.15">
      <c r="M832" s="46">
        <v>2022</v>
      </c>
      <c r="N832" s="26" t="s">
        <v>385</v>
      </c>
      <c r="O832" s="26" t="s">
        <v>37</v>
      </c>
      <c r="P832" s="26" t="s">
        <v>430</v>
      </c>
      <c r="Q832" s="47">
        <f t="shared" si="111"/>
        <v>0.49567535548791691</v>
      </c>
      <c r="R832" s="47">
        <f t="shared" si="112"/>
        <v>1.652251184959723</v>
      </c>
    </row>
    <row r="833" spans="13:18" x14ac:dyDescent="0.15">
      <c r="M833" s="46">
        <v>2022</v>
      </c>
      <c r="N833" s="26" t="s">
        <v>385</v>
      </c>
      <c r="O833" s="26" t="s">
        <v>37</v>
      </c>
      <c r="P833" s="26" t="s">
        <v>431</v>
      </c>
      <c r="Q833" s="47">
        <f t="shared" si="111"/>
        <v>0.39053209826320728</v>
      </c>
      <c r="R833" s="47">
        <f t="shared" si="112"/>
        <v>5.5387965859445263</v>
      </c>
    </row>
    <row r="834" spans="13:18" x14ac:dyDescent="0.15">
      <c r="M834" s="46">
        <v>2022</v>
      </c>
      <c r="N834" s="26" t="s">
        <v>385</v>
      </c>
      <c r="O834" s="26" t="s">
        <v>39</v>
      </c>
      <c r="P834" s="26" t="s">
        <v>427</v>
      </c>
      <c r="Q834" s="47">
        <f t="shared" ref="Q834:Q897" si="113">SUMIFS(D:D,B:B,N834,C:C,P834,A:A,M834)*SUMIFS(K:K,G:G,N834,I:I,O834)</f>
        <v>0</v>
      </c>
      <c r="R834" s="47">
        <f t="shared" ref="R834:R897" si="114">SUMIFS(E:E,B:B,N834,C:C,P834,A:A,M834)*SUMIFS(K:K,G:G,N834,I:I,O834)</f>
        <v>0</v>
      </c>
    </row>
    <row r="835" spans="13:18" x14ac:dyDescent="0.15">
      <c r="M835" s="46">
        <v>2022</v>
      </c>
      <c r="N835" s="26" t="s">
        <v>385</v>
      </c>
      <c r="O835" s="26" t="s">
        <v>39</v>
      </c>
      <c r="P835" s="26" t="s">
        <v>429</v>
      </c>
      <c r="Q835" s="47">
        <f t="shared" si="113"/>
        <v>0</v>
      </c>
      <c r="R835" s="47">
        <f t="shared" si="114"/>
        <v>0</v>
      </c>
    </row>
    <row r="836" spans="13:18" x14ac:dyDescent="0.15">
      <c r="M836" s="46">
        <v>2022</v>
      </c>
      <c r="N836" s="26" t="s">
        <v>385</v>
      </c>
      <c r="O836" s="26" t="s">
        <v>39</v>
      </c>
      <c r="P836" s="26" t="s">
        <v>430</v>
      </c>
      <c r="Q836" s="47">
        <f t="shared" si="113"/>
        <v>0.31448672427478214</v>
      </c>
      <c r="R836" s="47">
        <f t="shared" si="114"/>
        <v>1.0482890809159404</v>
      </c>
    </row>
    <row r="837" spans="13:18" x14ac:dyDescent="0.15">
      <c r="M837" s="46">
        <v>2022</v>
      </c>
      <c r="N837" s="26" t="s">
        <v>385</v>
      </c>
      <c r="O837" s="26" t="s">
        <v>39</v>
      </c>
      <c r="P837" s="26" t="s">
        <v>431</v>
      </c>
      <c r="Q837" s="47">
        <f t="shared" si="113"/>
        <v>0.24777741912558593</v>
      </c>
      <c r="R837" s="47">
        <f t="shared" si="114"/>
        <v>3.5141508962523007</v>
      </c>
    </row>
    <row r="838" spans="13:18" x14ac:dyDescent="0.15">
      <c r="M838" s="46">
        <v>2022</v>
      </c>
      <c r="N838" s="26" t="s">
        <v>385</v>
      </c>
      <c r="O838" s="26" t="s">
        <v>393</v>
      </c>
      <c r="P838" s="26" t="s">
        <v>427</v>
      </c>
      <c r="Q838" s="47">
        <f t="shared" si="113"/>
        <v>0</v>
      </c>
      <c r="R838" s="47">
        <f t="shared" si="114"/>
        <v>0</v>
      </c>
    </row>
    <row r="839" spans="13:18" x14ac:dyDescent="0.15">
      <c r="M839" s="46">
        <v>2022</v>
      </c>
      <c r="N839" s="26" t="s">
        <v>385</v>
      </c>
      <c r="O839" s="26" t="s">
        <v>393</v>
      </c>
      <c r="P839" s="26" t="s">
        <v>429</v>
      </c>
      <c r="Q839" s="47">
        <f t="shared" si="113"/>
        <v>0</v>
      </c>
      <c r="R839" s="47">
        <f t="shared" si="114"/>
        <v>0</v>
      </c>
    </row>
    <row r="840" spans="13:18" x14ac:dyDescent="0.15">
      <c r="M840" s="46">
        <v>2022</v>
      </c>
      <c r="N840" s="26" t="s">
        <v>385</v>
      </c>
      <c r="O840" s="26" t="s">
        <v>393</v>
      </c>
      <c r="P840" s="26" t="s">
        <v>430</v>
      </c>
      <c r="Q840" s="47">
        <f t="shared" si="113"/>
        <v>0.54778916305934688</v>
      </c>
      <c r="R840" s="47">
        <f t="shared" si="114"/>
        <v>1.8259638768644895</v>
      </c>
    </row>
    <row r="841" spans="13:18" x14ac:dyDescent="0.15">
      <c r="M841" s="46">
        <v>2022</v>
      </c>
      <c r="N841" s="26" t="s">
        <v>385</v>
      </c>
      <c r="O841" s="26" t="s">
        <v>393</v>
      </c>
      <c r="P841" s="26" t="s">
        <v>431</v>
      </c>
      <c r="Q841" s="47">
        <f t="shared" si="113"/>
        <v>0.43159146180433389</v>
      </c>
      <c r="R841" s="47">
        <f t="shared" si="114"/>
        <v>6.1211289053980042</v>
      </c>
    </row>
    <row r="842" spans="13:18" x14ac:dyDescent="0.15">
      <c r="M842" s="46">
        <v>2022</v>
      </c>
      <c r="N842" s="26" t="s">
        <v>394</v>
      </c>
      <c r="O842" s="26" t="s">
        <v>40</v>
      </c>
      <c r="P842" s="26" t="s">
        <v>427</v>
      </c>
      <c r="Q842" s="47">
        <f t="shared" si="113"/>
        <v>0</v>
      </c>
      <c r="R842" s="47">
        <f t="shared" si="114"/>
        <v>0</v>
      </c>
    </row>
    <row r="843" spans="13:18" x14ac:dyDescent="0.15">
      <c r="M843" s="46">
        <v>2022</v>
      </c>
      <c r="N843" s="26" t="s">
        <v>394</v>
      </c>
      <c r="O843" s="26" t="s">
        <v>40</v>
      </c>
      <c r="P843" s="26" t="s">
        <v>429</v>
      </c>
      <c r="Q843" s="47">
        <f t="shared" si="113"/>
        <v>0</v>
      </c>
      <c r="R843" s="47">
        <f t="shared" si="114"/>
        <v>0</v>
      </c>
    </row>
    <row r="844" spans="13:18" x14ac:dyDescent="0.15">
      <c r="M844" s="46">
        <v>2022</v>
      </c>
      <c r="N844" s="26" t="s">
        <v>394</v>
      </c>
      <c r="O844" s="26" t="s">
        <v>40</v>
      </c>
      <c r="P844" s="26" t="s">
        <v>430</v>
      </c>
      <c r="Q844" s="47">
        <f t="shared" si="113"/>
        <v>0</v>
      </c>
      <c r="R844" s="47">
        <f t="shared" si="114"/>
        <v>0</v>
      </c>
    </row>
    <row r="845" spans="13:18" x14ac:dyDescent="0.15">
      <c r="M845" s="46">
        <v>2022</v>
      </c>
      <c r="N845" s="26" t="s">
        <v>394</v>
      </c>
      <c r="O845" s="26" t="s">
        <v>40</v>
      </c>
      <c r="P845" s="26" t="s">
        <v>431</v>
      </c>
      <c r="Q845" s="47">
        <f t="shared" si="113"/>
        <v>0</v>
      </c>
      <c r="R845" s="47">
        <f t="shared" si="114"/>
        <v>0</v>
      </c>
    </row>
    <row r="846" spans="13:18" x14ac:dyDescent="0.15">
      <c r="M846" s="46">
        <v>2022</v>
      </c>
      <c r="N846" s="26" t="s">
        <v>394</v>
      </c>
      <c r="O846" s="26" t="s">
        <v>41</v>
      </c>
      <c r="P846" s="26" t="s">
        <v>427</v>
      </c>
      <c r="Q846" s="47">
        <f t="shared" si="113"/>
        <v>0</v>
      </c>
      <c r="R846" s="47">
        <f t="shared" si="114"/>
        <v>0</v>
      </c>
    </row>
    <row r="847" spans="13:18" x14ac:dyDescent="0.15">
      <c r="M847" s="46">
        <v>2022</v>
      </c>
      <c r="N847" s="26" t="s">
        <v>394</v>
      </c>
      <c r="O847" s="26" t="s">
        <v>41</v>
      </c>
      <c r="P847" s="26" t="s">
        <v>429</v>
      </c>
      <c r="Q847" s="47">
        <f t="shared" si="113"/>
        <v>0</v>
      </c>
      <c r="R847" s="47">
        <f t="shared" si="114"/>
        <v>0</v>
      </c>
    </row>
    <row r="848" spans="13:18" x14ac:dyDescent="0.15">
      <c r="M848" s="46">
        <v>2022</v>
      </c>
      <c r="N848" s="26" t="s">
        <v>394</v>
      </c>
      <c r="O848" s="26" t="s">
        <v>41</v>
      </c>
      <c r="P848" s="26" t="s">
        <v>430</v>
      </c>
      <c r="Q848" s="47">
        <f t="shared" si="113"/>
        <v>0</v>
      </c>
      <c r="R848" s="47">
        <f t="shared" si="114"/>
        <v>0</v>
      </c>
    </row>
    <row r="849" spans="13:18" x14ac:dyDescent="0.15">
      <c r="M849" s="46">
        <v>2022</v>
      </c>
      <c r="N849" s="26" t="s">
        <v>394</v>
      </c>
      <c r="O849" s="26" t="s">
        <v>41</v>
      </c>
      <c r="P849" s="26" t="s">
        <v>431</v>
      </c>
      <c r="Q849" s="47">
        <f t="shared" si="113"/>
        <v>0</v>
      </c>
      <c r="R849" s="47">
        <f t="shared" si="114"/>
        <v>0</v>
      </c>
    </row>
    <row r="850" spans="13:18" x14ac:dyDescent="0.15">
      <c r="M850" s="46">
        <v>2022</v>
      </c>
      <c r="N850" s="26" t="s">
        <v>394</v>
      </c>
      <c r="O850" s="26" t="s">
        <v>45</v>
      </c>
      <c r="P850" s="26" t="s">
        <v>427</v>
      </c>
      <c r="Q850" s="47">
        <f t="shared" si="113"/>
        <v>0</v>
      </c>
      <c r="R850" s="47">
        <f t="shared" si="114"/>
        <v>0</v>
      </c>
    </row>
    <row r="851" spans="13:18" x14ac:dyDescent="0.15">
      <c r="M851" s="46">
        <v>2022</v>
      </c>
      <c r="N851" s="26" t="s">
        <v>394</v>
      </c>
      <c r="O851" s="26" t="s">
        <v>45</v>
      </c>
      <c r="P851" s="26" t="s">
        <v>429</v>
      </c>
      <c r="Q851" s="47">
        <f t="shared" si="113"/>
        <v>0</v>
      </c>
      <c r="R851" s="47">
        <f t="shared" si="114"/>
        <v>0</v>
      </c>
    </row>
    <row r="852" spans="13:18" x14ac:dyDescent="0.15">
      <c r="M852" s="46">
        <v>2022</v>
      </c>
      <c r="N852" s="26" t="s">
        <v>394</v>
      </c>
      <c r="O852" s="26" t="s">
        <v>45</v>
      </c>
      <c r="P852" s="26" t="s">
        <v>430</v>
      </c>
      <c r="Q852" s="47">
        <f t="shared" si="113"/>
        <v>0</v>
      </c>
      <c r="R852" s="47">
        <f t="shared" si="114"/>
        <v>0</v>
      </c>
    </row>
    <row r="853" spans="13:18" x14ac:dyDescent="0.15">
      <c r="M853" s="46">
        <v>2022</v>
      </c>
      <c r="N853" s="26" t="s">
        <v>394</v>
      </c>
      <c r="O853" s="26" t="s">
        <v>45</v>
      </c>
      <c r="P853" s="26" t="s">
        <v>431</v>
      </c>
      <c r="Q853" s="47">
        <f t="shared" si="113"/>
        <v>0</v>
      </c>
      <c r="R853" s="47">
        <f t="shared" si="114"/>
        <v>0</v>
      </c>
    </row>
    <row r="854" spans="13:18" x14ac:dyDescent="0.15">
      <c r="M854" s="46">
        <v>2022</v>
      </c>
      <c r="N854" s="26" t="s">
        <v>394</v>
      </c>
      <c r="O854" s="26" t="s">
        <v>46</v>
      </c>
      <c r="P854" s="26" t="s">
        <v>427</v>
      </c>
      <c r="Q854" s="47">
        <f t="shared" si="113"/>
        <v>0</v>
      </c>
      <c r="R854" s="47">
        <f t="shared" si="114"/>
        <v>0</v>
      </c>
    </row>
    <row r="855" spans="13:18" x14ac:dyDescent="0.15">
      <c r="M855" s="46">
        <v>2022</v>
      </c>
      <c r="N855" s="26" t="s">
        <v>394</v>
      </c>
      <c r="O855" s="26" t="s">
        <v>46</v>
      </c>
      <c r="P855" s="26" t="s">
        <v>429</v>
      </c>
      <c r="Q855" s="47">
        <f t="shared" si="113"/>
        <v>0</v>
      </c>
      <c r="R855" s="47">
        <f t="shared" si="114"/>
        <v>0</v>
      </c>
    </row>
    <row r="856" spans="13:18" x14ac:dyDescent="0.15">
      <c r="M856" s="46">
        <v>2022</v>
      </c>
      <c r="N856" s="26" t="s">
        <v>394</v>
      </c>
      <c r="O856" s="26" t="s">
        <v>46</v>
      </c>
      <c r="P856" s="26" t="s">
        <v>430</v>
      </c>
      <c r="Q856" s="47">
        <f t="shared" si="113"/>
        <v>0</v>
      </c>
      <c r="R856" s="47">
        <f t="shared" si="114"/>
        <v>0</v>
      </c>
    </row>
    <row r="857" spans="13:18" x14ac:dyDescent="0.15">
      <c r="M857" s="46">
        <v>2022</v>
      </c>
      <c r="N857" s="26" t="s">
        <v>394</v>
      </c>
      <c r="O857" s="26" t="s">
        <v>46</v>
      </c>
      <c r="P857" s="26" t="s">
        <v>431</v>
      </c>
      <c r="Q857" s="47">
        <f t="shared" si="113"/>
        <v>0</v>
      </c>
      <c r="R857" s="47">
        <f t="shared" si="114"/>
        <v>0</v>
      </c>
    </row>
    <row r="858" spans="13:18" x14ac:dyDescent="0.15">
      <c r="M858" s="46">
        <v>2022</v>
      </c>
      <c r="N858" s="26" t="s">
        <v>394</v>
      </c>
      <c r="O858" s="26" t="s">
        <v>39</v>
      </c>
      <c r="P858" s="26" t="s">
        <v>427</v>
      </c>
      <c r="Q858" s="47">
        <f t="shared" si="113"/>
        <v>0</v>
      </c>
      <c r="R858" s="47">
        <f t="shared" si="114"/>
        <v>0</v>
      </c>
    </row>
    <row r="859" spans="13:18" x14ac:dyDescent="0.15">
      <c r="M859" s="46">
        <v>2022</v>
      </c>
      <c r="N859" s="26" t="s">
        <v>394</v>
      </c>
      <c r="O859" s="26" t="s">
        <v>39</v>
      </c>
      <c r="P859" s="26" t="s">
        <v>429</v>
      </c>
      <c r="Q859" s="47">
        <f t="shared" si="113"/>
        <v>0</v>
      </c>
      <c r="R859" s="47">
        <f t="shared" si="114"/>
        <v>0</v>
      </c>
    </row>
    <row r="860" spans="13:18" x14ac:dyDescent="0.15">
      <c r="M860" s="46">
        <v>2022</v>
      </c>
      <c r="N860" s="26" t="s">
        <v>394</v>
      </c>
      <c r="O860" s="26" t="s">
        <v>39</v>
      </c>
      <c r="P860" s="26" t="s">
        <v>430</v>
      </c>
      <c r="Q860" s="47">
        <f t="shared" si="113"/>
        <v>0</v>
      </c>
      <c r="R860" s="47">
        <f t="shared" si="114"/>
        <v>0</v>
      </c>
    </row>
    <row r="861" spans="13:18" x14ac:dyDescent="0.15">
      <c r="M861" s="46">
        <v>2022</v>
      </c>
      <c r="N861" s="26" t="s">
        <v>394</v>
      </c>
      <c r="O861" s="26" t="s">
        <v>39</v>
      </c>
      <c r="P861" s="26" t="s">
        <v>431</v>
      </c>
      <c r="Q861" s="47">
        <f t="shared" si="113"/>
        <v>0</v>
      </c>
      <c r="R861" s="47">
        <f t="shared" si="114"/>
        <v>0</v>
      </c>
    </row>
    <row r="862" spans="13:18" x14ac:dyDescent="0.15">
      <c r="M862" s="46">
        <v>2022</v>
      </c>
      <c r="N862" s="26" t="s">
        <v>394</v>
      </c>
      <c r="O862" s="26" t="s">
        <v>37</v>
      </c>
      <c r="P862" s="26" t="s">
        <v>427</v>
      </c>
      <c r="Q862" s="47">
        <f t="shared" si="113"/>
        <v>0</v>
      </c>
      <c r="R862" s="47">
        <f t="shared" si="114"/>
        <v>0</v>
      </c>
    </row>
    <row r="863" spans="13:18" x14ac:dyDescent="0.15">
      <c r="M863" s="46">
        <v>2022</v>
      </c>
      <c r="N863" s="26" t="s">
        <v>394</v>
      </c>
      <c r="O863" s="26" t="s">
        <v>37</v>
      </c>
      <c r="P863" s="26" t="s">
        <v>429</v>
      </c>
      <c r="Q863" s="47">
        <f t="shared" si="113"/>
        <v>0</v>
      </c>
      <c r="R863" s="47">
        <f t="shared" si="114"/>
        <v>0</v>
      </c>
    </row>
    <row r="864" spans="13:18" x14ac:dyDescent="0.15">
      <c r="M864" s="46">
        <v>2022</v>
      </c>
      <c r="N864" s="26" t="s">
        <v>394</v>
      </c>
      <c r="O864" s="26" t="s">
        <v>37</v>
      </c>
      <c r="P864" s="26" t="s">
        <v>430</v>
      </c>
      <c r="Q864" s="47">
        <f t="shared" si="113"/>
        <v>0</v>
      </c>
      <c r="R864" s="47">
        <f t="shared" si="114"/>
        <v>0</v>
      </c>
    </row>
    <row r="865" spans="13:18" x14ac:dyDescent="0.15">
      <c r="M865" s="46">
        <v>2022</v>
      </c>
      <c r="N865" s="26" t="s">
        <v>394</v>
      </c>
      <c r="O865" s="26" t="s">
        <v>37</v>
      </c>
      <c r="P865" s="26" t="s">
        <v>431</v>
      </c>
      <c r="Q865" s="47">
        <f t="shared" si="113"/>
        <v>0</v>
      </c>
      <c r="R865" s="47">
        <f t="shared" si="114"/>
        <v>0</v>
      </c>
    </row>
    <row r="866" spans="13:18" x14ac:dyDescent="0.15">
      <c r="M866" s="46">
        <v>2022</v>
      </c>
      <c r="N866" s="26" t="s">
        <v>394</v>
      </c>
      <c r="O866" s="26" t="s">
        <v>393</v>
      </c>
      <c r="P866" s="26" t="s">
        <v>427</v>
      </c>
      <c r="Q866" s="47">
        <f t="shared" si="113"/>
        <v>0</v>
      </c>
      <c r="R866" s="47">
        <f t="shared" si="114"/>
        <v>0</v>
      </c>
    </row>
    <row r="867" spans="13:18" x14ac:dyDescent="0.15">
      <c r="M867" s="46">
        <v>2022</v>
      </c>
      <c r="N867" s="26" t="s">
        <v>394</v>
      </c>
      <c r="O867" s="26" t="s">
        <v>393</v>
      </c>
      <c r="P867" s="26" t="s">
        <v>429</v>
      </c>
      <c r="Q867" s="47">
        <f t="shared" si="113"/>
        <v>0</v>
      </c>
      <c r="R867" s="47">
        <f t="shared" si="114"/>
        <v>0</v>
      </c>
    </row>
    <row r="868" spans="13:18" x14ac:dyDescent="0.15">
      <c r="M868" s="46">
        <v>2022</v>
      </c>
      <c r="N868" s="26" t="s">
        <v>394</v>
      </c>
      <c r="O868" s="26" t="s">
        <v>393</v>
      </c>
      <c r="P868" s="26" t="s">
        <v>430</v>
      </c>
      <c r="Q868" s="47">
        <f t="shared" si="113"/>
        <v>0</v>
      </c>
      <c r="R868" s="47">
        <f t="shared" si="114"/>
        <v>0</v>
      </c>
    </row>
    <row r="869" spans="13:18" x14ac:dyDescent="0.15">
      <c r="M869" s="46">
        <v>2022</v>
      </c>
      <c r="N869" s="26" t="s">
        <v>394</v>
      </c>
      <c r="O869" s="26" t="s">
        <v>393</v>
      </c>
      <c r="P869" s="26" t="s">
        <v>431</v>
      </c>
      <c r="Q869" s="47">
        <f t="shared" si="113"/>
        <v>0</v>
      </c>
      <c r="R869" s="47">
        <f t="shared" si="114"/>
        <v>0</v>
      </c>
    </row>
    <row r="870" spans="13:18" x14ac:dyDescent="0.15">
      <c r="M870" s="46">
        <v>2022</v>
      </c>
      <c r="N870" s="26" t="s">
        <v>396</v>
      </c>
      <c r="O870" s="26" t="s">
        <v>52</v>
      </c>
      <c r="P870" s="26" t="s">
        <v>427</v>
      </c>
      <c r="Q870" s="47">
        <f t="shared" si="113"/>
        <v>0</v>
      </c>
      <c r="R870" s="47">
        <f t="shared" si="114"/>
        <v>0</v>
      </c>
    </row>
    <row r="871" spans="13:18" x14ac:dyDescent="0.15">
      <c r="M871" s="46">
        <v>2022</v>
      </c>
      <c r="N871" s="26" t="s">
        <v>396</v>
      </c>
      <c r="O871" s="26" t="s">
        <v>52</v>
      </c>
      <c r="P871" s="26" t="s">
        <v>429</v>
      </c>
      <c r="Q871" s="47">
        <f t="shared" si="113"/>
        <v>0</v>
      </c>
      <c r="R871" s="47">
        <f t="shared" si="114"/>
        <v>0</v>
      </c>
    </row>
    <row r="872" spans="13:18" x14ac:dyDescent="0.15">
      <c r="M872" s="46">
        <v>2022</v>
      </c>
      <c r="N872" s="26" t="s">
        <v>396</v>
      </c>
      <c r="O872" s="26" t="s">
        <v>52</v>
      </c>
      <c r="P872" s="26" t="s">
        <v>430</v>
      </c>
      <c r="Q872" s="47">
        <f t="shared" si="113"/>
        <v>0</v>
      </c>
      <c r="R872" s="47">
        <f t="shared" si="114"/>
        <v>0</v>
      </c>
    </row>
    <row r="873" spans="13:18" x14ac:dyDescent="0.15">
      <c r="M873" s="46">
        <v>2022</v>
      </c>
      <c r="N873" s="26" t="s">
        <v>396</v>
      </c>
      <c r="O873" s="26" t="s">
        <v>52</v>
      </c>
      <c r="P873" s="26" t="s">
        <v>431</v>
      </c>
      <c r="Q873" s="47">
        <f t="shared" si="113"/>
        <v>0</v>
      </c>
      <c r="R873" s="47">
        <f t="shared" si="114"/>
        <v>0</v>
      </c>
    </row>
    <row r="874" spans="13:18" x14ac:dyDescent="0.15">
      <c r="M874" s="46">
        <v>2022</v>
      </c>
      <c r="N874" s="26" t="s">
        <v>398</v>
      </c>
      <c r="O874" s="26" t="s">
        <v>37</v>
      </c>
      <c r="P874" s="26" t="s">
        <v>427</v>
      </c>
      <c r="Q874" s="47">
        <f t="shared" si="113"/>
        <v>0</v>
      </c>
      <c r="R874" s="47">
        <f t="shared" si="114"/>
        <v>0</v>
      </c>
    </row>
    <row r="875" spans="13:18" x14ac:dyDescent="0.15">
      <c r="M875" s="46">
        <v>2022</v>
      </c>
      <c r="N875" s="26" t="s">
        <v>398</v>
      </c>
      <c r="O875" s="26" t="s">
        <v>37</v>
      </c>
      <c r="P875" s="26" t="s">
        <v>429</v>
      </c>
      <c r="Q875" s="47">
        <f t="shared" si="113"/>
        <v>0</v>
      </c>
      <c r="R875" s="47">
        <f t="shared" si="114"/>
        <v>0</v>
      </c>
    </row>
    <row r="876" spans="13:18" x14ac:dyDescent="0.15">
      <c r="M876" s="46">
        <v>2022</v>
      </c>
      <c r="N876" s="26" t="s">
        <v>398</v>
      </c>
      <c r="O876" s="26" t="s">
        <v>37</v>
      </c>
      <c r="P876" s="26" t="s">
        <v>430</v>
      </c>
      <c r="Q876" s="47">
        <f t="shared" si="113"/>
        <v>0</v>
      </c>
      <c r="R876" s="47">
        <f t="shared" si="114"/>
        <v>0</v>
      </c>
    </row>
    <row r="877" spans="13:18" x14ac:dyDescent="0.15">
      <c r="M877" s="46">
        <v>2022</v>
      </c>
      <c r="N877" s="26" t="s">
        <v>398</v>
      </c>
      <c r="O877" s="26" t="s">
        <v>37</v>
      </c>
      <c r="P877" s="26" t="s">
        <v>431</v>
      </c>
      <c r="Q877" s="47">
        <f t="shared" si="113"/>
        <v>0.31261870995028612</v>
      </c>
      <c r="R877" s="47">
        <f t="shared" si="114"/>
        <v>3.1261870995028613</v>
      </c>
    </row>
    <row r="878" spans="13:18" x14ac:dyDescent="0.15">
      <c r="M878" s="46">
        <v>2022</v>
      </c>
      <c r="N878" s="26" t="s">
        <v>398</v>
      </c>
      <c r="O878" s="26" t="s">
        <v>393</v>
      </c>
      <c r="P878" s="26" t="s">
        <v>427</v>
      </c>
      <c r="Q878" s="47">
        <f t="shared" si="113"/>
        <v>0</v>
      </c>
      <c r="R878" s="47">
        <f t="shared" si="114"/>
        <v>0</v>
      </c>
    </row>
    <row r="879" spans="13:18" x14ac:dyDescent="0.15">
      <c r="M879" s="46">
        <v>2022</v>
      </c>
      <c r="N879" s="26" t="s">
        <v>398</v>
      </c>
      <c r="O879" s="26" t="s">
        <v>393</v>
      </c>
      <c r="P879" s="26" t="s">
        <v>429</v>
      </c>
      <c r="Q879" s="47">
        <f t="shared" si="113"/>
        <v>0</v>
      </c>
      <c r="R879" s="47">
        <f t="shared" si="114"/>
        <v>0</v>
      </c>
    </row>
    <row r="880" spans="13:18" x14ac:dyDescent="0.15">
      <c r="M880" s="46">
        <v>2022</v>
      </c>
      <c r="N880" s="26" t="s">
        <v>398</v>
      </c>
      <c r="O880" s="26" t="s">
        <v>393</v>
      </c>
      <c r="P880" s="26" t="s">
        <v>430</v>
      </c>
      <c r="Q880" s="47">
        <f t="shared" si="113"/>
        <v>0</v>
      </c>
      <c r="R880" s="47">
        <f t="shared" si="114"/>
        <v>0</v>
      </c>
    </row>
    <row r="881" spans="13:18" x14ac:dyDescent="0.15">
      <c r="M881" s="46">
        <v>2022</v>
      </c>
      <c r="N881" s="26" t="s">
        <v>398</v>
      </c>
      <c r="O881" s="26" t="s">
        <v>393</v>
      </c>
      <c r="P881" s="26" t="s">
        <v>431</v>
      </c>
      <c r="Q881" s="47">
        <f t="shared" si="113"/>
        <v>0.34548649551437</v>
      </c>
      <c r="R881" s="47">
        <f t="shared" si="114"/>
        <v>3.4548649551436998</v>
      </c>
    </row>
    <row r="882" spans="13:18" x14ac:dyDescent="0.15">
      <c r="M882" s="46">
        <v>2022</v>
      </c>
      <c r="N882" s="26" t="s">
        <v>398</v>
      </c>
      <c r="O882" s="26" t="s">
        <v>41</v>
      </c>
      <c r="P882" s="26" t="s">
        <v>427</v>
      </c>
      <c r="Q882" s="47">
        <f t="shared" si="113"/>
        <v>0</v>
      </c>
      <c r="R882" s="47">
        <f t="shared" si="114"/>
        <v>0</v>
      </c>
    </row>
    <row r="883" spans="13:18" x14ac:dyDescent="0.15">
      <c r="M883" s="46">
        <v>2022</v>
      </c>
      <c r="N883" s="26" t="s">
        <v>398</v>
      </c>
      <c r="O883" s="26" t="s">
        <v>41</v>
      </c>
      <c r="P883" s="26" t="s">
        <v>429</v>
      </c>
      <c r="Q883" s="47">
        <f t="shared" si="113"/>
        <v>0</v>
      </c>
      <c r="R883" s="47">
        <f t="shared" si="114"/>
        <v>0</v>
      </c>
    </row>
    <row r="884" spans="13:18" x14ac:dyDescent="0.15">
      <c r="M884" s="46">
        <v>2022</v>
      </c>
      <c r="N884" s="26" t="s">
        <v>398</v>
      </c>
      <c r="O884" s="26" t="s">
        <v>41</v>
      </c>
      <c r="P884" s="26" t="s">
        <v>430</v>
      </c>
      <c r="Q884" s="47">
        <f t="shared" si="113"/>
        <v>0</v>
      </c>
      <c r="R884" s="47">
        <f t="shared" si="114"/>
        <v>0</v>
      </c>
    </row>
    <row r="885" spans="13:18" x14ac:dyDescent="0.15">
      <c r="M885" s="46">
        <v>2022</v>
      </c>
      <c r="N885" s="26" t="s">
        <v>398</v>
      </c>
      <c r="O885" s="26" t="s">
        <v>41</v>
      </c>
      <c r="P885" s="26" t="s">
        <v>431</v>
      </c>
      <c r="Q885" s="47">
        <f t="shared" si="113"/>
        <v>2.680723356554211</v>
      </c>
      <c r="R885" s="47">
        <f t="shared" si="114"/>
        <v>26.807233565542109</v>
      </c>
    </row>
    <row r="886" spans="13:18" x14ac:dyDescent="0.15">
      <c r="M886" s="46">
        <v>2022</v>
      </c>
      <c r="N886" s="26" t="s">
        <v>398</v>
      </c>
      <c r="O886" s="26" t="s">
        <v>45</v>
      </c>
      <c r="P886" s="26" t="s">
        <v>427</v>
      </c>
      <c r="Q886" s="47">
        <f t="shared" si="113"/>
        <v>0</v>
      </c>
      <c r="R886" s="47">
        <f t="shared" si="114"/>
        <v>0</v>
      </c>
    </row>
    <row r="887" spans="13:18" x14ac:dyDescent="0.15">
      <c r="M887" s="46">
        <v>2022</v>
      </c>
      <c r="N887" s="26" t="s">
        <v>398</v>
      </c>
      <c r="O887" s="26" t="s">
        <v>45</v>
      </c>
      <c r="P887" s="26" t="s">
        <v>429</v>
      </c>
      <c r="Q887" s="47">
        <f t="shared" si="113"/>
        <v>0</v>
      </c>
      <c r="R887" s="47">
        <f t="shared" si="114"/>
        <v>0</v>
      </c>
    </row>
    <row r="888" spans="13:18" x14ac:dyDescent="0.15">
      <c r="M888" s="46">
        <v>2022</v>
      </c>
      <c r="N888" s="26" t="s">
        <v>398</v>
      </c>
      <c r="O888" s="26" t="s">
        <v>45</v>
      </c>
      <c r="P888" s="26" t="s">
        <v>430</v>
      </c>
      <c r="Q888" s="47">
        <f t="shared" si="113"/>
        <v>0</v>
      </c>
      <c r="R888" s="47">
        <f t="shared" si="114"/>
        <v>0</v>
      </c>
    </row>
    <row r="889" spans="13:18" x14ac:dyDescent="0.15">
      <c r="M889" s="46">
        <v>2022</v>
      </c>
      <c r="N889" s="26" t="s">
        <v>398</v>
      </c>
      <c r="O889" s="26" t="s">
        <v>45</v>
      </c>
      <c r="P889" s="26" t="s">
        <v>431</v>
      </c>
      <c r="Q889" s="47">
        <f t="shared" si="113"/>
        <v>4.3670893572082106</v>
      </c>
      <c r="R889" s="47">
        <f t="shared" si="114"/>
        <v>43.670893572082107</v>
      </c>
    </row>
    <row r="890" spans="13:18" x14ac:dyDescent="0.15">
      <c r="M890" s="46">
        <v>2022</v>
      </c>
      <c r="N890" s="26" t="s">
        <v>398</v>
      </c>
      <c r="O890" s="26" t="s">
        <v>46</v>
      </c>
      <c r="P890" s="26" t="s">
        <v>427</v>
      </c>
      <c r="Q890" s="47">
        <f t="shared" si="113"/>
        <v>0</v>
      </c>
      <c r="R890" s="47">
        <f t="shared" si="114"/>
        <v>0</v>
      </c>
    </row>
    <row r="891" spans="13:18" x14ac:dyDescent="0.15">
      <c r="M891" s="46">
        <v>2022</v>
      </c>
      <c r="N891" s="26" t="s">
        <v>398</v>
      </c>
      <c r="O891" s="26" t="s">
        <v>46</v>
      </c>
      <c r="P891" s="26" t="s">
        <v>429</v>
      </c>
      <c r="Q891" s="47">
        <f t="shared" si="113"/>
        <v>0</v>
      </c>
      <c r="R891" s="47">
        <f t="shared" si="114"/>
        <v>0</v>
      </c>
    </row>
    <row r="892" spans="13:18" x14ac:dyDescent="0.15">
      <c r="M892" s="46">
        <v>2022</v>
      </c>
      <c r="N892" s="26" t="s">
        <v>398</v>
      </c>
      <c r="O892" s="26" t="s">
        <v>46</v>
      </c>
      <c r="P892" s="26" t="s">
        <v>430</v>
      </c>
      <c r="Q892" s="47">
        <f t="shared" si="113"/>
        <v>0</v>
      </c>
      <c r="R892" s="47">
        <f t="shared" si="114"/>
        <v>0</v>
      </c>
    </row>
    <row r="893" spans="13:18" x14ac:dyDescent="0.15">
      <c r="M893" s="46">
        <v>2022</v>
      </c>
      <c r="N893" s="26" t="s">
        <v>398</v>
      </c>
      <c r="O893" s="26" t="s">
        <v>46</v>
      </c>
      <c r="P893" s="26" t="s">
        <v>431</v>
      </c>
      <c r="Q893" s="47">
        <f t="shared" si="113"/>
        <v>0.77759999067837804</v>
      </c>
      <c r="R893" s="47">
        <f t="shared" si="114"/>
        <v>7.7759999067837811</v>
      </c>
    </row>
    <row r="894" spans="13:18" x14ac:dyDescent="0.15">
      <c r="M894" s="46">
        <v>2022</v>
      </c>
      <c r="N894" s="26" t="s">
        <v>404</v>
      </c>
      <c r="O894" s="26" t="s">
        <v>35</v>
      </c>
      <c r="P894" s="26" t="s">
        <v>427</v>
      </c>
      <c r="Q894" s="47">
        <f t="shared" si="113"/>
        <v>0</v>
      </c>
      <c r="R894" s="47">
        <f t="shared" si="114"/>
        <v>0</v>
      </c>
    </row>
    <row r="895" spans="13:18" x14ac:dyDescent="0.15">
      <c r="M895" s="46">
        <v>2022</v>
      </c>
      <c r="N895" s="26" t="s">
        <v>404</v>
      </c>
      <c r="O895" s="26" t="s">
        <v>35</v>
      </c>
      <c r="P895" s="26" t="s">
        <v>429</v>
      </c>
      <c r="Q895" s="47">
        <f t="shared" si="113"/>
        <v>0</v>
      </c>
      <c r="R895" s="47">
        <f t="shared" si="114"/>
        <v>0</v>
      </c>
    </row>
    <row r="896" spans="13:18" x14ac:dyDescent="0.15">
      <c r="M896" s="46">
        <v>2022</v>
      </c>
      <c r="N896" s="26" t="s">
        <v>404</v>
      </c>
      <c r="O896" s="26" t="s">
        <v>35</v>
      </c>
      <c r="P896" s="26" t="s">
        <v>430</v>
      </c>
      <c r="Q896" s="47">
        <f t="shared" si="113"/>
        <v>0</v>
      </c>
      <c r="R896" s="47">
        <f t="shared" si="114"/>
        <v>0</v>
      </c>
    </row>
    <row r="897" spans="13:18" x14ac:dyDescent="0.15">
      <c r="M897" s="46">
        <v>2022</v>
      </c>
      <c r="N897" s="26" t="s">
        <v>404</v>
      </c>
      <c r="O897" s="26" t="s">
        <v>35</v>
      </c>
      <c r="P897" s="26" t="s">
        <v>431</v>
      </c>
      <c r="Q897" s="47">
        <f t="shared" si="113"/>
        <v>13.33670235534996</v>
      </c>
      <c r="R897" s="47">
        <f t="shared" si="114"/>
        <v>53.34680942139984</v>
      </c>
    </row>
    <row r="898" spans="13:18" x14ac:dyDescent="0.15">
      <c r="M898" s="46">
        <v>2022</v>
      </c>
      <c r="N898" s="26" t="s">
        <v>404</v>
      </c>
      <c r="O898" s="26" t="s">
        <v>40</v>
      </c>
      <c r="P898" s="26" t="s">
        <v>427</v>
      </c>
      <c r="Q898" s="47">
        <f t="shared" ref="Q898:Q961" si="115">SUMIFS(D:D,B:B,N898,C:C,P898,A:A,M898)*SUMIFS(K:K,G:G,N898,I:I,O898)</f>
        <v>0</v>
      </c>
      <c r="R898" s="47">
        <f t="shared" ref="R898:R961" si="116">SUMIFS(E:E,B:B,N898,C:C,P898,A:A,M898)*SUMIFS(K:K,G:G,N898,I:I,O898)</f>
        <v>0</v>
      </c>
    </row>
    <row r="899" spans="13:18" x14ac:dyDescent="0.15">
      <c r="M899" s="46">
        <v>2022</v>
      </c>
      <c r="N899" s="26" t="s">
        <v>404</v>
      </c>
      <c r="O899" s="26" t="s">
        <v>40</v>
      </c>
      <c r="P899" s="26" t="s">
        <v>429</v>
      </c>
      <c r="Q899" s="47">
        <f t="shared" si="115"/>
        <v>0</v>
      </c>
      <c r="R899" s="47">
        <f t="shared" si="116"/>
        <v>0</v>
      </c>
    </row>
    <row r="900" spans="13:18" x14ac:dyDescent="0.15">
      <c r="M900" s="46">
        <v>2022</v>
      </c>
      <c r="N900" s="26" t="s">
        <v>404</v>
      </c>
      <c r="O900" s="26" t="s">
        <v>40</v>
      </c>
      <c r="P900" s="26" t="s">
        <v>430</v>
      </c>
      <c r="Q900" s="47">
        <f t="shared" si="115"/>
        <v>0</v>
      </c>
      <c r="R900" s="47">
        <f t="shared" si="116"/>
        <v>0</v>
      </c>
    </row>
    <row r="901" spans="13:18" x14ac:dyDescent="0.15">
      <c r="M901" s="46">
        <v>2022</v>
      </c>
      <c r="N901" s="26" t="s">
        <v>404</v>
      </c>
      <c r="O901" s="26" t="s">
        <v>40</v>
      </c>
      <c r="P901" s="26" t="s">
        <v>431</v>
      </c>
      <c r="Q901" s="47">
        <f t="shared" si="115"/>
        <v>39.53229642691781</v>
      </c>
      <c r="R901" s="47">
        <f t="shared" si="116"/>
        <v>158.12918570767124</v>
      </c>
    </row>
    <row r="902" spans="13:18" x14ac:dyDescent="0.15">
      <c r="M902" s="46">
        <v>2022</v>
      </c>
      <c r="N902" s="26" t="s">
        <v>404</v>
      </c>
      <c r="O902" s="26" t="s">
        <v>41</v>
      </c>
      <c r="P902" s="26" t="s">
        <v>427</v>
      </c>
      <c r="Q902" s="47">
        <f t="shared" si="115"/>
        <v>0</v>
      </c>
      <c r="R902" s="47">
        <f t="shared" si="116"/>
        <v>0</v>
      </c>
    </row>
    <row r="903" spans="13:18" x14ac:dyDescent="0.15">
      <c r="M903" s="46">
        <v>2022</v>
      </c>
      <c r="N903" s="26" t="s">
        <v>404</v>
      </c>
      <c r="O903" s="26" t="s">
        <v>41</v>
      </c>
      <c r="P903" s="26" t="s">
        <v>429</v>
      </c>
      <c r="Q903" s="47">
        <f t="shared" si="115"/>
        <v>0</v>
      </c>
      <c r="R903" s="47">
        <f t="shared" si="116"/>
        <v>0</v>
      </c>
    </row>
    <row r="904" spans="13:18" x14ac:dyDescent="0.15">
      <c r="M904" s="46">
        <v>2022</v>
      </c>
      <c r="N904" s="26" t="s">
        <v>404</v>
      </c>
      <c r="O904" s="26" t="s">
        <v>41</v>
      </c>
      <c r="P904" s="26" t="s">
        <v>430</v>
      </c>
      <c r="Q904" s="47">
        <f t="shared" si="115"/>
        <v>0</v>
      </c>
      <c r="R904" s="47">
        <f t="shared" si="116"/>
        <v>0</v>
      </c>
    </row>
    <row r="905" spans="13:18" x14ac:dyDescent="0.15">
      <c r="M905" s="46">
        <v>2022</v>
      </c>
      <c r="N905" s="26" t="s">
        <v>404</v>
      </c>
      <c r="O905" s="26" t="s">
        <v>41</v>
      </c>
      <c r="P905" s="26" t="s">
        <v>431</v>
      </c>
      <c r="Q905" s="47">
        <f t="shared" si="115"/>
        <v>8.5518267411297604</v>
      </c>
      <c r="R905" s="47">
        <f t="shared" si="116"/>
        <v>34.207306964519042</v>
      </c>
    </row>
    <row r="906" spans="13:18" x14ac:dyDescent="0.15">
      <c r="M906" s="46">
        <v>2022</v>
      </c>
      <c r="N906" s="26" t="s">
        <v>404</v>
      </c>
      <c r="O906" s="26" t="s">
        <v>45</v>
      </c>
      <c r="P906" s="26" t="s">
        <v>427</v>
      </c>
      <c r="Q906" s="47">
        <f t="shared" si="115"/>
        <v>0</v>
      </c>
      <c r="R906" s="47">
        <f t="shared" si="116"/>
        <v>0</v>
      </c>
    </row>
    <row r="907" spans="13:18" x14ac:dyDescent="0.15">
      <c r="M907" s="46">
        <v>2022</v>
      </c>
      <c r="N907" s="26" t="s">
        <v>404</v>
      </c>
      <c r="O907" s="26" t="s">
        <v>45</v>
      </c>
      <c r="P907" s="26" t="s">
        <v>429</v>
      </c>
      <c r="Q907" s="47">
        <f t="shared" si="115"/>
        <v>0</v>
      </c>
      <c r="R907" s="47">
        <f t="shared" si="116"/>
        <v>0</v>
      </c>
    </row>
    <row r="908" spans="13:18" x14ac:dyDescent="0.15">
      <c r="M908" s="46">
        <v>2022</v>
      </c>
      <c r="N908" s="26" t="s">
        <v>404</v>
      </c>
      <c r="O908" s="26" t="s">
        <v>45</v>
      </c>
      <c r="P908" s="26" t="s">
        <v>430</v>
      </c>
      <c r="Q908" s="47">
        <f t="shared" si="115"/>
        <v>0</v>
      </c>
      <c r="R908" s="47">
        <f t="shared" si="116"/>
        <v>0</v>
      </c>
    </row>
    <row r="909" spans="13:18" x14ac:dyDescent="0.15">
      <c r="M909" s="46">
        <v>2022</v>
      </c>
      <c r="N909" s="26" t="s">
        <v>404</v>
      </c>
      <c r="O909" s="26" t="s">
        <v>45</v>
      </c>
      <c r="P909" s="26" t="s">
        <v>431</v>
      </c>
      <c r="Q909" s="47">
        <f t="shared" si="115"/>
        <v>13.931535103973387</v>
      </c>
      <c r="R909" s="47">
        <f t="shared" si="116"/>
        <v>55.726140415893546</v>
      </c>
    </row>
    <row r="910" spans="13:18" x14ac:dyDescent="0.15">
      <c r="M910" s="46">
        <v>2022</v>
      </c>
      <c r="N910" s="26" t="s">
        <v>406</v>
      </c>
      <c r="O910" s="26" t="s">
        <v>40</v>
      </c>
      <c r="P910" s="26" t="s">
        <v>427</v>
      </c>
      <c r="Q910" s="47">
        <f t="shared" si="115"/>
        <v>0</v>
      </c>
      <c r="R910" s="47">
        <f t="shared" si="116"/>
        <v>0</v>
      </c>
    </row>
    <row r="911" spans="13:18" x14ac:dyDescent="0.15">
      <c r="M911" s="46">
        <v>2022</v>
      </c>
      <c r="N911" s="26" t="s">
        <v>406</v>
      </c>
      <c r="O911" s="26" t="s">
        <v>40</v>
      </c>
      <c r="P911" s="26" t="s">
        <v>429</v>
      </c>
      <c r="Q911" s="47">
        <f t="shared" si="115"/>
        <v>0</v>
      </c>
      <c r="R911" s="47">
        <f t="shared" si="116"/>
        <v>0</v>
      </c>
    </row>
    <row r="912" spans="13:18" x14ac:dyDescent="0.15">
      <c r="M912" s="46">
        <v>2022</v>
      </c>
      <c r="N912" s="26" t="s">
        <v>406</v>
      </c>
      <c r="O912" s="26" t="s">
        <v>40</v>
      </c>
      <c r="P912" s="26" t="s">
        <v>430</v>
      </c>
      <c r="Q912" s="47">
        <f t="shared" si="115"/>
        <v>0</v>
      </c>
      <c r="R912" s="47">
        <f t="shared" si="116"/>
        <v>0</v>
      </c>
    </row>
    <row r="913" spans="13:18" x14ac:dyDescent="0.15">
      <c r="M913" s="46">
        <v>2022</v>
      </c>
      <c r="N913" s="26" t="s">
        <v>406</v>
      </c>
      <c r="O913" s="26" t="s">
        <v>40</v>
      </c>
      <c r="P913" s="26" t="s">
        <v>431</v>
      </c>
      <c r="Q913" s="47">
        <f t="shared" si="115"/>
        <v>0</v>
      </c>
      <c r="R913" s="47">
        <f t="shared" si="116"/>
        <v>0</v>
      </c>
    </row>
    <row r="914" spans="13:18" x14ac:dyDescent="0.15">
      <c r="M914" s="46">
        <v>2022</v>
      </c>
      <c r="N914" s="26" t="s">
        <v>406</v>
      </c>
      <c r="O914" s="26" t="s">
        <v>45</v>
      </c>
      <c r="P914" s="26" t="s">
        <v>427</v>
      </c>
      <c r="Q914" s="47">
        <f t="shared" si="115"/>
        <v>0</v>
      </c>
      <c r="R914" s="47">
        <f t="shared" si="116"/>
        <v>0</v>
      </c>
    </row>
    <row r="915" spans="13:18" x14ac:dyDescent="0.15">
      <c r="M915" s="46">
        <v>2022</v>
      </c>
      <c r="N915" s="26" t="s">
        <v>406</v>
      </c>
      <c r="O915" s="26" t="s">
        <v>45</v>
      </c>
      <c r="P915" s="26" t="s">
        <v>429</v>
      </c>
      <c r="Q915" s="47">
        <f t="shared" si="115"/>
        <v>0</v>
      </c>
      <c r="R915" s="47">
        <f t="shared" si="116"/>
        <v>0</v>
      </c>
    </row>
    <row r="916" spans="13:18" x14ac:dyDescent="0.15">
      <c r="M916" s="46">
        <v>2022</v>
      </c>
      <c r="N916" s="26" t="s">
        <v>406</v>
      </c>
      <c r="O916" s="26" t="s">
        <v>45</v>
      </c>
      <c r="P916" s="26" t="s">
        <v>430</v>
      </c>
      <c r="Q916" s="47">
        <f t="shared" si="115"/>
        <v>0</v>
      </c>
      <c r="R916" s="47">
        <f t="shared" si="116"/>
        <v>0</v>
      </c>
    </row>
    <row r="917" spans="13:18" x14ac:dyDescent="0.15">
      <c r="M917" s="46">
        <v>2022</v>
      </c>
      <c r="N917" s="26" t="s">
        <v>406</v>
      </c>
      <c r="O917" s="26" t="s">
        <v>45</v>
      </c>
      <c r="P917" s="26" t="s">
        <v>431</v>
      </c>
      <c r="Q917" s="47">
        <f t="shared" si="115"/>
        <v>0</v>
      </c>
      <c r="R917" s="47">
        <f t="shared" si="116"/>
        <v>0</v>
      </c>
    </row>
    <row r="918" spans="13:18" x14ac:dyDescent="0.15">
      <c r="M918" s="46">
        <v>2022</v>
      </c>
      <c r="N918" s="26" t="s">
        <v>406</v>
      </c>
      <c r="O918" s="26" t="s">
        <v>46</v>
      </c>
      <c r="P918" s="26" t="s">
        <v>427</v>
      </c>
      <c r="Q918" s="47">
        <f t="shared" si="115"/>
        <v>0</v>
      </c>
      <c r="R918" s="47">
        <f t="shared" si="116"/>
        <v>0</v>
      </c>
    </row>
    <row r="919" spans="13:18" x14ac:dyDescent="0.15">
      <c r="M919" s="46">
        <v>2022</v>
      </c>
      <c r="N919" s="26" t="s">
        <v>406</v>
      </c>
      <c r="O919" s="26" t="s">
        <v>46</v>
      </c>
      <c r="P919" s="26" t="s">
        <v>429</v>
      </c>
      <c r="Q919" s="47">
        <f t="shared" si="115"/>
        <v>0</v>
      </c>
      <c r="R919" s="47">
        <f t="shared" si="116"/>
        <v>0</v>
      </c>
    </row>
    <row r="920" spans="13:18" x14ac:dyDescent="0.15">
      <c r="M920" s="46">
        <v>2022</v>
      </c>
      <c r="N920" s="26" t="s">
        <v>406</v>
      </c>
      <c r="O920" s="26" t="s">
        <v>46</v>
      </c>
      <c r="P920" s="26" t="s">
        <v>430</v>
      </c>
      <c r="Q920" s="47">
        <f t="shared" si="115"/>
        <v>0</v>
      </c>
      <c r="R920" s="47">
        <f t="shared" si="116"/>
        <v>0</v>
      </c>
    </row>
    <row r="921" spans="13:18" x14ac:dyDescent="0.15">
      <c r="M921" s="46">
        <v>2022</v>
      </c>
      <c r="N921" s="26" t="s">
        <v>406</v>
      </c>
      <c r="O921" s="26" t="s">
        <v>46</v>
      </c>
      <c r="P921" s="26" t="s">
        <v>431</v>
      </c>
      <c r="Q921" s="47">
        <f t="shared" si="115"/>
        <v>0</v>
      </c>
      <c r="R921" s="47">
        <f t="shared" si="116"/>
        <v>0</v>
      </c>
    </row>
    <row r="922" spans="13:18" x14ac:dyDescent="0.15">
      <c r="M922" s="46">
        <v>2022</v>
      </c>
      <c r="N922" s="26" t="s">
        <v>406</v>
      </c>
      <c r="O922" s="26" t="s">
        <v>39</v>
      </c>
      <c r="P922" s="26" t="s">
        <v>427</v>
      </c>
      <c r="Q922" s="47">
        <f t="shared" si="115"/>
        <v>0</v>
      </c>
      <c r="R922" s="47">
        <f t="shared" si="116"/>
        <v>0</v>
      </c>
    </row>
    <row r="923" spans="13:18" x14ac:dyDescent="0.15">
      <c r="M923" s="46">
        <v>2022</v>
      </c>
      <c r="N923" s="26" t="s">
        <v>406</v>
      </c>
      <c r="O923" s="26" t="s">
        <v>39</v>
      </c>
      <c r="P923" s="26" t="s">
        <v>429</v>
      </c>
      <c r="Q923" s="47">
        <f t="shared" si="115"/>
        <v>0</v>
      </c>
      <c r="R923" s="47">
        <f t="shared" si="116"/>
        <v>0</v>
      </c>
    </row>
    <row r="924" spans="13:18" x14ac:dyDescent="0.15">
      <c r="M924" s="46">
        <v>2022</v>
      </c>
      <c r="N924" s="26" t="s">
        <v>406</v>
      </c>
      <c r="O924" s="26" t="s">
        <v>39</v>
      </c>
      <c r="P924" s="26" t="s">
        <v>430</v>
      </c>
      <c r="Q924" s="47">
        <f t="shared" si="115"/>
        <v>0</v>
      </c>
      <c r="R924" s="47">
        <f t="shared" si="116"/>
        <v>0</v>
      </c>
    </row>
    <row r="925" spans="13:18" x14ac:dyDescent="0.15">
      <c r="M925" s="46">
        <v>2022</v>
      </c>
      <c r="N925" s="26" t="s">
        <v>406</v>
      </c>
      <c r="O925" s="26" t="s">
        <v>39</v>
      </c>
      <c r="P925" s="26" t="s">
        <v>431</v>
      </c>
      <c r="Q925" s="47">
        <f t="shared" si="115"/>
        <v>0</v>
      </c>
      <c r="R925" s="47">
        <f t="shared" si="116"/>
        <v>0</v>
      </c>
    </row>
    <row r="926" spans="13:18" x14ac:dyDescent="0.15">
      <c r="M926" s="46">
        <v>2022</v>
      </c>
      <c r="N926" s="26" t="s">
        <v>406</v>
      </c>
      <c r="O926" s="26" t="s">
        <v>408</v>
      </c>
      <c r="P926" s="26" t="s">
        <v>427</v>
      </c>
      <c r="Q926" s="47">
        <f t="shared" si="115"/>
        <v>0</v>
      </c>
      <c r="R926" s="47">
        <f t="shared" si="116"/>
        <v>0</v>
      </c>
    </row>
    <row r="927" spans="13:18" x14ac:dyDescent="0.15">
      <c r="M927" s="46">
        <v>2022</v>
      </c>
      <c r="N927" s="26" t="s">
        <v>406</v>
      </c>
      <c r="O927" s="26" t="s">
        <v>408</v>
      </c>
      <c r="P927" s="26" t="s">
        <v>429</v>
      </c>
      <c r="Q927" s="47">
        <f t="shared" si="115"/>
        <v>0</v>
      </c>
      <c r="R927" s="47">
        <f t="shared" si="116"/>
        <v>0</v>
      </c>
    </row>
    <row r="928" spans="13:18" x14ac:dyDescent="0.15">
      <c r="M928" s="46">
        <v>2022</v>
      </c>
      <c r="N928" s="26" t="s">
        <v>406</v>
      </c>
      <c r="O928" s="26" t="s">
        <v>408</v>
      </c>
      <c r="P928" s="26" t="s">
        <v>430</v>
      </c>
      <c r="Q928" s="47">
        <f t="shared" si="115"/>
        <v>0</v>
      </c>
      <c r="R928" s="47">
        <f t="shared" si="116"/>
        <v>0</v>
      </c>
    </row>
    <row r="929" spans="13:18" x14ac:dyDescent="0.15">
      <c r="M929" s="46">
        <v>2022</v>
      </c>
      <c r="N929" s="26" t="s">
        <v>406</v>
      </c>
      <c r="O929" s="26" t="s">
        <v>408</v>
      </c>
      <c r="P929" s="26" t="s">
        <v>431</v>
      </c>
      <c r="Q929" s="47">
        <f t="shared" si="115"/>
        <v>0</v>
      </c>
      <c r="R929" s="47">
        <f t="shared" si="116"/>
        <v>0</v>
      </c>
    </row>
    <row r="930" spans="13:18" x14ac:dyDescent="0.15">
      <c r="M930" s="46">
        <v>2022</v>
      </c>
      <c r="N930" s="26" t="s">
        <v>409</v>
      </c>
      <c r="O930" s="26" t="s">
        <v>45</v>
      </c>
      <c r="P930" s="26" t="s">
        <v>427</v>
      </c>
      <c r="Q930" s="47">
        <f t="shared" si="115"/>
        <v>0</v>
      </c>
      <c r="R930" s="47">
        <f t="shared" si="116"/>
        <v>0</v>
      </c>
    </row>
    <row r="931" spans="13:18" x14ac:dyDescent="0.15">
      <c r="M931" s="46">
        <v>2022</v>
      </c>
      <c r="N931" s="26" t="s">
        <v>409</v>
      </c>
      <c r="O931" s="26" t="s">
        <v>45</v>
      </c>
      <c r="P931" s="26" t="s">
        <v>429</v>
      </c>
      <c r="Q931" s="47">
        <f t="shared" si="115"/>
        <v>0</v>
      </c>
      <c r="R931" s="47">
        <f t="shared" si="116"/>
        <v>0</v>
      </c>
    </row>
    <row r="932" spans="13:18" x14ac:dyDescent="0.15">
      <c r="M932" s="46">
        <v>2022</v>
      </c>
      <c r="N932" s="26" t="s">
        <v>409</v>
      </c>
      <c r="O932" s="26" t="s">
        <v>45</v>
      </c>
      <c r="P932" s="26" t="s">
        <v>430</v>
      </c>
      <c r="Q932" s="47">
        <f t="shared" si="115"/>
        <v>0</v>
      </c>
      <c r="R932" s="47">
        <f t="shared" si="116"/>
        <v>0</v>
      </c>
    </row>
    <row r="933" spans="13:18" x14ac:dyDescent="0.15">
      <c r="M933" s="46">
        <v>2022</v>
      </c>
      <c r="N933" s="26" t="s">
        <v>409</v>
      </c>
      <c r="O933" s="26" t="s">
        <v>45</v>
      </c>
      <c r="P933" s="26" t="s">
        <v>431</v>
      </c>
      <c r="Q933" s="47">
        <f t="shared" si="115"/>
        <v>6.862427982723041</v>
      </c>
      <c r="R933" s="47">
        <f t="shared" si="116"/>
        <v>137.24855965446082</v>
      </c>
    </row>
    <row r="934" spans="13:18" x14ac:dyDescent="0.15">
      <c r="M934" s="46">
        <v>2022</v>
      </c>
      <c r="N934" s="26" t="s">
        <v>409</v>
      </c>
      <c r="O934" s="26" t="s">
        <v>40</v>
      </c>
      <c r="P934" s="26" t="s">
        <v>427</v>
      </c>
      <c r="Q934" s="47">
        <f t="shared" si="115"/>
        <v>0</v>
      </c>
      <c r="R934" s="47">
        <f t="shared" si="116"/>
        <v>0</v>
      </c>
    </row>
    <row r="935" spans="13:18" x14ac:dyDescent="0.15">
      <c r="M935" s="46">
        <v>2022</v>
      </c>
      <c r="N935" s="26" t="s">
        <v>409</v>
      </c>
      <c r="O935" s="26" t="s">
        <v>40</v>
      </c>
      <c r="P935" s="26" t="s">
        <v>429</v>
      </c>
      <c r="Q935" s="47">
        <f t="shared" si="115"/>
        <v>0</v>
      </c>
      <c r="R935" s="47">
        <f t="shared" si="116"/>
        <v>0</v>
      </c>
    </row>
    <row r="936" spans="13:18" x14ac:dyDescent="0.15">
      <c r="M936" s="46">
        <v>2022</v>
      </c>
      <c r="N936" s="26" t="s">
        <v>409</v>
      </c>
      <c r="O936" s="26" t="s">
        <v>40</v>
      </c>
      <c r="P936" s="26" t="s">
        <v>430</v>
      </c>
      <c r="Q936" s="47">
        <f t="shared" si="115"/>
        <v>0</v>
      </c>
      <c r="R936" s="47">
        <f t="shared" si="116"/>
        <v>0</v>
      </c>
    </row>
    <row r="937" spans="13:18" x14ac:dyDescent="0.15">
      <c r="M937" s="46">
        <v>2022</v>
      </c>
      <c r="N937" s="26" t="s">
        <v>409</v>
      </c>
      <c r="O937" s="26" t="s">
        <v>40</v>
      </c>
      <c r="P937" s="26" t="s">
        <v>431</v>
      </c>
      <c r="Q937" s="47">
        <f t="shared" si="115"/>
        <v>19.472910572791751</v>
      </c>
      <c r="R937" s="47">
        <f t="shared" si="116"/>
        <v>389.45821145583506</v>
      </c>
    </row>
    <row r="938" spans="13:18" x14ac:dyDescent="0.15">
      <c r="M938" s="46">
        <v>2022</v>
      </c>
      <c r="N938" s="26" t="s">
        <v>409</v>
      </c>
      <c r="O938" s="26" t="s">
        <v>46</v>
      </c>
      <c r="P938" s="26" t="s">
        <v>427</v>
      </c>
      <c r="Q938" s="47">
        <f t="shared" si="115"/>
        <v>0</v>
      </c>
      <c r="R938" s="47">
        <f t="shared" si="116"/>
        <v>0</v>
      </c>
    </row>
    <row r="939" spans="13:18" x14ac:dyDescent="0.15">
      <c r="M939" s="46">
        <v>2022</v>
      </c>
      <c r="N939" s="26" t="s">
        <v>409</v>
      </c>
      <c r="O939" s="26" t="s">
        <v>46</v>
      </c>
      <c r="P939" s="26" t="s">
        <v>429</v>
      </c>
      <c r="Q939" s="47">
        <f t="shared" si="115"/>
        <v>0</v>
      </c>
      <c r="R939" s="47">
        <f t="shared" si="116"/>
        <v>0</v>
      </c>
    </row>
    <row r="940" spans="13:18" x14ac:dyDescent="0.15">
      <c r="M940" s="46">
        <v>2022</v>
      </c>
      <c r="N940" s="26" t="s">
        <v>409</v>
      </c>
      <c r="O940" s="26" t="s">
        <v>46</v>
      </c>
      <c r="P940" s="26" t="s">
        <v>430</v>
      </c>
      <c r="Q940" s="47">
        <f t="shared" si="115"/>
        <v>0</v>
      </c>
      <c r="R940" s="47">
        <f t="shared" si="116"/>
        <v>0</v>
      </c>
    </row>
    <row r="941" spans="13:18" x14ac:dyDescent="0.15">
      <c r="M941" s="46">
        <v>2022</v>
      </c>
      <c r="N941" s="26" t="s">
        <v>409</v>
      </c>
      <c r="O941" s="26" t="s">
        <v>46</v>
      </c>
      <c r="P941" s="26" t="s">
        <v>431</v>
      </c>
      <c r="Q941" s="47">
        <f t="shared" si="115"/>
        <v>1.2219177348841366</v>
      </c>
      <c r="R941" s="47">
        <f t="shared" si="116"/>
        <v>24.43835469768273</v>
      </c>
    </row>
    <row r="942" spans="13:18" x14ac:dyDescent="0.15">
      <c r="M942" s="46">
        <v>2022</v>
      </c>
      <c r="N942" s="26" t="s">
        <v>409</v>
      </c>
      <c r="O942" s="26" t="s">
        <v>44</v>
      </c>
      <c r="P942" s="26" t="s">
        <v>427</v>
      </c>
      <c r="Q942" s="47">
        <f t="shared" si="115"/>
        <v>0</v>
      </c>
      <c r="R942" s="47">
        <f t="shared" si="116"/>
        <v>0</v>
      </c>
    </row>
    <row r="943" spans="13:18" x14ac:dyDescent="0.15">
      <c r="M943" s="46">
        <v>2022</v>
      </c>
      <c r="N943" s="26" t="s">
        <v>409</v>
      </c>
      <c r="O943" s="26" t="s">
        <v>44</v>
      </c>
      <c r="P943" s="26" t="s">
        <v>429</v>
      </c>
      <c r="Q943" s="47">
        <f t="shared" si="115"/>
        <v>0</v>
      </c>
      <c r="R943" s="47">
        <f t="shared" si="116"/>
        <v>0</v>
      </c>
    </row>
    <row r="944" spans="13:18" x14ac:dyDescent="0.15">
      <c r="M944" s="46">
        <v>2022</v>
      </c>
      <c r="N944" s="26" t="s">
        <v>409</v>
      </c>
      <c r="O944" s="26" t="s">
        <v>44</v>
      </c>
      <c r="P944" s="26" t="s">
        <v>430</v>
      </c>
      <c r="Q944" s="47">
        <f t="shared" si="115"/>
        <v>0</v>
      </c>
      <c r="R944" s="47">
        <f t="shared" si="116"/>
        <v>0</v>
      </c>
    </row>
    <row r="945" spans="13:18" x14ac:dyDescent="0.15">
      <c r="M945" s="46">
        <v>2022</v>
      </c>
      <c r="N945" s="26" t="s">
        <v>409</v>
      </c>
      <c r="O945" s="26" t="s">
        <v>44</v>
      </c>
      <c r="P945" s="26" t="s">
        <v>431</v>
      </c>
      <c r="Q945" s="47">
        <f t="shared" si="115"/>
        <v>2.4427437096010727</v>
      </c>
      <c r="R945" s="47">
        <f t="shared" si="116"/>
        <v>48.854874192021455</v>
      </c>
    </row>
    <row r="946" spans="13:18" x14ac:dyDescent="0.15">
      <c r="M946" s="46">
        <v>2022</v>
      </c>
      <c r="N946" s="26" t="s">
        <v>411</v>
      </c>
      <c r="O946" s="26" t="s">
        <v>35</v>
      </c>
      <c r="P946" s="26" t="s">
        <v>427</v>
      </c>
      <c r="Q946" s="47">
        <f t="shared" si="115"/>
        <v>0</v>
      </c>
      <c r="R946" s="47">
        <f t="shared" si="116"/>
        <v>0</v>
      </c>
    </row>
    <row r="947" spans="13:18" x14ac:dyDescent="0.15">
      <c r="M947" s="46">
        <v>2022</v>
      </c>
      <c r="N947" s="26" t="s">
        <v>411</v>
      </c>
      <c r="O947" s="26" t="s">
        <v>35</v>
      </c>
      <c r="P947" s="26" t="s">
        <v>429</v>
      </c>
      <c r="Q947" s="47">
        <f t="shared" si="115"/>
        <v>0</v>
      </c>
      <c r="R947" s="47">
        <f t="shared" si="116"/>
        <v>0</v>
      </c>
    </row>
    <row r="948" spans="13:18" x14ac:dyDescent="0.15">
      <c r="M948" s="46">
        <v>2022</v>
      </c>
      <c r="N948" s="26" t="s">
        <v>411</v>
      </c>
      <c r="O948" s="26" t="s">
        <v>35</v>
      </c>
      <c r="P948" s="26" t="s">
        <v>430</v>
      </c>
      <c r="Q948" s="47">
        <f t="shared" si="115"/>
        <v>0</v>
      </c>
      <c r="R948" s="47">
        <f t="shared" si="116"/>
        <v>0</v>
      </c>
    </row>
    <row r="949" spans="13:18" x14ac:dyDescent="0.15">
      <c r="M949" s="46">
        <v>2022</v>
      </c>
      <c r="N949" s="26" t="s">
        <v>411</v>
      </c>
      <c r="O949" s="26" t="s">
        <v>35</v>
      </c>
      <c r="P949" s="26" t="s">
        <v>431</v>
      </c>
      <c r="Q949" s="47">
        <f t="shared" si="115"/>
        <v>0</v>
      </c>
      <c r="R949" s="47">
        <f t="shared" si="116"/>
        <v>0</v>
      </c>
    </row>
    <row r="950" spans="13:18" x14ac:dyDescent="0.15">
      <c r="M950" s="46">
        <v>2022</v>
      </c>
      <c r="N950" s="26" t="s">
        <v>411</v>
      </c>
      <c r="O950" s="26" t="s">
        <v>45</v>
      </c>
      <c r="P950" s="26" t="s">
        <v>427</v>
      </c>
      <c r="Q950" s="47">
        <f t="shared" si="115"/>
        <v>0</v>
      </c>
      <c r="R950" s="47">
        <f t="shared" si="116"/>
        <v>0</v>
      </c>
    </row>
    <row r="951" spans="13:18" x14ac:dyDescent="0.15">
      <c r="M951" s="46">
        <v>2022</v>
      </c>
      <c r="N951" s="26" t="s">
        <v>411</v>
      </c>
      <c r="O951" s="26" t="s">
        <v>45</v>
      </c>
      <c r="P951" s="26" t="s">
        <v>429</v>
      </c>
      <c r="Q951" s="47">
        <f t="shared" si="115"/>
        <v>0</v>
      </c>
      <c r="R951" s="47">
        <f t="shared" si="116"/>
        <v>0</v>
      </c>
    </row>
    <row r="952" spans="13:18" x14ac:dyDescent="0.15">
      <c r="M952" s="46">
        <v>2022</v>
      </c>
      <c r="N952" s="26" t="s">
        <v>411</v>
      </c>
      <c r="O952" s="26" t="s">
        <v>45</v>
      </c>
      <c r="P952" s="26" t="s">
        <v>430</v>
      </c>
      <c r="Q952" s="47">
        <f t="shared" si="115"/>
        <v>0</v>
      </c>
      <c r="R952" s="47">
        <f t="shared" si="116"/>
        <v>0</v>
      </c>
    </row>
    <row r="953" spans="13:18" x14ac:dyDescent="0.15">
      <c r="M953" s="46">
        <v>2022</v>
      </c>
      <c r="N953" s="26" t="s">
        <v>411</v>
      </c>
      <c r="O953" s="26" t="s">
        <v>45</v>
      </c>
      <c r="P953" s="26" t="s">
        <v>431</v>
      </c>
      <c r="Q953" s="47">
        <f t="shared" si="115"/>
        <v>0</v>
      </c>
      <c r="R953" s="47">
        <f t="shared" si="116"/>
        <v>0</v>
      </c>
    </row>
    <row r="954" spans="13:18" x14ac:dyDescent="0.15">
      <c r="M954" s="46">
        <v>2022</v>
      </c>
      <c r="N954" s="26" t="s">
        <v>411</v>
      </c>
      <c r="O954" s="26" t="s">
        <v>46</v>
      </c>
      <c r="P954" s="26" t="s">
        <v>427</v>
      </c>
      <c r="Q954" s="47">
        <f t="shared" si="115"/>
        <v>0</v>
      </c>
      <c r="R954" s="47">
        <f t="shared" si="116"/>
        <v>0</v>
      </c>
    </row>
    <row r="955" spans="13:18" x14ac:dyDescent="0.15">
      <c r="M955" s="46">
        <v>2022</v>
      </c>
      <c r="N955" s="26" t="s">
        <v>411</v>
      </c>
      <c r="O955" s="26" t="s">
        <v>46</v>
      </c>
      <c r="P955" s="26" t="s">
        <v>429</v>
      </c>
      <c r="Q955" s="47">
        <f t="shared" si="115"/>
        <v>0</v>
      </c>
      <c r="R955" s="47">
        <f t="shared" si="116"/>
        <v>0</v>
      </c>
    </row>
    <row r="956" spans="13:18" x14ac:dyDescent="0.15">
      <c r="M956" s="46">
        <v>2022</v>
      </c>
      <c r="N956" s="26" t="s">
        <v>411</v>
      </c>
      <c r="O956" s="26" t="s">
        <v>46</v>
      </c>
      <c r="P956" s="26" t="s">
        <v>430</v>
      </c>
      <c r="Q956" s="47">
        <f t="shared" si="115"/>
        <v>0</v>
      </c>
      <c r="R956" s="47">
        <f t="shared" si="116"/>
        <v>0</v>
      </c>
    </row>
    <row r="957" spans="13:18" x14ac:dyDescent="0.15">
      <c r="M957" s="46">
        <v>2022</v>
      </c>
      <c r="N957" s="26" t="s">
        <v>411</v>
      </c>
      <c r="O957" s="26" t="s">
        <v>46</v>
      </c>
      <c r="P957" s="26" t="s">
        <v>431</v>
      </c>
      <c r="Q957" s="47">
        <f t="shared" si="115"/>
        <v>0</v>
      </c>
      <c r="R957" s="47">
        <f t="shared" si="116"/>
        <v>0</v>
      </c>
    </row>
    <row r="958" spans="13:18" x14ac:dyDescent="0.15">
      <c r="M958" s="46">
        <v>2022</v>
      </c>
      <c r="N958" s="26" t="s">
        <v>411</v>
      </c>
      <c r="O958" s="26" t="s">
        <v>40</v>
      </c>
      <c r="P958" s="26" t="s">
        <v>427</v>
      </c>
      <c r="Q958" s="47">
        <f t="shared" si="115"/>
        <v>0</v>
      </c>
      <c r="R958" s="47">
        <f t="shared" si="116"/>
        <v>0</v>
      </c>
    </row>
    <row r="959" spans="13:18" x14ac:dyDescent="0.15">
      <c r="M959" s="46">
        <v>2022</v>
      </c>
      <c r="N959" s="26" t="s">
        <v>411</v>
      </c>
      <c r="O959" s="26" t="s">
        <v>40</v>
      </c>
      <c r="P959" s="26" t="s">
        <v>429</v>
      </c>
      <c r="Q959" s="47">
        <f t="shared" si="115"/>
        <v>0</v>
      </c>
      <c r="R959" s="47">
        <f t="shared" si="116"/>
        <v>0</v>
      </c>
    </row>
    <row r="960" spans="13:18" x14ac:dyDescent="0.15">
      <c r="M960" s="46">
        <v>2022</v>
      </c>
      <c r="N960" s="26" t="s">
        <v>411</v>
      </c>
      <c r="O960" s="26" t="s">
        <v>40</v>
      </c>
      <c r="P960" s="26" t="s">
        <v>430</v>
      </c>
      <c r="Q960" s="47">
        <f t="shared" si="115"/>
        <v>0</v>
      </c>
      <c r="R960" s="47">
        <f t="shared" si="116"/>
        <v>0</v>
      </c>
    </row>
    <row r="961" spans="13:18" x14ac:dyDescent="0.15">
      <c r="M961" s="46">
        <v>2022</v>
      </c>
      <c r="N961" s="26" t="s">
        <v>411</v>
      </c>
      <c r="O961" s="26" t="s">
        <v>40</v>
      </c>
      <c r="P961" s="26" t="s">
        <v>431</v>
      </c>
      <c r="Q961" s="47">
        <f t="shared" si="115"/>
        <v>0</v>
      </c>
      <c r="R961" s="47">
        <f t="shared" si="116"/>
        <v>0</v>
      </c>
    </row>
    <row r="962" spans="13:18" x14ac:dyDescent="0.15">
      <c r="M962" s="46">
        <v>2022</v>
      </c>
      <c r="N962" s="26" t="s">
        <v>84</v>
      </c>
      <c r="O962" s="26" t="s">
        <v>53</v>
      </c>
      <c r="P962" s="26" t="s">
        <v>427</v>
      </c>
      <c r="Q962" s="47">
        <f t="shared" ref="Q962:Q1025" si="117">SUMIFS(D:D,B:B,N962,C:C,P962,A:A,M962)*SUMIFS(K:K,G:G,N962,I:I,O962)</f>
        <v>48.229226264337683</v>
      </c>
      <c r="R962" s="47">
        <f t="shared" ref="R962:R1025" si="118">SUMIFS(E:E,B:B,N962,C:C,P962,A:A,M962)*SUMIFS(K:K,G:G,N962,I:I,O962)</f>
        <v>437.25564439608246</v>
      </c>
    </row>
    <row r="963" spans="13:18" x14ac:dyDescent="0.15">
      <c r="M963" s="46">
        <v>2022</v>
      </c>
      <c r="N963" s="26" t="s">
        <v>84</v>
      </c>
      <c r="O963" s="26" t="s">
        <v>53</v>
      </c>
      <c r="P963" s="26" t="s">
        <v>429</v>
      </c>
      <c r="Q963" s="47">
        <f t="shared" si="117"/>
        <v>0</v>
      </c>
      <c r="R963" s="47">
        <f t="shared" si="118"/>
        <v>0</v>
      </c>
    </row>
    <row r="964" spans="13:18" x14ac:dyDescent="0.15">
      <c r="M964" s="46">
        <v>2022</v>
      </c>
      <c r="N964" s="26" t="s">
        <v>84</v>
      </c>
      <c r="O964" s="26" t="s">
        <v>53</v>
      </c>
      <c r="P964" s="26" t="s">
        <v>430</v>
      </c>
      <c r="Q964" s="47">
        <f t="shared" si="117"/>
        <v>0</v>
      </c>
      <c r="R964" s="47">
        <f t="shared" si="118"/>
        <v>0</v>
      </c>
    </row>
    <row r="965" spans="13:18" x14ac:dyDescent="0.15">
      <c r="M965" s="46">
        <v>2022</v>
      </c>
      <c r="N965" s="26" t="s">
        <v>84</v>
      </c>
      <c r="O965" s="26" t="s">
        <v>53</v>
      </c>
      <c r="P965" s="26" t="s">
        <v>431</v>
      </c>
      <c r="Q965" s="47">
        <f t="shared" si="117"/>
        <v>0</v>
      </c>
      <c r="R965" s="47">
        <f t="shared" si="118"/>
        <v>0</v>
      </c>
    </row>
    <row r="966" spans="13:18" x14ac:dyDescent="0.15">
      <c r="M966" s="46">
        <v>2022</v>
      </c>
      <c r="N966" s="26" t="s">
        <v>84</v>
      </c>
      <c r="O966" s="26" t="s">
        <v>43</v>
      </c>
      <c r="P966" s="26" t="s">
        <v>427</v>
      </c>
      <c r="Q966" s="47">
        <f t="shared" si="117"/>
        <v>26.234724380385771</v>
      </c>
      <c r="R966" s="47">
        <f t="shared" si="118"/>
        <v>237.84916746594064</v>
      </c>
    </row>
    <row r="967" spans="13:18" x14ac:dyDescent="0.15">
      <c r="M967" s="46">
        <v>2022</v>
      </c>
      <c r="N967" s="26" t="s">
        <v>84</v>
      </c>
      <c r="O967" s="26" t="s">
        <v>43</v>
      </c>
      <c r="P967" s="26" t="s">
        <v>429</v>
      </c>
      <c r="Q967" s="47">
        <f t="shared" si="117"/>
        <v>0</v>
      </c>
      <c r="R967" s="47">
        <f t="shared" si="118"/>
        <v>0</v>
      </c>
    </row>
    <row r="968" spans="13:18" x14ac:dyDescent="0.15">
      <c r="M968" s="46">
        <v>2022</v>
      </c>
      <c r="N968" s="26" t="s">
        <v>84</v>
      </c>
      <c r="O968" s="26" t="s">
        <v>43</v>
      </c>
      <c r="P968" s="26" t="s">
        <v>430</v>
      </c>
      <c r="Q968" s="47">
        <f t="shared" si="117"/>
        <v>0</v>
      </c>
      <c r="R968" s="47">
        <f t="shared" si="118"/>
        <v>0</v>
      </c>
    </row>
    <row r="969" spans="13:18" x14ac:dyDescent="0.15">
      <c r="M969" s="46">
        <v>2022</v>
      </c>
      <c r="N969" s="26" t="s">
        <v>84</v>
      </c>
      <c r="O969" s="26" t="s">
        <v>43</v>
      </c>
      <c r="P969" s="26" t="s">
        <v>431</v>
      </c>
      <c r="Q969" s="47">
        <f t="shared" si="117"/>
        <v>0</v>
      </c>
      <c r="R969" s="47">
        <f t="shared" si="118"/>
        <v>0</v>
      </c>
    </row>
    <row r="970" spans="13:18" x14ac:dyDescent="0.15">
      <c r="M970" s="46">
        <v>2022</v>
      </c>
      <c r="N970" s="26" t="s">
        <v>84</v>
      </c>
      <c r="O970" s="26" t="s">
        <v>415</v>
      </c>
      <c r="P970" s="26" t="s">
        <v>427</v>
      </c>
      <c r="Q970" s="47">
        <f t="shared" si="117"/>
        <v>0</v>
      </c>
      <c r="R970" s="47">
        <f t="shared" si="118"/>
        <v>0</v>
      </c>
    </row>
    <row r="971" spans="13:18" x14ac:dyDescent="0.15">
      <c r="M971" s="46">
        <v>2022</v>
      </c>
      <c r="N971" s="26" t="s">
        <v>84</v>
      </c>
      <c r="O971" s="26" t="s">
        <v>415</v>
      </c>
      <c r="P971" s="26" t="s">
        <v>429</v>
      </c>
      <c r="Q971" s="47">
        <f t="shared" si="117"/>
        <v>0</v>
      </c>
      <c r="R971" s="47">
        <f t="shared" si="118"/>
        <v>0</v>
      </c>
    </row>
    <row r="972" spans="13:18" x14ac:dyDescent="0.15">
      <c r="M972" s="46">
        <v>2022</v>
      </c>
      <c r="N972" s="26" t="s">
        <v>84</v>
      </c>
      <c r="O972" s="26" t="s">
        <v>415</v>
      </c>
      <c r="P972" s="26" t="s">
        <v>430</v>
      </c>
      <c r="Q972" s="47">
        <f t="shared" si="117"/>
        <v>0</v>
      </c>
      <c r="R972" s="47">
        <f t="shared" si="118"/>
        <v>0</v>
      </c>
    </row>
    <row r="973" spans="13:18" x14ac:dyDescent="0.15">
      <c r="M973" s="46">
        <v>2022</v>
      </c>
      <c r="N973" s="26" t="s">
        <v>84</v>
      </c>
      <c r="O973" s="26" t="s">
        <v>415</v>
      </c>
      <c r="P973" s="26" t="s">
        <v>431</v>
      </c>
      <c r="Q973" s="47">
        <f t="shared" si="117"/>
        <v>0</v>
      </c>
      <c r="R973" s="47">
        <f t="shared" si="118"/>
        <v>0</v>
      </c>
    </row>
    <row r="974" spans="13:18" x14ac:dyDescent="0.15">
      <c r="M974" s="46">
        <v>2022</v>
      </c>
      <c r="N974" s="26" t="s">
        <v>84</v>
      </c>
      <c r="O974" s="26" t="s">
        <v>49</v>
      </c>
      <c r="P974" s="26" t="s">
        <v>427</v>
      </c>
      <c r="Q974" s="47">
        <f t="shared" si="117"/>
        <v>34.626295657637286</v>
      </c>
      <c r="R974" s="47">
        <f t="shared" si="118"/>
        <v>313.92880196431628</v>
      </c>
    </row>
    <row r="975" spans="13:18" x14ac:dyDescent="0.15">
      <c r="M975" s="46">
        <v>2022</v>
      </c>
      <c r="N975" s="26" t="s">
        <v>84</v>
      </c>
      <c r="O975" s="26" t="s">
        <v>49</v>
      </c>
      <c r="P975" s="26" t="s">
        <v>429</v>
      </c>
      <c r="Q975" s="47">
        <f t="shared" si="117"/>
        <v>0</v>
      </c>
      <c r="R975" s="47">
        <f t="shared" si="118"/>
        <v>0</v>
      </c>
    </row>
    <row r="976" spans="13:18" x14ac:dyDescent="0.15">
      <c r="M976" s="46">
        <v>2022</v>
      </c>
      <c r="N976" s="26" t="s">
        <v>84</v>
      </c>
      <c r="O976" s="26" t="s">
        <v>49</v>
      </c>
      <c r="P976" s="26" t="s">
        <v>430</v>
      </c>
      <c r="Q976" s="47">
        <f t="shared" si="117"/>
        <v>0</v>
      </c>
      <c r="R976" s="47">
        <f t="shared" si="118"/>
        <v>0</v>
      </c>
    </row>
    <row r="977" spans="13:18" x14ac:dyDescent="0.15">
      <c r="M977" s="46">
        <v>2022</v>
      </c>
      <c r="N977" s="26" t="s">
        <v>84</v>
      </c>
      <c r="O977" s="26" t="s">
        <v>49</v>
      </c>
      <c r="P977" s="26" t="s">
        <v>431</v>
      </c>
      <c r="Q977" s="47">
        <f t="shared" si="117"/>
        <v>0</v>
      </c>
      <c r="R977" s="47">
        <f t="shared" si="118"/>
        <v>0</v>
      </c>
    </row>
    <row r="978" spans="13:18" x14ac:dyDescent="0.15">
      <c r="M978" s="46">
        <v>2022</v>
      </c>
      <c r="N978" s="26" t="s">
        <v>84</v>
      </c>
      <c r="O978" s="26" t="s">
        <v>51</v>
      </c>
      <c r="P978" s="26" t="s">
        <v>427</v>
      </c>
      <c r="Q978" s="47">
        <f t="shared" si="117"/>
        <v>47.909753697639253</v>
      </c>
      <c r="R978" s="47">
        <f t="shared" si="118"/>
        <v>434.3592433165179</v>
      </c>
    </row>
    <row r="979" spans="13:18" x14ac:dyDescent="0.15">
      <c r="M979" s="46">
        <v>2022</v>
      </c>
      <c r="N979" s="26" t="s">
        <v>84</v>
      </c>
      <c r="O979" s="26" t="s">
        <v>51</v>
      </c>
      <c r="P979" s="26" t="s">
        <v>429</v>
      </c>
      <c r="Q979" s="47">
        <f t="shared" si="117"/>
        <v>0</v>
      </c>
      <c r="R979" s="47">
        <f t="shared" si="118"/>
        <v>0</v>
      </c>
    </row>
    <row r="980" spans="13:18" x14ac:dyDescent="0.15">
      <c r="M980" s="46">
        <v>2022</v>
      </c>
      <c r="N980" s="26" t="s">
        <v>84</v>
      </c>
      <c r="O980" s="26" t="s">
        <v>51</v>
      </c>
      <c r="P980" s="26" t="s">
        <v>430</v>
      </c>
      <c r="Q980" s="47">
        <f t="shared" si="117"/>
        <v>0</v>
      </c>
      <c r="R980" s="47">
        <f t="shared" si="118"/>
        <v>0</v>
      </c>
    </row>
    <row r="981" spans="13:18" x14ac:dyDescent="0.15">
      <c r="M981" s="46">
        <v>2022</v>
      </c>
      <c r="N981" s="26" t="s">
        <v>84</v>
      </c>
      <c r="O981" s="26" t="s">
        <v>51</v>
      </c>
      <c r="P981" s="26" t="s">
        <v>431</v>
      </c>
      <c r="Q981" s="47">
        <f t="shared" si="117"/>
        <v>0</v>
      </c>
      <c r="R981" s="47">
        <f t="shared" si="118"/>
        <v>0</v>
      </c>
    </row>
    <row r="982" spans="13:18" x14ac:dyDescent="0.15">
      <c r="M982" s="46">
        <v>2022</v>
      </c>
      <c r="N982" s="26" t="s">
        <v>418</v>
      </c>
      <c r="O982" s="26" t="s">
        <v>34</v>
      </c>
      <c r="P982" s="26" t="s">
        <v>427</v>
      </c>
      <c r="Q982" s="47">
        <f t="shared" si="117"/>
        <v>0</v>
      </c>
      <c r="R982" s="47">
        <f t="shared" si="118"/>
        <v>0</v>
      </c>
    </row>
    <row r="983" spans="13:18" x14ac:dyDescent="0.15">
      <c r="M983" s="46">
        <v>2022</v>
      </c>
      <c r="N983" s="26" t="s">
        <v>418</v>
      </c>
      <c r="O983" s="26" t="s">
        <v>34</v>
      </c>
      <c r="P983" s="26" t="s">
        <v>429</v>
      </c>
      <c r="Q983" s="47">
        <f t="shared" si="117"/>
        <v>0</v>
      </c>
      <c r="R983" s="47">
        <f t="shared" si="118"/>
        <v>0</v>
      </c>
    </row>
    <row r="984" spans="13:18" x14ac:dyDescent="0.15">
      <c r="M984" s="46">
        <v>2022</v>
      </c>
      <c r="N984" s="26" t="s">
        <v>418</v>
      </c>
      <c r="O984" s="26" t="s">
        <v>34</v>
      </c>
      <c r="P984" s="26" t="s">
        <v>430</v>
      </c>
      <c r="Q984" s="47">
        <f t="shared" si="117"/>
        <v>0</v>
      </c>
      <c r="R984" s="47">
        <f t="shared" si="118"/>
        <v>0</v>
      </c>
    </row>
    <row r="985" spans="13:18" x14ac:dyDescent="0.15">
      <c r="M985" s="46">
        <v>2022</v>
      </c>
      <c r="N985" s="26" t="s">
        <v>418</v>
      </c>
      <c r="O985" s="26" t="s">
        <v>34</v>
      </c>
      <c r="P985" s="26" t="s">
        <v>431</v>
      </c>
      <c r="Q985" s="47">
        <f t="shared" si="117"/>
        <v>1.3844035196432924</v>
      </c>
      <c r="R985" s="47">
        <f t="shared" si="118"/>
        <v>9.2293567976219499</v>
      </c>
    </row>
    <row r="986" spans="13:18" x14ac:dyDescent="0.15">
      <c r="M986" s="46">
        <v>2022</v>
      </c>
      <c r="N986" s="26" t="s">
        <v>418</v>
      </c>
      <c r="O986" s="26" t="s">
        <v>35</v>
      </c>
      <c r="P986" s="26" t="s">
        <v>427</v>
      </c>
      <c r="Q986" s="47">
        <f t="shared" si="117"/>
        <v>0</v>
      </c>
      <c r="R986" s="47">
        <f t="shared" si="118"/>
        <v>0</v>
      </c>
    </row>
    <row r="987" spans="13:18" x14ac:dyDescent="0.15">
      <c r="M987" s="46">
        <v>2022</v>
      </c>
      <c r="N987" s="26" t="s">
        <v>418</v>
      </c>
      <c r="O987" s="26" t="s">
        <v>35</v>
      </c>
      <c r="P987" s="26" t="s">
        <v>429</v>
      </c>
      <c r="Q987" s="47">
        <f t="shared" si="117"/>
        <v>0</v>
      </c>
      <c r="R987" s="47">
        <f t="shared" si="118"/>
        <v>0</v>
      </c>
    </row>
    <row r="988" spans="13:18" x14ac:dyDescent="0.15">
      <c r="M988" s="46">
        <v>2022</v>
      </c>
      <c r="N988" s="26" t="s">
        <v>418</v>
      </c>
      <c r="O988" s="26" t="s">
        <v>35</v>
      </c>
      <c r="P988" s="26" t="s">
        <v>430</v>
      </c>
      <c r="Q988" s="47">
        <f t="shared" si="117"/>
        <v>0</v>
      </c>
      <c r="R988" s="47">
        <f t="shared" si="118"/>
        <v>0</v>
      </c>
    </row>
    <row r="989" spans="13:18" x14ac:dyDescent="0.15">
      <c r="M989" s="46">
        <v>2022</v>
      </c>
      <c r="N989" s="26" t="s">
        <v>418</v>
      </c>
      <c r="O989" s="26" t="s">
        <v>35</v>
      </c>
      <c r="P989" s="26" t="s">
        <v>431</v>
      </c>
      <c r="Q989" s="47">
        <f t="shared" si="117"/>
        <v>15.357840044242295</v>
      </c>
      <c r="R989" s="47">
        <f t="shared" si="118"/>
        <v>102.38560029494863</v>
      </c>
    </row>
    <row r="990" spans="13:18" x14ac:dyDescent="0.15">
      <c r="M990" s="46">
        <v>2022</v>
      </c>
      <c r="N990" s="26" t="s">
        <v>418</v>
      </c>
      <c r="O990" s="26" t="s">
        <v>36</v>
      </c>
      <c r="P990" s="26" t="s">
        <v>427</v>
      </c>
      <c r="Q990" s="47">
        <f t="shared" si="117"/>
        <v>0</v>
      </c>
      <c r="R990" s="47">
        <f t="shared" si="118"/>
        <v>0</v>
      </c>
    </row>
    <row r="991" spans="13:18" x14ac:dyDescent="0.15">
      <c r="M991" s="46">
        <v>2022</v>
      </c>
      <c r="N991" s="26" t="s">
        <v>418</v>
      </c>
      <c r="O991" s="26" t="s">
        <v>36</v>
      </c>
      <c r="P991" s="26" t="s">
        <v>429</v>
      </c>
      <c r="Q991" s="47">
        <f t="shared" si="117"/>
        <v>0</v>
      </c>
      <c r="R991" s="47">
        <f t="shared" si="118"/>
        <v>0</v>
      </c>
    </row>
    <row r="992" spans="13:18" x14ac:dyDescent="0.15">
      <c r="M992" s="46">
        <v>2022</v>
      </c>
      <c r="N992" s="26" t="s">
        <v>418</v>
      </c>
      <c r="O992" s="26" t="s">
        <v>36</v>
      </c>
      <c r="P992" s="26" t="s">
        <v>430</v>
      </c>
      <c r="Q992" s="47">
        <f t="shared" si="117"/>
        <v>0</v>
      </c>
      <c r="R992" s="47">
        <f t="shared" si="118"/>
        <v>0</v>
      </c>
    </row>
    <row r="993" spans="13:18" x14ac:dyDescent="0.15">
      <c r="M993" s="46">
        <v>2022</v>
      </c>
      <c r="N993" s="26" t="s">
        <v>418</v>
      </c>
      <c r="O993" s="26" t="s">
        <v>36</v>
      </c>
      <c r="P993" s="26" t="s">
        <v>431</v>
      </c>
      <c r="Q993" s="47">
        <f t="shared" si="117"/>
        <v>0.65425953545106208</v>
      </c>
      <c r="R993" s="47">
        <f t="shared" si="118"/>
        <v>4.3617302363404145</v>
      </c>
    </row>
    <row r="994" spans="13:18" x14ac:dyDescent="0.15">
      <c r="M994" s="46">
        <v>2022</v>
      </c>
      <c r="N994" s="26" t="s">
        <v>418</v>
      </c>
      <c r="O994" s="26" t="s">
        <v>422</v>
      </c>
      <c r="P994" s="26" t="s">
        <v>427</v>
      </c>
      <c r="Q994" s="47">
        <f t="shared" si="117"/>
        <v>0</v>
      </c>
      <c r="R994" s="47">
        <f t="shared" si="118"/>
        <v>0</v>
      </c>
    </row>
    <row r="995" spans="13:18" x14ac:dyDescent="0.15">
      <c r="M995" s="46">
        <v>2022</v>
      </c>
      <c r="N995" s="26" t="s">
        <v>418</v>
      </c>
      <c r="O995" s="26" t="s">
        <v>422</v>
      </c>
      <c r="P995" s="26" t="s">
        <v>429</v>
      </c>
      <c r="Q995" s="47">
        <f t="shared" si="117"/>
        <v>0</v>
      </c>
      <c r="R995" s="47">
        <f t="shared" si="118"/>
        <v>0</v>
      </c>
    </row>
    <row r="996" spans="13:18" x14ac:dyDescent="0.15">
      <c r="M996" s="46">
        <v>2022</v>
      </c>
      <c r="N996" s="26" t="s">
        <v>418</v>
      </c>
      <c r="O996" s="26" t="s">
        <v>422</v>
      </c>
      <c r="P996" s="26" t="s">
        <v>430</v>
      </c>
      <c r="Q996" s="47">
        <f t="shared" si="117"/>
        <v>0</v>
      </c>
      <c r="R996" s="47">
        <f t="shared" si="118"/>
        <v>0</v>
      </c>
    </row>
    <row r="997" spans="13:18" x14ac:dyDescent="0.15">
      <c r="M997" s="46">
        <v>2022</v>
      </c>
      <c r="N997" s="26" t="s">
        <v>418</v>
      </c>
      <c r="O997" s="26" t="s">
        <v>422</v>
      </c>
      <c r="P997" s="26" t="s">
        <v>431</v>
      </c>
      <c r="Q997" s="47">
        <f t="shared" si="117"/>
        <v>0.51971294907934229</v>
      </c>
      <c r="R997" s="47">
        <f t="shared" si="118"/>
        <v>3.4647529938622821</v>
      </c>
    </row>
    <row r="998" spans="13:18" x14ac:dyDescent="0.15">
      <c r="M998" s="46">
        <v>2022</v>
      </c>
      <c r="N998" s="26" t="s">
        <v>418</v>
      </c>
      <c r="O998" s="26" t="s">
        <v>41</v>
      </c>
      <c r="P998" s="26" t="s">
        <v>427</v>
      </c>
      <c r="Q998" s="47">
        <f t="shared" si="117"/>
        <v>0</v>
      </c>
      <c r="R998" s="47">
        <f t="shared" si="118"/>
        <v>0</v>
      </c>
    </row>
    <row r="999" spans="13:18" x14ac:dyDescent="0.15">
      <c r="M999" s="46">
        <v>2022</v>
      </c>
      <c r="N999" s="26" t="s">
        <v>418</v>
      </c>
      <c r="O999" s="26" t="s">
        <v>41</v>
      </c>
      <c r="P999" s="26" t="s">
        <v>429</v>
      </c>
      <c r="Q999" s="47">
        <f t="shared" si="117"/>
        <v>0</v>
      </c>
      <c r="R999" s="47">
        <f t="shared" si="118"/>
        <v>0</v>
      </c>
    </row>
    <row r="1000" spans="13:18" x14ac:dyDescent="0.15">
      <c r="M1000" s="46">
        <v>2022</v>
      </c>
      <c r="N1000" s="26" t="s">
        <v>418</v>
      </c>
      <c r="O1000" s="26" t="s">
        <v>41</v>
      </c>
      <c r="P1000" s="26" t="s">
        <v>430</v>
      </c>
      <c r="Q1000" s="47">
        <f t="shared" si="117"/>
        <v>0</v>
      </c>
      <c r="R1000" s="47">
        <f t="shared" si="118"/>
        <v>0</v>
      </c>
    </row>
    <row r="1001" spans="13:18" x14ac:dyDescent="0.15">
      <c r="M1001" s="46">
        <v>2022</v>
      </c>
      <c r="N1001" s="26" t="s">
        <v>418</v>
      </c>
      <c r="O1001" s="26" t="s">
        <v>41</v>
      </c>
      <c r="P1001" s="26" t="s">
        <v>431</v>
      </c>
      <c r="Q1001" s="47">
        <f t="shared" si="117"/>
        <v>9.8478307213371394</v>
      </c>
      <c r="R1001" s="47">
        <f t="shared" si="118"/>
        <v>65.652204808914263</v>
      </c>
    </row>
    <row r="1002" spans="13:18" x14ac:dyDescent="0.15">
      <c r="M1002" s="46">
        <v>2022</v>
      </c>
      <c r="N1002" s="26" t="s">
        <v>418</v>
      </c>
      <c r="O1002" s="26" t="s">
        <v>45</v>
      </c>
      <c r="P1002" s="26" t="s">
        <v>427</v>
      </c>
      <c r="Q1002" s="47">
        <f t="shared" si="117"/>
        <v>0</v>
      </c>
      <c r="R1002" s="47">
        <f t="shared" si="118"/>
        <v>0</v>
      </c>
    </row>
    <row r="1003" spans="13:18" x14ac:dyDescent="0.15">
      <c r="M1003" s="46">
        <v>2022</v>
      </c>
      <c r="N1003" s="26" t="s">
        <v>418</v>
      </c>
      <c r="O1003" s="26" t="s">
        <v>45</v>
      </c>
      <c r="P1003" s="26" t="s">
        <v>429</v>
      </c>
      <c r="Q1003" s="47">
        <f t="shared" si="117"/>
        <v>0</v>
      </c>
      <c r="R1003" s="47">
        <f t="shared" si="118"/>
        <v>0</v>
      </c>
    </row>
    <row r="1004" spans="13:18" x14ac:dyDescent="0.15">
      <c r="M1004" s="46">
        <v>2022</v>
      </c>
      <c r="N1004" s="26" t="s">
        <v>418</v>
      </c>
      <c r="O1004" s="26" t="s">
        <v>45</v>
      </c>
      <c r="P1004" s="26" t="s">
        <v>430</v>
      </c>
      <c r="Q1004" s="47">
        <f t="shared" si="117"/>
        <v>0</v>
      </c>
      <c r="R1004" s="47">
        <f t="shared" si="118"/>
        <v>0</v>
      </c>
    </row>
    <row r="1005" spans="13:18" x14ac:dyDescent="0.15">
      <c r="M1005" s="46">
        <v>2022</v>
      </c>
      <c r="N1005" s="26" t="s">
        <v>418</v>
      </c>
      <c r="O1005" s="26" t="s">
        <v>45</v>
      </c>
      <c r="P1005" s="26" t="s">
        <v>431</v>
      </c>
      <c r="Q1005" s="47">
        <f t="shared" si="117"/>
        <v>16.042817931806155</v>
      </c>
      <c r="R1005" s="47">
        <f t="shared" si="118"/>
        <v>106.95211954537439</v>
      </c>
    </row>
    <row r="1006" spans="13:18" x14ac:dyDescent="0.15">
      <c r="M1006" s="46">
        <v>2022</v>
      </c>
      <c r="N1006" s="26" t="s">
        <v>418</v>
      </c>
      <c r="O1006" s="26" t="s">
        <v>408</v>
      </c>
      <c r="P1006" s="26" t="s">
        <v>427</v>
      </c>
      <c r="Q1006" s="47">
        <f t="shared" si="117"/>
        <v>0</v>
      </c>
      <c r="R1006" s="47">
        <f t="shared" si="118"/>
        <v>0</v>
      </c>
    </row>
    <row r="1007" spans="13:18" x14ac:dyDescent="0.15">
      <c r="M1007" s="46">
        <v>2022</v>
      </c>
      <c r="N1007" s="26" t="s">
        <v>418</v>
      </c>
      <c r="O1007" s="26" t="s">
        <v>408</v>
      </c>
      <c r="P1007" s="26" t="s">
        <v>429</v>
      </c>
      <c r="Q1007" s="47">
        <f t="shared" si="117"/>
        <v>0</v>
      </c>
      <c r="R1007" s="47">
        <f t="shared" si="118"/>
        <v>0</v>
      </c>
    </row>
    <row r="1008" spans="13:18" x14ac:dyDescent="0.15">
      <c r="M1008" s="46">
        <v>2022</v>
      </c>
      <c r="N1008" s="26" t="s">
        <v>418</v>
      </c>
      <c r="O1008" s="26" t="s">
        <v>408</v>
      </c>
      <c r="P1008" s="26" t="s">
        <v>430</v>
      </c>
      <c r="Q1008" s="47">
        <f t="shared" si="117"/>
        <v>0</v>
      </c>
      <c r="R1008" s="47">
        <f t="shared" si="118"/>
        <v>0</v>
      </c>
    </row>
    <row r="1009" spans="13:18" x14ac:dyDescent="0.15">
      <c r="M1009" s="46">
        <v>2022</v>
      </c>
      <c r="N1009" s="26" t="s">
        <v>418</v>
      </c>
      <c r="O1009" s="26" t="s">
        <v>408</v>
      </c>
      <c r="P1009" s="26" t="s">
        <v>431</v>
      </c>
      <c r="Q1009" s="47">
        <f t="shared" si="117"/>
        <v>0.29580106534353862</v>
      </c>
      <c r="R1009" s="47">
        <f t="shared" si="118"/>
        <v>1.9720071022902577</v>
      </c>
    </row>
    <row r="1010" spans="13:18" x14ac:dyDescent="0.15">
      <c r="M1010" s="46">
        <v>2022</v>
      </c>
      <c r="N1010" s="26" t="s">
        <v>423</v>
      </c>
      <c r="O1010" s="26" t="s">
        <v>40</v>
      </c>
      <c r="P1010" s="26" t="s">
        <v>427</v>
      </c>
      <c r="Q1010" s="47">
        <f t="shared" si="117"/>
        <v>0</v>
      </c>
      <c r="R1010" s="47">
        <f t="shared" si="118"/>
        <v>0</v>
      </c>
    </row>
    <row r="1011" spans="13:18" x14ac:dyDescent="0.15">
      <c r="M1011" s="46">
        <v>2022</v>
      </c>
      <c r="N1011" s="26" t="s">
        <v>423</v>
      </c>
      <c r="O1011" s="26" t="s">
        <v>40</v>
      </c>
      <c r="P1011" s="26" t="s">
        <v>429</v>
      </c>
      <c r="Q1011" s="47">
        <f t="shared" si="117"/>
        <v>0</v>
      </c>
      <c r="R1011" s="47">
        <f t="shared" si="118"/>
        <v>0</v>
      </c>
    </row>
    <row r="1012" spans="13:18" x14ac:dyDescent="0.15">
      <c r="M1012" s="46">
        <v>2022</v>
      </c>
      <c r="N1012" s="26" t="s">
        <v>423</v>
      </c>
      <c r="O1012" s="26" t="s">
        <v>40</v>
      </c>
      <c r="P1012" s="26" t="s">
        <v>430</v>
      </c>
      <c r="Q1012" s="47">
        <f t="shared" si="117"/>
        <v>0</v>
      </c>
      <c r="R1012" s="47">
        <f t="shared" si="118"/>
        <v>0</v>
      </c>
    </row>
    <row r="1013" spans="13:18" x14ac:dyDescent="0.15">
      <c r="M1013" s="46">
        <v>2022</v>
      </c>
      <c r="N1013" s="26" t="s">
        <v>423</v>
      </c>
      <c r="O1013" s="26" t="s">
        <v>40</v>
      </c>
      <c r="P1013" s="26" t="s">
        <v>431</v>
      </c>
      <c r="Q1013" s="47">
        <f t="shared" si="117"/>
        <v>6.2189309641672308</v>
      </c>
      <c r="R1013" s="47">
        <f t="shared" si="118"/>
        <v>12.437861928334462</v>
      </c>
    </row>
    <row r="1014" spans="13:18" x14ac:dyDescent="0.15">
      <c r="M1014" s="46">
        <v>2022</v>
      </c>
      <c r="N1014" s="26" t="s">
        <v>423</v>
      </c>
      <c r="O1014" s="26" t="s">
        <v>45</v>
      </c>
      <c r="P1014" s="26" t="s">
        <v>427</v>
      </c>
      <c r="Q1014" s="47">
        <f t="shared" si="117"/>
        <v>0</v>
      </c>
      <c r="R1014" s="47">
        <f t="shared" si="118"/>
        <v>0</v>
      </c>
    </row>
    <row r="1015" spans="13:18" x14ac:dyDescent="0.15">
      <c r="M1015" s="46">
        <v>2022</v>
      </c>
      <c r="N1015" s="26" t="s">
        <v>423</v>
      </c>
      <c r="O1015" s="26" t="s">
        <v>45</v>
      </c>
      <c r="P1015" s="26" t="s">
        <v>429</v>
      </c>
      <c r="Q1015" s="47">
        <f t="shared" si="117"/>
        <v>0</v>
      </c>
      <c r="R1015" s="47">
        <f t="shared" si="118"/>
        <v>0</v>
      </c>
    </row>
    <row r="1016" spans="13:18" x14ac:dyDescent="0.15">
      <c r="M1016" s="46">
        <v>2022</v>
      </c>
      <c r="N1016" s="26" t="s">
        <v>423</v>
      </c>
      <c r="O1016" s="26" t="s">
        <v>45</v>
      </c>
      <c r="P1016" s="26" t="s">
        <v>430</v>
      </c>
      <c r="Q1016" s="47">
        <f t="shared" si="117"/>
        <v>0</v>
      </c>
      <c r="R1016" s="47">
        <f t="shared" si="118"/>
        <v>0</v>
      </c>
    </row>
    <row r="1017" spans="13:18" x14ac:dyDescent="0.15">
      <c r="M1017" s="46">
        <v>2022</v>
      </c>
      <c r="N1017" s="26" t="s">
        <v>423</v>
      </c>
      <c r="O1017" s="26" t="s">
        <v>45</v>
      </c>
      <c r="P1017" s="26" t="s">
        <v>431</v>
      </c>
      <c r="Q1017" s="47">
        <f t="shared" si="117"/>
        <v>2.1916069357784536</v>
      </c>
      <c r="R1017" s="47">
        <f t="shared" si="118"/>
        <v>4.3832138715569071</v>
      </c>
    </row>
    <row r="1018" spans="13:18" x14ac:dyDescent="0.15">
      <c r="M1018" s="46">
        <v>2022</v>
      </c>
      <c r="N1018" s="26" t="s">
        <v>423</v>
      </c>
      <c r="O1018" s="26" t="s">
        <v>393</v>
      </c>
      <c r="P1018" s="26" t="s">
        <v>427</v>
      </c>
      <c r="Q1018" s="47">
        <f t="shared" si="117"/>
        <v>0</v>
      </c>
      <c r="R1018" s="47">
        <f t="shared" si="118"/>
        <v>0</v>
      </c>
    </row>
    <row r="1019" spans="13:18" x14ac:dyDescent="0.15">
      <c r="M1019" s="46">
        <v>2022</v>
      </c>
      <c r="N1019" s="26" t="s">
        <v>423</v>
      </c>
      <c r="O1019" s="26" t="s">
        <v>393</v>
      </c>
      <c r="P1019" s="26" t="s">
        <v>429</v>
      </c>
      <c r="Q1019" s="47">
        <f t="shared" si="117"/>
        <v>0</v>
      </c>
      <c r="R1019" s="47">
        <f t="shared" si="118"/>
        <v>0</v>
      </c>
    </row>
    <row r="1020" spans="13:18" x14ac:dyDescent="0.15">
      <c r="M1020" s="46">
        <v>2022</v>
      </c>
      <c r="N1020" s="26" t="s">
        <v>423</v>
      </c>
      <c r="O1020" s="26" t="s">
        <v>393</v>
      </c>
      <c r="P1020" s="26" t="s">
        <v>430</v>
      </c>
      <c r="Q1020" s="47">
        <f t="shared" si="117"/>
        <v>0</v>
      </c>
      <c r="R1020" s="47">
        <f t="shared" si="118"/>
        <v>0</v>
      </c>
    </row>
    <row r="1021" spans="13:18" x14ac:dyDescent="0.15">
      <c r="M1021" s="46">
        <v>2022</v>
      </c>
      <c r="N1021" s="26" t="s">
        <v>423</v>
      </c>
      <c r="O1021" s="26" t="s">
        <v>393</v>
      </c>
      <c r="P1021" s="26" t="s">
        <v>431</v>
      </c>
      <c r="Q1021" s="47">
        <f t="shared" si="117"/>
        <v>0.17338106410332951</v>
      </c>
      <c r="R1021" s="47">
        <f t="shared" si="118"/>
        <v>0.34676212820665903</v>
      </c>
    </row>
    <row r="1022" spans="13:18" x14ac:dyDescent="0.15">
      <c r="M1022" s="46">
        <v>2022</v>
      </c>
      <c r="N1022" s="26" t="s">
        <v>423</v>
      </c>
      <c r="O1022" s="26" t="s">
        <v>37</v>
      </c>
      <c r="P1022" s="26" t="s">
        <v>427</v>
      </c>
      <c r="Q1022" s="47">
        <f t="shared" si="117"/>
        <v>0</v>
      </c>
      <c r="R1022" s="47">
        <f t="shared" si="118"/>
        <v>0</v>
      </c>
    </row>
    <row r="1023" spans="13:18" x14ac:dyDescent="0.15">
      <c r="M1023" s="46">
        <v>2022</v>
      </c>
      <c r="N1023" s="26" t="s">
        <v>423</v>
      </c>
      <c r="O1023" s="26" t="s">
        <v>37</v>
      </c>
      <c r="P1023" s="26" t="s">
        <v>429</v>
      </c>
      <c r="Q1023" s="47">
        <f t="shared" si="117"/>
        <v>0</v>
      </c>
      <c r="R1023" s="47">
        <f t="shared" si="118"/>
        <v>0</v>
      </c>
    </row>
    <row r="1024" spans="13:18" x14ac:dyDescent="0.15">
      <c r="M1024" s="46">
        <v>2022</v>
      </c>
      <c r="N1024" s="26" t="s">
        <v>423</v>
      </c>
      <c r="O1024" s="26" t="s">
        <v>37</v>
      </c>
      <c r="P1024" s="26" t="s">
        <v>430</v>
      </c>
      <c r="Q1024" s="47">
        <f t="shared" si="117"/>
        <v>0</v>
      </c>
      <c r="R1024" s="47">
        <f t="shared" si="118"/>
        <v>0</v>
      </c>
    </row>
    <row r="1025" spans="13:18" x14ac:dyDescent="0.15">
      <c r="M1025" s="46">
        <v>2022</v>
      </c>
      <c r="N1025" s="26" t="s">
        <v>423</v>
      </c>
      <c r="O1025" s="26" t="s">
        <v>37</v>
      </c>
      <c r="P1025" s="26" t="s">
        <v>431</v>
      </c>
      <c r="Q1025" s="47">
        <f t="shared" si="117"/>
        <v>0.15688649279646383</v>
      </c>
      <c r="R1025" s="47">
        <f t="shared" si="118"/>
        <v>0.31377298559292766</v>
      </c>
    </row>
    <row r="1026" spans="13:18" x14ac:dyDescent="0.15">
      <c r="M1026" s="46">
        <v>2022</v>
      </c>
      <c r="N1026" s="26" t="s">
        <v>399</v>
      </c>
      <c r="O1026" s="26" t="s">
        <v>34</v>
      </c>
      <c r="P1026" s="26" t="s">
        <v>427</v>
      </c>
      <c r="Q1026" s="47">
        <f t="shared" ref="Q1026:Q1089" si="119">SUMIFS(D:D,B:B,N1026,C:C,P1026,A:A,M1026)*SUMIFS(K:K,G:G,N1026,I:I,O1026)</f>
        <v>0</v>
      </c>
      <c r="R1026" s="47">
        <f t="shared" ref="R1026:R1089" si="120">SUMIFS(E:E,B:B,N1026,C:C,P1026,A:A,M1026)*SUMIFS(K:K,G:G,N1026,I:I,O1026)</f>
        <v>0</v>
      </c>
    </row>
    <row r="1027" spans="13:18" x14ac:dyDescent="0.15">
      <c r="M1027" s="46">
        <v>2022</v>
      </c>
      <c r="N1027" s="26" t="s">
        <v>399</v>
      </c>
      <c r="O1027" s="26" t="s">
        <v>34</v>
      </c>
      <c r="P1027" s="26" t="s">
        <v>429</v>
      </c>
      <c r="Q1027" s="47">
        <f t="shared" si="119"/>
        <v>0</v>
      </c>
      <c r="R1027" s="47">
        <f t="shared" si="120"/>
        <v>0</v>
      </c>
    </row>
    <row r="1028" spans="13:18" x14ac:dyDescent="0.15">
      <c r="M1028" s="46">
        <v>2022</v>
      </c>
      <c r="N1028" s="26" t="s">
        <v>399</v>
      </c>
      <c r="O1028" s="26" t="s">
        <v>34</v>
      </c>
      <c r="P1028" s="26" t="s">
        <v>430</v>
      </c>
      <c r="Q1028" s="47">
        <f t="shared" si="119"/>
        <v>0</v>
      </c>
      <c r="R1028" s="47">
        <f t="shared" si="120"/>
        <v>0</v>
      </c>
    </row>
    <row r="1029" spans="13:18" x14ac:dyDescent="0.15">
      <c r="M1029" s="46">
        <v>2022</v>
      </c>
      <c r="N1029" s="26" t="s">
        <v>399</v>
      </c>
      <c r="O1029" s="26" t="s">
        <v>34</v>
      </c>
      <c r="P1029" s="26" t="s">
        <v>431</v>
      </c>
      <c r="Q1029" s="47">
        <f t="shared" si="119"/>
        <v>0.73242950262648265</v>
      </c>
      <c r="R1029" s="47">
        <f t="shared" si="120"/>
        <v>6.0393309865692437</v>
      </c>
    </row>
    <row r="1030" spans="13:18" x14ac:dyDescent="0.15">
      <c r="M1030" s="46">
        <v>2022</v>
      </c>
      <c r="N1030" s="26" t="s">
        <v>399</v>
      </c>
      <c r="O1030" s="26" t="s">
        <v>35</v>
      </c>
      <c r="P1030" s="26" t="s">
        <v>427</v>
      </c>
      <c r="Q1030" s="47">
        <f t="shared" si="119"/>
        <v>0</v>
      </c>
      <c r="R1030" s="47">
        <f t="shared" si="120"/>
        <v>0</v>
      </c>
    </row>
    <row r="1031" spans="13:18" x14ac:dyDescent="0.15">
      <c r="M1031" s="46">
        <v>2022</v>
      </c>
      <c r="N1031" s="26" t="s">
        <v>399</v>
      </c>
      <c r="O1031" s="26" t="s">
        <v>35</v>
      </c>
      <c r="P1031" s="26" t="s">
        <v>429</v>
      </c>
      <c r="Q1031" s="47">
        <f t="shared" si="119"/>
        <v>0</v>
      </c>
      <c r="R1031" s="47">
        <f t="shared" si="120"/>
        <v>0</v>
      </c>
    </row>
    <row r="1032" spans="13:18" x14ac:dyDescent="0.15">
      <c r="M1032" s="46">
        <v>2022</v>
      </c>
      <c r="N1032" s="26" t="s">
        <v>399</v>
      </c>
      <c r="O1032" s="26" t="s">
        <v>35</v>
      </c>
      <c r="P1032" s="26" t="s">
        <v>430</v>
      </c>
      <c r="Q1032" s="47">
        <f t="shared" si="119"/>
        <v>0</v>
      </c>
      <c r="R1032" s="47">
        <f t="shared" si="120"/>
        <v>0</v>
      </c>
    </row>
    <row r="1033" spans="13:18" x14ac:dyDescent="0.15">
      <c r="M1033" s="46">
        <v>2022</v>
      </c>
      <c r="N1033" s="26" t="s">
        <v>399</v>
      </c>
      <c r="O1033" s="26" t="s">
        <v>35</v>
      </c>
      <c r="P1033" s="26" t="s">
        <v>431</v>
      </c>
      <c r="Q1033" s="47">
        <f t="shared" si="119"/>
        <v>8.1251853129640832</v>
      </c>
      <c r="R1033" s="47">
        <f t="shared" si="120"/>
        <v>66.99714205426524</v>
      </c>
    </row>
    <row r="1034" spans="13:18" x14ac:dyDescent="0.15">
      <c r="M1034" s="46">
        <v>2022</v>
      </c>
      <c r="N1034" s="26" t="s">
        <v>399</v>
      </c>
      <c r="O1034" s="26" t="s">
        <v>36</v>
      </c>
      <c r="P1034" s="26" t="s">
        <v>427</v>
      </c>
      <c r="Q1034" s="47">
        <f t="shared" si="119"/>
        <v>0</v>
      </c>
      <c r="R1034" s="47">
        <f t="shared" si="120"/>
        <v>0</v>
      </c>
    </row>
    <row r="1035" spans="13:18" x14ac:dyDescent="0.15">
      <c r="M1035" s="46">
        <v>2022</v>
      </c>
      <c r="N1035" s="26" t="s">
        <v>399</v>
      </c>
      <c r="O1035" s="26" t="s">
        <v>36</v>
      </c>
      <c r="P1035" s="26" t="s">
        <v>429</v>
      </c>
      <c r="Q1035" s="47">
        <f t="shared" si="119"/>
        <v>0</v>
      </c>
      <c r="R1035" s="47">
        <f t="shared" si="120"/>
        <v>0</v>
      </c>
    </row>
    <row r="1036" spans="13:18" x14ac:dyDescent="0.15">
      <c r="M1036" s="46">
        <v>2022</v>
      </c>
      <c r="N1036" s="26" t="s">
        <v>399</v>
      </c>
      <c r="O1036" s="26" t="s">
        <v>36</v>
      </c>
      <c r="P1036" s="26" t="s">
        <v>430</v>
      </c>
      <c r="Q1036" s="47">
        <f t="shared" si="119"/>
        <v>0</v>
      </c>
      <c r="R1036" s="47">
        <f t="shared" si="120"/>
        <v>0</v>
      </c>
    </row>
    <row r="1037" spans="13:18" x14ac:dyDescent="0.15">
      <c r="M1037" s="46">
        <v>2022</v>
      </c>
      <c r="N1037" s="26" t="s">
        <v>399</v>
      </c>
      <c r="O1037" s="26" t="s">
        <v>36</v>
      </c>
      <c r="P1037" s="26" t="s">
        <v>431</v>
      </c>
      <c r="Q1037" s="47">
        <f t="shared" si="119"/>
        <v>0.34614112095187838</v>
      </c>
      <c r="R1037" s="47">
        <f t="shared" si="120"/>
        <v>2.8541460850418043</v>
      </c>
    </row>
    <row r="1038" spans="13:18" x14ac:dyDescent="0.15">
      <c r="M1038" s="46">
        <v>2022</v>
      </c>
      <c r="N1038" s="26" t="s">
        <v>399</v>
      </c>
      <c r="O1038" s="26" t="s">
        <v>422</v>
      </c>
      <c r="P1038" s="26" t="s">
        <v>427</v>
      </c>
      <c r="Q1038" s="47">
        <f t="shared" si="119"/>
        <v>0</v>
      </c>
      <c r="R1038" s="47">
        <f t="shared" si="120"/>
        <v>0</v>
      </c>
    </row>
    <row r="1039" spans="13:18" x14ac:dyDescent="0.15">
      <c r="M1039" s="46">
        <v>2022</v>
      </c>
      <c r="N1039" s="26" t="s">
        <v>399</v>
      </c>
      <c r="O1039" s="26" t="s">
        <v>422</v>
      </c>
      <c r="P1039" s="26" t="s">
        <v>429</v>
      </c>
      <c r="Q1039" s="47">
        <f t="shared" si="119"/>
        <v>0</v>
      </c>
      <c r="R1039" s="47">
        <f t="shared" si="120"/>
        <v>0</v>
      </c>
    </row>
    <row r="1040" spans="13:18" x14ac:dyDescent="0.15">
      <c r="M1040" s="46">
        <v>2022</v>
      </c>
      <c r="N1040" s="26" t="s">
        <v>399</v>
      </c>
      <c r="O1040" s="26" t="s">
        <v>422</v>
      </c>
      <c r="P1040" s="26" t="s">
        <v>430</v>
      </c>
      <c r="Q1040" s="47">
        <f t="shared" si="119"/>
        <v>0</v>
      </c>
      <c r="R1040" s="47">
        <f t="shared" si="120"/>
        <v>0</v>
      </c>
    </row>
    <row r="1041" spans="13:18" x14ac:dyDescent="0.15">
      <c r="M1041" s="46">
        <v>2022</v>
      </c>
      <c r="N1041" s="26" t="s">
        <v>399</v>
      </c>
      <c r="O1041" s="26" t="s">
        <v>422</v>
      </c>
      <c r="P1041" s="26" t="s">
        <v>431</v>
      </c>
      <c r="Q1041" s="47">
        <f t="shared" si="119"/>
        <v>0.27495819780984443</v>
      </c>
      <c r="R1041" s="47">
        <f t="shared" si="120"/>
        <v>2.2671991749232787</v>
      </c>
    </row>
    <row r="1042" spans="13:18" x14ac:dyDescent="0.15">
      <c r="M1042" s="46">
        <v>2022</v>
      </c>
      <c r="N1042" s="26" t="s">
        <v>399</v>
      </c>
      <c r="O1042" s="26" t="s">
        <v>393</v>
      </c>
      <c r="P1042" s="26" t="s">
        <v>427</v>
      </c>
      <c r="Q1042" s="47">
        <f t="shared" si="119"/>
        <v>0</v>
      </c>
      <c r="R1042" s="47">
        <f t="shared" si="120"/>
        <v>0</v>
      </c>
    </row>
    <row r="1043" spans="13:18" x14ac:dyDescent="0.15">
      <c r="M1043" s="46">
        <v>2022</v>
      </c>
      <c r="N1043" s="26" t="s">
        <v>399</v>
      </c>
      <c r="O1043" s="26" t="s">
        <v>393</v>
      </c>
      <c r="P1043" s="26" t="s">
        <v>429</v>
      </c>
      <c r="Q1043" s="47">
        <f t="shared" si="119"/>
        <v>0</v>
      </c>
      <c r="R1043" s="47">
        <f t="shared" si="120"/>
        <v>0</v>
      </c>
    </row>
    <row r="1044" spans="13:18" x14ac:dyDescent="0.15">
      <c r="M1044" s="46">
        <v>2022</v>
      </c>
      <c r="N1044" s="26" t="s">
        <v>399</v>
      </c>
      <c r="O1044" s="26" t="s">
        <v>393</v>
      </c>
      <c r="P1044" s="26" t="s">
        <v>430</v>
      </c>
      <c r="Q1044" s="47">
        <f t="shared" si="119"/>
        <v>0</v>
      </c>
      <c r="R1044" s="47">
        <f t="shared" si="120"/>
        <v>0</v>
      </c>
    </row>
    <row r="1045" spans="13:18" x14ac:dyDescent="0.15">
      <c r="M1045" s="46">
        <v>2022</v>
      </c>
      <c r="N1045" s="26" t="s">
        <v>399</v>
      </c>
      <c r="O1045" s="26" t="s">
        <v>393</v>
      </c>
      <c r="P1045" s="26" t="s">
        <v>431</v>
      </c>
      <c r="Q1045" s="47">
        <f t="shared" si="119"/>
        <v>0.67146408377676314</v>
      </c>
      <c r="R1045" s="47">
        <f t="shared" si="120"/>
        <v>5.5366336732469943</v>
      </c>
    </row>
    <row r="1046" spans="13:18" x14ac:dyDescent="0.15">
      <c r="M1046" s="46">
        <v>2022</v>
      </c>
      <c r="N1046" s="26" t="s">
        <v>399</v>
      </c>
      <c r="O1046" s="26" t="s">
        <v>37</v>
      </c>
      <c r="P1046" s="26" t="s">
        <v>427</v>
      </c>
      <c r="Q1046" s="47">
        <f t="shared" si="119"/>
        <v>0</v>
      </c>
      <c r="R1046" s="47">
        <f t="shared" si="120"/>
        <v>0</v>
      </c>
    </row>
    <row r="1047" spans="13:18" x14ac:dyDescent="0.15">
      <c r="M1047" s="46">
        <v>2022</v>
      </c>
      <c r="N1047" s="26" t="s">
        <v>399</v>
      </c>
      <c r="O1047" s="26" t="s">
        <v>37</v>
      </c>
      <c r="P1047" s="26" t="s">
        <v>429</v>
      </c>
      <c r="Q1047" s="47">
        <f t="shared" si="119"/>
        <v>0</v>
      </c>
      <c r="R1047" s="47">
        <f t="shared" si="120"/>
        <v>0</v>
      </c>
    </row>
    <row r="1048" spans="13:18" x14ac:dyDescent="0.15">
      <c r="M1048" s="46">
        <v>2022</v>
      </c>
      <c r="N1048" s="26" t="s">
        <v>399</v>
      </c>
      <c r="O1048" s="26" t="s">
        <v>37</v>
      </c>
      <c r="P1048" s="26" t="s">
        <v>430</v>
      </c>
      <c r="Q1048" s="47">
        <f t="shared" si="119"/>
        <v>0</v>
      </c>
      <c r="R1048" s="47">
        <f t="shared" si="120"/>
        <v>0</v>
      </c>
    </row>
    <row r="1049" spans="13:18" x14ac:dyDescent="0.15">
      <c r="M1049" s="46">
        <v>2022</v>
      </c>
      <c r="N1049" s="26" t="s">
        <v>399</v>
      </c>
      <c r="O1049" s="26" t="s">
        <v>37</v>
      </c>
      <c r="P1049" s="26" t="s">
        <v>431</v>
      </c>
      <c r="Q1049" s="47">
        <f t="shared" si="119"/>
        <v>0.6075844884637801</v>
      </c>
      <c r="R1049" s="47">
        <f t="shared" si="120"/>
        <v>5.0099071855785375</v>
      </c>
    </row>
    <row r="1050" spans="13:18" x14ac:dyDescent="0.15">
      <c r="M1050" s="46">
        <v>2022</v>
      </c>
      <c r="N1050" s="26" t="s">
        <v>399</v>
      </c>
      <c r="O1050" s="26" t="s">
        <v>38</v>
      </c>
      <c r="P1050" s="26" t="s">
        <v>427</v>
      </c>
      <c r="Q1050" s="47">
        <f t="shared" si="119"/>
        <v>0</v>
      </c>
      <c r="R1050" s="47">
        <f t="shared" si="120"/>
        <v>0</v>
      </c>
    </row>
    <row r="1051" spans="13:18" x14ac:dyDescent="0.15">
      <c r="M1051" s="46">
        <v>2022</v>
      </c>
      <c r="N1051" s="26" t="s">
        <v>399</v>
      </c>
      <c r="O1051" s="26" t="s">
        <v>38</v>
      </c>
      <c r="P1051" s="26" t="s">
        <v>429</v>
      </c>
      <c r="Q1051" s="47">
        <f t="shared" si="119"/>
        <v>0</v>
      </c>
      <c r="R1051" s="47">
        <f t="shared" si="120"/>
        <v>0</v>
      </c>
    </row>
    <row r="1052" spans="13:18" x14ac:dyDescent="0.15">
      <c r="M1052" s="46">
        <v>2022</v>
      </c>
      <c r="N1052" s="26" t="s">
        <v>399</v>
      </c>
      <c r="O1052" s="26" t="s">
        <v>38</v>
      </c>
      <c r="P1052" s="26" t="s">
        <v>430</v>
      </c>
      <c r="Q1052" s="47">
        <f t="shared" si="119"/>
        <v>0</v>
      </c>
      <c r="R1052" s="47">
        <f t="shared" si="120"/>
        <v>0</v>
      </c>
    </row>
    <row r="1053" spans="13:18" x14ac:dyDescent="0.15">
      <c r="M1053" s="46">
        <v>2022</v>
      </c>
      <c r="N1053" s="26" t="s">
        <v>399</v>
      </c>
      <c r="O1053" s="26" t="s">
        <v>38</v>
      </c>
      <c r="P1053" s="26" t="s">
        <v>431</v>
      </c>
      <c r="Q1053" s="47">
        <f t="shared" si="119"/>
        <v>9.0086450978915308E-2</v>
      </c>
      <c r="R1053" s="47">
        <f t="shared" si="120"/>
        <v>0.74281810456298591</v>
      </c>
    </row>
    <row r="1054" spans="13:18" x14ac:dyDescent="0.15">
      <c r="M1054" s="46">
        <v>2022</v>
      </c>
      <c r="N1054" s="26" t="s">
        <v>399</v>
      </c>
      <c r="O1054" s="26" t="s">
        <v>39</v>
      </c>
      <c r="P1054" s="26" t="s">
        <v>427</v>
      </c>
      <c r="Q1054" s="47">
        <f t="shared" si="119"/>
        <v>0</v>
      </c>
      <c r="R1054" s="47">
        <f t="shared" si="120"/>
        <v>0</v>
      </c>
    </row>
    <row r="1055" spans="13:18" x14ac:dyDescent="0.15">
      <c r="M1055" s="46">
        <v>2022</v>
      </c>
      <c r="N1055" s="26" t="s">
        <v>399</v>
      </c>
      <c r="O1055" s="26" t="s">
        <v>39</v>
      </c>
      <c r="P1055" s="26" t="s">
        <v>429</v>
      </c>
      <c r="Q1055" s="47">
        <f t="shared" si="119"/>
        <v>0</v>
      </c>
      <c r="R1055" s="47">
        <f t="shared" si="120"/>
        <v>0</v>
      </c>
    </row>
    <row r="1056" spans="13:18" x14ac:dyDescent="0.15">
      <c r="M1056" s="46">
        <v>2022</v>
      </c>
      <c r="N1056" s="26" t="s">
        <v>399</v>
      </c>
      <c r="O1056" s="26" t="s">
        <v>39</v>
      </c>
      <c r="P1056" s="26" t="s">
        <v>430</v>
      </c>
      <c r="Q1056" s="47">
        <f t="shared" si="119"/>
        <v>0</v>
      </c>
      <c r="R1056" s="47">
        <f t="shared" si="120"/>
        <v>0</v>
      </c>
    </row>
    <row r="1057" spans="13:18" x14ac:dyDescent="0.15">
      <c r="M1057" s="46">
        <v>2022</v>
      </c>
      <c r="N1057" s="26" t="s">
        <v>399</v>
      </c>
      <c r="O1057" s="26" t="s">
        <v>39</v>
      </c>
      <c r="P1057" s="26" t="s">
        <v>431</v>
      </c>
      <c r="Q1057" s="47">
        <f t="shared" si="119"/>
        <v>0.38548871429982007</v>
      </c>
      <c r="R1057" s="47">
        <f t="shared" si="120"/>
        <v>3.1785911529985165</v>
      </c>
    </row>
    <row r="1058" spans="13:18" x14ac:dyDescent="0.15">
      <c r="M1058" s="46">
        <v>2022</v>
      </c>
      <c r="N1058" s="26" t="s">
        <v>399</v>
      </c>
      <c r="O1058" s="26" t="s">
        <v>40</v>
      </c>
      <c r="P1058" s="26" t="s">
        <v>427</v>
      </c>
      <c r="Q1058" s="47">
        <f t="shared" si="119"/>
        <v>0</v>
      </c>
      <c r="R1058" s="47">
        <f t="shared" si="120"/>
        <v>0</v>
      </c>
    </row>
    <row r="1059" spans="13:18" x14ac:dyDescent="0.15">
      <c r="M1059" s="46">
        <v>2022</v>
      </c>
      <c r="N1059" s="26" t="s">
        <v>399</v>
      </c>
      <c r="O1059" s="26" t="s">
        <v>40</v>
      </c>
      <c r="P1059" s="26" t="s">
        <v>429</v>
      </c>
      <c r="Q1059" s="47">
        <f t="shared" si="119"/>
        <v>0</v>
      </c>
      <c r="R1059" s="47">
        <f t="shared" si="120"/>
        <v>0</v>
      </c>
    </row>
    <row r="1060" spans="13:18" x14ac:dyDescent="0.15">
      <c r="M1060" s="46">
        <v>2022</v>
      </c>
      <c r="N1060" s="26" t="s">
        <v>399</v>
      </c>
      <c r="O1060" s="26" t="s">
        <v>40</v>
      </c>
      <c r="P1060" s="26" t="s">
        <v>430</v>
      </c>
      <c r="Q1060" s="47">
        <f t="shared" si="119"/>
        <v>0</v>
      </c>
      <c r="R1060" s="47">
        <f t="shared" si="120"/>
        <v>0</v>
      </c>
    </row>
    <row r="1061" spans="13:18" x14ac:dyDescent="0.15">
      <c r="M1061" s="46">
        <v>2022</v>
      </c>
      <c r="N1061" s="26" t="s">
        <v>399</v>
      </c>
      <c r="O1061" s="26" t="s">
        <v>40</v>
      </c>
      <c r="P1061" s="26" t="s">
        <v>431</v>
      </c>
      <c r="Q1061" s="47">
        <f t="shared" si="119"/>
        <v>24.084456993739849</v>
      </c>
      <c r="R1061" s="47">
        <f t="shared" si="120"/>
        <v>198.59113661504787</v>
      </c>
    </row>
    <row r="1062" spans="13:18" x14ac:dyDescent="0.15">
      <c r="M1062" s="46">
        <v>2022</v>
      </c>
      <c r="N1062" s="26" t="s">
        <v>399</v>
      </c>
      <c r="O1062" s="26" t="s">
        <v>41</v>
      </c>
      <c r="P1062" s="26" t="s">
        <v>427</v>
      </c>
      <c r="Q1062" s="47">
        <f t="shared" si="119"/>
        <v>0</v>
      </c>
      <c r="R1062" s="47">
        <f t="shared" si="120"/>
        <v>0</v>
      </c>
    </row>
    <row r="1063" spans="13:18" x14ac:dyDescent="0.15">
      <c r="M1063" s="46">
        <v>2022</v>
      </c>
      <c r="N1063" s="26" t="s">
        <v>399</v>
      </c>
      <c r="O1063" s="26" t="s">
        <v>41</v>
      </c>
      <c r="P1063" s="26" t="s">
        <v>429</v>
      </c>
      <c r="Q1063" s="47">
        <f t="shared" si="119"/>
        <v>0</v>
      </c>
      <c r="R1063" s="47">
        <f t="shared" si="120"/>
        <v>0</v>
      </c>
    </row>
    <row r="1064" spans="13:18" x14ac:dyDescent="0.15">
      <c r="M1064" s="46">
        <v>2022</v>
      </c>
      <c r="N1064" s="26" t="s">
        <v>399</v>
      </c>
      <c r="O1064" s="26" t="s">
        <v>41</v>
      </c>
      <c r="P1064" s="26" t="s">
        <v>430</v>
      </c>
      <c r="Q1064" s="47">
        <f t="shared" si="119"/>
        <v>0</v>
      </c>
      <c r="R1064" s="47">
        <f t="shared" si="120"/>
        <v>0</v>
      </c>
    </row>
    <row r="1065" spans="13:18" x14ac:dyDescent="0.15">
      <c r="M1065" s="46">
        <v>2022</v>
      </c>
      <c r="N1065" s="26" t="s">
        <v>399</v>
      </c>
      <c r="O1065" s="26" t="s">
        <v>41</v>
      </c>
      <c r="P1065" s="26" t="s">
        <v>431</v>
      </c>
      <c r="Q1065" s="47">
        <f t="shared" si="119"/>
        <v>5.2100718142043076</v>
      </c>
      <c r="R1065" s="47">
        <f t="shared" si="120"/>
        <v>42.960241275017978</v>
      </c>
    </row>
    <row r="1066" spans="13:18" x14ac:dyDescent="0.15">
      <c r="M1066" s="46">
        <v>2022</v>
      </c>
      <c r="N1066" s="26" t="s">
        <v>399</v>
      </c>
      <c r="O1066" s="26" t="s">
        <v>42</v>
      </c>
      <c r="P1066" s="26" t="s">
        <v>427</v>
      </c>
      <c r="Q1066" s="47">
        <f t="shared" si="119"/>
        <v>0</v>
      </c>
      <c r="R1066" s="47">
        <f t="shared" si="120"/>
        <v>0</v>
      </c>
    </row>
    <row r="1067" spans="13:18" x14ac:dyDescent="0.15">
      <c r="M1067" s="46">
        <v>2022</v>
      </c>
      <c r="N1067" s="26" t="s">
        <v>399</v>
      </c>
      <c r="O1067" s="26" t="s">
        <v>42</v>
      </c>
      <c r="P1067" s="26" t="s">
        <v>429</v>
      </c>
      <c r="Q1067" s="47">
        <f t="shared" si="119"/>
        <v>0</v>
      </c>
      <c r="R1067" s="47">
        <f t="shared" si="120"/>
        <v>0</v>
      </c>
    </row>
    <row r="1068" spans="13:18" x14ac:dyDescent="0.15">
      <c r="M1068" s="46">
        <v>2022</v>
      </c>
      <c r="N1068" s="26" t="s">
        <v>399</v>
      </c>
      <c r="O1068" s="26" t="s">
        <v>42</v>
      </c>
      <c r="P1068" s="26" t="s">
        <v>430</v>
      </c>
      <c r="Q1068" s="47">
        <f t="shared" si="119"/>
        <v>0</v>
      </c>
      <c r="R1068" s="47">
        <f t="shared" si="120"/>
        <v>0</v>
      </c>
    </row>
    <row r="1069" spans="13:18" x14ac:dyDescent="0.15">
      <c r="M1069" s="46">
        <v>2022</v>
      </c>
      <c r="N1069" s="26" t="s">
        <v>399</v>
      </c>
      <c r="O1069" s="26" t="s">
        <v>42</v>
      </c>
      <c r="P1069" s="26" t="s">
        <v>431</v>
      </c>
      <c r="Q1069" s="47">
        <f t="shared" si="119"/>
        <v>0.28444861217734413</v>
      </c>
      <c r="R1069" s="47">
        <f t="shared" si="120"/>
        <v>2.345453468830732</v>
      </c>
    </row>
    <row r="1070" spans="13:18" x14ac:dyDescent="0.15">
      <c r="M1070" s="46">
        <v>2022</v>
      </c>
      <c r="N1070" s="26" t="s">
        <v>399</v>
      </c>
      <c r="O1070" s="26" t="s">
        <v>43</v>
      </c>
      <c r="P1070" s="26" t="s">
        <v>427</v>
      </c>
      <c r="Q1070" s="47">
        <f t="shared" si="119"/>
        <v>0</v>
      </c>
      <c r="R1070" s="47">
        <f t="shared" si="120"/>
        <v>0</v>
      </c>
    </row>
    <row r="1071" spans="13:18" x14ac:dyDescent="0.15">
      <c r="M1071" s="46">
        <v>2022</v>
      </c>
      <c r="N1071" s="26" t="s">
        <v>399</v>
      </c>
      <c r="O1071" s="26" t="s">
        <v>43</v>
      </c>
      <c r="P1071" s="26" t="s">
        <v>429</v>
      </c>
      <c r="Q1071" s="47">
        <f t="shared" si="119"/>
        <v>0</v>
      </c>
      <c r="R1071" s="47">
        <f t="shared" si="120"/>
        <v>0</v>
      </c>
    </row>
    <row r="1072" spans="13:18" x14ac:dyDescent="0.15">
      <c r="M1072" s="46">
        <v>2022</v>
      </c>
      <c r="N1072" s="26" t="s">
        <v>399</v>
      </c>
      <c r="O1072" s="26" t="s">
        <v>43</v>
      </c>
      <c r="P1072" s="26" t="s">
        <v>430</v>
      </c>
      <c r="Q1072" s="47">
        <f t="shared" si="119"/>
        <v>0</v>
      </c>
      <c r="R1072" s="47">
        <f t="shared" si="120"/>
        <v>0</v>
      </c>
    </row>
    <row r="1073" spans="13:18" x14ac:dyDescent="0.15">
      <c r="M1073" s="46">
        <v>2022</v>
      </c>
      <c r="N1073" s="26" t="s">
        <v>399</v>
      </c>
      <c r="O1073" s="26" t="s">
        <v>43</v>
      </c>
      <c r="P1073" s="26" t="s">
        <v>431</v>
      </c>
      <c r="Q1073" s="47">
        <f t="shared" si="119"/>
        <v>0.12325080033540445</v>
      </c>
      <c r="R1073" s="47">
        <f t="shared" si="120"/>
        <v>1.0162785290814051</v>
      </c>
    </row>
    <row r="1074" spans="13:18" x14ac:dyDescent="0.15">
      <c r="M1074" s="46">
        <v>2022</v>
      </c>
      <c r="N1074" s="26" t="s">
        <v>399</v>
      </c>
      <c r="O1074" s="26" t="s">
        <v>44</v>
      </c>
      <c r="P1074" s="26" t="s">
        <v>427</v>
      </c>
      <c r="Q1074" s="47">
        <f t="shared" si="119"/>
        <v>0</v>
      </c>
      <c r="R1074" s="47">
        <f t="shared" si="120"/>
        <v>0</v>
      </c>
    </row>
    <row r="1075" spans="13:18" x14ac:dyDescent="0.15">
      <c r="M1075" s="46">
        <v>2022</v>
      </c>
      <c r="N1075" s="26" t="s">
        <v>399</v>
      </c>
      <c r="O1075" s="26" t="s">
        <v>44</v>
      </c>
      <c r="P1075" s="26" t="s">
        <v>429</v>
      </c>
      <c r="Q1075" s="47">
        <f t="shared" si="119"/>
        <v>0</v>
      </c>
      <c r="R1075" s="47">
        <f t="shared" si="120"/>
        <v>0</v>
      </c>
    </row>
    <row r="1076" spans="13:18" x14ac:dyDescent="0.15">
      <c r="M1076" s="46">
        <v>2022</v>
      </c>
      <c r="N1076" s="26" t="s">
        <v>399</v>
      </c>
      <c r="O1076" s="26" t="s">
        <v>44</v>
      </c>
      <c r="P1076" s="26" t="s">
        <v>430</v>
      </c>
      <c r="Q1076" s="47">
        <f t="shared" si="119"/>
        <v>0</v>
      </c>
      <c r="R1076" s="47">
        <f t="shared" si="120"/>
        <v>0</v>
      </c>
    </row>
    <row r="1077" spans="13:18" x14ac:dyDescent="0.15">
      <c r="M1077" s="46">
        <v>2022</v>
      </c>
      <c r="N1077" s="26" t="s">
        <v>399</v>
      </c>
      <c r="O1077" s="26" t="s">
        <v>44</v>
      </c>
      <c r="P1077" s="26" t="s">
        <v>431</v>
      </c>
      <c r="Q1077" s="47">
        <f t="shared" si="119"/>
        <v>3.0212307297717467</v>
      </c>
      <c r="R1077" s="47">
        <f t="shared" si="120"/>
        <v>24.911902508644225</v>
      </c>
    </row>
    <row r="1078" spans="13:18" x14ac:dyDescent="0.15">
      <c r="M1078" s="46">
        <v>2022</v>
      </c>
      <c r="N1078" s="26" t="s">
        <v>399</v>
      </c>
      <c r="O1078" s="26" t="s">
        <v>45</v>
      </c>
      <c r="P1078" s="26" t="s">
        <v>427</v>
      </c>
      <c r="Q1078" s="47">
        <f t="shared" si="119"/>
        <v>0</v>
      </c>
      <c r="R1078" s="47">
        <f t="shared" si="120"/>
        <v>0</v>
      </c>
    </row>
    <row r="1079" spans="13:18" x14ac:dyDescent="0.15">
      <c r="M1079" s="46">
        <v>2022</v>
      </c>
      <c r="N1079" s="26" t="s">
        <v>399</v>
      </c>
      <c r="O1079" s="26" t="s">
        <v>45</v>
      </c>
      <c r="P1079" s="26" t="s">
        <v>429</v>
      </c>
      <c r="Q1079" s="47">
        <f t="shared" si="119"/>
        <v>0</v>
      </c>
      <c r="R1079" s="47">
        <f t="shared" si="120"/>
        <v>0</v>
      </c>
    </row>
    <row r="1080" spans="13:18" x14ac:dyDescent="0.15">
      <c r="M1080" s="46">
        <v>2022</v>
      </c>
      <c r="N1080" s="26" t="s">
        <v>399</v>
      </c>
      <c r="O1080" s="26" t="s">
        <v>45</v>
      </c>
      <c r="P1080" s="26" t="s">
        <v>430</v>
      </c>
      <c r="Q1080" s="47">
        <f t="shared" si="119"/>
        <v>0</v>
      </c>
      <c r="R1080" s="47">
        <f t="shared" si="120"/>
        <v>0</v>
      </c>
    </row>
    <row r="1081" spans="13:18" x14ac:dyDescent="0.15">
      <c r="M1081" s="46">
        <v>2022</v>
      </c>
      <c r="N1081" s="26" t="s">
        <v>399</v>
      </c>
      <c r="O1081" s="26" t="s">
        <v>45</v>
      </c>
      <c r="P1081" s="26" t="s">
        <v>431</v>
      </c>
      <c r="Q1081" s="47">
        <f t="shared" si="119"/>
        <v>8.487578218197239</v>
      </c>
      <c r="R1081" s="47">
        <f t="shared" si="120"/>
        <v>69.985294079871963</v>
      </c>
    </row>
    <row r="1082" spans="13:18" x14ac:dyDescent="0.15">
      <c r="M1082" s="46">
        <v>2022</v>
      </c>
      <c r="N1082" s="26" t="s">
        <v>399</v>
      </c>
      <c r="O1082" s="26" t="s">
        <v>46</v>
      </c>
      <c r="P1082" s="26" t="s">
        <v>427</v>
      </c>
      <c r="Q1082" s="47">
        <f t="shared" si="119"/>
        <v>0</v>
      </c>
      <c r="R1082" s="47">
        <f t="shared" si="120"/>
        <v>0</v>
      </c>
    </row>
    <row r="1083" spans="13:18" x14ac:dyDescent="0.15">
      <c r="M1083" s="46">
        <v>2022</v>
      </c>
      <c r="N1083" s="26" t="s">
        <v>399</v>
      </c>
      <c r="O1083" s="26" t="s">
        <v>46</v>
      </c>
      <c r="P1083" s="26" t="s">
        <v>429</v>
      </c>
      <c r="Q1083" s="47">
        <f t="shared" si="119"/>
        <v>0</v>
      </c>
      <c r="R1083" s="47">
        <f t="shared" si="120"/>
        <v>0</v>
      </c>
    </row>
    <row r="1084" spans="13:18" x14ac:dyDescent="0.15">
      <c r="M1084" s="46">
        <v>2022</v>
      </c>
      <c r="N1084" s="26" t="s">
        <v>399</v>
      </c>
      <c r="O1084" s="26" t="s">
        <v>46</v>
      </c>
      <c r="P1084" s="26" t="s">
        <v>430</v>
      </c>
      <c r="Q1084" s="47">
        <f t="shared" si="119"/>
        <v>0</v>
      </c>
      <c r="R1084" s="47">
        <f t="shared" si="120"/>
        <v>0</v>
      </c>
    </row>
    <row r="1085" spans="13:18" x14ac:dyDescent="0.15">
      <c r="M1085" s="46">
        <v>2022</v>
      </c>
      <c r="N1085" s="26" t="s">
        <v>399</v>
      </c>
      <c r="O1085" s="26" t="s">
        <v>46</v>
      </c>
      <c r="P1085" s="26" t="s">
        <v>431</v>
      </c>
      <c r="Q1085" s="47">
        <f t="shared" si="119"/>
        <v>1.5112905194986397</v>
      </c>
      <c r="R1085" s="47">
        <f t="shared" si="120"/>
        <v>12.461518318672994</v>
      </c>
    </row>
    <row r="1086" spans="13:18" x14ac:dyDescent="0.15">
      <c r="M1086" s="46">
        <v>2022</v>
      </c>
      <c r="N1086" s="26" t="s">
        <v>399</v>
      </c>
      <c r="O1086" s="26" t="s">
        <v>47</v>
      </c>
      <c r="P1086" s="26" t="s">
        <v>427</v>
      </c>
      <c r="Q1086" s="47">
        <f t="shared" si="119"/>
        <v>0</v>
      </c>
      <c r="R1086" s="47">
        <f t="shared" si="120"/>
        <v>0</v>
      </c>
    </row>
    <row r="1087" spans="13:18" x14ac:dyDescent="0.15">
      <c r="M1087" s="46">
        <v>2022</v>
      </c>
      <c r="N1087" s="26" t="s">
        <v>399</v>
      </c>
      <c r="O1087" s="26" t="s">
        <v>47</v>
      </c>
      <c r="P1087" s="26" t="s">
        <v>429</v>
      </c>
      <c r="Q1087" s="47">
        <f t="shared" si="119"/>
        <v>0</v>
      </c>
      <c r="R1087" s="47">
        <f t="shared" si="120"/>
        <v>0</v>
      </c>
    </row>
    <row r="1088" spans="13:18" x14ac:dyDescent="0.15">
      <c r="M1088" s="46">
        <v>2022</v>
      </c>
      <c r="N1088" s="26" t="s">
        <v>399</v>
      </c>
      <c r="O1088" s="26" t="s">
        <v>47</v>
      </c>
      <c r="P1088" s="26" t="s">
        <v>430</v>
      </c>
      <c r="Q1088" s="47">
        <f t="shared" si="119"/>
        <v>0</v>
      </c>
      <c r="R1088" s="47">
        <f t="shared" si="120"/>
        <v>0</v>
      </c>
    </row>
    <row r="1089" spans="13:18" x14ac:dyDescent="0.15">
      <c r="M1089" s="46">
        <v>2022</v>
      </c>
      <c r="N1089" s="26" t="s">
        <v>399</v>
      </c>
      <c r="O1089" s="26" t="s">
        <v>47</v>
      </c>
      <c r="P1089" s="26" t="s">
        <v>431</v>
      </c>
      <c r="Q1089" s="47">
        <f t="shared" si="119"/>
        <v>0.44851773058638411</v>
      </c>
      <c r="R1089" s="47">
        <f t="shared" si="120"/>
        <v>3.698304094308781</v>
      </c>
    </row>
    <row r="1090" spans="13:18" x14ac:dyDescent="0.15">
      <c r="M1090" s="46">
        <v>2022</v>
      </c>
      <c r="N1090" s="26" t="s">
        <v>399</v>
      </c>
      <c r="O1090" s="26" t="s">
        <v>48</v>
      </c>
      <c r="P1090" s="26" t="s">
        <v>427</v>
      </c>
      <c r="Q1090" s="47">
        <f t="shared" ref="Q1090:Q1153" si="121">SUMIFS(D:D,B:B,N1090,C:C,P1090,A:A,M1090)*SUMIFS(K:K,G:G,N1090,I:I,O1090)</f>
        <v>0</v>
      </c>
      <c r="R1090" s="47">
        <f t="shared" ref="R1090:R1153" si="122">SUMIFS(E:E,B:B,N1090,C:C,P1090,A:A,M1090)*SUMIFS(K:K,G:G,N1090,I:I,O1090)</f>
        <v>0</v>
      </c>
    </row>
    <row r="1091" spans="13:18" x14ac:dyDescent="0.15">
      <c r="M1091" s="46">
        <v>2022</v>
      </c>
      <c r="N1091" s="26" t="s">
        <v>399</v>
      </c>
      <c r="O1091" s="26" t="s">
        <v>48</v>
      </c>
      <c r="P1091" s="26" t="s">
        <v>429</v>
      </c>
      <c r="Q1091" s="47">
        <f t="shared" si="121"/>
        <v>0</v>
      </c>
      <c r="R1091" s="47">
        <f t="shared" si="122"/>
        <v>0</v>
      </c>
    </row>
    <row r="1092" spans="13:18" x14ac:dyDescent="0.15">
      <c r="M1092" s="46">
        <v>2022</v>
      </c>
      <c r="N1092" s="26" t="s">
        <v>399</v>
      </c>
      <c r="O1092" s="26" t="s">
        <v>48</v>
      </c>
      <c r="P1092" s="26" t="s">
        <v>430</v>
      </c>
      <c r="Q1092" s="47">
        <f t="shared" si="121"/>
        <v>0</v>
      </c>
      <c r="R1092" s="47">
        <f t="shared" si="122"/>
        <v>0</v>
      </c>
    </row>
    <row r="1093" spans="13:18" x14ac:dyDescent="0.15">
      <c r="M1093" s="46">
        <v>2022</v>
      </c>
      <c r="N1093" s="26" t="s">
        <v>399</v>
      </c>
      <c r="O1093" s="26" t="s">
        <v>48</v>
      </c>
      <c r="P1093" s="26" t="s">
        <v>431</v>
      </c>
      <c r="Q1093" s="47">
        <f t="shared" si="121"/>
        <v>0.30548481867153765</v>
      </c>
      <c r="R1093" s="47">
        <f t="shared" si="122"/>
        <v>2.5189099083442579</v>
      </c>
    </row>
    <row r="1094" spans="13:18" x14ac:dyDescent="0.15">
      <c r="M1094" s="46">
        <v>2022</v>
      </c>
      <c r="N1094" s="26" t="s">
        <v>399</v>
      </c>
      <c r="O1094" s="26" t="s">
        <v>49</v>
      </c>
      <c r="P1094" s="26" t="s">
        <v>427</v>
      </c>
      <c r="Q1094" s="47">
        <f t="shared" si="121"/>
        <v>0</v>
      </c>
      <c r="R1094" s="47">
        <f t="shared" si="122"/>
        <v>0</v>
      </c>
    </row>
    <row r="1095" spans="13:18" x14ac:dyDescent="0.15">
      <c r="M1095" s="46">
        <v>2022</v>
      </c>
      <c r="N1095" s="26" t="s">
        <v>399</v>
      </c>
      <c r="O1095" s="26" t="s">
        <v>49</v>
      </c>
      <c r="P1095" s="26" t="s">
        <v>429</v>
      </c>
      <c r="Q1095" s="47">
        <f t="shared" si="121"/>
        <v>0</v>
      </c>
      <c r="R1095" s="47">
        <f t="shared" si="122"/>
        <v>0</v>
      </c>
    </row>
    <row r="1096" spans="13:18" x14ac:dyDescent="0.15">
      <c r="M1096" s="46">
        <v>2022</v>
      </c>
      <c r="N1096" s="26" t="s">
        <v>399</v>
      </c>
      <c r="O1096" s="26" t="s">
        <v>49</v>
      </c>
      <c r="P1096" s="26" t="s">
        <v>430</v>
      </c>
      <c r="Q1096" s="47">
        <f t="shared" si="121"/>
        <v>0</v>
      </c>
      <c r="R1096" s="47">
        <f t="shared" si="122"/>
        <v>0</v>
      </c>
    </row>
    <row r="1097" spans="13:18" x14ac:dyDescent="0.15">
      <c r="M1097" s="46">
        <v>2022</v>
      </c>
      <c r="N1097" s="26" t="s">
        <v>399</v>
      </c>
      <c r="O1097" s="26" t="s">
        <v>49</v>
      </c>
      <c r="P1097" s="26" t="s">
        <v>431</v>
      </c>
      <c r="Q1097" s="47">
        <f t="shared" si="121"/>
        <v>0.16267442304996613</v>
      </c>
      <c r="R1097" s="47">
        <f t="shared" si="122"/>
        <v>1.3413505058505979</v>
      </c>
    </row>
    <row r="1098" spans="13:18" x14ac:dyDescent="0.15">
      <c r="M1098" s="46">
        <v>2022</v>
      </c>
      <c r="N1098" s="26" t="s">
        <v>399</v>
      </c>
      <c r="O1098" s="26" t="s">
        <v>50</v>
      </c>
      <c r="P1098" s="26" t="s">
        <v>427</v>
      </c>
      <c r="Q1098" s="47">
        <f t="shared" si="121"/>
        <v>0</v>
      </c>
      <c r="R1098" s="47">
        <f t="shared" si="122"/>
        <v>0</v>
      </c>
    </row>
    <row r="1099" spans="13:18" x14ac:dyDescent="0.15">
      <c r="M1099" s="46">
        <v>2022</v>
      </c>
      <c r="N1099" s="26" t="s">
        <v>399</v>
      </c>
      <c r="O1099" s="26" t="s">
        <v>50</v>
      </c>
      <c r="P1099" s="26" t="s">
        <v>429</v>
      </c>
      <c r="Q1099" s="47">
        <f t="shared" si="121"/>
        <v>0</v>
      </c>
      <c r="R1099" s="47">
        <f t="shared" si="122"/>
        <v>0</v>
      </c>
    </row>
    <row r="1100" spans="13:18" x14ac:dyDescent="0.15">
      <c r="M1100" s="46">
        <v>2022</v>
      </c>
      <c r="N1100" s="26" t="s">
        <v>399</v>
      </c>
      <c r="O1100" s="26" t="s">
        <v>50</v>
      </c>
      <c r="P1100" s="26" t="s">
        <v>430</v>
      </c>
      <c r="Q1100" s="47">
        <f t="shared" si="121"/>
        <v>0</v>
      </c>
      <c r="R1100" s="47">
        <f t="shared" si="122"/>
        <v>0</v>
      </c>
    </row>
    <row r="1101" spans="13:18" x14ac:dyDescent="0.15">
      <c r="M1101" s="46">
        <v>2022</v>
      </c>
      <c r="N1101" s="26" t="s">
        <v>399</v>
      </c>
      <c r="O1101" s="26" t="s">
        <v>50</v>
      </c>
      <c r="P1101" s="26" t="s">
        <v>431</v>
      </c>
      <c r="Q1101" s="47">
        <f t="shared" si="121"/>
        <v>0.10062498452586362</v>
      </c>
      <c r="R1101" s="47">
        <f t="shared" si="122"/>
        <v>0.82971478468694559</v>
      </c>
    </row>
    <row r="1102" spans="13:18" x14ac:dyDescent="0.15">
      <c r="M1102" s="46">
        <v>2022</v>
      </c>
      <c r="N1102" s="26" t="s">
        <v>399</v>
      </c>
      <c r="O1102" s="26" t="s">
        <v>51</v>
      </c>
      <c r="P1102" s="26" t="s">
        <v>427</v>
      </c>
      <c r="Q1102" s="47">
        <f t="shared" si="121"/>
        <v>0</v>
      </c>
      <c r="R1102" s="47">
        <f t="shared" si="122"/>
        <v>0</v>
      </c>
    </row>
    <row r="1103" spans="13:18" x14ac:dyDescent="0.15">
      <c r="M1103" s="46">
        <v>2022</v>
      </c>
      <c r="N1103" s="26" t="s">
        <v>399</v>
      </c>
      <c r="O1103" s="26" t="s">
        <v>51</v>
      </c>
      <c r="P1103" s="26" t="s">
        <v>429</v>
      </c>
      <c r="Q1103" s="47">
        <f t="shared" si="121"/>
        <v>0</v>
      </c>
      <c r="R1103" s="47">
        <f t="shared" si="122"/>
        <v>0</v>
      </c>
    </row>
    <row r="1104" spans="13:18" x14ac:dyDescent="0.15">
      <c r="M1104" s="46">
        <v>2022</v>
      </c>
      <c r="N1104" s="26" t="s">
        <v>399</v>
      </c>
      <c r="O1104" s="26" t="s">
        <v>51</v>
      </c>
      <c r="P1104" s="26" t="s">
        <v>430</v>
      </c>
      <c r="Q1104" s="47">
        <f t="shared" si="121"/>
        <v>0</v>
      </c>
      <c r="R1104" s="47">
        <f t="shared" si="122"/>
        <v>0</v>
      </c>
    </row>
    <row r="1105" spans="13:18" x14ac:dyDescent="0.15">
      <c r="M1105" s="46">
        <v>2022</v>
      </c>
      <c r="N1105" s="26" t="s">
        <v>399</v>
      </c>
      <c r="O1105" s="26" t="s">
        <v>51</v>
      </c>
      <c r="P1105" s="26" t="s">
        <v>431</v>
      </c>
      <c r="Q1105" s="47">
        <f t="shared" si="121"/>
        <v>0.22508014193283898</v>
      </c>
      <c r="R1105" s="47">
        <f t="shared" si="122"/>
        <v>1.855923977340953</v>
      </c>
    </row>
    <row r="1106" spans="13:18" x14ac:dyDescent="0.15">
      <c r="M1106" s="46">
        <v>2022</v>
      </c>
      <c r="N1106" s="26" t="s">
        <v>399</v>
      </c>
      <c r="O1106" s="26" t="s">
        <v>52</v>
      </c>
      <c r="P1106" s="26" t="s">
        <v>427</v>
      </c>
      <c r="Q1106" s="47">
        <f t="shared" si="121"/>
        <v>0</v>
      </c>
      <c r="R1106" s="47">
        <f t="shared" si="122"/>
        <v>0</v>
      </c>
    </row>
    <row r="1107" spans="13:18" x14ac:dyDescent="0.15">
      <c r="M1107" s="46">
        <v>2022</v>
      </c>
      <c r="N1107" s="26" t="s">
        <v>399</v>
      </c>
      <c r="O1107" s="26" t="s">
        <v>52</v>
      </c>
      <c r="P1107" s="26" t="s">
        <v>429</v>
      </c>
      <c r="Q1107" s="47">
        <f t="shared" si="121"/>
        <v>0</v>
      </c>
      <c r="R1107" s="47">
        <f t="shared" si="122"/>
        <v>0</v>
      </c>
    </row>
    <row r="1108" spans="13:18" x14ac:dyDescent="0.15">
      <c r="M1108" s="46">
        <v>2022</v>
      </c>
      <c r="N1108" s="26" t="s">
        <v>399</v>
      </c>
      <c r="O1108" s="26" t="s">
        <v>52</v>
      </c>
      <c r="P1108" s="26" t="s">
        <v>430</v>
      </c>
      <c r="Q1108" s="47">
        <f t="shared" si="121"/>
        <v>0</v>
      </c>
      <c r="R1108" s="47">
        <f t="shared" si="122"/>
        <v>0</v>
      </c>
    </row>
    <row r="1109" spans="13:18" x14ac:dyDescent="0.15">
      <c r="M1109" s="46">
        <v>2022</v>
      </c>
      <c r="N1109" s="26" t="s">
        <v>399</v>
      </c>
      <c r="O1109" s="26" t="s">
        <v>52</v>
      </c>
      <c r="P1109" s="26" t="s">
        <v>431</v>
      </c>
      <c r="Q1109" s="47">
        <f t="shared" si="121"/>
        <v>6.8313699740120734E-2</v>
      </c>
      <c r="R1109" s="47">
        <f t="shared" si="122"/>
        <v>0.56328840136590774</v>
      </c>
    </row>
    <row r="1110" spans="13:18" x14ac:dyDescent="0.15">
      <c r="M1110" s="46">
        <v>2022</v>
      </c>
      <c r="N1110" s="26" t="s">
        <v>399</v>
      </c>
      <c r="O1110" s="26" t="s">
        <v>53</v>
      </c>
      <c r="P1110" s="26" t="s">
        <v>427</v>
      </c>
      <c r="Q1110" s="47">
        <f t="shared" si="121"/>
        <v>0</v>
      </c>
      <c r="R1110" s="47">
        <f t="shared" si="122"/>
        <v>0</v>
      </c>
    </row>
    <row r="1111" spans="13:18" x14ac:dyDescent="0.15">
      <c r="M1111" s="46">
        <v>2022</v>
      </c>
      <c r="N1111" s="26" t="s">
        <v>399</v>
      </c>
      <c r="O1111" s="26" t="s">
        <v>53</v>
      </c>
      <c r="P1111" s="26" t="s">
        <v>429</v>
      </c>
      <c r="Q1111" s="47">
        <f t="shared" si="121"/>
        <v>0</v>
      </c>
      <c r="R1111" s="47">
        <f t="shared" si="122"/>
        <v>0</v>
      </c>
    </row>
    <row r="1112" spans="13:18" x14ac:dyDescent="0.15">
      <c r="M1112" s="46">
        <v>2022</v>
      </c>
      <c r="N1112" s="26" t="s">
        <v>399</v>
      </c>
      <c r="O1112" s="26" t="s">
        <v>53</v>
      </c>
      <c r="P1112" s="26" t="s">
        <v>430</v>
      </c>
      <c r="Q1112" s="47">
        <f t="shared" si="121"/>
        <v>0</v>
      </c>
      <c r="R1112" s="47">
        <f t="shared" si="122"/>
        <v>0</v>
      </c>
    </row>
    <row r="1113" spans="13:18" x14ac:dyDescent="0.15">
      <c r="M1113" s="46">
        <v>2022</v>
      </c>
      <c r="N1113" s="26" t="s">
        <v>399</v>
      </c>
      <c r="O1113" s="26" t="s">
        <v>53</v>
      </c>
      <c r="P1113" s="26" t="s">
        <v>431</v>
      </c>
      <c r="Q1113" s="47">
        <f t="shared" si="121"/>
        <v>0.22658102484511483</v>
      </c>
      <c r="R1113" s="47">
        <f t="shared" si="122"/>
        <v>1.8682996785474379</v>
      </c>
    </row>
    <row r="1114" spans="13:18" x14ac:dyDescent="0.15">
      <c r="M1114" s="46">
        <v>2022</v>
      </c>
      <c r="N1114" s="26" t="s">
        <v>399</v>
      </c>
      <c r="O1114" s="26" t="s">
        <v>54</v>
      </c>
      <c r="P1114" s="26" t="s">
        <v>427</v>
      </c>
      <c r="Q1114" s="47">
        <f t="shared" si="121"/>
        <v>0</v>
      </c>
      <c r="R1114" s="47">
        <f t="shared" si="122"/>
        <v>0</v>
      </c>
    </row>
    <row r="1115" spans="13:18" x14ac:dyDescent="0.15">
      <c r="M1115" s="46">
        <v>2022</v>
      </c>
      <c r="N1115" s="26" t="s">
        <v>399</v>
      </c>
      <c r="O1115" s="26" t="s">
        <v>54</v>
      </c>
      <c r="P1115" s="26" t="s">
        <v>429</v>
      </c>
      <c r="Q1115" s="47">
        <f t="shared" si="121"/>
        <v>0</v>
      </c>
      <c r="R1115" s="47">
        <f t="shared" si="122"/>
        <v>0</v>
      </c>
    </row>
    <row r="1116" spans="13:18" x14ac:dyDescent="0.15">
      <c r="M1116" s="46">
        <v>2022</v>
      </c>
      <c r="N1116" s="26" t="s">
        <v>399</v>
      </c>
      <c r="O1116" s="26" t="s">
        <v>54</v>
      </c>
      <c r="P1116" s="26" t="s">
        <v>430</v>
      </c>
      <c r="Q1116" s="47">
        <f t="shared" si="121"/>
        <v>0</v>
      </c>
      <c r="R1116" s="47">
        <f t="shared" si="122"/>
        <v>0</v>
      </c>
    </row>
    <row r="1117" spans="13:18" x14ac:dyDescent="0.15">
      <c r="M1117" s="46">
        <v>2022</v>
      </c>
      <c r="N1117" s="26" t="s">
        <v>399</v>
      </c>
      <c r="O1117" s="26" t="s">
        <v>54</v>
      </c>
      <c r="P1117" s="26" t="s">
        <v>431</v>
      </c>
      <c r="Q1117" s="47">
        <f t="shared" si="121"/>
        <v>0.54351961566765594</v>
      </c>
      <c r="R1117" s="47">
        <f t="shared" si="122"/>
        <v>4.4816529712947064</v>
      </c>
    </row>
    <row r="1118" spans="13:18" x14ac:dyDescent="0.15">
      <c r="M1118" s="46">
        <v>2022</v>
      </c>
      <c r="N1118" s="26" t="s">
        <v>399</v>
      </c>
      <c r="O1118" s="26" t="s">
        <v>408</v>
      </c>
      <c r="P1118" s="26" t="s">
        <v>427</v>
      </c>
      <c r="Q1118" s="47">
        <f t="shared" si="121"/>
        <v>0</v>
      </c>
      <c r="R1118" s="47">
        <f t="shared" si="122"/>
        <v>0</v>
      </c>
    </row>
    <row r="1119" spans="13:18" x14ac:dyDescent="0.15">
      <c r="M1119" s="46">
        <v>2022</v>
      </c>
      <c r="N1119" s="26" t="s">
        <v>399</v>
      </c>
      <c r="O1119" s="26" t="s">
        <v>408</v>
      </c>
      <c r="P1119" s="26" t="s">
        <v>429</v>
      </c>
      <c r="Q1119" s="47">
        <f t="shared" si="121"/>
        <v>0</v>
      </c>
      <c r="R1119" s="47">
        <f t="shared" si="122"/>
        <v>0</v>
      </c>
    </row>
    <row r="1120" spans="13:18" x14ac:dyDescent="0.15">
      <c r="M1120" s="46">
        <v>2022</v>
      </c>
      <c r="N1120" s="26" t="s">
        <v>399</v>
      </c>
      <c r="O1120" s="26" t="s">
        <v>408</v>
      </c>
      <c r="P1120" s="26" t="s">
        <v>430</v>
      </c>
      <c r="Q1120" s="47">
        <f t="shared" si="121"/>
        <v>0</v>
      </c>
      <c r="R1120" s="47">
        <f t="shared" si="122"/>
        <v>0</v>
      </c>
    </row>
    <row r="1121" spans="13:18" x14ac:dyDescent="0.15">
      <c r="M1121" s="46">
        <v>2022</v>
      </c>
      <c r="N1121" s="26" t="s">
        <v>399</v>
      </c>
      <c r="O1121" s="26" t="s">
        <v>408</v>
      </c>
      <c r="P1121" s="26" t="s">
        <v>431</v>
      </c>
      <c r="Q1121" s="47">
        <f t="shared" si="121"/>
        <v>0.15649586561422132</v>
      </c>
      <c r="R1121" s="47">
        <f t="shared" si="122"/>
        <v>1.2904045059418248</v>
      </c>
    </row>
    <row r="1122" spans="13:18" x14ac:dyDescent="0.15">
      <c r="M1122" s="46">
        <v>2022</v>
      </c>
      <c r="N1122" s="26" t="s">
        <v>399</v>
      </c>
      <c r="O1122" s="26" t="s">
        <v>55</v>
      </c>
      <c r="P1122" s="26" t="s">
        <v>427</v>
      </c>
      <c r="Q1122" s="47">
        <f t="shared" si="121"/>
        <v>0</v>
      </c>
      <c r="R1122" s="47">
        <f t="shared" si="122"/>
        <v>0</v>
      </c>
    </row>
    <row r="1123" spans="13:18" x14ac:dyDescent="0.15">
      <c r="M1123" s="46">
        <v>2022</v>
      </c>
      <c r="N1123" s="26" t="s">
        <v>399</v>
      </c>
      <c r="O1123" s="26" t="s">
        <v>55</v>
      </c>
      <c r="P1123" s="26" t="s">
        <v>429</v>
      </c>
      <c r="Q1123" s="47">
        <f t="shared" si="121"/>
        <v>0</v>
      </c>
      <c r="R1123" s="47">
        <f t="shared" si="122"/>
        <v>0</v>
      </c>
    </row>
    <row r="1124" spans="13:18" x14ac:dyDescent="0.15">
      <c r="M1124" s="46">
        <v>2022</v>
      </c>
      <c r="N1124" s="26" t="s">
        <v>399</v>
      </c>
      <c r="O1124" s="26" t="s">
        <v>55</v>
      </c>
      <c r="P1124" s="26" t="s">
        <v>430</v>
      </c>
      <c r="Q1124" s="47">
        <f t="shared" si="121"/>
        <v>0</v>
      </c>
      <c r="R1124" s="47">
        <f t="shared" si="122"/>
        <v>0</v>
      </c>
    </row>
    <row r="1125" spans="13:18" x14ac:dyDescent="0.15">
      <c r="M1125" s="46">
        <v>2022</v>
      </c>
      <c r="N1125" s="26" t="s">
        <v>399</v>
      </c>
      <c r="O1125" s="26" t="s">
        <v>55</v>
      </c>
      <c r="P1125" s="26" t="s">
        <v>431</v>
      </c>
      <c r="Q1125" s="47">
        <f t="shared" si="121"/>
        <v>0.80704213557018989</v>
      </c>
      <c r="R1125" s="47">
        <f t="shared" si="122"/>
        <v>6.6545579599647242</v>
      </c>
    </row>
    <row r="1126" spans="13:18" x14ac:dyDescent="0.15">
      <c r="M1126" s="46">
        <v>2022</v>
      </c>
      <c r="N1126" s="26" t="s">
        <v>403</v>
      </c>
      <c r="O1126" s="26" t="s">
        <v>34</v>
      </c>
      <c r="P1126" s="26" t="s">
        <v>427</v>
      </c>
      <c r="Q1126" s="47">
        <f t="shared" si="121"/>
        <v>0</v>
      </c>
      <c r="R1126" s="47">
        <f t="shared" si="122"/>
        <v>0</v>
      </c>
    </row>
    <row r="1127" spans="13:18" x14ac:dyDescent="0.15">
      <c r="M1127" s="46">
        <v>2022</v>
      </c>
      <c r="N1127" s="26" t="s">
        <v>403</v>
      </c>
      <c r="O1127" s="26" t="s">
        <v>34</v>
      </c>
      <c r="P1127" s="26" t="s">
        <v>429</v>
      </c>
      <c r="Q1127" s="47">
        <f t="shared" si="121"/>
        <v>0</v>
      </c>
      <c r="R1127" s="47">
        <f t="shared" si="122"/>
        <v>0</v>
      </c>
    </row>
    <row r="1128" spans="13:18" x14ac:dyDescent="0.15">
      <c r="M1128" s="46">
        <v>2022</v>
      </c>
      <c r="N1128" s="26" t="s">
        <v>403</v>
      </c>
      <c r="O1128" s="26" t="s">
        <v>34</v>
      </c>
      <c r="P1128" s="26" t="s">
        <v>430</v>
      </c>
      <c r="Q1128" s="47">
        <f t="shared" si="121"/>
        <v>0</v>
      </c>
      <c r="R1128" s="47">
        <f t="shared" si="122"/>
        <v>0</v>
      </c>
    </row>
    <row r="1129" spans="13:18" x14ac:dyDescent="0.15">
      <c r="M1129" s="46">
        <v>2022</v>
      </c>
      <c r="N1129" s="26" t="s">
        <v>403</v>
      </c>
      <c r="O1129" s="26" t="s">
        <v>34</v>
      </c>
      <c r="P1129" s="26" t="s">
        <v>431</v>
      </c>
      <c r="Q1129" s="47">
        <f t="shared" si="121"/>
        <v>0</v>
      </c>
      <c r="R1129" s="47">
        <f t="shared" si="122"/>
        <v>0</v>
      </c>
    </row>
    <row r="1130" spans="13:18" x14ac:dyDescent="0.15">
      <c r="M1130" s="46">
        <v>2022</v>
      </c>
      <c r="N1130" s="26" t="s">
        <v>403</v>
      </c>
      <c r="O1130" s="26" t="s">
        <v>35</v>
      </c>
      <c r="P1130" s="26" t="s">
        <v>427</v>
      </c>
      <c r="Q1130" s="47">
        <f t="shared" si="121"/>
        <v>0</v>
      </c>
      <c r="R1130" s="47">
        <f t="shared" si="122"/>
        <v>0</v>
      </c>
    </row>
    <row r="1131" spans="13:18" x14ac:dyDescent="0.15">
      <c r="M1131" s="46">
        <v>2022</v>
      </c>
      <c r="N1131" s="26" t="s">
        <v>403</v>
      </c>
      <c r="O1131" s="26" t="s">
        <v>35</v>
      </c>
      <c r="P1131" s="26" t="s">
        <v>429</v>
      </c>
      <c r="Q1131" s="47">
        <f t="shared" si="121"/>
        <v>0</v>
      </c>
      <c r="R1131" s="47">
        <f t="shared" si="122"/>
        <v>0</v>
      </c>
    </row>
    <row r="1132" spans="13:18" x14ac:dyDescent="0.15">
      <c r="M1132" s="46">
        <v>2022</v>
      </c>
      <c r="N1132" s="26" t="s">
        <v>403</v>
      </c>
      <c r="O1132" s="26" t="s">
        <v>35</v>
      </c>
      <c r="P1132" s="26" t="s">
        <v>430</v>
      </c>
      <c r="Q1132" s="47">
        <f t="shared" si="121"/>
        <v>0</v>
      </c>
      <c r="R1132" s="47">
        <f t="shared" si="122"/>
        <v>0</v>
      </c>
    </row>
    <row r="1133" spans="13:18" x14ac:dyDescent="0.15">
      <c r="M1133" s="46">
        <v>2022</v>
      </c>
      <c r="N1133" s="26" t="s">
        <v>403</v>
      </c>
      <c r="O1133" s="26" t="s">
        <v>35</v>
      </c>
      <c r="P1133" s="26" t="s">
        <v>431</v>
      </c>
      <c r="Q1133" s="47">
        <f t="shared" si="121"/>
        <v>0</v>
      </c>
      <c r="R1133" s="47">
        <f t="shared" si="122"/>
        <v>0</v>
      </c>
    </row>
    <row r="1134" spans="13:18" x14ac:dyDescent="0.15">
      <c r="M1134" s="46">
        <v>2022</v>
      </c>
      <c r="N1134" s="26" t="s">
        <v>403</v>
      </c>
      <c r="O1134" s="26" t="s">
        <v>36</v>
      </c>
      <c r="P1134" s="26" t="s">
        <v>427</v>
      </c>
      <c r="Q1134" s="47">
        <f t="shared" si="121"/>
        <v>0</v>
      </c>
      <c r="R1134" s="47">
        <f t="shared" si="122"/>
        <v>0</v>
      </c>
    </row>
    <row r="1135" spans="13:18" x14ac:dyDescent="0.15">
      <c r="M1135" s="46">
        <v>2022</v>
      </c>
      <c r="N1135" s="26" t="s">
        <v>403</v>
      </c>
      <c r="O1135" s="26" t="s">
        <v>36</v>
      </c>
      <c r="P1135" s="26" t="s">
        <v>429</v>
      </c>
      <c r="Q1135" s="47">
        <f t="shared" si="121"/>
        <v>0</v>
      </c>
      <c r="R1135" s="47">
        <f t="shared" si="122"/>
        <v>0</v>
      </c>
    </row>
    <row r="1136" spans="13:18" x14ac:dyDescent="0.15">
      <c r="M1136" s="46">
        <v>2022</v>
      </c>
      <c r="N1136" s="26" t="s">
        <v>403</v>
      </c>
      <c r="O1136" s="26" t="s">
        <v>36</v>
      </c>
      <c r="P1136" s="26" t="s">
        <v>430</v>
      </c>
      <c r="Q1136" s="47">
        <f t="shared" si="121"/>
        <v>0</v>
      </c>
      <c r="R1136" s="47">
        <f t="shared" si="122"/>
        <v>0</v>
      </c>
    </row>
    <row r="1137" spans="13:18" x14ac:dyDescent="0.15">
      <c r="M1137" s="46">
        <v>2022</v>
      </c>
      <c r="N1137" s="26" t="s">
        <v>403</v>
      </c>
      <c r="O1137" s="26" t="s">
        <v>36</v>
      </c>
      <c r="P1137" s="26" t="s">
        <v>431</v>
      </c>
      <c r="Q1137" s="47">
        <f t="shared" si="121"/>
        <v>0</v>
      </c>
      <c r="R1137" s="47">
        <f t="shared" si="122"/>
        <v>0</v>
      </c>
    </row>
    <row r="1138" spans="13:18" x14ac:dyDescent="0.15">
      <c r="M1138" s="46">
        <v>2022</v>
      </c>
      <c r="N1138" s="26" t="s">
        <v>403</v>
      </c>
      <c r="O1138" s="26" t="s">
        <v>422</v>
      </c>
      <c r="P1138" s="26" t="s">
        <v>427</v>
      </c>
      <c r="Q1138" s="47">
        <f t="shared" si="121"/>
        <v>0</v>
      </c>
      <c r="R1138" s="47">
        <f t="shared" si="122"/>
        <v>0</v>
      </c>
    </row>
    <row r="1139" spans="13:18" x14ac:dyDescent="0.15">
      <c r="M1139" s="46">
        <v>2022</v>
      </c>
      <c r="N1139" s="26" t="s">
        <v>403</v>
      </c>
      <c r="O1139" s="26" t="s">
        <v>422</v>
      </c>
      <c r="P1139" s="26" t="s">
        <v>429</v>
      </c>
      <c r="Q1139" s="47">
        <f t="shared" si="121"/>
        <v>0</v>
      </c>
      <c r="R1139" s="47">
        <f t="shared" si="122"/>
        <v>0</v>
      </c>
    </row>
    <row r="1140" spans="13:18" x14ac:dyDescent="0.15">
      <c r="M1140" s="46">
        <v>2022</v>
      </c>
      <c r="N1140" s="26" t="s">
        <v>403</v>
      </c>
      <c r="O1140" s="26" t="s">
        <v>422</v>
      </c>
      <c r="P1140" s="26" t="s">
        <v>430</v>
      </c>
      <c r="Q1140" s="47">
        <f t="shared" si="121"/>
        <v>0</v>
      </c>
      <c r="R1140" s="47">
        <f t="shared" si="122"/>
        <v>0</v>
      </c>
    </row>
    <row r="1141" spans="13:18" x14ac:dyDescent="0.15">
      <c r="M1141" s="46">
        <v>2022</v>
      </c>
      <c r="N1141" s="26" t="s">
        <v>403</v>
      </c>
      <c r="O1141" s="26" t="s">
        <v>422</v>
      </c>
      <c r="P1141" s="26" t="s">
        <v>431</v>
      </c>
      <c r="Q1141" s="47">
        <f t="shared" si="121"/>
        <v>0</v>
      </c>
      <c r="R1141" s="47">
        <f t="shared" si="122"/>
        <v>0</v>
      </c>
    </row>
    <row r="1142" spans="13:18" x14ac:dyDescent="0.15">
      <c r="M1142" s="46">
        <v>2022</v>
      </c>
      <c r="N1142" s="26" t="s">
        <v>403</v>
      </c>
      <c r="O1142" s="26" t="s">
        <v>393</v>
      </c>
      <c r="P1142" s="26" t="s">
        <v>427</v>
      </c>
      <c r="Q1142" s="47">
        <f t="shared" si="121"/>
        <v>0</v>
      </c>
      <c r="R1142" s="47">
        <f t="shared" si="122"/>
        <v>0</v>
      </c>
    </row>
    <row r="1143" spans="13:18" x14ac:dyDescent="0.15">
      <c r="M1143" s="46">
        <v>2022</v>
      </c>
      <c r="N1143" s="26" t="s">
        <v>403</v>
      </c>
      <c r="O1143" s="26" t="s">
        <v>393</v>
      </c>
      <c r="P1143" s="26" t="s">
        <v>429</v>
      </c>
      <c r="Q1143" s="47">
        <f t="shared" si="121"/>
        <v>0</v>
      </c>
      <c r="R1143" s="47">
        <f t="shared" si="122"/>
        <v>0</v>
      </c>
    </row>
    <row r="1144" spans="13:18" x14ac:dyDescent="0.15">
      <c r="M1144" s="46">
        <v>2022</v>
      </c>
      <c r="N1144" s="26" t="s">
        <v>403</v>
      </c>
      <c r="O1144" s="26" t="s">
        <v>393</v>
      </c>
      <c r="P1144" s="26" t="s">
        <v>430</v>
      </c>
      <c r="Q1144" s="47">
        <f t="shared" si="121"/>
        <v>0</v>
      </c>
      <c r="R1144" s="47">
        <f t="shared" si="122"/>
        <v>0</v>
      </c>
    </row>
    <row r="1145" spans="13:18" x14ac:dyDescent="0.15">
      <c r="M1145" s="46">
        <v>2022</v>
      </c>
      <c r="N1145" s="26" t="s">
        <v>403</v>
      </c>
      <c r="O1145" s="26" t="s">
        <v>393</v>
      </c>
      <c r="P1145" s="26" t="s">
        <v>431</v>
      </c>
      <c r="Q1145" s="47">
        <f t="shared" si="121"/>
        <v>0</v>
      </c>
      <c r="R1145" s="47">
        <f t="shared" si="122"/>
        <v>0</v>
      </c>
    </row>
    <row r="1146" spans="13:18" x14ac:dyDescent="0.15">
      <c r="M1146" s="46">
        <v>2022</v>
      </c>
      <c r="N1146" s="26" t="s">
        <v>403</v>
      </c>
      <c r="O1146" s="26" t="s">
        <v>37</v>
      </c>
      <c r="P1146" s="26" t="s">
        <v>427</v>
      </c>
      <c r="Q1146" s="47">
        <f t="shared" si="121"/>
        <v>0</v>
      </c>
      <c r="R1146" s="47">
        <f t="shared" si="122"/>
        <v>0</v>
      </c>
    </row>
    <row r="1147" spans="13:18" x14ac:dyDescent="0.15">
      <c r="M1147" s="46">
        <v>2022</v>
      </c>
      <c r="N1147" s="26" t="s">
        <v>403</v>
      </c>
      <c r="O1147" s="26" t="s">
        <v>37</v>
      </c>
      <c r="P1147" s="26" t="s">
        <v>429</v>
      </c>
      <c r="Q1147" s="47">
        <f t="shared" si="121"/>
        <v>0</v>
      </c>
      <c r="R1147" s="47">
        <f t="shared" si="122"/>
        <v>0</v>
      </c>
    </row>
    <row r="1148" spans="13:18" x14ac:dyDescent="0.15">
      <c r="M1148" s="46">
        <v>2022</v>
      </c>
      <c r="N1148" s="26" t="s">
        <v>403</v>
      </c>
      <c r="O1148" s="26" t="s">
        <v>37</v>
      </c>
      <c r="P1148" s="26" t="s">
        <v>430</v>
      </c>
      <c r="Q1148" s="47">
        <f t="shared" si="121"/>
        <v>0</v>
      </c>
      <c r="R1148" s="47">
        <f t="shared" si="122"/>
        <v>0</v>
      </c>
    </row>
    <row r="1149" spans="13:18" x14ac:dyDescent="0.15">
      <c r="M1149" s="46">
        <v>2022</v>
      </c>
      <c r="N1149" s="26" t="s">
        <v>403</v>
      </c>
      <c r="O1149" s="26" t="s">
        <v>37</v>
      </c>
      <c r="P1149" s="26" t="s">
        <v>431</v>
      </c>
      <c r="Q1149" s="47">
        <f t="shared" si="121"/>
        <v>0</v>
      </c>
      <c r="R1149" s="47">
        <f t="shared" si="122"/>
        <v>0</v>
      </c>
    </row>
    <row r="1150" spans="13:18" x14ac:dyDescent="0.15">
      <c r="M1150" s="46">
        <v>2022</v>
      </c>
      <c r="N1150" s="26" t="s">
        <v>403</v>
      </c>
      <c r="O1150" s="26" t="s">
        <v>38</v>
      </c>
      <c r="P1150" s="26" t="s">
        <v>427</v>
      </c>
      <c r="Q1150" s="47">
        <f t="shared" si="121"/>
        <v>0</v>
      </c>
      <c r="R1150" s="47">
        <f t="shared" si="122"/>
        <v>0</v>
      </c>
    </row>
    <row r="1151" spans="13:18" x14ac:dyDescent="0.15">
      <c r="M1151" s="46">
        <v>2022</v>
      </c>
      <c r="N1151" s="26" t="s">
        <v>403</v>
      </c>
      <c r="O1151" s="26" t="s">
        <v>38</v>
      </c>
      <c r="P1151" s="26" t="s">
        <v>429</v>
      </c>
      <c r="Q1151" s="47">
        <f t="shared" si="121"/>
        <v>0</v>
      </c>
      <c r="R1151" s="47">
        <f t="shared" si="122"/>
        <v>0</v>
      </c>
    </row>
    <row r="1152" spans="13:18" x14ac:dyDescent="0.15">
      <c r="M1152" s="46">
        <v>2022</v>
      </c>
      <c r="N1152" s="26" t="s">
        <v>403</v>
      </c>
      <c r="O1152" s="26" t="s">
        <v>38</v>
      </c>
      <c r="P1152" s="26" t="s">
        <v>430</v>
      </c>
      <c r="Q1152" s="47">
        <f t="shared" si="121"/>
        <v>0</v>
      </c>
      <c r="R1152" s="47">
        <f t="shared" si="122"/>
        <v>0</v>
      </c>
    </row>
    <row r="1153" spans="13:18" x14ac:dyDescent="0.15">
      <c r="M1153" s="46">
        <v>2022</v>
      </c>
      <c r="N1153" s="26" t="s">
        <v>403</v>
      </c>
      <c r="O1153" s="26" t="s">
        <v>38</v>
      </c>
      <c r="P1153" s="26" t="s">
        <v>431</v>
      </c>
      <c r="Q1153" s="47">
        <f t="shared" si="121"/>
        <v>0</v>
      </c>
      <c r="R1153" s="47">
        <f t="shared" si="122"/>
        <v>0</v>
      </c>
    </row>
    <row r="1154" spans="13:18" x14ac:dyDescent="0.15">
      <c r="M1154" s="46">
        <v>2022</v>
      </c>
      <c r="N1154" s="26" t="s">
        <v>403</v>
      </c>
      <c r="O1154" s="26" t="s">
        <v>39</v>
      </c>
      <c r="P1154" s="26" t="s">
        <v>427</v>
      </c>
      <c r="Q1154" s="47">
        <f t="shared" ref="Q1154:Q1217" si="123">SUMIFS(D:D,B:B,N1154,C:C,P1154,A:A,M1154)*SUMIFS(K:K,G:G,N1154,I:I,O1154)</f>
        <v>0</v>
      </c>
      <c r="R1154" s="47">
        <f t="shared" ref="R1154:R1217" si="124">SUMIFS(E:E,B:B,N1154,C:C,P1154,A:A,M1154)*SUMIFS(K:K,G:G,N1154,I:I,O1154)</f>
        <v>0</v>
      </c>
    </row>
    <row r="1155" spans="13:18" x14ac:dyDescent="0.15">
      <c r="M1155" s="46">
        <v>2022</v>
      </c>
      <c r="N1155" s="26" t="s">
        <v>403</v>
      </c>
      <c r="O1155" s="26" t="s">
        <v>39</v>
      </c>
      <c r="P1155" s="26" t="s">
        <v>429</v>
      </c>
      <c r="Q1155" s="47">
        <f t="shared" si="123"/>
        <v>0</v>
      </c>
      <c r="R1155" s="47">
        <f t="shared" si="124"/>
        <v>0</v>
      </c>
    </row>
    <row r="1156" spans="13:18" x14ac:dyDescent="0.15">
      <c r="M1156" s="46">
        <v>2022</v>
      </c>
      <c r="N1156" s="26" t="s">
        <v>403</v>
      </c>
      <c r="O1156" s="26" t="s">
        <v>39</v>
      </c>
      <c r="P1156" s="26" t="s">
        <v>430</v>
      </c>
      <c r="Q1156" s="47">
        <f t="shared" si="123"/>
        <v>0</v>
      </c>
      <c r="R1156" s="47">
        <f t="shared" si="124"/>
        <v>0</v>
      </c>
    </row>
    <row r="1157" spans="13:18" x14ac:dyDescent="0.15">
      <c r="M1157" s="46">
        <v>2022</v>
      </c>
      <c r="N1157" s="26" t="s">
        <v>403</v>
      </c>
      <c r="O1157" s="26" t="s">
        <v>39</v>
      </c>
      <c r="P1157" s="26" t="s">
        <v>431</v>
      </c>
      <c r="Q1157" s="47">
        <f t="shared" si="123"/>
        <v>0</v>
      </c>
      <c r="R1157" s="47">
        <f t="shared" si="124"/>
        <v>0</v>
      </c>
    </row>
    <row r="1158" spans="13:18" x14ac:dyDescent="0.15">
      <c r="M1158" s="46">
        <v>2022</v>
      </c>
      <c r="N1158" s="26" t="s">
        <v>403</v>
      </c>
      <c r="O1158" s="26" t="s">
        <v>40</v>
      </c>
      <c r="P1158" s="26" t="s">
        <v>427</v>
      </c>
      <c r="Q1158" s="47">
        <f t="shared" si="123"/>
        <v>0</v>
      </c>
      <c r="R1158" s="47">
        <f t="shared" si="124"/>
        <v>0</v>
      </c>
    </row>
    <row r="1159" spans="13:18" x14ac:dyDescent="0.15">
      <c r="M1159" s="46">
        <v>2022</v>
      </c>
      <c r="N1159" s="26" t="s">
        <v>403</v>
      </c>
      <c r="O1159" s="26" t="s">
        <v>40</v>
      </c>
      <c r="P1159" s="26" t="s">
        <v>429</v>
      </c>
      <c r="Q1159" s="47">
        <f t="shared" si="123"/>
        <v>0</v>
      </c>
      <c r="R1159" s="47">
        <f t="shared" si="124"/>
        <v>0</v>
      </c>
    </row>
    <row r="1160" spans="13:18" x14ac:dyDescent="0.15">
      <c r="M1160" s="46">
        <v>2022</v>
      </c>
      <c r="N1160" s="26" t="s">
        <v>403</v>
      </c>
      <c r="O1160" s="26" t="s">
        <v>40</v>
      </c>
      <c r="P1160" s="26" t="s">
        <v>430</v>
      </c>
      <c r="Q1160" s="47">
        <f t="shared" si="123"/>
        <v>0</v>
      </c>
      <c r="R1160" s="47">
        <f t="shared" si="124"/>
        <v>0</v>
      </c>
    </row>
    <row r="1161" spans="13:18" x14ac:dyDescent="0.15">
      <c r="M1161" s="46">
        <v>2022</v>
      </c>
      <c r="N1161" s="26" t="s">
        <v>403</v>
      </c>
      <c r="O1161" s="26" t="s">
        <v>40</v>
      </c>
      <c r="P1161" s="26" t="s">
        <v>431</v>
      </c>
      <c r="Q1161" s="47">
        <f t="shared" si="123"/>
        <v>0</v>
      </c>
      <c r="R1161" s="47">
        <f t="shared" si="124"/>
        <v>0</v>
      </c>
    </row>
    <row r="1162" spans="13:18" x14ac:dyDescent="0.15">
      <c r="M1162" s="46">
        <v>2022</v>
      </c>
      <c r="N1162" s="26" t="s">
        <v>403</v>
      </c>
      <c r="O1162" s="26" t="s">
        <v>41</v>
      </c>
      <c r="P1162" s="26" t="s">
        <v>427</v>
      </c>
      <c r="Q1162" s="47">
        <f t="shared" si="123"/>
        <v>0</v>
      </c>
      <c r="R1162" s="47">
        <f t="shared" si="124"/>
        <v>0</v>
      </c>
    </row>
    <row r="1163" spans="13:18" x14ac:dyDescent="0.15">
      <c r="M1163" s="46">
        <v>2022</v>
      </c>
      <c r="N1163" s="26" t="s">
        <v>403</v>
      </c>
      <c r="O1163" s="26" t="s">
        <v>41</v>
      </c>
      <c r="P1163" s="26" t="s">
        <v>429</v>
      </c>
      <c r="Q1163" s="47">
        <f t="shared" si="123"/>
        <v>0</v>
      </c>
      <c r="R1163" s="47">
        <f t="shared" si="124"/>
        <v>0</v>
      </c>
    </row>
    <row r="1164" spans="13:18" x14ac:dyDescent="0.15">
      <c r="M1164" s="46">
        <v>2022</v>
      </c>
      <c r="N1164" s="26" t="s">
        <v>403</v>
      </c>
      <c r="O1164" s="26" t="s">
        <v>41</v>
      </c>
      <c r="P1164" s="26" t="s">
        <v>430</v>
      </c>
      <c r="Q1164" s="47">
        <f t="shared" si="123"/>
        <v>0</v>
      </c>
      <c r="R1164" s="47">
        <f t="shared" si="124"/>
        <v>0</v>
      </c>
    </row>
    <row r="1165" spans="13:18" x14ac:dyDescent="0.15">
      <c r="M1165" s="46">
        <v>2022</v>
      </c>
      <c r="N1165" s="26" t="s">
        <v>403</v>
      </c>
      <c r="O1165" s="26" t="s">
        <v>41</v>
      </c>
      <c r="P1165" s="26" t="s">
        <v>431</v>
      </c>
      <c r="Q1165" s="47">
        <f t="shared" si="123"/>
        <v>0</v>
      </c>
      <c r="R1165" s="47">
        <f t="shared" si="124"/>
        <v>0</v>
      </c>
    </row>
    <row r="1166" spans="13:18" x14ac:dyDescent="0.15">
      <c r="M1166" s="46">
        <v>2022</v>
      </c>
      <c r="N1166" s="26" t="s">
        <v>403</v>
      </c>
      <c r="O1166" s="26" t="s">
        <v>42</v>
      </c>
      <c r="P1166" s="26" t="s">
        <v>427</v>
      </c>
      <c r="Q1166" s="47">
        <f t="shared" si="123"/>
        <v>0</v>
      </c>
      <c r="R1166" s="47">
        <f t="shared" si="124"/>
        <v>0</v>
      </c>
    </row>
    <row r="1167" spans="13:18" x14ac:dyDescent="0.15">
      <c r="M1167" s="46">
        <v>2022</v>
      </c>
      <c r="N1167" s="26" t="s">
        <v>403</v>
      </c>
      <c r="O1167" s="26" t="s">
        <v>42</v>
      </c>
      <c r="P1167" s="26" t="s">
        <v>429</v>
      </c>
      <c r="Q1167" s="47">
        <f t="shared" si="123"/>
        <v>0</v>
      </c>
      <c r="R1167" s="47">
        <f t="shared" si="124"/>
        <v>0</v>
      </c>
    </row>
    <row r="1168" spans="13:18" x14ac:dyDescent="0.15">
      <c r="M1168" s="46">
        <v>2022</v>
      </c>
      <c r="N1168" s="26" t="s">
        <v>403</v>
      </c>
      <c r="O1168" s="26" t="s">
        <v>42</v>
      </c>
      <c r="P1168" s="26" t="s">
        <v>430</v>
      </c>
      <c r="Q1168" s="47">
        <f t="shared" si="123"/>
        <v>0</v>
      </c>
      <c r="R1168" s="47">
        <f t="shared" si="124"/>
        <v>0</v>
      </c>
    </row>
    <row r="1169" spans="13:18" x14ac:dyDescent="0.15">
      <c r="M1169" s="46">
        <v>2022</v>
      </c>
      <c r="N1169" s="26" t="s">
        <v>403</v>
      </c>
      <c r="O1169" s="26" t="s">
        <v>42</v>
      </c>
      <c r="P1169" s="26" t="s">
        <v>431</v>
      </c>
      <c r="Q1169" s="47">
        <f t="shared" si="123"/>
        <v>0</v>
      </c>
      <c r="R1169" s="47">
        <f t="shared" si="124"/>
        <v>0</v>
      </c>
    </row>
    <row r="1170" spans="13:18" x14ac:dyDescent="0.15">
      <c r="M1170" s="46">
        <v>2022</v>
      </c>
      <c r="N1170" s="26" t="s">
        <v>403</v>
      </c>
      <c r="O1170" s="26" t="s">
        <v>43</v>
      </c>
      <c r="P1170" s="26" t="s">
        <v>427</v>
      </c>
      <c r="Q1170" s="47">
        <f t="shared" si="123"/>
        <v>0</v>
      </c>
      <c r="R1170" s="47">
        <f t="shared" si="124"/>
        <v>0</v>
      </c>
    </row>
    <row r="1171" spans="13:18" x14ac:dyDescent="0.15">
      <c r="M1171" s="46">
        <v>2022</v>
      </c>
      <c r="N1171" s="26" t="s">
        <v>403</v>
      </c>
      <c r="O1171" s="26" t="s">
        <v>43</v>
      </c>
      <c r="P1171" s="26" t="s">
        <v>429</v>
      </c>
      <c r="Q1171" s="47">
        <f t="shared" si="123"/>
        <v>0</v>
      </c>
      <c r="R1171" s="47">
        <f t="shared" si="124"/>
        <v>0</v>
      </c>
    </row>
    <row r="1172" spans="13:18" x14ac:dyDescent="0.15">
      <c r="M1172" s="46">
        <v>2022</v>
      </c>
      <c r="N1172" s="26" t="s">
        <v>403</v>
      </c>
      <c r="O1172" s="26" t="s">
        <v>43</v>
      </c>
      <c r="P1172" s="26" t="s">
        <v>430</v>
      </c>
      <c r="Q1172" s="47">
        <f t="shared" si="123"/>
        <v>0</v>
      </c>
      <c r="R1172" s="47">
        <f t="shared" si="124"/>
        <v>0</v>
      </c>
    </row>
    <row r="1173" spans="13:18" x14ac:dyDescent="0.15">
      <c r="M1173" s="46">
        <v>2022</v>
      </c>
      <c r="N1173" s="26" t="s">
        <v>403</v>
      </c>
      <c r="O1173" s="26" t="s">
        <v>43</v>
      </c>
      <c r="P1173" s="26" t="s">
        <v>431</v>
      </c>
      <c r="Q1173" s="47">
        <f t="shared" si="123"/>
        <v>0</v>
      </c>
      <c r="R1173" s="47">
        <f t="shared" si="124"/>
        <v>0</v>
      </c>
    </row>
    <row r="1174" spans="13:18" x14ac:dyDescent="0.15">
      <c r="M1174" s="46">
        <v>2022</v>
      </c>
      <c r="N1174" s="26" t="s">
        <v>403</v>
      </c>
      <c r="O1174" s="26" t="s">
        <v>44</v>
      </c>
      <c r="P1174" s="26" t="s">
        <v>427</v>
      </c>
      <c r="Q1174" s="47">
        <f t="shared" si="123"/>
        <v>0</v>
      </c>
      <c r="R1174" s="47">
        <f t="shared" si="124"/>
        <v>0</v>
      </c>
    </row>
    <row r="1175" spans="13:18" x14ac:dyDescent="0.15">
      <c r="M1175" s="46">
        <v>2022</v>
      </c>
      <c r="N1175" s="26" t="s">
        <v>403</v>
      </c>
      <c r="O1175" s="26" t="s">
        <v>44</v>
      </c>
      <c r="P1175" s="26" t="s">
        <v>429</v>
      </c>
      <c r="Q1175" s="47">
        <f t="shared" si="123"/>
        <v>0</v>
      </c>
      <c r="R1175" s="47">
        <f t="shared" si="124"/>
        <v>0</v>
      </c>
    </row>
    <row r="1176" spans="13:18" x14ac:dyDescent="0.15">
      <c r="M1176" s="46">
        <v>2022</v>
      </c>
      <c r="N1176" s="26" t="s">
        <v>403</v>
      </c>
      <c r="O1176" s="26" t="s">
        <v>44</v>
      </c>
      <c r="P1176" s="26" t="s">
        <v>430</v>
      </c>
      <c r="Q1176" s="47">
        <f t="shared" si="123"/>
        <v>0</v>
      </c>
      <c r="R1176" s="47">
        <f t="shared" si="124"/>
        <v>0</v>
      </c>
    </row>
    <row r="1177" spans="13:18" x14ac:dyDescent="0.15">
      <c r="M1177" s="46">
        <v>2022</v>
      </c>
      <c r="N1177" s="26" t="s">
        <v>403</v>
      </c>
      <c r="O1177" s="26" t="s">
        <v>44</v>
      </c>
      <c r="P1177" s="26" t="s">
        <v>431</v>
      </c>
      <c r="Q1177" s="47">
        <f t="shared" si="123"/>
        <v>0</v>
      </c>
      <c r="R1177" s="47">
        <f t="shared" si="124"/>
        <v>0</v>
      </c>
    </row>
    <row r="1178" spans="13:18" x14ac:dyDescent="0.15">
      <c r="M1178" s="46">
        <v>2022</v>
      </c>
      <c r="N1178" s="26" t="s">
        <v>403</v>
      </c>
      <c r="O1178" s="26" t="s">
        <v>45</v>
      </c>
      <c r="P1178" s="26" t="s">
        <v>427</v>
      </c>
      <c r="Q1178" s="47">
        <f t="shared" si="123"/>
        <v>0</v>
      </c>
      <c r="R1178" s="47">
        <f t="shared" si="124"/>
        <v>0</v>
      </c>
    </row>
    <row r="1179" spans="13:18" x14ac:dyDescent="0.15">
      <c r="M1179" s="46">
        <v>2022</v>
      </c>
      <c r="N1179" s="26" t="s">
        <v>403</v>
      </c>
      <c r="O1179" s="26" t="s">
        <v>45</v>
      </c>
      <c r="P1179" s="26" t="s">
        <v>429</v>
      </c>
      <c r="Q1179" s="47">
        <f t="shared" si="123"/>
        <v>0</v>
      </c>
      <c r="R1179" s="47">
        <f t="shared" si="124"/>
        <v>0</v>
      </c>
    </row>
    <row r="1180" spans="13:18" x14ac:dyDescent="0.15">
      <c r="M1180" s="46">
        <v>2022</v>
      </c>
      <c r="N1180" s="26" t="s">
        <v>403</v>
      </c>
      <c r="O1180" s="26" t="s">
        <v>45</v>
      </c>
      <c r="P1180" s="26" t="s">
        <v>430</v>
      </c>
      <c r="Q1180" s="47">
        <f t="shared" si="123"/>
        <v>0</v>
      </c>
      <c r="R1180" s="47">
        <f t="shared" si="124"/>
        <v>0</v>
      </c>
    </row>
    <row r="1181" spans="13:18" x14ac:dyDescent="0.15">
      <c r="M1181" s="46">
        <v>2022</v>
      </c>
      <c r="N1181" s="26" t="s">
        <v>403</v>
      </c>
      <c r="O1181" s="26" t="s">
        <v>45</v>
      </c>
      <c r="P1181" s="26" t="s">
        <v>431</v>
      </c>
      <c r="Q1181" s="47">
        <f t="shared" si="123"/>
        <v>0</v>
      </c>
      <c r="R1181" s="47">
        <f t="shared" si="124"/>
        <v>0</v>
      </c>
    </row>
    <row r="1182" spans="13:18" x14ac:dyDescent="0.15">
      <c r="M1182" s="46">
        <v>2022</v>
      </c>
      <c r="N1182" s="26" t="s">
        <v>403</v>
      </c>
      <c r="O1182" s="26" t="s">
        <v>46</v>
      </c>
      <c r="P1182" s="26" t="s">
        <v>427</v>
      </c>
      <c r="Q1182" s="47">
        <f t="shared" si="123"/>
        <v>0</v>
      </c>
      <c r="R1182" s="47">
        <f t="shared" si="124"/>
        <v>0</v>
      </c>
    </row>
    <row r="1183" spans="13:18" x14ac:dyDescent="0.15">
      <c r="M1183" s="46">
        <v>2022</v>
      </c>
      <c r="N1183" s="26" t="s">
        <v>403</v>
      </c>
      <c r="O1183" s="26" t="s">
        <v>46</v>
      </c>
      <c r="P1183" s="26" t="s">
        <v>429</v>
      </c>
      <c r="Q1183" s="47">
        <f t="shared" si="123"/>
        <v>0</v>
      </c>
      <c r="R1183" s="47">
        <f t="shared" si="124"/>
        <v>0</v>
      </c>
    </row>
    <row r="1184" spans="13:18" x14ac:dyDescent="0.15">
      <c r="M1184" s="46">
        <v>2022</v>
      </c>
      <c r="N1184" s="26" t="s">
        <v>403</v>
      </c>
      <c r="O1184" s="26" t="s">
        <v>46</v>
      </c>
      <c r="P1184" s="26" t="s">
        <v>430</v>
      </c>
      <c r="Q1184" s="47">
        <f t="shared" si="123"/>
        <v>0</v>
      </c>
      <c r="R1184" s="47">
        <f t="shared" si="124"/>
        <v>0</v>
      </c>
    </row>
    <row r="1185" spans="13:18" x14ac:dyDescent="0.15">
      <c r="M1185" s="46">
        <v>2022</v>
      </c>
      <c r="N1185" s="26" t="s">
        <v>403</v>
      </c>
      <c r="O1185" s="26" t="s">
        <v>46</v>
      </c>
      <c r="P1185" s="26" t="s">
        <v>431</v>
      </c>
      <c r="Q1185" s="47">
        <f t="shared" si="123"/>
        <v>0</v>
      </c>
      <c r="R1185" s="47">
        <f t="shared" si="124"/>
        <v>0</v>
      </c>
    </row>
    <row r="1186" spans="13:18" x14ac:dyDescent="0.15">
      <c r="M1186" s="46">
        <v>2022</v>
      </c>
      <c r="N1186" s="26" t="s">
        <v>403</v>
      </c>
      <c r="O1186" s="26" t="s">
        <v>47</v>
      </c>
      <c r="P1186" s="26" t="s">
        <v>427</v>
      </c>
      <c r="Q1186" s="47">
        <f t="shared" si="123"/>
        <v>0</v>
      </c>
      <c r="R1186" s="47">
        <f t="shared" si="124"/>
        <v>0</v>
      </c>
    </row>
    <row r="1187" spans="13:18" x14ac:dyDescent="0.15">
      <c r="M1187" s="46">
        <v>2022</v>
      </c>
      <c r="N1187" s="26" t="s">
        <v>403</v>
      </c>
      <c r="O1187" s="26" t="s">
        <v>47</v>
      </c>
      <c r="P1187" s="26" t="s">
        <v>429</v>
      </c>
      <c r="Q1187" s="47">
        <f t="shared" si="123"/>
        <v>0</v>
      </c>
      <c r="R1187" s="47">
        <f t="shared" si="124"/>
        <v>0</v>
      </c>
    </row>
    <row r="1188" spans="13:18" x14ac:dyDescent="0.15">
      <c r="M1188" s="46">
        <v>2022</v>
      </c>
      <c r="N1188" s="26" t="s">
        <v>403</v>
      </c>
      <c r="O1188" s="26" t="s">
        <v>47</v>
      </c>
      <c r="P1188" s="26" t="s">
        <v>430</v>
      </c>
      <c r="Q1188" s="47">
        <f t="shared" si="123"/>
        <v>0</v>
      </c>
      <c r="R1188" s="47">
        <f t="shared" si="124"/>
        <v>0</v>
      </c>
    </row>
    <row r="1189" spans="13:18" x14ac:dyDescent="0.15">
      <c r="M1189" s="46">
        <v>2022</v>
      </c>
      <c r="N1189" s="26" t="s">
        <v>403</v>
      </c>
      <c r="O1189" s="26" t="s">
        <v>47</v>
      </c>
      <c r="P1189" s="26" t="s">
        <v>431</v>
      </c>
      <c r="Q1189" s="47">
        <f t="shared" si="123"/>
        <v>0</v>
      </c>
      <c r="R1189" s="47">
        <f t="shared" si="124"/>
        <v>0</v>
      </c>
    </row>
    <row r="1190" spans="13:18" x14ac:dyDescent="0.15">
      <c r="M1190" s="46">
        <v>2022</v>
      </c>
      <c r="N1190" s="26" t="s">
        <v>403</v>
      </c>
      <c r="O1190" s="26" t="s">
        <v>48</v>
      </c>
      <c r="P1190" s="26" t="s">
        <v>427</v>
      </c>
      <c r="Q1190" s="47">
        <f t="shared" si="123"/>
        <v>0</v>
      </c>
      <c r="R1190" s="47">
        <f t="shared" si="124"/>
        <v>0</v>
      </c>
    </row>
    <row r="1191" spans="13:18" x14ac:dyDescent="0.15">
      <c r="M1191" s="46">
        <v>2022</v>
      </c>
      <c r="N1191" s="26" t="s">
        <v>403</v>
      </c>
      <c r="O1191" s="26" t="s">
        <v>48</v>
      </c>
      <c r="P1191" s="26" t="s">
        <v>429</v>
      </c>
      <c r="Q1191" s="47">
        <f t="shared" si="123"/>
        <v>0</v>
      </c>
      <c r="R1191" s="47">
        <f t="shared" si="124"/>
        <v>0</v>
      </c>
    </row>
    <row r="1192" spans="13:18" x14ac:dyDescent="0.15">
      <c r="M1192" s="46">
        <v>2022</v>
      </c>
      <c r="N1192" s="26" t="s">
        <v>403</v>
      </c>
      <c r="O1192" s="26" t="s">
        <v>48</v>
      </c>
      <c r="P1192" s="26" t="s">
        <v>430</v>
      </c>
      <c r="Q1192" s="47">
        <f t="shared" si="123"/>
        <v>0</v>
      </c>
      <c r="R1192" s="47">
        <f t="shared" si="124"/>
        <v>0</v>
      </c>
    </row>
    <row r="1193" spans="13:18" x14ac:dyDescent="0.15">
      <c r="M1193" s="46">
        <v>2022</v>
      </c>
      <c r="N1193" s="26" t="s">
        <v>403</v>
      </c>
      <c r="O1193" s="26" t="s">
        <v>48</v>
      </c>
      <c r="P1193" s="26" t="s">
        <v>431</v>
      </c>
      <c r="Q1193" s="47">
        <f t="shared" si="123"/>
        <v>0</v>
      </c>
      <c r="R1193" s="47">
        <f t="shared" si="124"/>
        <v>0</v>
      </c>
    </row>
    <row r="1194" spans="13:18" x14ac:dyDescent="0.15">
      <c r="M1194" s="46">
        <v>2022</v>
      </c>
      <c r="N1194" s="26" t="s">
        <v>403</v>
      </c>
      <c r="O1194" s="26" t="s">
        <v>49</v>
      </c>
      <c r="P1194" s="26" t="s">
        <v>427</v>
      </c>
      <c r="Q1194" s="47">
        <f t="shared" si="123"/>
        <v>0</v>
      </c>
      <c r="R1194" s="47">
        <f t="shared" si="124"/>
        <v>0</v>
      </c>
    </row>
    <row r="1195" spans="13:18" x14ac:dyDescent="0.15">
      <c r="M1195" s="46">
        <v>2022</v>
      </c>
      <c r="N1195" s="26" t="s">
        <v>403</v>
      </c>
      <c r="O1195" s="26" t="s">
        <v>49</v>
      </c>
      <c r="P1195" s="26" t="s">
        <v>429</v>
      </c>
      <c r="Q1195" s="47">
        <f t="shared" si="123"/>
        <v>0</v>
      </c>
      <c r="R1195" s="47">
        <f t="shared" si="124"/>
        <v>0</v>
      </c>
    </row>
    <row r="1196" spans="13:18" x14ac:dyDescent="0.15">
      <c r="M1196" s="46">
        <v>2022</v>
      </c>
      <c r="N1196" s="26" t="s">
        <v>403</v>
      </c>
      <c r="O1196" s="26" t="s">
        <v>49</v>
      </c>
      <c r="P1196" s="26" t="s">
        <v>430</v>
      </c>
      <c r="Q1196" s="47">
        <f t="shared" si="123"/>
        <v>0</v>
      </c>
      <c r="R1196" s="47">
        <f t="shared" si="124"/>
        <v>0</v>
      </c>
    </row>
    <row r="1197" spans="13:18" x14ac:dyDescent="0.15">
      <c r="M1197" s="46">
        <v>2022</v>
      </c>
      <c r="N1197" s="26" t="s">
        <v>403</v>
      </c>
      <c r="O1197" s="26" t="s">
        <v>49</v>
      </c>
      <c r="P1197" s="26" t="s">
        <v>431</v>
      </c>
      <c r="Q1197" s="47">
        <f t="shared" si="123"/>
        <v>0</v>
      </c>
      <c r="R1197" s="47">
        <f t="shared" si="124"/>
        <v>0</v>
      </c>
    </row>
    <row r="1198" spans="13:18" x14ac:dyDescent="0.15">
      <c r="M1198" s="46">
        <v>2022</v>
      </c>
      <c r="N1198" s="26" t="s">
        <v>403</v>
      </c>
      <c r="O1198" s="26" t="s">
        <v>50</v>
      </c>
      <c r="P1198" s="26" t="s">
        <v>427</v>
      </c>
      <c r="Q1198" s="47">
        <f t="shared" si="123"/>
        <v>0</v>
      </c>
      <c r="R1198" s="47">
        <f t="shared" si="124"/>
        <v>0</v>
      </c>
    </row>
    <row r="1199" spans="13:18" x14ac:dyDescent="0.15">
      <c r="M1199" s="46">
        <v>2022</v>
      </c>
      <c r="N1199" s="26" t="s">
        <v>403</v>
      </c>
      <c r="O1199" s="26" t="s">
        <v>50</v>
      </c>
      <c r="P1199" s="26" t="s">
        <v>429</v>
      </c>
      <c r="Q1199" s="47">
        <f t="shared" si="123"/>
        <v>0</v>
      </c>
      <c r="R1199" s="47">
        <f t="shared" si="124"/>
        <v>0</v>
      </c>
    </row>
    <row r="1200" spans="13:18" x14ac:dyDescent="0.15">
      <c r="M1200" s="46">
        <v>2022</v>
      </c>
      <c r="N1200" s="26" t="s">
        <v>403</v>
      </c>
      <c r="O1200" s="26" t="s">
        <v>50</v>
      </c>
      <c r="P1200" s="26" t="s">
        <v>430</v>
      </c>
      <c r="Q1200" s="47">
        <f t="shared" si="123"/>
        <v>0</v>
      </c>
      <c r="R1200" s="47">
        <f t="shared" si="124"/>
        <v>0</v>
      </c>
    </row>
    <row r="1201" spans="13:18" x14ac:dyDescent="0.15">
      <c r="M1201" s="46">
        <v>2022</v>
      </c>
      <c r="N1201" s="26" t="s">
        <v>403</v>
      </c>
      <c r="O1201" s="26" t="s">
        <v>50</v>
      </c>
      <c r="P1201" s="26" t="s">
        <v>431</v>
      </c>
      <c r="Q1201" s="47">
        <f t="shared" si="123"/>
        <v>0</v>
      </c>
      <c r="R1201" s="47">
        <f t="shared" si="124"/>
        <v>0</v>
      </c>
    </row>
    <row r="1202" spans="13:18" x14ac:dyDescent="0.15">
      <c r="M1202" s="46">
        <v>2022</v>
      </c>
      <c r="N1202" s="26" t="s">
        <v>403</v>
      </c>
      <c r="O1202" s="26" t="s">
        <v>51</v>
      </c>
      <c r="P1202" s="26" t="s">
        <v>427</v>
      </c>
      <c r="Q1202" s="47">
        <f t="shared" si="123"/>
        <v>0</v>
      </c>
      <c r="R1202" s="47">
        <f t="shared" si="124"/>
        <v>0</v>
      </c>
    </row>
    <row r="1203" spans="13:18" x14ac:dyDescent="0.15">
      <c r="M1203" s="46">
        <v>2022</v>
      </c>
      <c r="N1203" s="26" t="s">
        <v>403</v>
      </c>
      <c r="O1203" s="26" t="s">
        <v>51</v>
      </c>
      <c r="P1203" s="26" t="s">
        <v>429</v>
      </c>
      <c r="Q1203" s="47">
        <f t="shared" si="123"/>
        <v>0</v>
      </c>
      <c r="R1203" s="47">
        <f t="shared" si="124"/>
        <v>0</v>
      </c>
    </row>
    <row r="1204" spans="13:18" x14ac:dyDescent="0.15">
      <c r="M1204" s="46">
        <v>2022</v>
      </c>
      <c r="N1204" s="26" t="s">
        <v>403</v>
      </c>
      <c r="O1204" s="26" t="s">
        <v>51</v>
      </c>
      <c r="P1204" s="26" t="s">
        <v>430</v>
      </c>
      <c r="Q1204" s="47">
        <f t="shared" si="123"/>
        <v>0</v>
      </c>
      <c r="R1204" s="47">
        <f t="shared" si="124"/>
        <v>0</v>
      </c>
    </row>
    <row r="1205" spans="13:18" x14ac:dyDescent="0.15">
      <c r="M1205" s="46">
        <v>2022</v>
      </c>
      <c r="N1205" s="26" t="s">
        <v>403</v>
      </c>
      <c r="O1205" s="26" t="s">
        <v>51</v>
      </c>
      <c r="P1205" s="26" t="s">
        <v>431</v>
      </c>
      <c r="Q1205" s="47">
        <f t="shared" si="123"/>
        <v>0</v>
      </c>
      <c r="R1205" s="47">
        <f t="shared" si="124"/>
        <v>0</v>
      </c>
    </row>
    <row r="1206" spans="13:18" x14ac:dyDescent="0.15">
      <c r="M1206" s="46">
        <v>2022</v>
      </c>
      <c r="N1206" s="26" t="s">
        <v>403</v>
      </c>
      <c r="O1206" s="26" t="s">
        <v>52</v>
      </c>
      <c r="P1206" s="26" t="s">
        <v>427</v>
      </c>
      <c r="Q1206" s="47">
        <f t="shared" si="123"/>
        <v>0</v>
      </c>
      <c r="R1206" s="47">
        <f t="shared" si="124"/>
        <v>0</v>
      </c>
    </row>
    <row r="1207" spans="13:18" x14ac:dyDescent="0.15">
      <c r="M1207" s="46">
        <v>2022</v>
      </c>
      <c r="N1207" s="26" t="s">
        <v>403</v>
      </c>
      <c r="O1207" s="26" t="s">
        <v>52</v>
      </c>
      <c r="P1207" s="26" t="s">
        <v>429</v>
      </c>
      <c r="Q1207" s="47">
        <f t="shared" si="123"/>
        <v>0</v>
      </c>
      <c r="R1207" s="47">
        <f t="shared" si="124"/>
        <v>0</v>
      </c>
    </row>
    <row r="1208" spans="13:18" x14ac:dyDescent="0.15">
      <c r="M1208" s="46">
        <v>2022</v>
      </c>
      <c r="N1208" s="26" t="s">
        <v>403</v>
      </c>
      <c r="O1208" s="26" t="s">
        <v>52</v>
      </c>
      <c r="P1208" s="26" t="s">
        <v>430</v>
      </c>
      <c r="Q1208" s="47">
        <f t="shared" si="123"/>
        <v>0</v>
      </c>
      <c r="R1208" s="47">
        <f t="shared" si="124"/>
        <v>0</v>
      </c>
    </row>
    <row r="1209" spans="13:18" x14ac:dyDescent="0.15">
      <c r="M1209" s="46">
        <v>2022</v>
      </c>
      <c r="N1209" s="26" t="s">
        <v>403</v>
      </c>
      <c r="O1209" s="26" t="s">
        <v>52</v>
      </c>
      <c r="P1209" s="26" t="s">
        <v>431</v>
      </c>
      <c r="Q1209" s="47">
        <f t="shared" si="123"/>
        <v>0</v>
      </c>
      <c r="R1209" s="47">
        <f t="shared" si="124"/>
        <v>0</v>
      </c>
    </row>
    <row r="1210" spans="13:18" x14ac:dyDescent="0.15">
      <c r="M1210" s="46">
        <v>2022</v>
      </c>
      <c r="N1210" s="26" t="s">
        <v>403</v>
      </c>
      <c r="O1210" s="26" t="s">
        <v>53</v>
      </c>
      <c r="P1210" s="26" t="s">
        <v>427</v>
      </c>
      <c r="Q1210" s="47">
        <f t="shared" si="123"/>
        <v>0</v>
      </c>
      <c r="R1210" s="47">
        <f t="shared" si="124"/>
        <v>0</v>
      </c>
    </row>
    <row r="1211" spans="13:18" x14ac:dyDescent="0.15">
      <c r="M1211" s="46">
        <v>2022</v>
      </c>
      <c r="N1211" s="26" t="s">
        <v>403</v>
      </c>
      <c r="O1211" s="26" t="s">
        <v>53</v>
      </c>
      <c r="P1211" s="26" t="s">
        <v>429</v>
      </c>
      <c r="Q1211" s="47">
        <f t="shared" si="123"/>
        <v>0</v>
      </c>
      <c r="R1211" s="47">
        <f t="shared" si="124"/>
        <v>0</v>
      </c>
    </row>
    <row r="1212" spans="13:18" x14ac:dyDescent="0.15">
      <c r="M1212" s="46">
        <v>2022</v>
      </c>
      <c r="N1212" s="26" t="s">
        <v>403</v>
      </c>
      <c r="O1212" s="26" t="s">
        <v>53</v>
      </c>
      <c r="P1212" s="26" t="s">
        <v>430</v>
      </c>
      <c r="Q1212" s="47">
        <f t="shared" si="123"/>
        <v>0</v>
      </c>
      <c r="R1212" s="47">
        <f t="shared" si="124"/>
        <v>0</v>
      </c>
    </row>
    <row r="1213" spans="13:18" x14ac:dyDescent="0.15">
      <c r="M1213" s="46">
        <v>2022</v>
      </c>
      <c r="N1213" s="26" t="s">
        <v>403</v>
      </c>
      <c r="O1213" s="26" t="s">
        <v>53</v>
      </c>
      <c r="P1213" s="26" t="s">
        <v>431</v>
      </c>
      <c r="Q1213" s="47">
        <f t="shared" si="123"/>
        <v>0</v>
      </c>
      <c r="R1213" s="47">
        <f t="shared" si="124"/>
        <v>0</v>
      </c>
    </row>
    <row r="1214" spans="13:18" x14ac:dyDescent="0.15">
      <c r="M1214" s="46">
        <v>2022</v>
      </c>
      <c r="N1214" s="26" t="s">
        <v>403</v>
      </c>
      <c r="O1214" s="26" t="s">
        <v>54</v>
      </c>
      <c r="P1214" s="26" t="s">
        <v>427</v>
      </c>
      <c r="Q1214" s="47">
        <f t="shared" si="123"/>
        <v>0</v>
      </c>
      <c r="R1214" s="47">
        <f t="shared" si="124"/>
        <v>0</v>
      </c>
    </row>
    <row r="1215" spans="13:18" x14ac:dyDescent="0.15">
      <c r="M1215" s="46">
        <v>2022</v>
      </c>
      <c r="N1215" s="26" t="s">
        <v>403</v>
      </c>
      <c r="O1215" s="26" t="s">
        <v>54</v>
      </c>
      <c r="P1215" s="26" t="s">
        <v>429</v>
      </c>
      <c r="Q1215" s="47">
        <f t="shared" si="123"/>
        <v>0</v>
      </c>
      <c r="R1215" s="47">
        <f t="shared" si="124"/>
        <v>0</v>
      </c>
    </row>
    <row r="1216" spans="13:18" x14ac:dyDescent="0.15">
      <c r="M1216" s="46">
        <v>2022</v>
      </c>
      <c r="N1216" s="26" t="s">
        <v>403</v>
      </c>
      <c r="O1216" s="26" t="s">
        <v>54</v>
      </c>
      <c r="P1216" s="26" t="s">
        <v>430</v>
      </c>
      <c r="Q1216" s="47">
        <f t="shared" si="123"/>
        <v>0</v>
      </c>
      <c r="R1216" s="47">
        <f t="shared" si="124"/>
        <v>0</v>
      </c>
    </row>
    <row r="1217" spans="13:18" x14ac:dyDescent="0.15">
      <c r="M1217" s="46">
        <v>2022</v>
      </c>
      <c r="N1217" s="26" t="s">
        <v>403</v>
      </c>
      <c r="O1217" s="26" t="s">
        <v>54</v>
      </c>
      <c r="P1217" s="26" t="s">
        <v>431</v>
      </c>
      <c r="Q1217" s="47">
        <f t="shared" si="123"/>
        <v>0</v>
      </c>
      <c r="R1217" s="47">
        <f t="shared" si="124"/>
        <v>0</v>
      </c>
    </row>
    <row r="1218" spans="13:18" x14ac:dyDescent="0.15">
      <c r="M1218" s="46">
        <v>2022</v>
      </c>
      <c r="N1218" s="26" t="s">
        <v>403</v>
      </c>
      <c r="O1218" s="26" t="s">
        <v>408</v>
      </c>
      <c r="P1218" s="26" t="s">
        <v>427</v>
      </c>
      <c r="Q1218" s="47">
        <f t="shared" ref="Q1218:Q1225" si="125">SUMIFS(D:D,B:B,N1218,C:C,P1218,A:A,M1218)*SUMIFS(K:K,G:G,N1218,I:I,O1218)</f>
        <v>0</v>
      </c>
      <c r="R1218" s="47">
        <f t="shared" ref="R1218:R1225" si="126">SUMIFS(E:E,B:B,N1218,C:C,P1218,A:A,M1218)*SUMIFS(K:K,G:G,N1218,I:I,O1218)</f>
        <v>0</v>
      </c>
    </row>
    <row r="1219" spans="13:18" x14ac:dyDescent="0.15">
      <c r="M1219" s="46">
        <v>2022</v>
      </c>
      <c r="N1219" s="26" t="s">
        <v>403</v>
      </c>
      <c r="O1219" s="26" t="s">
        <v>408</v>
      </c>
      <c r="P1219" s="26" t="s">
        <v>429</v>
      </c>
      <c r="Q1219" s="47">
        <f t="shared" si="125"/>
        <v>0</v>
      </c>
      <c r="R1219" s="47">
        <f t="shared" si="126"/>
        <v>0</v>
      </c>
    </row>
    <row r="1220" spans="13:18" x14ac:dyDescent="0.15">
      <c r="M1220" s="46">
        <v>2022</v>
      </c>
      <c r="N1220" s="26" t="s">
        <v>403</v>
      </c>
      <c r="O1220" s="26" t="s">
        <v>408</v>
      </c>
      <c r="P1220" s="26" t="s">
        <v>430</v>
      </c>
      <c r="Q1220" s="47">
        <f t="shared" si="125"/>
        <v>0</v>
      </c>
      <c r="R1220" s="47">
        <f t="shared" si="126"/>
        <v>0</v>
      </c>
    </row>
    <row r="1221" spans="13:18" x14ac:dyDescent="0.15">
      <c r="M1221" s="46">
        <v>2022</v>
      </c>
      <c r="N1221" s="26" t="s">
        <v>403</v>
      </c>
      <c r="O1221" s="26" t="s">
        <v>408</v>
      </c>
      <c r="P1221" s="26" t="s">
        <v>431</v>
      </c>
      <c r="Q1221" s="47">
        <f t="shared" si="125"/>
        <v>0</v>
      </c>
      <c r="R1221" s="47">
        <f t="shared" si="126"/>
        <v>0</v>
      </c>
    </row>
    <row r="1222" spans="13:18" x14ac:dyDescent="0.15">
      <c r="M1222" s="46">
        <v>2022</v>
      </c>
      <c r="N1222" s="26" t="s">
        <v>403</v>
      </c>
      <c r="O1222" s="26" t="s">
        <v>55</v>
      </c>
      <c r="P1222" s="26" t="s">
        <v>427</v>
      </c>
      <c r="Q1222" s="47">
        <f t="shared" si="125"/>
        <v>0</v>
      </c>
      <c r="R1222" s="47">
        <f t="shared" si="126"/>
        <v>0</v>
      </c>
    </row>
    <row r="1223" spans="13:18" x14ac:dyDescent="0.15">
      <c r="M1223" s="46">
        <v>2022</v>
      </c>
      <c r="N1223" s="26" t="s">
        <v>403</v>
      </c>
      <c r="O1223" s="26" t="s">
        <v>55</v>
      </c>
      <c r="P1223" s="26" t="s">
        <v>429</v>
      </c>
      <c r="Q1223" s="47">
        <f t="shared" si="125"/>
        <v>0</v>
      </c>
      <c r="R1223" s="47">
        <f t="shared" si="126"/>
        <v>0</v>
      </c>
    </row>
    <row r="1224" spans="13:18" x14ac:dyDescent="0.15">
      <c r="M1224" s="46">
        <v>2022</v>
      </c>
      <c r="N1224" s="26" t="s">
        <v>403</v>
      </c>
      <c r="O1224" s="26" t="s">
        <v>55</v>
      </c>
      <c r="P1224" s="26" t="s">
        <v>430</v>
      </c>
      <c r="Q1224" s="47">
        <f t="shared" si="125"/>
        <v>0</v>
      </c>
      <c r="R1224" s="47">
        <f t="shared" si="126"/>
        <v>0</v>
      </c>
    </row>
    <row r="1225" spans="13:18" x14ac:dyDescent="0.15">
      <c r="M1225" s="46">
        <v>2022</v>
      </c>
      <c r="N1225" s="26" t="s">
        <v>403</v>
      </c>
      <c r="O1225" s="26" t="s">
        <v>55</v>
      </c>
      <c r="P1225" s="26" t="s">
        <v>431</v>
      </c>
      <c r="Q1225" s="47">
        <f t="shared" si="125"/>
        <v>0</v>
      </c>
      <c r="R1225" s="47">
        <f t="shared" si="126"/>
        <v>0</v>
      </c>
    </row>
  </sheetData>
  <autoFilter ref="N1:R409" xr:uid="{B88FBBBD-9468-4731-B53B-7A22E5C2748A}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6F92A-17E3-418F-A808-25FAC9FAB230}">
  <dimension ref="A1:K88"/>
  <sheetViews>
    <sheetView topLeftCell="A16" workbookViewId="0">
      <selection activeCell="I3" sqref="I3:I27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9" width="9.375" style="21" customWidth="1"/>
    <col min="10" max="10" width="10.125" style="21" customWidth="1"/>
    <col min="11" max="11" width="9" style="21" customWidth="1"/>
    <col min="12" max="16384" width="9" style="21"/>
  </cols>
  <sheetData>
    <row r="1" spans="1:11" x14ac:dyDescent="0.15">
      <c r="A1" s="52" t="s">
        <v>103</v>
      </c>
      <c r="B1" s="52" t="s">
        <v>439</v>
      </c>
      <c r="C1" s="52"/>
      <c r="D1" s="52"/>
      <c r="E1" s="52"/>
      <c r="F1" s="52"/>
      <c r="G1" s="52"/>
      <c r="H1" s="52"/>
      <c r="I1" s="52"/>
      <c r="K1" s="21" t="s">
        <v>441</v>
      </c>
    </row>
    <row r="2" spans="1:11" x14ac:dyDescent="0.15">
      <c r="A2" s="26" t="s">
        <v>384</v>
      </c>
      <c r="B2" s="46" t="s">
        <v>438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277435549975.86145</v>
      </c>
    </row>
    <row r="3" spans="1:11" x14ac:dyDescent="0.15">
      <c r="A3" s="26" t="s">
        <v>99</v>
      </c>
      <c r="B3" s="51">
        <f>SUMIFS(工业节能技术装备推荐目录!L:L,工业节能技术装备推荐目录!D:D,'Early Facility Retirement'!A3,工业节能技术装备推荐目录!F:F,'Early Facility Retirement'!$A$1)+SUMIFS(用能设备节能分配!R:R,用能设备节能分配!O:O,'Early Facility Retirement'!A3,用能设备节能分配!P:P,'Early Facility Retirement'!$A$1)</f>
        <v>5.9750827845844644E-2</v>
      </c>
      <c r="C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</f>
        <v>0</v>
      </c>
      <c r="D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</f>
        <v>1.1950165569168929E-2</v>
      </c>
      <c r="E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1.1950165569168929E-2</v>
      </c>
      <c r="F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Retirement'!$A$1,工业节能技术装备推荐目录!A:A,"2021")+SUMIFS(用能设备节能分配!Q:Q,用能设备节能分配!O:O,'Early Facility Retirement'!A3,用能设备节能分配!P:P,'Early Facility Retirement'!$A$1,用能设备节能分配!M:M,"2021")+SUMIFS(工业节能技术装备推荐目录!K:K,工业节能技术装备推荐目录!D:D,'Early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1.1950165569168929E-2</v>
      </c>
      <c r="G3" s="75">
        <f>SUMIFS(工业节能技术装备推荐目录!K:K,工业节能技术装备推荐目录!D:D,'Early Facility Retirement'!A3,工业节能技术装备推荐目录!F:F,'Early Facility Retirement'!$A$1,工业节能技术装备推荐目录!A:A,"2020")+SUMIFS(用能设备节能分配!Q:Q,用能设备节能分配!O:O,'Early Facility Retirement'!A3,用能设备节能分配!P:P,'Early Facility Retirement'!$A$1,用能设备节能分配!M:M,"2020")+SUMIFS(工业节能技术装备推荐目录!K:K,工业节能技术装备推荐目录!D:D,'Early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H3" s="75">
        <f>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I3" s="75">
        <f>SUMIFS(工业节能技术装备推荐目录!K:K,工业节能技术装备推荐目录!D:D,'Early Facility Retirement'!A3,工业节能技术装备推荐目录!F:F,'Early Facility Retirement'!$A$1,工业节能技术装备推荐目录!A:A,"2022")+SUMIFS(用能设备节能分配!Q:Q,用能设备节能分配!O:O,'Early Facility Retirement'!A3,用能设备节能分配!P:P,'Early Facility Retirement'!$A$1,用能设备节能分配!M:M,"2022")</f>
        <v>0</v>
      </c>
      <c r="K3" s="53"/>
    </row>
    <row r="4" spans="1:11" x14ac:dyDescent="0.15">
      <c r="A4" s="26" t="s">
        <v>35</v>
      </c>
      <c r="B4" s="51">
        <f>SUMIFS(工业节能技术装备推荐目录!L:L,工业节能技术装备推荐目录!D:D,'Early Facility Retirement'!A4,工业节能技术装备推荐目录!F:F,'Early Facility Retirement'!$A$1)+SUMIFS(用能设备节能分配!R:R,用能设备节能分配!O:O,'Early Facility Retirement'!A4,用能设备节能分配!P:P,'Early Facility Retirement'!$A$1)</f>
        <v>121.37364266834862</v>
      </c>
      <c r="C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</f>
        <v>0</v>
      </c>
      <c r="D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</f>
        <v>0.95989822265195457</v>
      </c>
      <c r="E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45.959898222651958</v>
      </c>
      <c r="F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Retirement'!$A$1,工业节能技术装备推荐目录!A:A,"2021")+SUMIFS(用能设备节能分配!Q:Q,用能设备节能分配!O:O,'Early Facility Retirement'!A4,用能设备节能分配!P:P,'Early Facility Retirement'!$A$1,用能设备节能分配!M:M,"2021")+SUMIFS(工业节能技术装备推荐目录!K:K,工业节能技术装备推荐目录!D:D,'Early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45.959898222651958</v>
      </c>
      <c r="G4" s="75">
        <f>SUMIFS(工业节能技术装备推荐目录!K:K,工业节能技术装备推荐目录!D:D,'Early Facility Retirement'!A4,工业节能技术装备推荐目录!F:F,'Early Facility Retirement'!$A$1,工业节能技术装备推荐目录!A:A,"2020")+SUMIFS(用能设备节能分配!Q:Q,用能设备节能分配!O:O,'Early Facility Retirement'!A4,用能设备节能分配!P:P,'Early Facility Retirement'!$A$1,用能设备节能分配!M:M,"2020")+SUMIFS(工业节能技术装备推荐目录!K:K,工业节能技术装备推荐目录!D:D,'Early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H4" s="75">
        <f>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I4" s="75">
        <f>SUMIFS(工业节能技术装备推荐目录!K:K,工业节能技术装备推荐目录!D:D,'Early Facility Retirement'!A4,工业节能技术装备推荐目录!F:F,'Early Facility Retirement'!$A$1,工业节能技术装备推荐目录!A:A,"2022")+SUMIFS(用能设备节能分配!Q:Q,用能设备节能分配!O:O,'Early Facility Retirement'!A4,用能设备节能分配!P:P,'Early Facility Retirement'!$A$1,用能设备节能分配!M:M,"2022")</f>
        <v>45</v>
      </c>
      <c r="K4" s="53"/>
    </row>
    <row r="5" spans="1:11" x14ac:dyDescent="0.15">
      <c r="A5" s="26" t="s">
        <v>67</v>
      </c>
      <c r="B5" s="51">
        <f>SUMIFS(工业节能技术装备推荐目录!L:L,工业节能技术装备推荐目录!D:D,'Early Facility Retirement'!A5,工业节能技术装备推荐目录!F:F,'Early Facility Retirement'!$A$1)+SUMIFS(用能设备节能分配!R:R,用能设备节能分配!O:O,'Early Facility Retirement'!A5,用能设备节能分配!P:P,'Early Facility Retirement'!$A$1)</f>
        <v>2.8237828288179556E-2</v>
      </c>
      <c r="C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</f>
        <v>0</v>
      </c>
      <c r="D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</f>
        <v>5.6475656576359112E-3</v>
      </c>
      <c r="E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5.6475656576359112E-3</v>
      </c>
      <c r="F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Retirement'!$A$1,工业节能技术装备推荐目录!A:A,"2021")+SUMIFS(用能设备节能分配!Q:Q,用能设备节能分配!O:O,'Early Facility Retirement'!A5,用能设备节能分配!P:P,'Early Facility Retirement'!$A$1,用能设备节能分配!M:M,"2021")+SUMIFS(工业节能技术装备推荐目录!K:K,工业节能技术装备推荐目录!D:D,'Early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5.6475656576359112E-3</v>
      </c>
      <c r="G5" s="75">
        <f>SUMIFS(工业节能技术装备推荐目录!K:K,工业节能技术装备推荐目录!D:D,'Early Facility Retirement'!A5,工业节能技术装备推荐目录!F:F,'Early Facility Retirement'!$A$1,工业节能技术装备推荐目录!A:A,"2020")+SUMIFS(用能设备节能分配!Q:Q,用能设备节能分配!O:O,'Early Facility Retirement'!A5,用能设备节能分配!P:P,'Early Facility Retirement'!$A$1,用能设备节能分配!M:M,"2020")+SUMIFS(工业节能技术装备推荐目录!K:K,工业节能技术装备推荐目录!D:D,'Early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H5" s="75">
        <f>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I5" s="75">
        <f>SUMIFS(工业节能技术装备推荐目录!K:K,工业节能技术装备推荐目录!D:D,'Early Facility Retirement'!A5,工业节能技术装备推荐目录!F:F,'Early Facility Retirement'!$A$1,工业节能技术装备推荐目录!A:A,"2022")+SUMIFS(用能设备节能分配!Q:Q,用能设备节能分配!O:O,'Early Facility Retirement'!A5,用能设备节能分配!P:P,'Early Facility Retirement'!$A$1,用能设备节能分配!M:M,"2022")</f>
        <v>0</v>
      </c>
      <c r="K5" s="53"/>
    </row>
    <row r="6" spans="1:11" x14ac:dyDescent="0.15">
      <c r="A6" s="26" t="s">
        <v>100</v>
      </c>
      <c r="B6" s="51">
        <f>SUMIFS(工业节能技术装备推荐目录!L:L,工业节能技术装备推荐目录!D:D,'Early Facility Retirement'!A6,工业节能技术装备推荐目录!F:F,'Early Facility Retirement'!$A$1)+SUMIFS(用能设备节能分配!R:R,用能设备节能分配!O:O,'Early Facility Retirement'!A6,用能设备节能分配!P:P,'Early Facility Retirement'!$A$1)</f>
        <v>2.2430800347645205E-2</v>
      </c>
      <c r="C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</f>
        <v>0</v>
      </c>
      <c r="D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</f>
        <v>4.4861600695290408E-3</v>
      </c>
      <c r="E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4.4861600695290408E-3</v>
      </c>
      <c r="F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Retirement'!$A$1,工业节能技术装备推荐目录!A:A,"2021")+SUMIFS(用能设备节能分配!Q:Q,用能设备节能分配!O:O,'Early Facility Retirement'!A6,用能设备节能分配!P:P,'Early Facility Retirement'!$A$1,用能设备节能分配!M:M,"2021")+SUMIFS(工业节能技术装备推荐目录!K:K,工业节能技术装备推荐目录!D:D,'Early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4.4861600695290408E-3</v>
      </c>
      <c r="G6" s="75">
        <f>SUMIFS(工业节能技术装备推荐目录!K:K,工业节能技术装备推荐目录!D:D,'Early Facility Retirement'!A6,工业节能技术装备推荐目录!F:F,'Early Facility Retirement'!$A$1,工业节能技术装备推荐目录!A:A,"2020")+SUMIFS(用能设备节能分配!Q:Q,用能设备节能分配!O:O,'Early Facility Retirement'!A6,用能设备节能分配!P:P,'Early Facility Retirement'!$A$1,用能设备节能分配!M:M,"2020")+SUMIFS(工业节能技术装备推荐目录!K:K,工业节能技术装备推荐目录!D:D,'Early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H6" s="75">
        <f>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I6" s="75">
        <f>SUMIFS(工业节能技术装备推荐目录!K:K,工业节能技术装备推荐目录!D:D,'Early Facility Retirement'!A6,工业节能技术装备推荐目录!F:F,'Early Facility Retirement'!$A$1,工业节能技术装备推荐目录!A:A,"2022")+SUMIFS(用能设备节能分配!Q:Q,用能设备节能分配!O:O,'Early Facility Retirement'!A6,用能设备节能分配!P:P,'Early Facility Retirement'!$A$1,用能设备节能分配!M:M,"2022")</f>
        <v>0</v>
      </c>
      <c r="K6" s="53"/>
    </row>
    <row r="7" spans="1:11" x14ac:dyDescent="0.15">
      <c r="A7" s="26" t="s">
        <v>101</v>
      </c>
      <c r="B7" s="51">
        <f>SUMIFS(工业节能技术装备推荐目录!L:L,工业节能技术装备推荐目录!D:D,'Early Facility Retirement'!A7,工业节能技术装备推荐目录!F:F,'Early Facility Retirement'!$A$1)+SUMIFS(用能设备节能分配!R:R,用能设备节能分配!O:O,'Early Facility Retirement'!A7,用能设备节能分配!P:P,'Early Facility Retirement'!$A$1)</f>
        <v>2.5945270891526362</v>
      </c>
      <c r="C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</f>
        <v>0.59758817788292384</v>
      </c>
      <c r="D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</f>
        <v>0.60854364451296572</v>
      </c>
      <c r="E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0.60854364451296572</v>
      </c>
      <c r="F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Retirement'!$A$1,工业节能技术装备推荐目录!A:A,"2021")+SUMIFS(用能设备节能分配!Q:Q,用能设备节能分配!O:O,'Early Facility Retirement'!A7,用能设备节能分配!P:P,'Early Facility Retirement'!$A$1,用能设备节能分配!M:M,"2021")+SUMIFS(工业节能技术装备推荐目录!K:K,工业节能技术装备推荐目录!D:D,'Early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0.60854364451296572</v>
      </c>
      <c r="G7" s="75">
        <f>SUMIFS(工业节能技术装备推荐目录!K:K,工业节能技术装备推荐目录!D:D,'Early Facility Retirement'!A7,工业节能技术装备推荐目录!F:F,'Early Facility Retirement'!$A$1,工业节能技术装备推荐目录!A:A,"2020")+SUMIFS(用能设备节能分配!Q:Q,用能设备节能分配!O:O,'Early Facility Retirement'!A7,用能设备节能分配!P:P,'Early Facility Retirement'!$A$1,用能设备节能分配!M:M,"2020")+SUMIFS(工业节能技术装备推荐目录!K:K,工业节能技术装备推荐目录!D:D,'Early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0.59758817788292384</v>
      </c>
      <c r="H7" s="75">
        <f>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</v>
      </c>
      <c r="I7" s="75">
        <f>SUMIFS(工业节能技术装备推荐目录!K:K,工业节能技术装备推荐目录!D:D,'Early Facility Retirement'!A7,工业节能技术装备推荐目录!F:F,'Early Facility Retirement'!$A$1,工业节能技术装备推荐目录!A:A,"2022")+SUMIFS(用能设备节能分配!Q:Q,用能设备节能分配!O:O,'Early Facility Retirement'!A7,用能设备节能分配!P:P,'Early Facility Retirement'!$A$1,用能设备节能分配!M:M,"2022")</f>
        <v>0</v>
      </c>
      <c r="K7" s="53"/>
    </row>
    <row r="8" spans="1:11" x14ac:dyDescent="0.15">
      <c r="A8" s="26" t="s">
        <v>72</v>
      </c>
      <c r="B8" s="51">
        <f>SUMIFS(工业节能技术装备推荐目录!L:L,工业节能技术装备推荐目录!D:D,'Early Facility Retirement'!A8,工业节能技术装备推荐目录!F:F,'Early Facility Retirement'!$A$1)+SUMIFS(用能设备节能分配!R:R,用能设备节能分配!O:O,'Early Facility Retirement'!A8,用能设备节能分配!P:P,'Early Facility Retirement'!$A$1)</f>
        <v>322.34769729663208</v>
      </c>
      <c r="C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</f>
        <v>0.54073675144136391</v>
      </c>
      <c r="D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</f>
        <v>0.55064997204261501</v>
      </c>
      <c r="E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96.550649972042621</v>
      </c>
      <c r="F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Retirement'!$A$1,工业节能技术装备推荐目录!A:A,"2021")+SUMIFS(用能设备节能分配!Q:Q,用能设备节能分配!O:O,'Early Facility Retirement'!A8,用能设备节能分配!P:P,'Early Facility Retirement'!$A$1,用能设备节能分配!M:M,"2021")+SUMIFS(工业节能技术装备推荐目录!K:K,工业节能技术装备推荐目录!D:D,'Early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96.550649972042621</v>
      </c>
      <c r="G8" s="75">
        <f>SUMIFS(工业节能技术装备推荐目录!K:K,工业节能技术装备推荐目录!D:D,'Early Facility Retirement'!A8,工业节能技术装备推荐目录!F:F,'Early Facility Retirement'!$A$1,工业节能技术装备推荐目录!A:A,"2020")+SUMIFS(用能设备节能分配!Q:Q,用能设备节能分配!O:O,'Early Facility Retirement'!A8,用能设备节能分配!P:P,'Early Facility Retirement'!$A$1,用能设备节能分配!M:M,"2020")+SUMIFS(工业节能技术装备推荐目录!K:K,工业节能技术装备推荐目录!D:D,'Early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96.540736751441358</v>
      </c>
      <c r="H8" s="75">
        <f>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</v>
      </c>
      <c r="I8" s="75">
        <f>SUMIFS(工业节能技术装备推荐目录!K:K,工业节能技术装备推荐目录!D:D,'Early Facility Retirement'!A8,工业节能技术装备推荐目录!F:F,'Early Facility Retirement'!$A$1,工业节能技术装备推荐目录!A:A,"2022")+SUMIFS(用能设备节能分配!Q:Q,用能设备节能分配!O:O,'Early Facility Retirement'!A8,用能设备节能分配!P:P,'Early Facility Retirement'!$A$1,用能设备节能分配!M:M,"2022")</f>
        <v>96</v>
      </c>
      <c r="K8" s="53"/>
    </row>
    <row r="9" spans="1:11" x14ac:dyDescent="0.15">
      <c r="A9" s="26" t="s">
        <v>38</v>
      </c>
      <c r="B9" s="51">
        <f>SUMIFS(工业节能技术装备推荐目录!L:L,工业节能技术装备推荐目录!D:D,'Early Facility Retirement'!A9,工业节能技术装备推荐目录!F:F,'Early Facility Retirement'!$A$1)+SUMIFS(用能设备节能分配!R:R,用能设备节能分配!O:O,'Early Facility Retirement'!A9,用能设备节能分配!P:P,'Early Facility Retirement'!$A$1)</f>
        <v>7.3491578430167764E-3</v>
      </c>
      <c r="C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</f>
        <v>0</v>
      </c>
      <c r="D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</f>
        <v>1.4698315686033552E-3</v>
      </c>
      <c r="E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1.4698315686033552E-3</v>
      </c>
      <c r="F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Retirement'!$A$1,工业节能技术装备推荐目录!A:A,"2021")+SUMIFS(用能设备节能分配!Q:Q,用能设备节能分配!O:O,'Early Facility Retirement'!A9,用能设备节能分配!P:P,'Early Facility Retirement'!$A$1,用能设备节能分配!M:M,"2021")+SUMIFS(工业节能技术装备推荐目录!K:K,工业节能技术装备推荐目录!D:D,'Early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1.4698315686033552E-3</v>
      </c>
      <c r="G9" s="75">
        <f>SUMIFS(工业节能技术装备推荐目录!K:K,工业节能技术装备推荐目录!D:D,'Early Facility Retirement'!A9,工业节能技术装备推荐目录!F:F,'Early Facility Retirement'!$A$1,工业节能技术装备推荐目录!A:A,"2020")+SUMIFS(用能设备节能分配!Q:Q,用能设备节能分配!O:O,'Early Facility Retirement'!A9,用能设备节能分配!P:P,'Early Facility Retirement'!$A$1,用能设备节能分配!M:M,"2020")+SUMIFS(工业节能技术装备推荐目录!K:K,工业节能技术装备推荐目录!D:D,'Early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H9" s="75">
        <f>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I9" s="75">
        <f>SUMIFS(工业节能技术装备推荐目录!K:K,工业节能技术装备推荐目录!D:D,'Early Facility Retirement'!A9,工业节能技术装备推荐目录!F:F,'Early Facility Retirement'!$A$1,工业节能技术装备推荐目录!A:A,"2022")+SUMIFS(用能设备节能分配!Q:Q,用能设备节能分配!O:O,'Early Facility Retirement'!A9,用能设备节能分配!P:P,'Early Facility Retirement'!$A$1,用能设备节能分配!M:M,"2022")</f>
        <v>0</v>
      </c>
      <c r="K9" s="53"/>
    </row>
    <row r="10" spans="1:11" x14ac:dyDescent="0.15">
      <c r="A10" s="26" t="s">
        <v>68</v>
      </c>
      <c r="B10" s="51">
        <f>SUMIFS(工业节能技术装备推荐目录!L:L,工业节能技术装备推荐目录!D:D,'Early Facility Retirement'!A10,工业节能技术装备推荐目录!F:F,'Early Facility Retirement'!$A$1)+SUMIFS(用能设备节能分配!R:R,用能设备节能分配!O:O,'Early Facility Retirement'!A10,用能设备节能分配!P:P,'Early Facility Retirement'!$A$1)</f>
        <v>1.4895225760817024</v>
      </c>
      <c r="C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</f>
        <v>0.34307642648158054</v>
      </c>
      <c r="D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</f>
        <v>0.34936597918857759</v>
      </c>
      <c r="E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0.34936597918857759</v>
      </c>
      <c r="F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Retirement'!$A$1,工业节能技术装备推荐目录!A:A,"2021")+SUMIFS(用能设备节能分配!Q:Q,用能设备节能分配!O:O,'Early Facility Retirement'!A10,用能设备节能分配!P:P,'Early Facility Retirement'!$A$1,用能设备节能分配!M:M,"2021")+SUMIFS(工业节能技术装备推荐目录!K:K,工业节能技术装备推荐目录!D:D,'Early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0.34936597918857759</v>
      </c>
      <c r="G10" s="75">
        <f>SUMIFS(工业节能技术装备推荐目录!K:K,工业节能技术装备推荐目录!D:D,'Early Facility Retirement'!A10,工业节能技术装备推荐目录!F:F,'Early Facility Retirement'!$A$1,工业节能技术装备推荐目录!A:A,"2020")+SUMIFS(用能设备节能分配!Q:Q,用能设备节能分配!O:O,'Early Facility Retirement'!A10,用能设备节能分配!P:P,'Early Facility Retirement'!$A$1,用能设备节能分配!M:M,"2020")+SUMIFS(工业节能技术装备推荐目录!K:K,工业节能技术装备推荐目录!D:D,'Early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0.34307642648158054</v>
      </c>
      <c r="H10" s="75">
        <f>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</v>
      </c>
      <c r="I10" s="75">
        <f>SUMIFS(工业节能技术装备推荐目录!K:K,工业节能技术装备推荐目录!D:D,'Early Facility Retirement'!A10,工业节能技术装备推荐目录!F:F,'Early Facility Retirement'!$A$1,工业节能技术装备推荐目录!A:A,"2022")+SUMIFS(用能设备节能分配!Q:Q,用能设备节能分配!O:O,'Early Facility Retirement'!A10,用能设备节能分配!P:P,'Early Facility Retirement'!$A$1,用能设备节能分配!M:M,"2022")</f>
        <v>0</v>
      </c>
      <c r="K10" s="53"/>
    </row>
    <row r="11" spans="1:11" x14ac:dyDescent="0.15">
      <c r="A11" s="26" t="s">
        <v>40</v>
      </c>
      <c r="B11" s="51">
        <f>SUMIFS(工业节能技术装备推荐目录!L:L,工业节能技术装备推荐目录!D:D,'Early Facility Retirement'!A11,工业节能技术装备推荐目录!F:F,'Early Facility Retirement'!$A$1)+SUMIFS(用能设备节能分配!R:R,用能设备节能分配!O:O,'Early Facility Retirement'!A11,用能设备节能分配!P:P,'Early Facility Retirement'!$A$1)</f>
        <v>17401.658737314094</v>
      </c>
      <c r="C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</f>
        <v>21.434633836608366</v>
      </c>
      <c r="D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</f>
        <v>387.27993847537664</v>
      </c>
      <c r="E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963.23718453012509</v>
      </c>
      <c r="F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Retirement'!$A$1,工业节能技术装备推荐目录!A:A,"2021")+SUMIFS(用能设备节能分配!Q:Q,用能设备节能分配!O:O,'Early Facility Retirement'!A11,用能设备节能分配!P:P,'Early Facility Retirement'!$A$1,用能设备节能分配!M:M,"2021")+SUMIFS(工业节能技术装备推荐目录!K:K,工业节能技术装备推荐目录!D:D,'Early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963.23718453012509</v>
      </c>
      <c r="G11" s="75">
        <f>SUMIFS(工业节能技术装备推荐目录!K:K,工业节能技术装备推荐目录!D:D,'Early Facility Retirement'!A11,工业节能技术装备推荐目录!F:F,'Early Facility Retirement'!$A$1,工业节能技术装备推荐目录!A:A,"2020")+SUMIFS(用能设备节能分配!Q:Q,用能设备节能分配!O:O,'Early Facility Retirement'!A11,用能设备节能分配!P:P,'Early Facility Retirement'!$A$1,用能设备节能分配!M:M,"2020")+SUMIFS(工业节能技术装备推荐目录!K:K,工业节能技术装备推荐目录!D:D,'Early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597.39187989135678</v>
      </c>
      <c r="H11" s="75">
        <f>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575.95724605474845</v>
      </c>
      <c r="I11" s="75">
        <f>SUMIFS(工业节能技术装备推荐目录!K:K,工业节能技术装备推荐目录!D:D,'Early Facility Retirement'!A11,工业节能技术装备推荐目录!F:F,'Early Facility Retirement'!$A$1,工业节能技术装备推荐目录!A:A,"2022")+SUMIFS(用能设备节能分配!Q:Q,用能设备节能分配!O:O,'Early Facility Retirement'!A11,用能设备节能分配!P:P,'Early Facility Retirement'!$A$1,用能设备节能分配!M:M,"2022")</f>
        <v>575.95724605474845</v>
      </c>
      <c r="K11" s="53"/>
    </row>
    <row r="12" spans="1:11" x14ac:dyDescent="0.15">
      <c r="A12" s="26" t="s">
        <v>41</v>
      </c>
      <c r="B12" s="51">
        <f>SUMIFS(工业节能技术装备推荐目录!L:L,工业节能技术装备推荐目录!D:D,'Early Facility Retirement'!A12,工业节能技术装备推荐目录!F:F,'Early Facility Retirement'!$A$1)+SUMIFS(用能设备节能分配!R:R,用能设备节能分配!O:O,'Early Facility Retirement'!A12,用能设备节能分配!P:P,'Early Facility Retirement'!$A$1)</f>
        <v>5248.8254856621716</v>
      </c>
      <c r="C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</f>
        <v>53.636848637647532</v>
      </c>
      <c r="D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</f>
        <v>447.27185507251085</v>
      </c>
      <c r="E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704.47418752029716</v>
      </c>
      <c r="F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Retirement'!$A$1,工业节能技术装备推荐目录!A:A,"2021")+SUMIFS(用能设备节能分配!Q:Q,用能设备节能分配!O:O,'Early Facility Retirement'!A12,用能设备节能分配!P:P,'Early Facility Retirement'!$A$1,用能设备节能分配!M:M,"2021")+SUMIFS(工业节能技术装备推荐目录!K:K,工业节能技术装备推荐目录!D:D,'Early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704.47418752029716</v>
      </c>
      <c r="G12" s="75">
        <f>SUMIFS(工业节能技术装备推荐目录!K:K,工业节能技术装备推荐目录!D:D,'Early Facility Retirement'!A12,工业节能技术装备推荐目录!F:F,'Early Facility Retirement'!$A$1,工业节能技术装备推荐目录!A:A,"2020")+SUMIFS(用能设备节能分配!Q:Q,用能设备节能分配!O:O,'Early Facility Retirement'!A12,用能设备节能分配!P:P,'Early Facility Retirement'!$A$1,用能设备节能分配!M:M,"2020")+SUMIFS(工业节能技术装备推荐目录!K:K,工业节能技术装备推荐目录!D:D,'Early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310.83918108543389</v>
      </c>
      <c r="H12" s="75">
        <f>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257.20233244778638</v>
      </c>
      <c r="I12" s="75">
        <f>SUMIFS(工业节能技术装备推荐目录!K:K,工业节能技术装备推荐目录!D:D,'Early Facility Retirement'!A12,工业节能技术装备推荐目录!F:F,'Early Facility Retirement'!$A$1,工业节能技术装备推荐目录!A:A,"2022")+SUMIFS(用能设备节能分配!Q:Q,用能设备节能分配!O:O,'Early Facility Retirement'!A12,用能设备节能分配!P:P,'Early Facility Retirement'!$A$1,用能设备节能分配!M:M,"2022")</f>
        <v>257.20233244778638</v>
      </c>
      <c r="K12" s="53"/>
    </row>
    <row r="13" spans="1:11" x14ac:dyDescent="0.15">
      <c r="A13" s="26" t="s">
        <v>42</v>
      </c>
      <c r="B13" s="51">
        <f>SUMIFS(工业节能技术装备推荐目录!L:L,工业节能技术装备推荐目录!D:D,'Early Facility Retirement'!A13,工业节能技术装备推荐目录!F:F,'Early Facility Retirement'!$A$1)+SUMIFS(用能设备节能分配!R:R,用能设备节能分配!O:O,'Early Facility Retirement'!A13,用能设备节能分配!P:P,'Early Facility Retirement'!$A$1)</f>
        <v>2.3205018361835968E-2</v>
      </c>
      <c r="C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</f>
        <v>0</v>
      </c>
      <c r="D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</f>
        <v>4.6410036723671935E-3</v>
      </c>
      <c r="E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4.6410036723671935E-3</v>
      </c>
      <c r="F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Retirement'!$A$1,工业节能技术装备推荐目录!A:A,"2021")+SUMIFS(用能设备节能分配!Q:Q,用能设备节能分配!O:O,'Early Facility Retirement'!A13,用能设备节能分配!P:P,'Early Facility Retirement'!$A$1,用能设备节能分配!M:M,"2021")+SUMIFS(工业节能技术装备推荐目录!K:K,工业节能技术装备推荐目录!D:D,'Early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4.6410036723671935E-3</v>
      </c>
      <c r="G13" s="75">
        <f>SUMIFS(工业节能技术装备推荐目录!K:K,工业节能技术装备推荐目录!D:D,'Early Facility Retirement'!A13,工业节能技术装备推荐目录!F:F,'Early Facility Retirement'!$A$1,工业节能技术装备推荐目录!A:A,"2020")+SUMIFS(用能设备节能分配!Q:Q,用能设备节能分配!O:O,'Early Facility Retirement'!A13,用能设备节能分配!P:P,'Early Facility Retirement'!$A$1,用能设备节能分配!M:M,"2020")+SUMIFS(工业节能技术装备推荐目录!K:K,工业节能技术装备推荐目录!D:D,'Early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H13" s="75">
        <f>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I13" s="75">
        <f>SUMIFS(工业节能技术装备推荐目录!K:K,工业节能技术装备推荐目录!D:D,'Early Facility Retirement'!A13,工业节能技术装备推荐目录!F:F,'Early Facility Retirement'!$A$1,工业节能技术装备推荐目录!A:A,"2022")+SUMIFS(用能设备节能分配!Q:Q,用能设备节能分配!O:O,'Early Facility Retirement'!A13,用能设备节能分配!P:P,'Early Facility Retirement'!$A$1,用能设备节能分配!M:M,"2022")</f>
        <v>0</v>
      </c>
      <c r="K13" s="53"/>
    </row>
    <row r="14" spans="1:11" x14ac:dyDescent="0.15">
      <c r="A14" s="26" t="s">
        <v>43</v>
      </c>
      <c r="B14" s="51">
        <f>SUMIFS(工业节能技术装备推荐目录!L:L,工业节能技术装备推荐目录!D:D,'Early Facility Retirement'!A14,工业节能技术装备推荐目录!F:F,'Early Facility Retirement'!$A$1)+SUMIFS(用能设备节能分配!R:R,用能设备节能分配!O:O,'Early Facility Retirement'!A14,用能设备节能分配!P:P,'Early Facility Retirement'!$A$1)</f>
        <v>237.85922213649431</v>
      </c>
      <c r="C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</f>
        <v>0</v>
      </c>
      <c r="D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</f>
        <v>2.0109341107355464E-3</v>
      </c>
      <c r="E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26.236735314496507</v>
      </c>
      <c r="F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Retirement'!$A$1,工业节能技术装备推荐目录!A:A,"2021")+SUMIFS(用能设备节能分配!Q:Q,用能设备节能分配!O:O,'Early Facility Retirement'!A14,用能设备节能分配!P:P,'Early Facility Retirement'!$A$1,用能设备节能分配!M:M,"2021")+SUMIFS(工业节能技术装备推荐目录!K:K,工业节能技术装备推荐目录!D:D,'Early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26.236735314496507</v>
      </c>
      <c r="G14" s="75">
        <f>SUMIFS(工业节能技术装备推荐目录!K:K,工业节能技术装备推荐目录!D:D,'Early Facility Retirement'!A14,工业节能技术装备推荐目录!F:F,'Early Facility Retirement'!$A$1,工业节能技术装备推荐目录!A:A,"2020")+SUMIFS(用能设备节能分配!Q:Q,用能设备节能分配!O:O,'Early Facility Retirement'!A14,用能设备节能分配!P:P,'Early Facility Retirement'!$A$1,用能设备节能分配!M:M,"2020")+SUMIFS(工业节能技术装备推荐目录!K:K,工业节能技术装备推荐目录!D:D,'Early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26.234724380385771</v>
      </c>
      <c r="H14" s="75">
        <f>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26.234724380385771</v>
      </c>
      <c r="I14" s="75">
        <f>SUMIFS(工业节能技术装备推荐目录!K:K,工业节能技术装备推荐目录!D:D,'Early Facility Retirement'!A14,工业节能技术装备推荐目录!F:F,'Early Facility Retirement'!$A$1,工业节能技术装备推荐目录!A:A,"2022")+SUMIFS(用能设备节能分配!Q:Q,用能设备节能分配!O:O,'Early Facility Retirement'!A14,用能设备节能分配!P:P,'Early Facility Retirement'!$A$1,用能设备节能分配!M:M,"2022")</f>
        <v>26.234724380385771</v>
      </c>
      <c r="K14" s="53"/>
    </row>
    <row r="15" spans="1:11" x14ac:dyDescent="0.15">
      <c r="A15" s="26" t="s">
        <v>56</v>
      </c>
      <c r="B15" s="51">
        <f>SUMIFS(工业节能技术装备推荐目录!L:L,工业节能技术装备推荐目录!D:D,'Early Facility Retirement'!A15,工业节能技术装备推荐目录!F:F,'Early Facility Retirement'!$A$1)+SUMIFS(用能设备节能分配!R:R,用能设备节能分配!O:O,'Early Facility Retirement'!A15,用能设备节能分配!P:P,'Early Facility Retirement'!$A$1)</f>
        <v>8118.3535759250799</v>
      </c>
      <c r="C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</f>
        <v>346.20638021245577</v>
      </c>
      <c r="D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</f>
        <v>359.26567397699415</v>
      </c>
      <c r="E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770.26567397699409</v>
      </c>
      <c r="F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Retirement'!$A$1,工业节能技术装备推荐目录!A:A,"2021")+SUMIFS(用能设备节能分配!Q:Q,用能设备节能分配!O:O,'Early Facility Retirement'!A15,用能设备节能分配!P:P,'Early Facility Retirement'!$A$1,用能设备节能分配!M:M,"2021")+SUMIFS(工业节能技术装备推荐目录!K:K,工业节能技术装备推荐目录!D:D,'Early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770.26567397699409</v>
      </c>
      <c r="G15" s="75">
        <f>SUMIFS(工业节能技术装备推荐目录!K:K,工业节能技术装备推荐目录!D:D,'Early Facility Retirement'!A15,工业节能技术装备推荐目录!F:F,'Early Facility Retirement'!$A$1,工业节能技术装备推荐目录!A:A,"2020")+SUMIFS(用能设备节能分配!Q:Q,用能设备节能分配!O:O,'Early Facility Retirement'!A15,用能设备节能分配!P:P,'Early Facility Retirement'!$A$1,用能设备节能分配!M:M,"2020")+SUMIFS(工业节能技术装备推荐目录!K:K,工业节能技术装备推荐目录!D:D,'Early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757.20638021245577</v>
      </c>
      <c r="H15" s="75">
        <f>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411</v>
      </c>
      <c r="I15" s="75">
        <f>SUMIFS(工业节能技术装备推荐目录!K:K,工业节能技术装备推荐目录!D:D,'Early Facility Retirement'!A15,工业节能技术装备推荐目录!F:F,'Early Facility Retirement'!$A$1,工业节能技术装备推荐目录!A:A,"2022")+SUMIFS(用能设备节能分配!Q:Q,用能设备节能分配!O:O,'Early Facility Retirement'!A15,用能设备节能分配!P:P,'Early Facility Retirement'!$A$1,用能设备节能分配!M:M,"2022")</f>
        <v>411</v>
      </c>
      <c r="K15" s="53"/>
    </row>
    <row r="16" spans="1:11" x14ac:dyDescent="0.15">
      <c r="A16" s="26" t="s">
        <v>45</v>
      </c>
      <c r="B16" s="51">
        <f>SUMIFS(工业节能技术装备推荐目录!L:L,工业节能技术装备推荐目录!D:D,'Early Facility Retirement'!A16,工业节能技术装备推荐目录!F:F,'Early Facility Retirement'!$A$1)+SUMIFS(用能设备节能分配!R:R,用能设备节能分配!O:O,'Early Facility Retirement'!A16,用能设备节能分配!P:P,'Early Facility Retirement'!$A$1)</f>
        <v>12422.235691940101</v>
      </c>
      <c r="C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</f>
        <v>271.11737660730222</v>
      </c>
      <c r="D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</f>
        <v>678.32008742957339</v>
      </c>
      <c r="E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987.981846016855</v>
      </c>
      <c r="F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Retirement'!$A$1,工业节能技术装备推荐目录!A:A,"2021")+SUMIFS(用能设备节能分配!Q:Q,用能设备节能分配!O:O,'Early Facility Retirement'!A16,用能设备节能分配!P:P,'Early Facility Retirement'!$A$1,用能设备节能分配!M:M,"2021")+SUMIFS(工业节能技术装备推荐目录!K:K,工业节能技术装备推荐目录!D:D,'Early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987.981846016855</v>
      </c>
      <c r="G16" s="75">
        <f>SUMIFS(工业节能技术装备推荐目录!K:K,工业节能技术装备推荐目录!D:D,'Early Facility Retirement'!A16,工业节能技术装备推荐目录!F:F,'Early Facility Retirement'!$A$1,工业节能技术装备推荐目录!A:A,"2020")+SUMIFS(用能设备节能分配!Q:Q,用能设备节能分配!O:O,'Early Facility Retirement'!A16,用能设备节能分配!P:P,'Early Facility Retirement'!$A$1,用能设备节能分配!M:M,"2020")+SUMIFS(工业节能技术装备推荐目录!K:K,工业节能技术装备推荐目录!D:D,'Early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580.77913519458389</v>
      </c>
      <c r="H16" s="75">
        <f>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309.66175858728161</v>
      </c>
      <c r="I16" s="75">
        <f>SUMIFS(工业节能技术装备推荐目录!K:K,工业节能技术装备推荐目录!D:D,'Early Facility Retirement'!A16,工业节能技术装备推荐目录!F:F,'Early Facility Retirement'!$A$1,工业节能技术装备推荐目录!A:A,"2022")+SUMIFS(用能设备节能分配!Q:Q,用能设备节能分配!O:O,'Early Facility Retirement'!A16,用能设备节能分配!P:P,'Early Facility Retirement'!$A$1,用能设备节能分配!M:M,"2022")</f>
        <v>309.66175858728161</v>
      </c>
      <c r="K16" s="53"/>
    </row>
    <row r="17" spans="1:11" x14ac:dyDescent="0.15">
      <c r="A17" s="26" t="s">
        <v>46</v>
      </c>
      <c r="B17" s="51">
        <f>SUMIFS(工业节能技术装备推荐目录!L:L,工业节能技术装备推荐目录!D:D,'Early Facility Retirement'!A17,工业节能技术装备推荐目录!F:F,'Early Facility Retirement'!$A$1)+SUMIFS(用能设备节能分配!R:R,用能设备节能分配!O:O,'Early Facility Retirement'!A17,用能设备节能分配!P:P,'Early Facility Retirement'!$A$1)</f>
        <v>1139.3733745555692</v>
      </c>
      <c r="C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</f>
        <v>10</v>
      </c>
      <c r="D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</f>
        <v>63.60854178430403</v>
      </c>
      <c r="E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138.78720469448763</v>
      </c>
      <c r="F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Retirement'!$A$1,工业节能技术装备推荐目录!A:A,"2021")+SUMIFS(用能设备节能分配!Q:Q,用能设备节能分配!O:O,'Early Facility Retirement'!A17,用能设备节能分配!P:P,'Early Facility Retirement'!$A$1,用能设备节能分配!M:M,"2021")+SUMIFS(工业节能技术装备推荐目录!K:K,工业节能技术装备推荐目录!D:D,'Early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138.78720469448763</v>
      </c>
      <c r="G17" s="75">
        <f>SUMIFS(工业节能技术装备推荐目录!K:K,工业节能技术装备推荐目录!D:D,'Early Facility Retirement'!A17,工业节能技术装备推荐目录!F:F,'Early Facility Retirement'!$A$1,工业节能技术装备推荐目录!A:A,"2020")+SUMIFS(用能设备节能分配!Q:Q,用能设备节能分配!O:O,'Early Facility Retirement'!A17,用能设备节能分配!P:P,'Early Facility Retirement'!$A$1,用能设备节能分配!M:M,"2020")+SUMIFS(工业节能技术装备推荐目录!K:K,工业节能技术装备推荐目录!D:D,'Early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85.17866291018359</v>
      </c>
      <c r="H17" s="75">
        <f>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75.17866291018359</v>
      </c>
      <c r="I17" s="75">
        <f>SUMIFS(工业节能技术装备推荐目录!K:K,工业节能技术装备推荐目录!D:D,'Early Facility Retirement'!A17,工业节能技术装备推荐目录!F:F,'Early Facility Retirement'!$A$1,工业节能技术装备推荐目录!A:A,"2022")+SUMIFS(用能设备节能分配!Q:Q,用能设备节能分配!O:O,'Early Facility Retirement'!A17,用能设备节能分配!P:P,'Early Facility Retirement'!$A$1,用能设备节能分配!M:M,"2022")</f>
        <v>75.17866291018359</v>
      </c>
      <c r="K17" s="53"/>
    </row>
    <row r="18" spans="1:11" x14ac:dyDescent="0.15">
      <c r="A18" s="26" t="s">
        <v>47</v>
      </c>
      <c r="B18" s="51">
        <f>SUMIFS(工业节能技术装备推荐目录!L:L,工业节能技术装备推荐目录!D:D,'Early Facility Retirement'!A18,工业节能技术装备推荐目录!F:F,'Early Facility Retirement'!$A$1)+SUMIFS(用能设备节能分配!R:R,用能设备节能分配!O:O,'Early Facility Retirement'!A18,用能设备节能分配!P:P,'Early Facility Retirement'!$A$1)</f>
        <v>3.6589604337310289E-2</v>
      </c>
      <c r="C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</f>
        <v>0</v>
      </c>
      <c r="D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</f>
        <v>7.3179208674620565E-3</v>
      </c>
      <c r="E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7.3179208674620565E-3</v>
      </c>
      <c r="F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Retirement'!$A$1,工业节能技术装备推荐目录!A:A,"2021")+SUMIFS(用能设备节能分配!Q:Q,用能设备节能分配!O:O,'Early Facility Retirement'!A18,用能设备节能分配!P:P,'Early Facility Retirement'!$A$1,用能设备节能分配!M:M,"2021")+SUMIFS(工业节能技术装备推荐目录!K:K,工业节能技术装备推荐目录!D:D,'Early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7.3179208674620565E-3</v>
      </c>
      <c r="G18" s="75">
        <f>SUMIFS(工业节能技术装备推荐目录!K:K,工业节能技术装备推荐目录!D:D,'Early Facility Retirement'!A18,工业节能技术装备推荐目录!F:F,'Early Facility Retirement'!$A$1,工业节能技术装备推荐目录!A:A,"2020")+SUMIFS(用能设备节能分配!Q:Q,用能设备节能分配!O:O,'Early Facility Retirement'!A18,用能设备节能分配!P:P,'Early Facility Retirement'!$A$1,用能设备节能分配!M:M,"2020")+SUMIFS(工业节能技术装备推荐目录!K:K,工业节能技术装备推荐目录!D:D,'Early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H18" s="75">
        <f>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I18" s="75">
        <f>SUMIFS(工业节能技术装备推荐目录!K:K,工业节能技术装备推荐目录!D:D,'Early Facility Retirement'!A18,工业节能技术装备推荐目录!F:F,'Early Facility Retirement'!$A$1,工业节能技术装备推荐目录!A:A,"2022")+SUMIFS(用能设备节能分配!Q:Q,用能设备节能分配!O:O,'Early Facility Retirement'!A18,用能设备节能分配!P:P,'Early Facility Retirement'!$A$1,用能设备节能分配!M:M,"2022")</f>
        <v>0</v>
      </c>
      <c r="K18" s="53"/>
    </row>
    <row r="19" spans="1:11" x14ac:dyDescent="0.15">
      <c r="A19" s="26" t="s">
        <v>48</v>
      </c>
      <c r="B19" s="51">
        <f>SUMIFS(工业节能技术装备推荐目录!L:L,工业节能技术装备推荐目录!D:D,'Early Facility Retirement'!A19,工业节能技术装备推荐目录!F:F,'Early Facility Retirement'!$A$1)+SUMIFS(用能设备节能分配!R:R,用能设备节能分配!O:O,'Early Facility Retirement'!A19,用能设备节能分配!P:P,'Early Facility Retirement'!$A$1)</f>
        <v>202.40587351089664</v>
      </c>
      <c r="C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</f>
        <v>0</v>
      </c>
      <c r="D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</f>
        <v>4.9842259888514045E-3</v>
      </c>
      <c r="E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41.004984225988849</v>
      </c>
      <c r="F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Retirement'!$A$1,工业节能技术装备推荐目录!A:A,"2021")+SUMIFS(用能设备节能分配!Q:Q,用能设备节能分配!O:O,'Early Facility Retirement'!A19,用能设备节能分配!P:P,'Early Facility Retirement'!$A$1,用能设备节能分配!M:M,"2021")+SUMIFS(工业节能技术装备推荐目录!K:K,工业节能技术装备推荐目录!D:D,'Early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41.004984225988849</v>
      </c>
      <c r="G19" s="75">
        <f>SUMIFS(工业节能技术装备推荐目录!K:K,工业节能技术装备推荐目录!D:D,'Early Facility Retirement'!A19,工业节能技术装备推荐目录!F:F,'Early Facility Retirement'!$A$1,工业节能技术装备推荐目录!A:A,"2020")+SUMIFS(用能设备节能分配!Q:Q,用能设备节能分配!O:O,'Early Facility Retirement'!A19,用能设备节能分配!P:P,'Early Facility Retirement'!$A$1,用能设备节能分配!M:M,"2020")+SUMIFS(工业节能技术装备推荐目录!K:K,工业节能技术装备推荐目录!D:D,'Early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H19" s="75">
        <f>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I19" s="75">
        <f>SUMIFS(工业节能技术装备推荐目录!K:K,工业节能技术装备推荐目录!D:D,'Early Facility Retirement'!A19,工业节能技术装备推荐目录!F:F,'Early Facility Retirement'!$A$1,工业节能技术装备推荐目录!A:A,"2022")+SUMIFS(用能设备节能分配!Q:Q,用能设备节能分配!O:O,'Early Facility Retirement'!A19,用能设备节能分配!P:P,'Early Facility Retirement'!$A$1,用能设备节能分配!M:M,"2022")</f>
        <v>41</v>
      </c>
      <c r="K19" s="53"/>
    </row>
    <row r="20" spans="1:11" x14ac:dyDescent="0.15">
      <c r="A20" s="26" t="s">
        <v>49</v>
      </c>
      <c r="B20" s="51">
        <f>SUMIFS(工业节能技术装备推荐目录!L:L,工业节能技术装备推荐目录!D:D,'Early Facility Retirement'!A20,工业节能技术装备推荐目录!F:F,'Early Facility Retirement'!$A$1)+SUMIFS(用能设备节能分配!R:R,用能设备节能分配!O:O,'Early Facility Retirement'!A20,用能设备节能分配!P:P,'Early Facility Retirement'!$A$1)</f>
        <v>813.94207277251246</v>
      </c>
      <c r="C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</f>
        <v>0</v>
      </c>
      <c r="D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</f>
        <v>2.6541616392362897E-3</v>
      </c>
      <c r="E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484.6289498192765</v>
      </c>
      <c r="F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Retirement'!$A$1,工业节能技术装备推荐目录!A:A,"2021")+SUMIFS(用能设备节能分配!Q:Q,用能设备节能分配!O:O,'Early Facility Retirement'!A20,用能设备节能分配!P:P,'Early Facility Retirement'!$A$1,用能设备节能分配!M:M,"2021")+SUMIFS(工业节能技术装备推荐目录!K:K,工业节能技术装备推荐目录!D:D,'Early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484.6289498192765</v>
      </c>
      <c r="G20" s="75">
        <f>SUMIFS(工业节能技术装备推荐目录!K:K,工业节能技术装备推荐目录!D:D,'Early Facility Retirement'!A20,工业节能技术装备推荐目录!F:F,'Early Facility Retirement'!$A$1,工业节能技术装备推荐目录!A:A,"2020")+SUMIFS(用能设备节能分配!Q:Q,用能设备节能分配!O:O,'Early Facility Retirement'!A20,用能设备节能分配!P:P,'Early Facility Retirement'!$A$1,用能设备节能分配!M:M,"2020")+SUMIFS(工业节能技术装备推荐目录!K:K,工业节能技术装备推荐目录!D:D,'Early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484.62629565763729</v>
      </c>
      <c r="H20" s="75">
        <f>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484.62629565763729</v>
      </c>
      <c r="I20" s="75">
        <f>SUMIFS(工业节能技术装备推荐目录!K:K,工业节能技术装备推荐目录!D:D,'Early Facility Retirement'!A20,工业节能技术装备推荐目录!F:F,'Early Facility Retirement'!$A$1,工业节能技术装备推荐目录!A:A,"2022")+SUMIFS(用能设备节能分配!Q:Q,用能设备节能分配!O:O,'Early Facility Retirement'!A20,用能设备节能分配!P:P,'Early Facility Retirement'!$A$1,用能设备节能分配!M:M,"2022")</f>
        <v>484.62629565763729</v>
      </c>
      <c r="K20" s="53"/>
    </row>
    <row r="21" spans="1:11" x14ac:dyDescent="0.15">
      <c r="A21" s="26" t="s">
        <v>50</v>
      </c>
      <c r="B21" s="51">
        <f>SUMIFS(工业节能技术装备推荐目录!L:L,工业节能技术装备推荐目录!D:D,'Early Facility Retirement'!A21,工业节能技术装备推荐目录!F:F,'Early Facility Retirement'!$A$1)+SUMIFS(用能设备节能分配!R:R,用能设备节能分配!O:O,'Early Facility Retirement'!A21,用能设备节能分配!P:P,'Early Facility Retirement'!$A$1)</f>
        <v>8.2088803165836118E-3</v>
      </c>
      <c r="C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</f>
        <v>0</v>
      </c>
      <c r="D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</f>
        <v>1.6417760633167223E-3</v>
      </c>
      <c r="E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1.6417760633167223E-3</v>
      </c>
      <c r="F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Retirement'!$A$1,工业节能技术装备推荐目录!A:A,"2021")+SUMIFS(用能设备节能分配!Q:Q,用能设备节能分配!O:O,'Early Facility Retirement'!A21,用能设备节能分配!P:P,'Early Facility Retirement'!$A$1,用能设备节能分配!M:M,"2021")+SUMIFS(工业节能技术装备推荐目录!K:K,工业节能技术装备推荐目录!D:D,'Early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1.6417760633167223E-3</v>
      </c>
      <c r="G21" s="75">
        <f>SUMIFS(工业节能技术装备推荐目录!K:K,工业节能技术装备推荐目录!D:D,'Early Facility Retirement'!A21,工业节能技术装备推荐目录!F:F,'Early Facility Retirement'!$A$1,工业节能技术装备推荐目录!A:A,"2020")+SUMIFS(用能设备节能分配!Q:Q,用能设备节能分配!O:O,'Early Facility Retirement'!A21,用能设备节能分配!P:P,'Early Facility Retirement'!$A$1,用能设备节能分配!M:M,"2020")+SUMIFS(工业节能技术装备推荐目录!K:K,工业节能技术装备推荐目录!D:D,'Early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H21" s="75">
        <f>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I21" s="75">
        <f>SUMIFS(工业节能技术装备推荐目录!K:K,工业节能技术装备推荐目录!D:D,'Early Facility Retirement'!A21,工业节能技术装备推荐目录!F:F,'Early Facility Retirement'!$A$1,工业节能技术装备推荐目录!A:A,"2022")+SUMIFS(用能设备节能分配!Q:Q,用能设备节能分配!O:O,'Early Facility Retirement'!A21,用能设备节能分配!P:P,'Early Facility Retirement'!$A$1,用能设备节能分配!M:M,"2022")</f>
        <v>0</v>
      </c>
      <c r="K21" s="53"/>
    </row>
    <row r="22" spans="1:11" x14ac:dyDescent="0.15">
      <c r="A22" s="26" t="s">
        <v>81</v>
      </c>
      <c r="B22" s="51">
        <f>SUMIFS(工业节能技术装备推荐目录!L:L,工业节能技术装备推荐目录!D:D,'Early Facility Retirement'!A22,工业节能技术装备推荐目录!F:F,'Early Facility Retirement'!$A$1)+SUMIFS(用能设备节能分配!R:R,用能设备节能分配!O:O,'Early Facility Retirement'!A22,用能设备节能分配!P:P,'Early Facility Retirement'!$A$1)</f>
        <v>434.37760511757034</v>
      </c>
      <c r="C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</f>
        <v>0</v>
      </c>
      <c r="D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</f>
        <v>3.6723602104831625E-3</v>
      </c>
      <c r="E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47.913426057849733</v>
      </c>
      <c r="F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Retirement'!$A$1,工业节能技术装备推荐目录!A:A,"2021")+SUMIFS(用能设备节能分配!Q:Q,用能设备节能分配!O:O,'Early Facility Retirement'!A22,用能设备节能分配!P:P,'Early Facility Retirement'!$A$1,用能设备节能分配!M:M,"2021")+SUMIFS(工业节能技术装备推荐目录!K:K,工业节能技术装备推荐目录!D:D,'Early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47.913426057849733</v>
      </c>
      <c r="G22" s="75">
        <f>SUMIFS(工业节能技术装备推荐目录!K:K,工业节能技术装备推荐目录!D:D,'Early Facility Retirement'!A22,工业节能技术装备推荐目录!F:F,'Early Facility Retirement'!$A$1,工业节能技术装备推荐目录!A:A,"2020")+SUMIFS(用能设备节能分配!Q:Q,用能设备节能分配!O:O,'Early Facility Retirement'!A22,用能设备节能分配!P:P,'Early Facility Retirement'!$A$1,用能设备节能分配!M:M,"2020")+SUMIFS(工业节能技术装备推荐目录!K:K,工业节能技术装备推荐目录!D:D,'Early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47.909753697639253</v>
      </c>
      <c r="H22" s="75">
        <f>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47.909753697639253</v>
      </c>
      <c r="I22" s="75">
        <f>SUMIFS(工业节能技术装备推荐目录!K:K,工业节能技术装备推荐目录!D:D,'Early Facility Retirement'!A22,工业节能技术装备推荐目录!F:F,'Early Facility Retirement'!$A$1,工业节能技术装备推荐目录!A:A,"2022")+SUMIFS(用能设备节能分配!Q:Q,用能设备节能分配!O:O,'Early Facility Retirement'!A22,用能设备节能分配!P:P,'Early Facility Retirement'!$A$1,用能设备节能分配!M:M,"2022")</f>
        <v>47.909753697639253</v>
      </c>
      <c r="K22" s="53"/>
    </row>
    <row r="23" spans="1:11" x14ac:dyDescent="0.15">
      <c r="A23" s="26" t="s">
        <v>71</v>
      </c>
      <c r="B23" s="51">
        <f>SUMIFS(工业节能技术装备推荐目录!L:L,工业节能技术装备推荐目录!D:D,'Early Facility Retirement'!A23,工业节能技术装备推荐目录!F:F,'Early Facility Retirement'!$A$1)+SUMIFS(用能设备节能分配!R:R,用能设备节能分配!O:O,'Early Facility Retirement'!A23,用能设备节能分配!P:P,'Early Facility Retirement'!$A$1)</f>
        <v>5.5729597156414287E-3</v>
      </c>
      <c r="C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</f>
        <v>0</v>
      </c>
      <c r="D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</f>
        <v>1.1145919431282856E-3</v>
      </c>
      <c r="E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1.1145919431282856E-3</v>
      </c>
      <c r="F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Retirement'!$A$1,工业节能技术装备推荐目录!A:A,"2021")+SUMIFS(用能设备节能分配!Q:Q,用能设备节能分配!O:O,'Early Facility Retirement'!A23,用能设备节能分配!P:P,'Early Facility Retirement'!$A$1,用能设备节能分配!M:M,"2021")+SUMIFS(工业节能技术装备推荐目录!K:K,工业节能技术装备推荐目录!D:D,'Early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1.1145919431282856E-3</v>
      </c>
      <c r="G23" s="75">
        <f>SUMIFS(工业节能技术装备推荐目录!K:K,工业节能技术装备推荐目录!D:D,'Early Facility Retirement'!A23,工业节能技术装备推荐目录!F:F,'Early Facility Retirement'!$A$1,工业节能技术装备推荐目录!A:A,"2020")+SUMIFS(用能设备节能分配!Q:Q,用能设备节能分配!O:O,'Early Facility Retirement'!A23,用能设备节能分配!P:P,'Early Facility Retirement'!$A$1,用能设备节能分配!M:M,"2020")+SUMIFS(工业节能技术装备推荐目录!K:K,工业节能技术装备推荐目录!D:D,'Early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H23" s="75">
        <f>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I23" s="75">
        <f>SUMIFS(工业节能技术装备推荐目录!K:K,工业节能技术装备推荐目录!D:D,'Early Facility Retirement'!A23,工业节能技术装备推荐目录!F:F,'Early Facility Retirement'!$A$1,工业节能技术装备推荐目录!A:A,"2022")+SUMIFS(用能设备节能分配!Q:Q,用能设备节能分配!O:O,'Early Facility Retirement'!A23,用能设备节能分配!P:P,'Early Facility Retirement'!$A$1,用能设备节能分配!M:M,"2022")</f>
        <v>0</v>
      </c>
      <c r="K23" s="53"/>
    </row>
    <row r="24" spans="1:11" x14ac:dyDescent="0.15">
      <c r="A24" s="26" t="s">
        <v>53</v>
      </c>
      <c r="B24" s="51">
        <f>SUMIFS(工业节能技术装备推荐目录!L:L,工业节能技术装备推荐目录!D:D,'Early Facility Retirement'!A24,工业节能技术装备推荐目录!F:F,'Early Facility Retirement'!$A$1)+SUMIFS(用能设备节能分配!R:R,用能设备节能分配!O:O,'Early Facility Retirement'!A24,用能设备节能分配!P:P,'Early Facility Retirement'!$A$1)</f>
        <v>437.27412863758298</v>
      </c>
      <c r="C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</f>
        <v>0</v>
      </c>
      <c r="D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</f>
        <v>3.696848300104505E-3</v>
      </c>
      <c r="E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48.232923112637785</v>
      </c>
      <c r="F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Retirement'!$A$1,工业节能技术装备推荐目录!A:A,"2021")+SUMIFS(用能设备节能分配!Q:Q,用能设备节能分配!O:O,'Early Facility Retirement'!A24,用能设备节能分配!P:P,'Early Facility Retirement'!$A$1,用能设备节能分配!M:M,"2021")+SUMIFS(工业节能技术装备推荐目录!K:K,工业节能技术装备推荐目录!D:D,'Early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48.232923112637785</v>
      </c>
      <c r="G24" s="75">
        <f>SUMIFS(工业节能技术装备推荐目录!K:K,工业节能技术装备推荐目录!D:D,'Early Facility Retirement'!A24,工业节能技术装备推荐目录!F:F,'Early Facility Retirement'!$A$1,工业节能技术装备推荐目录!A:A,"2020")+SUMIFS(用能设备节能分配!Q:Q,用能设备节能分配!O:O,'Early Facility Retirement'!A24,用能设备节能分配!P:P,'Early Facility Retirement'!$A$1,用能设备节能分配!M:M,"2020")+SUMIFS(工业节能技术装备推荐目录!K:K,工业节能技术装备推荐目录!D:D,'Early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48.229226264337683</v>
      </c>
      <c r="H24" s="75">
        <f>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48.229226264337683</v>
      </c>
      <c r="I24" s="75">
        <f>SUMIFS(工业节能技术装备推荐目录!K:K,工业节能技术装备推荐目录!D:D,'Early Facility Retirement'!A24,工业节能技术装备推荐目录!F:F,'Early Facility Retirement'!$A$1,工业节能技术装备推荐目录!A:A,"2022")+SUMIFS(用能设备节能分配!Q:Q,用能设备节能分配!O:O,'Early Facility Retirement'!A24,用能设备节能分配!P:P,'Early Facility Retirement'!$A$1,用能设备节能分配!M:M,"2022")</f>
        <v>48.229226264337683</v>
      </c>
      <c r="K24" s="53"/>
    </row>
    <row r="25" spans="1:11" x14ac:dyDescent="0.15">
      <c r="A25" s="26" t="s">
        <v>76</v>
      </c>
      <c r="B25" s="51">
        <f>SUMIFS(工业节能技术装备推荐目录!L:L,工业节能技术装备推荐目录!D:D,'Early Facility Retirement'!A25,工业节能技术装备推荐目录!F:F,'Early Facility Retirement'!$A$1)+SUMIFS(用能设备节能分配!R:R,用能设备节能分配!O:O,'Early Facility Retirement'!A25,用能设备节能分配!P:P,'Early Facility Retirement'!$A$1)</f>
        <v>4.4339758120256145E-2</v>
      </c>
      <c r="C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</f>
        <v>0</v>
      </c>
      <c r="D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</f>
        <v>8.867951624051228E-3</v>
      </c>
      <c r="E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8.867951624051228E-3</v>
      </c>
      <c r="F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Retirement'!$A$1,工业节能技术装备推荐目录!A:A,"2021")+SUMIFS(用能设备节能分配!Q:Q,用能设备节能分配!O:O,'Early Facility Retirement'!A25,用能设备节能分配!P:P,'Early Facility Retirement'!$A$1,用能设备节能分配!M:M,"2021")+SUMIFS(工业节能技术装备推荐目录!K:K,工业节能技术装备推荐目录!D:D,'Early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8.867951624051228E-3</v>
      </c>
      <c r="G25" s="75">
        <f>SUMIFS(工业节能技术装备推荐目录!K:K,工业节能技术装备推荐目录!D:D,'Early Facility Retirement'!A25,工业节能技术装备推荐目录!F:F,'Early Facility Retirement'!$A$1,工业节能技术装备推荐目录!A:A,"2020")+SUMIFS(用能设备节能分配!Q:Q,用能设备节能分配!O:O,'Early Facility Retirement'!A25,用能设备节能分配!P:P,'Early Facility Retirement'!$A$1,用能设备节能分配!M:M,"2020")+SUMIFS(工业节能技术装备推荐目录!K:K,工业节能技术装备推荐目录!D:D,'Early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H25" s="75">
        <f>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I25" s="75">
        <f>SUMIFS(工业节能技术装备推荐目录!K:K,工业节能技术装备推荐目录!D:D,'Early Facility Retirement'!A25,工业节能技术装备推荐目录!F:F,'Early Facility Retirement'!$A$1,工业节能技术装备推荐目录!A:A,"2022")+SUMIFS(用能设备节能分配!Q:Q,用能设备节能分配!O:O,'Early Facility Retirement'!A25,用能设备节能分配!P:P,'Early Facility Retirement'!$A$1,用能设备节能分配!M:M,"2022")</f>
        <v>0</v>
      </c>
      <c r="K25" s="53"/>
    </row>
    <row r="26" spans="1:11" x14ac:dyDescent="0.15">
      <c r="A26" s="26" t="s">
        <v>83</v>
      </c>
      <c r="B26" s="51">
        <f>SUMIFS(工业节能技术装备推荐目录!L:L,工业节能技术装备推荐目录!D:D,'Early Facility Retirement'!A26,工业节能技术装备推荐目录!F:F,'Early Facility Retirement'!$A$1)+SUMIFS(用能设备节能分配!R:R,用能设备节能分配!O:O,'Early Facility Retirement'!A26,用能设备节能分配!P:P,'Early Facility Retirement'!$A$1)</f>
        <v>1.2766767984318056E-2</v>
      </c>
      <c r="C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</f>
        <v>0</v>
      </c>
      <c r="D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</f>
        <v>2.553353596863611E-3</v>
      </c>
      <c r="E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2.553353596863611E-3</v>
      </c>
      <c r="F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Retirement'!$A$1,工业节能技术装备推荐目录!A:A,"2021")+SUMIFS(用能设备节能分配!Q:Q,用能设备节能分配!O:O,'Early Facility Retirement'!A26,用能设备节能分配!P:P,'Early Facility Retirement'!$A$1,用能设备节能分配!M:M,"2021")+SUMIFS(工业节能技术装备推荐目录!K:K,工业节能技术装备推荐目录!D:D,'Early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2.553353596863611E-3</v>
      </c>
      <c r="G26" s="75">
        <f>SUMIFS(工业节能技术装备推荐目录!K:K,工业节能技术装备推荐目录!D:D,'Early Facility Retirement'!A26,工业节能技术装备推荐目录!F:F,'Early Facility Retirement'!$A$1,工业节能技术装备推荐目录!A:A,"2020")+SUMIFS(用能设备节能分配!Q:Q,用能设备节能分配!O:O,'Early Facility Retirement'!A26,用能设备节能分配!P:P,'Early Facility Retirement'!$A$1,用能设备节能分配!M:M,"2020")+SUMIFS(工业节能技术装备推荐目录!K:K,工业节能技术装备推荐目录!D:D,'Early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H26" s="75">
        <f>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I26" s="75">
        <f>SUMIFS(工业节能技术装备推荐目录!K:K,工业节能技术装备推荐目录!D:D,'Early Facility Retirement'!A26,工业节能技术装备推荐目录!F:F,'Early Facility Retirement'!$A$1,工业节能技术装备推荐目录!A:A,"2022")+SUMIFS(用能设备节能分配!Q:Q,用能设备节能分配!O:O,'Early Facility Retirement'!A26,用能设备节能分配!P:P,'Early Facility Retirement'!$A$1,用能设备节能分配!M:M,"2022")</f>
        <v>0</v>
      </c>
      <c r="K26" s="53"/>
    </row>
    <row r="27" spans="1:11" x14ac:dyDescent="0.15">
      <c r="A27" s="61" t="s">
        <v>55</v>
      </c>
      <c r="B27" s="62">
        <f>SUMIFS(工业节能技术装备推荐目录!L:L,工业节能技术装备推荐目录!D:D,'Early Facility Retirement'!A27,工业节能技术装备推荐目录!F:F,'Early Facility Retirement'!$A$1)+SUMIFS(用能设备节能分配!R:R,用能设备节能分配!O:O,'Early Facility Retirement'!A27,用能设备节能分配!P:P,'Early Facility Retirement'!$A$1)</f>
        <v>6.5837647901778665E-2</v>
      </c>
      <c r="C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</f>
        <v>0</v>
      </c>
      <c r="D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</f>
        <v>1.3167529580355731E-2</v>
      </c>
      <c r="E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1.3167529580355731E-2</v>
      </c>
      <c r="F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Retirement'!$A$1,工业节能技术装备推荐目录!A:A,"2021")+SUMIFS(用能设备节能分配!Q:Q,用能设备节能分配!O:O,'Early Facility Retirement'!A27,用能设备节能分配!P:P,'Early Facility Retirement'!$A$1,用能设备节能分配!M:M,"2021")+SUMIFS(工业节能技术装备推荐目录!K:K,工业节能技术装备推荐目录!D:D,'Early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1.3167529580355731E-2</v>
      </c>
      <c r="G27" s="75">
        <f>SUMIFS(工业节能技术装备推荐目录!K:K,工业节能技术装备推荐目录!D:D,'Early Facility Retirement'!A27,工业节能技术装备推荐目录!F:F,'Early Facility Retirement'!$A$1,工业节能技术装备推荐目录!A:A,"2020")+SUMIFS(用能设备节能分配!Q:Q,用能设备节能分配!O:O,'Early Facility Retirement'!A27,用能设备节能分配!P:P,'Early Facility Retirement'!$A$1,用能设备节能分配!M:M,"2020")+SUMIFS(工业节能技术装备推荐目录!K:K,工业节能技术装备推荐目录!D:D,'Early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H27" s="75">
        <f>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I27" s="75">
        <f>SUMIFS(工业节能技术装备推荐目录!K:K,工业节能技术装备推荐目录!D:D,'Early Facility Retirement'!A27,工业节能技术装备推荐目录!F:F,'Early Facility Retirement'!$A$1,工业节能技术装备推荐目录!A:A,"2022")+SUMIFS(用能设备节能分配!Q:Q,用能设备节能分配!O:O,'Early Facility Retirement'!A27,用能设备节能分配!P:P,'Early Facility Retirement'!$A$1,用能设备节能分配!M:M,"2022")</f>
        <v>0</v>
      </c>
      <c r="K27" s="53"/>
    </row>
    <row r="28" spans="1:11" x14ac:dyDescent="0.15">
      <c r="A28" s="63" t="s">
        <v>445</v>
      </c>
      <c r="B28" s="64">
        <f>SUM(B3:B27)</f>
        <v>46904.425446453359</v>
      </c>
      <c r="C28" s="76">
        <f t="shared" ref="C28:I28" si="0">SUM(C3:C27)</f>
        <v>703.87664064981982</v>
      </c>
      <c r="D28" s="76">
        <f t="shared" si="0"/>
        <v>1938.2944309376171</v>
      </c>
      <c r="E28" s="76">
        <f t="shared" si="0"/>
        <v>4356.2944309376171</v>
      </c>
      <c r="F28" s="76">
        <f t="shared" si="0"/>
        <v>4356.2944309376171</v>
      </c>
      <c r="G28" s="76">
        <f t="shared" si="0"/>
        <v>3121.8766406498198</v>
      </c>
      <c r="H28" s="76">
        <f t="shared" si="0"/>
        <v>2418</v>
      </c>
      <c r="I28" s="76">
        <f t="shared" si="0"/>
        <v>2418</v>
      </c>
    </row>
    <row r="31" spans="1:11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</row>
    <row r="32" spans="1:11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11" x14ac:dyDescent="0.15">
      <c r="A33" s="26" t="s">
        <v>99</v>
      </c>
      <c r="B33" s="44">
        <f>B3*$K$2/BIFUbC!AQ2</f>
        <v>5.655765594959837E-6</v>
      </c>
      <c r="C33" s="82">
        <f>C3*$K$2/BIFUbC!D2</f>
        <v>0</v>
      </c>
      <c r="D33" s="82">
        <f>D3*$K$2/BIFUbC!E2</f>
        <v>1.860423859430235E-6</v>
      </c>
      <c r="E33" s="82">
        <f>E3*$K$2/BIFUbC!F2</f>
        <v>1.7885887993256524E-6</v>
      </c>
      <c r="F33" s="82">
        <f>F3*$K$2/BIFUbC!G2</f>
        <v>1.7105295464425629E-6</v>
      </c>
      <c r="G33" s="82">
        <f>G3*$K$2/BIFUbC!H2</f>
        <v>0</v>
      </c>
      <c r="H33" s="82">
        <f>H3*$K$2/BIFUbC!I2</f>
        <v>0</v>
      </c>
      <c r="I33" s="82">
        <f>I3*$K$2/BIFUbC!J2</f>
        <v>0</v>
      </c>
      <c r="K33" s="67"/>
    </row>
    <row r="34" spans="1:11" x14ac:dyDescent="0.15">
      <c r="A34" s="26" t="s">
        <v>35</v>
      </c>
      <c r="B34" s="44">
        <f>B4*$K$2/BIFUbC!AQ3</f>
        <v>2.0180696248434395E-3</v>
      </c>
      <c r="C34" s="82">
        <f>C4*$K$2/BIFUbC!D3</f>
        <v>0</v>
      </c>
      <c r="D34" s="82">
        <f>D4*$K$2/BIFUbC!E3</f>
        <v>1.2223287069312096E-5</v>
      </c>
      <c r="E34" s="82">
        <f>E4*$K$2/BIFUbC!F3</f>
        <v>5.7110047369246086E-4</v>
      </c>
      <c r="F34" s="82">
        <f>F4*$K$2/BIFUbC!G3</f>
        <v>5.5762243352530227E-4</v>
      </c>
      <c r="G34" s="82">
        <f>G4*$K$2/BIFUbC!H3</f>
        <v>5.3339190519763172E-4</v>
      </c>
      <c r="H34" s="82">
        <f>H4*$K$2/BIFUbC!I3</f>
        <v>5.2488851030692177E-4</v>
      </c>
      <c r="I34" s="82">
        <f>I4*$K$2/BIFUbC!J3</f>
        <v>5.1665401338927576E-4</v>
      </c>
      <c r="K34" s="67"/>
    </row>
    <row r="35" spans="1:11" x14ac:dyDescent="0.15">
      <c r="A35" s="26" t="s">
        <v>67</v>
      </c>
      <c r="B35" s="44">
        <f>B5*$K$2/BIFUbC!AQ4</f>
        <v>6.1392122737849162E-6</v>
      </c>
      <c r="C35" s="82">
        <f>C5*$K$2/BIFUbC!D4</f>
        <v>0</v>
      </c>
      <c r="D35" s="82">
        <f>D5*$K$2/BIFUbC!E4</f>
        <v>1.8392078383709157E-6</v>
      </c>
      <c r="E35" s="82">
        <f>E5*$K$2/BIFUbC!F4</f>
        <v>1.7677953509672812E-6</v>
      </c>
      <c r="F35" s="82">
        <f>F5*$K$2/BIFUbC!G4</f>
        <v>1.7022258335793809E-6</v>
      </c>
      <c r="G35" s="82">
        <f>G5*$K$2/BIFUbC!H4</f>
        <v>0</v>
      </c>
      <c r="H35" s="82">
        <f>H5*$K$2/BIFUbC!I4</f>
        <v>0</v>
      </c>
      <c r="I35" s="82">
        <f>I5*$K$2/BIFUbC!J4</f>
        <v>0</v>
      </c>
      <c r="K35" s="67"/>
    </row>
    <row r="36" spans="1:11" x14ac:dyDescent="0.15">
      <c r="A36" s="26" t="s">
        <v>100</v>
      </c>
      <c r="B36" s="44">
        <f>B6*$K$2/BIFUbC!AQ5</f>
        <v>1.3089270556374293E-5</v>
      </c>
      <c r="C36" s="82">
        <f>C6*$K$2/BIFUbC!D5</f>
        <v>0</v>
      </c>
      <c r="D36" s="82">
        <f>D6*$K$2/BIFUbC!E5</f>
        <v>2.0957615038935661E-6</v>
      </c>
      <c r="E36" s="82">
        <f>E6*$K$2/BIFUbC!F5</f>
        <v>1.9719399558708285E-6</v>
      </c>
      <c r="F36" s="82">
        <f>F6*$K$2/BIFUbC!G5</f>
        <v>1.8627334429809463E-6</v>
      </c>
      <c r="G36" s="82">
        <f>G6*$K$2/BIFUbC!H5</f>
        <v>0</v>
      </c>
      <c r="H36" s="82">
        <f>H6*$K$2/BIFUbC!I5</f>
        <v>0</v>
      </c>
      <c r="I36" s="82">
        <f>I6*$K$2/BIFUbC!J5</f>
        <v>0</v>
      </c>
      <c r="K36" s="67"/>
    </row>
    <row r="37" spans="1:11" x14ac:dyDescent="0.15">
      <c r="A37" s="26" t="s">
        <v>101</v>
      </c>
      <c r="B37" s="44">
        <f>B7*$K$2/BIFUbC!AQ6</f>
        <v>3.5871188693938717E-4</v>
      </c>
      <c r="C37" s="82">
        <f>C7*$K$2/BIFUbC!D6</f>
        <v>1.0333441714437407E-4</v>
      </c>
      <c r="D37" s="82">
        <f>D7*$K$2/BIFUbC!E6</f>
        <v>1.0173016054342934E-4</v>
      </c>
      <c r="E37" s="82">
        <f>E7*$K$2/BIFUbC!F6</f>
        <v>1.011555114244229E-4</v>
      </c>
      <c r="F37" s="82">
        <f>F7*$K$2/BIFUbC!G6</f>
        <v>9.8990213409980482E-5</v>
      </c>
      <c r="G37" s="82">
        <f>G7*$K$2/BIFUbC!H6</f>
        <v>9.4383271807757096E-5</v>
      </c>
      <c r="H37" s="82">
        <f>H7*$K$2/BIFUbC!I6</f>
        <v>0</v>
      </c>
      <c r="I37" s="82">
        <f>I7*$K$2/BIFUbC!J6</f>
        <v>0</v>
      </c>
      <c r="K37" s="67"/>
    </row>
    <row r="38" spans="1:11" x14ac:dyDescent="0.15">
      <c r="A38" s="26" t="s">
        <v>72</v>
      </c>
      <c r="B38" s="44">
        <f>B8*$K$2/BIFUbC!AQ7</f>
        <v>8.4555220020691949E-2</v>
      </c>
      <c r="C38" s="82">
        <f>C8*$K$2/BIFUbC!D7</f>
        <v>1.0822858052389833E-4</v>
      </c>
      <c r="D38" s="82">
        <f>D8*$K$2/BIFUbC!E7</f>
        <v>1.1182974455414049E-4</v>
      </c>
      <c r="E38" s="82">
        <f>E8*$K$2/BIFUbC!F7</f>
        <v>1.962581783697934E-2</v>
      </c>
      <c r="F38" s="82">
        <f>F8*$K$2/BIFUbC!G7</f>
        <v>1.9519792581117031E-2</v>
      </c>
      <c r="G38" s="82">
        <f>G8*$K$2/BIFUbC!H7</f>
        <v>1.9347747816061255E-2</v>
      </c>
      <c r="H38" s="82">
        <f>H8*$K$2/BIFUbC!I7</f>
        <v>1.904603039969319E-2</v>
      </c>
      <c r="I38" s="82">
        <f>I8*$K$2/BIFUbC!J7</f>
        <v>1.8872450588544788E-2</v>
      </c>
      <c r="K38" s="67"/>
    </row>
    <row r="39" spans="1:11" x14ac:dyDescent="0.15">
      <c r="A39" s="26" t="s">
        <v>38</v>
      </c>
      <c r="B39" s="44">
        <f>B9*$K$2/BIFUbC!AQ8</f>
        <v>1.0677631518897483E-5</v>
      </c>
      <c r="C39" s="82">
        <f>C9*$K$2/BIFUbC!D8</f>
        <v>0</v>
      </c>
      <c r="D39" s="82">
        <f>D9*$K$2/BIFUbC!E8</f>
        <v>1.8254422544467589E-6</v>
      </c>
      <c r="E39" s="82">
        <f>E9*$K$2/BIFUbC!F8</f>
        <v>1.8256983394465957E-6</v>
      </c>
      <c r="F39" s="82">
        <f>F9*$K$2/BIFUbC!G8</f>
        <v>1.8113903429808326E-6</v>
      </c>
      <c r="G39" s="82">
        <f>G9*$K$2/BIFUbC!H8</f>
        <v>0</v>
      </c>
      <c r="H39" s="82">
        <f>H9*$K$2/BIFUbC!I8</f>
        <v>0</v>
      </c>
      <c r="I39" s="82">
        <f>I9*$K$2/BIFUbC!J8</f>
        <v>0</v>
      </c>
      <c r="K39" s="67"/>
    </row>
    <row r="40" spans="1:11" x14ac:dyDescent="0.15">
      <c r="A40" s="26" t="s">
        <v>68</v>
      </c>
      <c r="B40" s="44">
        <f>B10*$K$2/BIFUbC!AQ9</f>
        <v>4.232902620914263E-4</v>
      </c>
      <c r="C40" s="82">
        <f>C10*$K$2/BIFUbC!D9</f>
        <v>1.0139236507273901E-4</v>
      </c>
      <c r="D40" s="82">
        <f>D10*$K$2/BIFUbC!E9</f>
        <v>1.0299683137890067E-4</v>
      </c>
      <c r="E40" s="82">
        <f>E10*$K$2/BIFUbC!F9</f>
        <v>9.8858330047298242E-5</v>
      </c>
      <c r="F40" s="82">
        <f>F10*$K$2/BIFUbC!G9</f>
        <v>9.4798274665539712E-5</v>
      </c>
      <c r="G40" s="82">
        <f>G10*$K$2/BIFUbC!H9</f>
        <v>8.9313212173616232E-5</v>
      </c>
      <c r="H40" s="82">
        <f>H10*$K$2/BIFUbC!I9</f>
        <v>0</v>
      </c>
      <c r="I40" s="82">
        <f>I10*$K$2/BIFUbC!J9</f>
        <v>0</v>
      </c>
      <c r="K40" s="67"/>
    </row>
    <row r="41" spans="1:11" x14ac:dyDescent="0.15">
      <c r="A41" s="26" t="s">
        <v>40</v>
      </c>
      <c r="B41" s="44">
        <f>B11*$K$2/BIFUbC!AQ10</f>
        <v>0.11299894051977263</v>
      </c>
      <c r="C41" s="82">
        <f>C11*$K$2/BIFUbC!D10</f>
        <v>1.0591533520561548E-4</v>
      </c>
      <c r="D41" s="82">
        <f>D11*$K$2/BIFUbC!E10</f>
        <v>1.8777843597007331E-3</v>
      </c>
      <c r="E41" s="82">
        <f>E11*$K$2/BIFUbC!F10</f>
        <v>4.3286276636453954E-3</v>
      </c>
      <c r="F41" s="82">
        <f>F11*$K$2/BIFUbC!G10</f>
        <v>4.0336198796702581E-3</v>
      </c>
      <c r="G41" s="82">
        <f>G11*$K$2/BIFUbC!H10</f>
        <v>2.3420878750684735E-3</v>
      </c>
      <c r="H41" s="82">
        <f>H11*$K$2/BIFUbC!I10</f>
        <v>2.2094689020239712E-3</v>
      </c>
      <c r="I41" s="82">
        <f>I11*$K$2/BIFUbC!J10</f>
        <v>2.1629524946020066E-3</v>
      </c>
      <c r="K41" s="67"/>
    </row>
    <row r="42" spans="1:11" x14ac:dyDescent="0.15">
      <c r="A42" s="26" t="s">
        <v>41</v>
      </c>
      <c r="B42" s="44">
        <f>B12*$K$2/BIFUbC!AQ11</f>
        <v>6.8275193454094163E-2</v>
      </c>
      <c r="C42" s="82">
        <f>C12*$K$2/BIFUbC!D11</f>
        <v>1.1040818435676099E-3</v>
      </c>
      <c r="D42" s="82">
        <f>D12*$K$2/BIFUbC!E11</f>
        <v>9.2954273923382836E-3</v>
      </c>
      <c r="E42" s="82">
        <f>E12*$K$2/BIFUbC!F11</f>
        <v>1.3468080602090406E-2</v>
      </c>
      <c r="F42" s="82">
        <f>F12*$K$2/BIFUbC!G11</f>
        <v>1.2461202252258999E-2</v>
      </c>
      <c r="G42" s="82">
        <f>G12*$K$2/BIFUbC!H11</f>
        <v>5.1155947683028538E-3</v>
      </c>
      <c r="H42" s="82">
        <f>H12*$K$2/BIFUbC!I11</f>
        <v>4.0900352546817675E-3</v>
      </c>
      <c r="I42" s="82">
        <f>I12*$K$2/BIFUbC!J11</f>
        <v>3.9581107409162397E-3</v>
      </c>
      <c r="K42" s="67"/>
    </row>
    <row r="43" spans="1:11" x14ac:dyDescent="0.15">
      <c r="A43" s="26" t="s">
        <v>42</v>
      </c>
      <c r="B43" s="44">
        <f>B13*$K$2/BIFUbC!AQ12</f>
        <v>8.6954336343324728E-6</v>
      </c>
      <c r="C43" s="82">
        <f>C13*$K$2/BIFUbC!D12</f>
        <v>0</v>
      </c>
      <c r="D43" s="82">
        <f>D13*$K$2/BIFUbC!E12</f>
        <v>1.7928677028517096E-6</v>
      </c>
      <c r="E43" s="82">
        <f>E13*$K$2/BIFUbC!F12</f>
        <v>1.7761434817806786E-6</v>
      </c>
      <c r="F43" s="82">
        <f>F13*$K$2/BIFUbC!G12</f>
        <v>1.724706083964874E-6</v>
      </c>
      <c r="G43" s="82">
        <f>G13*$K$2/BIFUbC!H12</f>
        <v>0</v>
      </c>
      <c r="H43" s="82">
        <f>H13*$K$2/BIFUbC!I12</f>
        <v>0</v>
      </c>
      <c r="I43" s="82">
        <f>I13*$K$2/BIFUbC!J12</f>
        <v>0</v>
      </c>
      <c r="K43" s="67"/>
    </row>
    <row r="44" spans="1:11" x14ac:dyDescent="0.15">
      <c r="A44" s="26" t="s">
        <v>43</v>
      </c>
      <c r="B44" s="44">
        <f>B14*$K$2/BIFUbC!AQ13</f>
        <v>9.4490113167659123E-2</v>
      </c>
      <c r="C44" s="82">
        <f>C14*$K$2/BIFUbC!D13</f>
        <v>0</v>
      </c>
      <c r="D44" s="82">
        <f>D14*$K$2/BIFUbC!E13</f>
        <v>1.7500682229137799E-6</v>
      </c>
      <c r="E44" s="82">
        <f>E14*$K$2/BIFUbC!F13</f>
        <v>2.2429395766658648E-2</v>
      </c>
      <c r="F44" s="82">
        <f>F14*$K$2/BIFUbC!G13</f>
        <v>2.1347843023267005E-2</v>
      </c>
      <c r="G44" s="82">
        <f>G14*$K$2/BIFUbC!H13</f>
        <v>2.0107645270627847E-2</v>
      </c>
      <c r="H44" s="82">
        <f>H14*$K$2/BIFUbC!I13</f>
        <v>1.9061132017175752E-2</v>
      </c>
      <c r="I44" s="82">
        <f>I14*$K$2/BIFUbC!J13</f>
        <v>1.8235455119907148E-2</v>
      </c>
      <c r="K44" s="67"/>
    </row>
    <row r="45" spans="1:11" x14ac:dyDescent="0.15">
      <c r="A45" s="26" t="s">
        <v>56</v>
      </c>
      <c r="B45" s="44">
        <f>B15*$K$2/BIFUbC!AQ14</f>
        <v>0.51174048898024671</v>
      </c>
      <c r="C45" s="82">
        <f>C15*$K$2/BIFUbC!D14</f>
        <v>1.3255762396134466E-2</v>
      </c>
      <c r="D45" s="82">
        <f>D15*$K$2/BIFUbC!E14</f>
        <v>1.5332214274428532E-2</v>
      </c>
      <c r="E45" s="82">
        <f>E15*$K$2/BIFUbC!F14</f>
        <v>3.1596373093990736E-2</v>
      </c>
      <c r="F45" s="82">
        <f>F15*$K$2/BIFUbC!G14</f>
        <v>3.0422165272410439E-2</v>
      </c>
      <c r="G45" s="82">
        <f>G15*$K$2/BIFUbC!H14</f>
        <v>2.8840600521724599E-2</v>
      </c>
      <c r="H45" s="82">
        <f>H15*$K$2/BIFUbC!I14</f>
        <v>1.549580459970697E-2</v>
      </c>
      <c r="I45" s="82">
        <f>I15*$K$2/BIFUbC!J14</f>
        <v>1.5341472060820692E-2</v>
      </c>
      <c r="K45" s="67"/>
    </row>
    <row r="46" spans="1:11" x14ac:dyDescent="0.15">
      <c r="A46" s="26" t="s">
        <v>45</v>
      </c>
      <c r="B46" s="44">
        <f>B16*$K$2/BIFUbC!AQ15</f>
        <v>0.2552996198072226</v>
      </c>
      <c r="C46" s="82">
        <f>C16*$K$2/BIFUbC!D15</f>
        <v>3.9071998724150153E-3</v>
      </c>
      <c r="D46" s="82">
        <f>D16*$K$2/BIFUbC!E15</f>
        <v>9.969414059740318E-3</v>
      </c>
      <c r="E46" s="82">
        <f>E16*$K$2/BIFUbC!F15</f>
        <v>1.3492030169542037E-2</v>
      </c>
      <c r="F46" s="82">
        <f>F16*$K$2/BIFUbC!G15</f>
        <v>1.2604411506897355E-2</v>
      </c>
      <c r="G46" s="82">
        <f>G16*$K$2/BIFUbC!H15</f>
        <v>6.9545770675994815E-3</v>
      </c>
      <c r="H46" s="82">
        <f>H16*$K$2/BIFUbC!I15</f>
        <v>3.6368996773351535E-3</v>
      </c>
      <c r="I46" s="82">
        <f>I16*$K$2/BIFUbC!J15</f>
        <v>3.568811292925586E-3</v>
      </c>
      <c r="K46" s="67"/>
    </row>
    <row r="47" spans="1:11" x14ac:dyDescent="0.15">
      <c r="A47" s="26" t="s">
        <v>46</v>
      </c>
      <c r="B47" s="44">
        <f>B17*$K$2/BIFUbC!AQ16</f>
        <v>6.8495875505656278E-2</v>
      </c>
      <c r="C47" s="82">
        <f>C17*$K$2/BIFUbC!D16</f>
        <v>7.5860715545355813E-4</v>
      </c>
      <c r="D47" s="82">
        <f>D17*$K$2/BIFUbC!E16</f>
        <v>4.6393240721770441E-3</v>
      </c>
      <c r="E47" s="82">
        <f>E17*$K$2/BIFUbC!F16</f>
        <v>9.3700552758582134E-3</v>
      </c>
      <c r="F47" s="82">
        <f>F17*$K$2/BIFUbC!G16</f>
        <v>8.725477943581807E-3</v>
      </c>
      <c r="G47" s="82">
        <f>G17*$K$2/BIFUbC!H16</f>
        <v>5.0124829360387521E-3</v>
      </c>
      <c r="H47" s="82">
        <f>H17*$K$2/BIFUbC!I16</f>
        <v>4.217995004116514E-3</v>
      </c>
      <c r="I47" s="82">
        <f>I17*$K$2/BIFUbC!J16</f>
        <v>4.0313545847216053E-3</v>
      </c>
      <c r="K47" s="67"/>
    </row>
    <row r="48" spans="1:11" x14ac:dyDescent="0.15">
      <c r="A48" s="26" t="s">
        <v>47</v>
      </c>
      <c r="B48" s="44">
        <f>B18*$K$2/BIFUbC!AQ17</f>
        <v>6.1685280245764418E-6</v>
      </c>
      <c r="C48" s="82">
        <f>C18*$K$2/BIFUbC!D17</f>
        <v>0</v>
      </c>
      <c r="D48" s="82">
        <f>D18*$K$2/BIFUbC!E17</f>
        <v>1.5950072357708255E-6</v>
      </c>
      <c r="E48" s="82">
        <f>E18*$K$2/BIFUbC!F17</f>
        <v>1.5817646299567622E-6</v>
      </c>
      <c r="F48" s="82">
        <f>F18*$K$2/BIFUbC!G17</f>
        <v>1.5396544149381043E-6</v>
      </c>
      <c r="G48" s="82">
        <f>G18*$K$2/BIFUbC!H17</f>
        <v>0</v>
      </c>
      <c r="H48" s="82">
        <f>H18*$K$2/BIFUbC!I17</f>
        <v>0</v>
      </c>
      <c r="I48" s="82">
        <f>I18*$K$2/BIFUbC!J17</f>
        <v>0</v>
      </c>
      <c r="K48" s="67"/>
    </row>
    <row r="49" spans="1:11" x14ac:dyDescent="0.15">
      <c r="A49" s="26" t="s">
        <v>48</v>
      </c>
      <c r="B49" s="44">
        <f>B19*$K$2/BIFUbC!AQ18</f>
        <v>2.3416167870581418E-2</v>
      </c>
      <c r="C49" s="82">
        <f>C19*$K$2/BIFUbC!D18</f>
        <v>0</v>
      </c>
      <c r="D49" s="82">
        <f>D19*$K$2/BIFUbC!E18</f>
        <v>1.5491674958730022E-6</v>
      </c>
      <c r="E49" s="82">
        <f>E19*$K$2/BIFUbC!F18</f>
        <v>1.2467009796192597E-2</v>
      </c>
      <c r="F49" s="82">
        <f>F19*$K$2/BIFUbC!G18</f>
        <v>1.1759294986720072E-2</v>
      </c>
      <c r="G49" s="82">
        <f>G19*$K$2/BIFUbC!H18</f>
        <v>1.0983549151574611E-2</v>
      </c>
      <c r="H49" s="82">
        <f>H19*$K$2/BIFUbC!I18</f>
        <v>1.0375651304145894E-2</v>
      </c>
      <c r="I49" s="82">
        <f>I19*$K$2/BIFUbC!J18</f>
        <v>9.9288782245544483E-3</v>
      </c>
      <c r="K49" s="67"/>
    </row>
    <row r="50" spans="1:11" x14ac:dyDescent="0.15">
      <c r="A50" s="26" t="s">
        <v>49</v>
      </c>
      <c r="B50" s="44">
        <f>B20*$K$2/BIFUbC!AQ19</f>
        <v>0.14964388822793373</v>
      </c>
      <c r="C50" s="82">
        <f>C20*$K$2/BIFUbC!D19</f>
        <v>0</v>
      </c>
      <c r="D50" s="82">
        <f>D20*$K$2/BIFUbC!E19</f>
        <v>1.335451550385052E-6</v>
      </c>
      <c r="E50" s="82">
        <f>E20*$K$2/BIFUbC!F19</f>
        <v>0.23746789392257062</v>
      </c>
      <c r="F50" s="82">
        <f>F20*$K$2/BIFUbC!G19</f>
        <v>0.22144208127475856</v>
      </c>
      <c r="G50" s="82">
        <f>G20*$K$2/BIFUbC!H19</f>
        <v>0.20366204737990073</v>
      </c>
      <c r="H50" s="82">
        <f>H20*$K$2/BIFUbC!I19</f>
        <v>0.18911721390677252</v>
      </c>
      <c r="I50" s="82">
        <f>I20*$K$2/BIFUbC!J19</f>
        <v>0.17788345541971726</v>
      </c>
      <c r="K50" s="67"/>
    </row>
    <row r="51" spans="1:11" x14ac:dyDescent="0.15">
      <c r="A51" s="26" t="s">
        <v>50</v>
      </c>
      <c r="B51" s="44">
        <f>B21*$K$2/BIFUbC!AQ20</f>
        <v>6.2133601383151713E-6</v>
      </c>
      <c r="C51" s="82">
        <f>C21*$K$2/BIFUbC!D20</f>
        <v>0</v>
      </c>
      <c r="D51" s="82">
        <f>D21*$K$2/BIFUbC!E20</f>
        <v>1.575760485929748E-6</v>
      </c>
      <c r="E51" s="82">
        <f>E21*$K$2/BIFUbC!F20</f>
        <v>1.5662646837330221E-6</v>
      </c>
      <c r="F51" s="82">
        <f>F21*$K$2/BIFUbC!G20</f>
        <v>1.5312946776871605E-6</v>
      </c>
      <c r="G51" s="82">
        <f>G21*$K$2/BIFUbC!H20</f>
        <v>0</v>
      </c>
      <c r="H51" s="82">
        <f>H21*$K$2/BIFUbC!I20</f>
        <v>0</v>
      </c>
      <c r="I51" s="82">
        <f>I21*$K$2/BIFUbC!J20</f>
        <v>0</v>
      </c>
      <c r="K51" s="67"/>
    </row>
    <row r="52" spans="1:11" x14ac:dyDescent="0.15">
      <c r="A52" s="26" t="s">
        <v>81</v>
      </c>
      <c r="B52" s="44">
        <f>B22*$K$2/BIFUbC!AQ21</f>
        <v>0.15016144407832546</v>
      </c>
      <c r="C52" s="82">
        <f>C22*$K$2/BIFUbC!D21</f>
        <v>0</v>
      </c>
      <c r="D52" s="82">
        <f>D22*$K$2/BIFUbC!E21</f>
        <v>1.7311943187065788E-6</v>
      </c>
      <c r="E52" s="82">
        <f>E22*$K$2/BIFUbC!F21</f>
        <v>2.0861493431334682E-2</v>
      </c>
      <c r="F52" s="82">
        <f>F22*$K$2/BIFUbC!G21</f>
        <v>1.9391335635625631E-2</v>
      </c>
      <c r="G52" s="82">
        <f>G22*$K$2/BIFUbC!H21</f>
        <v>1.8122437921889362E-2</v>
      </c>
      <c r="H52" s="82">
        <f>H22*$K$2/BIFUbC!I21</f>
        <v>1.7653584010464133E-2</v>
      </c>
      <c r="I52" s="82">
        <f>I22*$K$2/BIFUbC!J21</f>
        <v>1.7211266841751911E-2</v>
      </c>
      <c r="K52" s="67"/>
    </row>
    <row r="53" spans="1:11" x14ac:dyDescent="0.15">
      <c r="A53" s="26" t="s">
        <v>71</v>
      </c>
      <c r="B53" s="44">
        <f>B23*$K$2/BIFUbC!AQ22</f>
        <v>8.7936489497618295E-6</v>
      </c>
      <c r="C53" s="82">
        <f>C23*$K$2/BIFUbC!D22</f>
        <v>0</v>
      </c>
      <c r="D53" s="82">
        <f>D23*$K$2/BIFUbC!E22</f>
        <v>1.7701491582902308E-6</v>
      </c>
      <c r="E53" s="82">
        <f>E23*$K$2/BIFUbC!F22</f>
        <v>1.7634032167426469E-6</v>
      </c>
      <c r="F53" s="82">
        <f>F23*$K$2/BIFUbC!G22</f>
        <v>1.7349053275945376E-6</v>
      </c>
      <c r="G53" s="82">
        <f>G23*$K$2/BIFUbC!H22</f>
        <v>0</v>
      </c>
      <c r="H53" s="82">
        <f>H23*$K$2/BIFUbC!I22</f>
        <v>0</v>
      </c>
      <c r="I53" s="82">
        <f>I23*$K$2/BIFUbC!J22</f>
        <v>0</v>
      </c>
      <c r="K53" s="67"/>
    </row>
    <row r="54" spans="1:11" x14ac:dyDescent="0.15">
      <c r="A54" s="26" t="s">
        <v>53</v>
      </c>
      <c r="B54" s="44">
        <f>B24*$K$2/BIFUbC!AQ23</f>
        <v>0.13294400670670156</v>
      </c>
      <c r="C54" s="82">
        <f>C24*$K$2/BIFUbC!D23</f>
        <v>0</v>
      </c>
      <c r="D54" s="82">
        <f>D24*$K$2/BIFUbC!E23</f>
        <v>1.5224289672093484E-6</v>
      </c>
      <c r="E54" s="82">
        <f>E24*$K$2/BIFUbC!F23</f>
        <v>1.9681544576701817E-2</v>
      </c>
      <c r="F54" s="82">
        <f>F24*$K$2/BIFUbC!G23</f>
        <v>1.911948641370385E-2</v>
      </c>
      <c r="G54" s="82">
        <f>G24*$K$2/BIFUbC!H23</f>
        <v>1.8446278503571712E-2</v>
      </c>
      <c r="H54" s="82">
        <f>H24*$K$2/BIFUbC!I23</f>
        <v>1.7854961306750333E-2</v>
      </c>
      <c r="I54" s="82">
        <f>I24*$K$2/BIFUbC!J23</f>
        <v>1.737807375910691E-2</v>
      </c>
      <c r="K54" s="67"/>
    </row>
    <row r="55" spans="1:11" x14ac:dyDescent="0.15">
      <c r="A55" s="26" t="s">
        <v>76</v>
      </c>
      <c r="B55" s="44">
        <f>B25*$K$2/BIFUbC!AQ24</f>
        <v>9.5518126237310126E-7</v>
      </c>
      <c r="C55" s="82">
        <f>C25*$K$2/BIFUbC!D24</f>
        <v>0</v>
      </c>
      <c r="D55" s="82">
        <f>D25*$K$2/BIFUbC!E24</f>
        <v>1.1352493607092032E-6</v>
      </c>
      <c r="E55" s="82">
        <f>E25*$K$2/BIFUbC!F24</f>
        <v>1.0863624264468818E-6</v>
      </c>
      <c r="F55" s="82">
        <f>F25*$K$2/BIFUbC!G24</f>
        <v>9.7776417452248935E-7</v>
      </c>
      <c r="G55" s="82">
        <f>G25*$K$2/BIFUbC!H24</f>
        <v>0</v>
      </c>
      <c r="H55" s="82">
        <f>H25*$K$2/BIFUbC!I24</f>
        <v>0</v>
      </c>
      <c r="I55" s="82">
        <f>I25*$K$2/BIFUbC!J24</f>
        <v>0</v>
      </c>
      <c r="K55" s="67"/>
    </row>
    <row r="56" spans="1:11" x14ac:dyDescent="0.15">
      <c r="A56" s="26" t="s">
        <v>83</v>
      </c>
      <c r="B56" s="44">
        <f>B26*$K$2/BIFUbC!AQ25</f>
        <v>1.7227399918983241E-6</v>
      </c>
      <c r="C56" s="82">
        <f>C26*$K$2/BIFUbC!D25</f>
        <v>0</v>
      </c>
      <c r="D56" s="82">
        <f>D26*$K$2/BIFUbC!E25</f>
        <v>1.399765601365745E-6</v>
      </c>
      <c r="E56" s="82">
        <f>E26*$K$2/BIFUbC!F25</f>
        <v>1.3606959502520379E-6</v>
      </c>
      <c r="F56" s="82">
        <f>F26*$K$2/BIFUbC!G25</f>
        <v>1.2625646870721485E-6</v>
      </c>
      <c r="G56" s="82">
        <f>G26*$K$2/BIFUbC!H25</f>
        <v>0</v>
      </c>
      <c r="H56" s="82">
        <f>H26*$K$2/BIFUbC!I25</f>
        <v>0</v>
      </c>
      <c r="I56" s="82">
        <f>I26*$K$2/BIFUbC!J25</f>
        <v>0</v>
      </c>
      <c r="K56" s="67"/>
    </row>
    <row r="57" spans="1:11" x14ac:dyDescent="0.15">
      <c r="A57" s="61" t="s">
        <v>55</v>
      </c>
      <c r="B57" s="44">
        <f>B27*$K$2/BIFUbC!AQ26</f>
        <v>4.7279712689507554E-6</v>
      </c>
      <c r="C57" s="82">
        <f>C27*$K$2/BIFUbC!D26</f>
        <v>0</v>
      </c>
      <c r="D57" s="82">
        <f>D27*$K$2/BIFUbC!E26</f>
        <v>1.821995064488357E-6</v>
      </c>
      <c r="E57" s="82">
        <f>E27*$K$2/BIFUbC!F26</f>
        <v>1.7358086909032594E-6</v>
      </c>
      <c r="F57" s="82">
        <f>F27*$K$2/BIFUbC!G26</f>
        <v>1.6540069095247805E-6</v>
      </c>
      <c r="G57" s="82">
        <f>G27*$K$2/BIFUbC!H26</f>
        <v>0</v>
      </c>
      <c r="H57" s="82">
        <f>H27*$K$2/BIFUbC!I26</f>
        <v>0</v>
      </c>
      <c r="I57" s="82">
        <f>I27*$K$2/BIFUbC!J26</f>
        <v>0</v>
      </c>
      <c r="K57" s="67"/>
    </row>
    <row r="58" spans="1:11" x14ac:dyDescent="0.15">
      <c r="A58" s="63" t="s">
        <v>446</v>
      </c>
      <c r="B58" s="83">
        <f>B28*$K$2/SUM(BIFUbC!AQ2:AQ26)</f>
        <v>9.2806721623620539E-2</v>
      </c>
      <c r="C58" s="84">
        <f>C28*$K$2/SUM(BIFUbC!D2:D26)</f>
        <v>1.4306520897887172E-3</v>
      </c>
      <c r="D58" s="84">
        <f>D28*$K$2/SUM(BIFUbC!E2:E26)</f>
        <v>3.8655677419910522E-3</v>
      </c>
      <c r="E58" s="84">
        <f>E28*$K$2/SUM(BIFUbC!F2:F26)</f>
        <v>8.1740050726977036E-3</v>
      </c>
      <c r="F58" s="84">
        <f>F28*$K$2/SUM(BIFUbC!G2:G26)</f>
        <v>7.6996492800613103E-3</v>
      </c>
      <c r="G58" s="84">
        <f>G28*$K$2/SUM(BIFUbC!H2:H26)</f>
        <v>5.2120334727109446E-3</v>
      </c>
      <c r="H58" s="84">
        <f>H28*$K$2/SUM(BIFUbC!I2:I26)</f>
        <v>3.9352109798346767E-3</v>
      </c>
      <c r="I58" s="84">
        <f>I28*$K$2/SUM(BIFUbC!J2:J26)</f>
        <v>3.8415032150715261E-3</v>
      </c>
    </row>
    <row r="61" spans="1:11" x14ac:dyDescent="0.15">
      <c r="A61" s="52" t="s">
        <v>103</v>
      </c>
      <c r="B61" s="52" t="s">
        <v>452</v>
      </c>
      <c r="C61" s="52"/>
      <c r="D61" s="52"/>
      <c r="E61" s="52"/>
      <c r="F61" s="52"/>
      <c r="G61" s="52"/>
      <c r="H61" s="52"/>
      <c r="I61" s="52"/>
    </row>
    <row r="62" spans="1:11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11" x14ac:dyDescent="0.15">
      <c r="A63" s="26" t="s">
        <v>99</v>
      </c>
      <c r="B63" s="59">
        <v>1</v>
      </c>
      <c r="C63" s="78">
        <f>C33/$B33</f>
        <v>0</v>
      </c>
      <c r="D63" s="78">
        <f t="shared" ref="D63:I63" si="1">D33/$B33</f>
        <v>0.32894288636858654</v>
      </c>
      <c r="E63" s="78">
        <f t="shared" si="1"/>
        <v>0.31624167750508647</v>
      </c>
      <c r="F63" s="78">
        <f t="shared" si="1"/>
        <v>0.30243996462068895</v>
      </c>
      <c r="G63" s="78">
        <f t="shared" si="1"/>
        <v>0</v>
      </c>
      <c r="H63" s="78">
        <f t="shared" si="1"/>
        <v>0</v>
      </c>
      <c r="I63" s="78">
        <f t="shared" si="1"/>
        <v>0</v>
      </c>
    </row>
    <row r="64" spans="1:11" x14ac:dyDescent="0.15">
      <c r="A64" s="26" t="s">
        <v>35</v>
      </c>
      <c r="B64" s="59">
        <v>1</v>
      </c>
      <c r="C64" s="78">
        <f t="shared" ref="C64:I88" si="2">C34/$B34</f>
        <v>0</v>
      </c>
      <c r="D64" s="78">
        <f t="shared" si="2"/>
        <v>6.0569203950336303E-3</v>
      </c>
      <c r="E64" s="78">
        <f t="shared" si="2"/>
        <v>0.28299344416165345</v>
      </c>
      <c r="F64" s="78">
        <f t="shared" si="2"/>
        <v>0.27631476469428662</v>
      </c>
      <c r="G64" s="78">
        <f t="shared" si="2"/>
        <v>0.26430797958173119</v>
      </c>
      <c r="H64" s="78">
        <f t="shared" si="2"/>
        <v>0.26009435147592702</v>
      </c>
      <c r="I64" s="78">
        <f t="shared" si="2"/>
        <v>0.25601396851179375</v>
      </c>
    </row>
    <row r="65" spans="1:9" x14ac:dyDescent="0.15">
      <c r="A65" s="26" t="s">
        <v>67</v>
      </c>
      <c r="B65" s="59">
        <v>1</v>
      </c>
      <c r="C65" s="78">
        <f t="shared" si="2"/>
        <v>0</v>
      </c>
      <c r="D65" s="78">
        <f t="shared" si="2"/>
        <v>0.29958368538982227</v>
      </c>
      <c r="E65" s="78">
        <f t="shared" si="2"/>
        <v>0.28795149477335291</v>
      </c>
      <c r="F65" s="78">
        <f t="shared" si="2"/>
        <v>0.27727105004139779</v>
      </c>
      <c r="G65" s="78">
        <f t="shared" si="2"/>
        <v>0</v>
      </c>
      <c r="H65" s="78">
        <f t="shared" si="2"/>
        <v>0</v>
      </c>
      <c r="I65" s="78">
        <f t="shared" si="2"/>
        <v>0</v>
      </c>
    </row>
    <row r="66" spans="1:9" x14ac:dyDescent="0.15">
      <c r="A66" s="26" t="s">
        <v>100</v>
      </c>
      <c r="B66" s="59">
        <v>1</v>
      </c>
      <c r="C66" s="78">
        <f t="shared" si="2"/>
        <v>0</v>
      </c>
      <c r="D66" s="78">
        <f t="shared" si="2"/>
        <v>0.16011293332713331</v>
      </c>
      <c r="E66" s="78">
        <f t="shared" si="2"/>
        <v>0.15065315881262162</v>
      </c>
      <c r="F66" s="78">
        <f t="shared" si="2"/>
        <v>0.14230995034890015</v>
      </c>
      <c r="G66" s="78">
        <f t="shared" si="2"/>
        <v>0</v>
      </c>
      <c r="H66" s="78">
        <f t="shared" si="2"/>
        <v>0</v>
      </c>
      <c r="I66" s="78">
        <f t="shared" si="2"/>
        <v>0</v>
      </c>
    </row>
    <row r="67" spans="1:9" x14ac:dyDescent="0.15">
      <c r="A67" s="26" t="s">
        <v>101</v>
      </c>
      <c r="B67" s="59">
        <v>1</v>
      </c>
      <c r="C67" s="78">
        <f t="shared" si="2"/>
        <v>0.28807079136977376</v>
      </c>
      <c r="D67" s="78">
        <f t="shared" si="2"/>
        <v>0.28359852083914644</v>
      </c>
      <c r="E67" s="78">
        <f t="shared" si="2"/>
        <v>0.28199654125628548</v>
      </c>
      <c r="F67" s="78">
        <f t="shared" si="2"/>
        <v>0.2759602260593812</v>
      </c>
      <c r="G67" s="78">
        <f t="shared" si="2"/>
        <v>0.26311721257150694</v>
      </c>
      <c r="H67" s="78">
        <f t="shared" si="2"/>
        <v>0</v>
      </c>
      <c r="I67" s="78">
        <f t="shared" si="2"/>
        <v>0</v>
      </c>
    </row>
    <row r="68" spans="1:9" x14ac:dyDescent="0.15">
      <c r="A68" s="26" t="s">
        <v>72</v>
      </c>
      <c r="B68" s="59">
        <v>1</v>
      </c>
      <c r="C68" s="78">
        <f t="shared" si="2"/>
        <v>1.2799751511191522E-3</v>
      </c>
      <c r="D68" s="78">
        <f t="shared" si="2"/>
        <v>1.3225646450541321E-3</v>
      </c>
      <c r="E68" s="78">
        <f t="shared" si="2"/>
        <v>0.23210651964688406</v>
      </c>
      <c r="F68" s="78">
        <f t="shared" si="2"/>
        <v>0.23085260231527091</v>
      </c>
      <c r="G68" s="78">
        <f t="shared" si="2"/>
        <v>0.2288178992536069</v>
      </c>
      <c r="H68" s="78">
        <f t="shared" si="2"/>
        <v>0.22524961078727412</v>
      </c>
      <c r="I68" s="78">
        <f t="shared" si="2"/>
        <v>0.22319675336338091</v>
      </c>
    </row>
    <row r="69" spans="1:9" x14ac:dyDescent="0.15">
      <c r="A69" s="26" t="s">
        <v>38</v>
      </c>
      <c r="B69" s="59">
        <v>1</v>
      </c>
      <c r="C69" s="78">
        <f t="shared" si="2"/>
        <v>0</v>
      </c>
      <c r="D69" s="78">
        <f t="shared" si="2"/>
        <v>0.17095947272726683</v>
      </c>
      <c r="E69" s="78">
        <f t="shared" si="2"/>
        <v>0.17098345604223547</v>
      </c>
      <c r="F69" s="78">
        <f t="shared" si="2"/>
        <v>0.16964345883026571</v>
      </c>
      <c r="G69" s="78">
        <f t="shared" si="2"/>
        <v>0</v>
      </c>
      <c r="H69" s="78">
        <f t="shared" si="2"/>
        <v>0</v>
      </c>
      <c r="I69" s="78">
        <f t="shared" si="2"/>
        <v>0</v>
      </c>
    </row>
    <row r="70" spans="1:9" x14ac:dyDescent="0.15">
      <c r="A70" s="26" t="s">
        <v>68</v>
      </c>
      <c r="B70" s="59">
        <v>1</v>
      </c>
      <c r="C70" s="78">
        <f t="shared" si="2"/>
        <v>0.23953389471274752</v>
      </c>
      <c r="D70" s="78">
        <f t="shared" si="2"/>
        <v>0.24332435825479592</v>
      </c>
      <c r="E70" s="78">
        <f t="shared" si="2"/>
        <v>0.23354737611692533</v>
      </c>
      <c r="F70" s="78">
        <f t="shared" si="2"/>
        <v>0.22395571822784874</v>
      </c>
      <c r="G70" s="78">
        <f t="shared" si="2"/>
        <v>0.21099755929260075</v>
      </c>
      <c r="H70" s="78">
        <f t="shared" si="2"/>
        <v>0</v>
      </c>
      <c r="I70" s="78">
        <f t="shared" si="2"/>
        <v>0</v>
      </c>
    </row>
    <row r="71" spans="1:9" x14ac:dyDescent="0.15">
      <c r="A71" s="26" t="s">
        <v>40</v>
      </c>
      <c r="B71" s="59">
        <v>1</v>
      </c>
      <c r="C71" s="78">
        <f t="shared" si="2"/>
        <v>9.3731263955596422E-4</v>
      </c>
      <c r="D71" s="78">
        <f t="shared" si="2"/>
        <v>1.66177165118832E-2</v>
      </c>
      <c r="E71" s="78">
        <f t="shared" si="2"/>
        <v>3.8306798663196043E-2</v>
      </c>
      <c r="F71" s="78">
        <f t="shared" si="2"/>
        <v>3.5696085831569829E-2</v>
      </c>
      <c r="G71" s="78">
        <f t="shared" si="2"/>
        <v>2.0726635703798065E-2</v>
      </c>
      <c r="H71" s="78">
        <f t="shared" si="2"/>
        <v>1.9553005469439395E-2</v>
      </c>
      <c r="I71" s="78">
        <f t="shared" si="2"/>
        <v>1.914135198660143E-2</v>
      </c>
    </row>
    <row r="72" spans="1:9" x14ac:dyDescent="0.15">
      <c r="A72" s="26" t="s">
        <v>41</v>
      </c>
      <c r="B72" s="59">
        <v>1</v>
      </c>
      <c r="C72" s="78">
        <f t="shared" si="2"/>
        <v>1.6171054049227349E-2</v>
      </c>
      <c r="D72" s="78">
        <f t="shared" si="2"/>
        <v>0.13614648193693074</v>
      </c>
      <c r="E72" s="78">
        <f t="shared" si="2"/>
        <v>0.19726169814730543</v>
      </c>
      <c r="F72" s="78">
        <f t="shared" si="2"/>
        <v>0.18251434557468479</v>
      </c>
      <c r="G72" s="78">
        <f t="shared" si="2"/>
        <v>7.4926111659315911E-2</v>
      </c>
      <c r="H72" s="78">
        <f t="shared" si="2"/>
        <v>5.9905143402219189E-2</v>
      </c>
      <c r="I72" s="78">
        <f t="shared" si="2"/>
        <v>5.7972896753160197E-2</v>
      </c>
    </row>
    <row r="73" spans="1:9" x14ac:dyDescent="0.15">
      <c r="A73" s="26" t="s">
        <v>42</v>
      </c>
      <c r="B73" s="59">
        <v>1</v>
      </c>
      <c r="C73" s="78">
        <f t="shared" si="2"/>
        <v>0</v>
      </c>
      <c r="D73" s="78">
        <f t="shared" si="2"/>
        <v>0.20618496767922762</v>
      </c>
      <c r="E73" s="78">
        <f t="shared" si="2"/>
        <v>0.20426163391873542</v>
      </c>
      <c r="F73" s="78">
        <f t="shared" si="2"/>
        <v>0.19834618450253694</v>
      </c>
      <c r="G73" s="78">
        <f t="shared" si="2"/>
        <v>0</v>
      </c>
      <c r="H73" s="78">
        <f t="shared" si="2"/>
        <v>0</v>
      </c>
      <c r="I73" s="78">
        <f t="shared" si="2"/>
        <v>0</v>
      </c>
    </row>
    <row r="74" spans="1:9" x14ac:dyDescent="0.15">
      <c r="A74" s="26" t="s">
        <v>43</v>
      </c>
      <c r="B74" s="59">
        <v>1</v>
      </c>
      <c r="C74" s="78">
        <f t="shared" si="2"/>
        <v>0</v>
      </c>
      <c r="D74" s="78">
        <f t="shared" si="2"/>
        <v>1.8521178187272728E-5</v>
      </c>
      <c r="E74" s="78">
        <f t="shared" si="2"/>
        <v>0.23737293791638189</v>
      </c>
      <c r="F74" s="78">
        <f t="shared" si="2"/>
        <v>0.22592673781000056</v>
      </c>
      <c r="G74" s="78">
        <f t="shared" si="2"/>
        <v>0.21280157888000115</v>
      </c>
      <c r="H74" s="78">
        <f t="shared" si="2"/>
        <v>0.20172620582382533</v>
      </c>
      <c r="I74" s="78">
        <f t="shared" si="2"/>
        <v>0.19298796994296064</v>
      </c>
    </row>
    <row r="75" spans="1:9" x14ac:dyDescent="0.15">
      <c r="A75" s="26" t="s">
        <v>56</v>
      </c>
      <c r="B75" s="59">
        <v>1</v>
      </c>
      <c r="C75" s="78">
        <f t="shared" si="2"/>
        <v>2.5903290205841308E-2</v>
      </c>
      <c r="D75" s="78">
        <f t="shared" si="2"/>
        <v>2.9960916919005716E-2</v>
      </c>
      <c r="E75" s="78">
        <f t="shared" si="2"/>
        <v>6.1742961079654504E-2</v>
      </c>
      <c r="F75" s="78">
        <f t="shared" si="2"/>
        <v>5.9448423424601722E-2</v>
      </c>
      <c r="G75" s="78">
        <f t="shared" si="2"/>
        <v>5.6357863297461015E-2</v>
      </c>
      <c r="H75" s="78">
        <f t="shared" si="2"/>
        <v>3.028059130241131E-2</v>
      </c>
      <c r="I75" s="78">
        <f t="shared" si="2"/>
        <v>2.9979007702501486E-2</v>
      </c>
    </row>
    <row r="76" spans="1:9" x14ac:dyDescent="0.15">
      <c r="A76" s="26" t="s">
        <v>45</v>
      </c>
      <c r="B76" s="59">
        <v>1</v>
      </c>
      <c r="C76" s="78">
        <f t="shared" si="2"/>
        <v>1.5304370117610641E-2</v>
      </c>
      <c r="D76" s="78">
        <f t="shared" si="2"/>
        <v>3.9049858622070208E-2</v>
      </c>
      <c r="E76" s="78">
        <f t="shared" si="2"/>
        <v>5.2847827112824937E-2</v>
      </c>
      <c r="F76" s="78">
        <f t="shared" si="2"/>
        <v>4.9371054748984657E-2</v>
      </c>
      <c r="G76" s="78">
        <f t="shared" si="2"/>
        <v>2.7240843808740884E-2</v>
      </c>
      <c r="H76" s="78">
        <f t="shared" si="2"/>
        <v>1.4245613370209426E-2</v>
      </c>
      <c r="I76" s="78">
        <f t="shared" si="2"/>
        <v>1.3978913464972665E-2</v>
      </c>
    </row>
    <row r="77" spans="1:9" x14ac:dyDescent="0.15">
      <c r="A77" s="26" t="s">
        <v>46</v>
      </c>
      <c r="B77" s="59">
        <v>1</v>
      </c>
      <c r="C77" s="78">
        <f t="shared" si="2"/>
        <v>1.1075223870828741E-2</v>
      </c>
      <c r="D77" s="78">
        <f t="shared" si="2"/>
        <v>6.773143693584785E-2</v>
      </c>
      <c r="E77" s="78">
        <f t="shared" si="2"/>
        <v>0.1367973649024232</v>
      </c>
      <c r="F77" s="78">
        <f t="shared" si="2"/>
        <v>0.12738691022149606</v>
      </c>
      <c r="G77" s="78">
        <f t="shared" si="2"/>
        <v>7.3179339617680042E-2</v>
      </c>
      <c r="H77" s="78">
        <f t="shared" si="2"/>
        <v>6.1580277249952062E-2</v>
      </c>
      <c r="I77" s="78">
        <f t="shared" si="2"/>
        <v>5.8855435527482271E-2</v>
      </c>
    </row>
    <row r="78" spans="1:9" x14ac:dyDescent="0.15">
      <c r="A78" s="26" t="s">
        <v>47</v>
      </c>
      <c r="B78" s="59">
        <v>1</v>
      </c>
      <c r="C78" s="78">
        <f t="shared" si="2"/>
        <v>0</v>
      </c>
      <c r="D78" s="78">
        <f t="shared" si="2"/>
        <v>0.25857177424112388</v>
      </c>
      <c r="E78" s="78">
        <f t="shared" si="2"/>
        <v>0.25642497264416225</v>
      </c>
      <c r="F78" s="78">
        <f t="shared" si="2"/>
        <v>0.24959834968794256</v>
      </c>
      <c r="G78" s="78">
        <f t="shared" si="2"/>
        <v>0</v>
      </c>
      <c r="H78" s="78">
        <f t="shared" si="2"/>
        <v>0</v>
      </c>
      <c r="I78" s="78">
        <f t="shared" si="2"/>
        <v>0</v>
      </c>
    </row>
    <row r="79" spans="1:9" x14ac:dyDescent="0.15">
      <c r="A79" s="26" t="s">
        <v>48</v>
      </c>
      <c r="B79" s="59">
        <v>1</v>
      </c>
      <c r="C79" s="78">
        <f t="shared" si="2"/>
        <v>0</v>
      </c>
      <c r="D79" s="78">
        <f t="shared" si="2"/>
        <v>6.6158028266413203E-5</v>
      </c>
      <c r="E79" s="78">
        <f t="shared" si="2"/>
        <v>0.53241033567475204</v>
      </c>
      <c r="F79" s="78">
        <f t="shared" si="2"/>
        <v>0.50218699540046008</v>
      </c>
      <c r="G79" s="78">
        <f t="shared" si="2"/>
        <v>0.46905835371011506</v>
      </c>
      <c r="H79" s="78">
        <f t="shared" si="2"/>
        <v>0.44309775030188442</v>
      </c>
      <c r="I79" s="78">
        <f t="shared" si="2"/>
        <v>0.42401806646716345</v>
      </c>
    </row>
    <row r="80" spans="1:9" x14ac:dyDescent="0.15">
      <c r="A80" s="26" t="s">
        <v>49</v>
      </c>
      <c r="B80" s="59">
        <v>1</v>
      </c>
      <c r="C80" s="78">
        <f t="shared" si="2"/>
        <v>0</v>
      </c>
      <c r="D80" s="78">
        <f t="shared" si="2"/>
        <v>8.924197080143537E-6</v>
      </c>
      <c r="E80" s="78">
        <f t="shared" si="2"/>
        <v>1.5868866863501008</v>
      </c>
      <c r="F80" s="78">
        <f t="shared" si="2"/>
        <v>1.479793688182331</v>
      </c>
      <c r="G80" s="78">
        <f t="shared" si="2"/>
        <v>1.3609780512364658</v>
      </c>
      <c r="H80" s="78">
        <f t="shared" si="2"/>
        <v>1.2637817430853844</v>
      </c>
      <c r="I80" s="78">
        <f t="shared" si="2"/>
        <v>1.1887117978969495</v>
      </c>
    </row>
    <row r="81" spans="1:9" x14ac:dyDescent="0.15">
      <c r="A81" s="26" t="s">
        <v>50</v>
      </c>
      <c r="B81" s="59">
        <v>1</v>
      </c>
      <c r="C81" s="78">
        <f t="shared" si="2"/>
        <v>0</v>
      </c>
      <c r="D81" s="78">
        <f t="shared" si="2"/>
        <v>0.25360842617389867</v>
      </c>
      <c r="E81" s="78">
        <f t="shared" si="2"/>
        <v>0.25208013842212823</v>
      </c>
      <c r="F81" s="78">
        <f t="shared" si="2"/>
        <v>0.24645194284559688</v>
      </c>
      <c r="G81" s="78">
        <f t="shared" si="2"/>
        <v>0</v>
      </c>
      <c r="H81" s="78">
        <f t="shared" si="2"/>
        <v>0</v>
      </c>
      <c r="I81" s="78">
        <f t="shared" si="2"/>
        <v>0</v>
      </c>
    </row>
    <row r="82" spans="1:9" x14ac:dyDescent="0.15">
      <c r="A82" s="26" t="s">
        <v>81</v>
      </c>
      <c r="B82" s="59">
        <v>1</v>
      </c>
      <c r="C82" s="78">
        <f t="shared" si="2"/>
        <v>0</v>
      </c>
      <c r="D82" s="78">
        <f t="shared" si="2"/>
        <v>1.1528886987818081E-5</v>
      </c>
      <c r="E82" s="78">
        <f t="shared" si="2"/>
        <v>0.13892709649524382</v>
      </c>
      <c r="F82" s="78">
        <f t="shared" si="2"/>
        <v>0.12913658199444958</v>
      </c>
      <c r="G82" s="78">
        <f t="shared" si="2"/>
        <v>0.12068635882614812</v>
      </c>
      <c r="H82" s="78">
        <f t="shared" si="2"/>
        <v>0.11756402663027053</v>
      </c>
      <c r="I82" s="78">
        <f t="shared" si="2"/>
        <v>0.1146184158483077</v>
      </c>
    </row>
    <row r="83" spans="1:9" x14ac:dyDescent="0.15">
      <c r="A83" s="26" t="s">
        <v>71</v>
      </c>
      <c r="B83" s="59">
        <v>1</v>
      </c>
      <c r="C83" s="78">
        <f t="shared" si="2"/>
        <v>0</v>
      </c>
      <c r="D83" s="78">
        <f t="shared" si="2"/>
        <v>0.20129859270060743</v>
      </c>
      <c r="E83" s="78">
        <f t="shared" si="2"/>
        <v>0.20053145478253456</v>
      </c>
      <c r="F83" s="78">
        <f t="shared" si="2"/>
        <v>0.19729071941648596</v>
      </c>
      <c r="G83" s="78">
        <f t="shared" si="2"/>
        <v>0</v>
      </c>
      <c r="H83" s="78">
        <f t="shared" si="2"/>
        <v>0</v>
      </c>
      <c r="I83" s="78">
        <f t="shared" si="2"/>
        <v>0</v>
      </c>
    </row>
    <row r="84" spans="1:9" x14ac:dyDescent="0.15">
      <c r="A84" s="26" t="s">
        <v>53</v>
      </c>
      <c r="B84" s="59">
        <v>1</v>
      </c>
      <c r="C84" s="78">
        <f t="shared" si="2"/>
        <v>0</v>
      </c>
      <c r="D84" s="78">
        <f t="shared" si="2"/>
        <v>1.1451655512144305E-5</v>
      </c>
      <c r="E84" s="78">
        <f t="shared" si="2"/>
        <v>0.14804386496431426</v>
      </c>
      <c r="F84" s="78">
        <f t="shared" si="2"/>
        <v>0.14381608383358629</v>
      </c>
      <c r="G84" s="78">
        <f t="shared" si="2"/>
        <v>0.1387522383334476</v>
      </c>
      <c r="H84" s="78">
        <f t="shared" si="2"/>
        <v>0.1343043718107699</v>
      </c>
      <c r="I84" s="78">
        <f t="shared" si="2"/>
        <v>0.13071724096179885</v>
      </c>
    </row>
    <row r="85" spans="1:9" x14ac:dyDescent="0.15">
      <c r="A85" s="26" t="s">
        <v>76</v>
      </c>
      <c r="B85" s="59">
        <v>1</v>
      </c>
      <c r="C85" s="78">
        <f t="shared" si="2"/>
        <v>0</v>
      </c>
      <c r="D85" s="78">
        <f t="shared" si="2"/>
        <v>1.1885172013202305</v>
      </c>
      <c r="E85" s="78">
        <f t="shared" si="2"/>
        <v>1.1373364085345092</v>
      </c>
      <c r="F85" s="78">
        <f t="shared" si="2"/>
        <v>1.023642540990892</v>
      </c>
      <c r="G85" s="78">
        <f t="shared" si="2"/>
        <v>0</v>
      </c>
      <c r="H85" s="78">
        <f t="shared" si="2"/>
        <v>0</v>
      </c>
      <c r="I85" s="78">
        <f t="shared" si="2"/>
        <v>0</v>
      </c>
    </row>
    <row r="86" spans="1:9" x14ac:dyDescent="0.15">
      <c r="A86" s="26" t="s">
        <v>83</v>
      </c>
      <c r="B86" s="59">
        <v>1</v>
      </c>
      <c r="C86" s="78">
        <f t="shared" si="2"/>
        <v>0</v>
      </c>
      <c r="D86" s="78">
        <f t="shared" si="2"/>
        <v>0.81252284613379944</v>
      </c>
      <c r="E86" s="78">
        <f t="shared" si="2"/>
        <v>0.78984406042182709</v>
      </c>
      <c r="F86" s="78">
        <f t="shared" si="2"/>
        <v>0.73288174246242543</v>
      </c>
      <c r="G86" s="78">
        <f t="shared" si="2"/>
        <v>0</v>
      </c>
      <c r="H86" s="78">
        <f t="shared" si="2"/>
        <v>0</v>
      </c>
      <c r="I86" s="78">
        <f t="shared" si="2"/>
        <v>0</v>
      </c>
    </row>
    <row r="87" spans="1:9" x14ac:dyDescent="0.15">
      <c r="A87" s="61" t="s">
        <v>55</v>
      </c>
      <c r="B87" s="65">
        <v>1</v>
      </c>
      <c r="C87" s="78">
        <f t="shared" si="2"/>
        <v>0</v>
      </c>
      <c r="D87" s="78">
        <f t="shared" si="2"/>
        <v>0.38536508807776643</v>
      </c>
      <c r="E87" s="78">
        <f t="shared" si="2"/>
        <v>0.36713604888053281</v>
      </c>
      <c r="F87" s="78">
        <f t="shared" si="2"/>
        <v>0.34983438253672855</v>
      </c>
      <c r="G87" s="78">
        <f t="shared" si="2"/>
        <v>0</v>
      </c>
      <c r="H87" s="78">
        <f t="shared" si="2"/>
        <v>0</v>
      </c>
      <c r="I87" s="78">
        <f t="shared" si="2"/>
        <v>0</v>
      </c>
    </row>
    <row r="88" spans="1:9" x14ac:dyDescent="0.15">
      <c r="A88" s="63" t="s">
        <v>446</v>
      </c>
      <c r="B88" s="63">
        <v>1</v>
      </c>
      <c r="C88" s="85">
        <f t="shared" si="2"/>
        <v>1.5415393031452555E-2</v>
      </c>
      <c r="D88" s="85">
        <f t="shared" si="2"/>
        <v>4.1651807911801231E-2</v>
      </c>
      <c r="E88" s="85">
        <f t="shared" si="2"/>
        <v>8.8075571787219684E-2</v>
      </c>
      <c r="F88" s="85">
        <f t="shared" si="2"/>
        <v>8.2964349406580568E-2</v>
      </c>
      <c r="G88" s="85">
        <f t="shared" si="2"/>
        <v>5.6160086053340483E-2</v>
      </c>
      <c r="H88" s="85">
        <f t="shared" si="2"/>
        <v>4.2402219483562854E-2</v>
      </c>
      <c r="I88" s="85">
        <f t="shared" si="2"/>
        <v>4.1392510670194956E-2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BE9A-02DF-4816-BDE9-2D554B9756B5}">
  <dimension ref="A1:L88"/>
  <sheetViews>
    <sheetView workbookViewId="0">
      <selection activeCell="L69" sqref="L69"/>
    </sheetView>
  </sheetViews>
  <sheetFormatPr defaultColWidth="9" defaultRowHeight="12" x14ac:dyDescent="0.15"/>
  <cols>
    <col min="1" max="1" width="27" style="21" customWidth="1"/>
    <col min="2" max="2" width="11" style="21" customWidth="1"/>
    <col min="3" max="9" width="8.5" style="21" customWidth="1"/>
    <col min="10" max="10" width="10" style="21" customWidth="1"/>
    <col min="11" max="11" width="9" style="21" customWidth="1"/>
    <col min="12" max="16384" width="9" style="21"/>
  </cols>
  <sheetData>
    <row r="1" spans="1:11" x14ac:dyDescent="0.15">
      <c r="A1" s="52" t="s">
        <v>104</v>
      </c>
      <c r="B1" s="52" t="s">
        <v>439</v>
      </c>
      <c r="C1" s="52"/>
      <c r="D1" s="52"/>
      <c r="E1" s="52"/>
      <c r="F1" s="52"/>
      <c r="G1" s="52"/>
      <c r="H1" s="52"/>
      <c r="I1" s="52"/>
      <c r="K1" s="21" t="s">
        <v>441</v>
      </c>
    </row>
    <row r="2" spans="1:11" x14ac:dyDescent="0.15">
      <c r="A2" s="26" t="s">
        <v>384</v>
      </c>
      <c r="B2" s="46" t="s">
        <v>438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K2" s="21">
        <v>277435549975.86145</v>
      </c>
    </row>
    <row r="3" spans="1:11" x14ac:dyDescent="0.15">
      <c r="A3" s="26" t="s">
        <v>99</v>
      </c>
      <c r="B3" s="51">
        <f>SUMIFS(工业节能技术装备推荐目录!L:L,工业节能技术装备推荐目录!D:D,'Installation&amp;System Integration'!A3,工业节能技术装备推荐目录!F:F,'Installation&amp;System Integration'!$A$1)+SUMIFS(用能设备节能分配!R:R,用能设备节能分配!O:O,'Installation&amp;System Integration'!A3,用能设备节能分配!P:P,'Installation&amp;System Integration'!$A$1)</f>
        <v>27.362562722399154</v>
      </c>
      <c r="C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</f>
        <v>1.0883645416221595</v>
      </c>
      <c r="D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</f>
        <v>3.391148597160615</v>
      </c>
      <c r="E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3.391148597160615</v>
      </c>
      <c r="F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Integration'!$A$1,工业节能技术装备推荐目录!A:A,"2021")+SUMIFS(用能设备节能分配!Q:Q,用能设备节能分配!O:O,'Installation&amp;System Integration'!A3,用能设备节能分配!P:P,'Installation&amp;System Integration'!$A$1,用能设备节能分配!M:M,"2021")+SUMIFS(工业节能技术装备推荐目录!K:K,工业节能技术装备推荐目录!D:D,'Installation&amp;System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3.391148597160615</v>
      </c>
      <c r="G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Integration'!$A$1,工业节能技术装备推荐目录!A:A,"2020")+SUMIFS(用能设备节能分配!Q:Q,用能设备节能分配!O:O,'Installation&amp;System Integration'!A3,用能设备节能分配!P:P,'Installation&amp;System Integration'!$A$1,用能设备节能分配!M:M,"2020")+SUMIFS(工业节能技术装备推荐目录!K:K,工业节能技术装备推荐目录!D:D,'Installation&amp;System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1.0883645416221595</v>
      </c>
      <c r="H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0</v>
      </c>
      <c r="I3" s="75">
        <f>SUMIFS(工业节能技术装备推荐目录!K:K,工业节能技术装备推荐目录!D:D,'Installation&amp;System Integration'!A3,工业节能技术装备推荐目录!F:F,'Installation&amp;System Integration'!$A$1,工业节能技术装备推荐目录!A:A,"2022")+SUMIFS(用能设备节能分配!Q:Q,用能设备节能分配!O:O,'Installation&amp;System Integration'!A3,用能设备节能分配!P:P,'Installation&amp;System Integration'!$A$1,用能设备节能分配!M:M,"2022")</f>
        <v>0</v>
      </c>
      <c r="K3" s="53"/>
    </row>
    <row r="4" spans="1:11" x14ac:dyDescent="0.15">
      <c r="A4" s="26" t="s">
        <v>35</v>
      </c>
      <c r="B4" s="51">
        <f>SUMIFS(工业节能技术装备推荐目录!L:L,工业节能技术装备推荐目录!D:D,'Installation&amp;System Integration'!A4,工业节能技术装备推荐目录!F:F,'Installation&amp;System Integration'!$A$1)+SUMIFS(用能设备节能分配!R:R,用能设备节能分配!O:O,'Installation&amp;System Integration'!A4,用能设备节能分配!P:P,'Installation&amp;System Integration'!$A$1)</f>
        <v>303.54579104178401</v>
      </c>
      <c r="C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</f>
        <v>12.07374028084312</v>
      </c>
      <c r="D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</f>
        <v>37.619607999023707</v>
      </c>
      <c r="E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37.619607999023707</v>
      </c>
      <c r="F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Integration'!$A$1,工业节能技术装备推荐目录!A:A,"2021")+SUMIFS(用能设备节能分配!Q:Q,用能设备节能分配!O:O,'Installation&amp;System Integration'!A4,用能设备节能分配!P:P,'Installation&amp;System Integration'!$A$1,用能设备节能分配!M:M,"2021")+SUMIFS(工业节能技术装备推荐目录!K:K,工业节能技术装备推荐目录!D:D,'Installation&amp;System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37.619607999023707</v>
      </c>
      <c r="G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Integration'!$A$1,工业节能技术装备推荐目录!A:A,"2020")+SUMIFS(用能设备节能分配!Q:Q,用能设备节能分配!O:O,'Installation&amp;System Integration'!A4,用能设备节能分配!P:P,'Installation&amp;System Integration'!$A$1,用能设备节能分配!M:M,"2020")+SUMIFS(工业节能技术装备推荐目录!K:K,工业节能技术装备推荐目录!D:D,'Installation&amp;System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12.07374028084312</v>
      </c>
      <c r="H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0</v>
      </c>
      <c r="I4" s="75">
        <f>SUMIFS(工业节能技术装备推荐目录!K:K,工业节能技术装备推荐目录!D:D,'Installation&amp;System Integration'!A4,工业节能技术装备推荐目录!F:F,'Installation&amp;System Integration'!$A$1,工业节能技术装备推荐目录!A:A,"2022")+SUMIFS(用能设备节能分配!Q:Q,用能设备节能分配!O:O,'Installation&amp;System Integration'!A4,用能设备节能分配!P:P,'Installation&amp;System Integration'!$A$1,用能设备节能分配!M:M,"2022")</f>
        <v>0</v>
      </c>
      <c r="K4" s="53"/>
    </row>
    <row r="5" spans="1:11" x14ac:dyDescent="0.15">
      <c r="A5" s="26" t="s">
        <v>67</v>
      </c>
      <c r="B5" s="51">
        <f>SUMIFS(工业节能技术装备推荐目录!L:L,工业节能技术装备推荐目录!D:D,'Installation&amp;System Integration'!A5,工业节能技术装备推荐目录!F:F,'Installation&amp;System Integration'!$A$1)+SUMIFS(用能设备节能分配!R:R,用能设备节能分配!O:O,'Installation&amp;System Integration'!A5,用能设备节能分配!P:P,'Installation&amp;System Integration'!$A$1)</f>
        <v>18.373463296775242</v>
      </c>
      <c r="C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</f>
        <v>0.51435356043200176</v>
      </c>
      <c r="D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</f>
        <v>3.9526333900071968</v>
      </c>
      <c r="E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3.9526333900071968</v>
      </c>
      <c r="F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Integration'!$A$1,工业节能技术装备推荐目录!A:A,"2021")+SUMIFS(用能设备节能分配!Q:Q,用能设备节能分配!O:O,'Installation&amp;System Integration'!A5,用能设备节能分配!P:P,'Installation&amp;System Integration'!$A$1,用能设备节能分配!M:M,"2021")+SUMIFS(工业节能技术装备推荐目录!K:K,工业节能技术装备推荐目录!D:D,'Installation&amp;System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3.9526333900071968</v>
      </c>
      <c r="G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Integration'!$A$1,工业节能技术装备推荐目录!A:A,"2020")+SUMIFS(用能设备节能分配!Q:Q,用能设备节能分配!O:O,'Installation&amp;System Integration'!A5,用能设备节能分配!P:P,'Installation&amp;System Integration'!$A$1,用能设备节能分配!M:M,"2020")+SUMIFS(工业节能技术装备推荐目录!K:K,工业节能技术装备推荐目录!D:D,'Installation&amp;System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0.51435356043200176</v>
      </c>
      <c r="H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</v>
      </c>
      <c r="I5" s="75">
        <f>SUMIFS(工业节能技术装备推荐目录!K:K,工业节能技术装备推荐目录!D:D,'Installation&amp;System Integration'!A5,工业节能技术装备推荐目录!F:F,'Installation&amp;System Integration'!$A$1,工业节能技术装备推荐目录!A:A,"2022")+SUMIFS(用能设备节能分配!Q:Q,用能设备节能分配!O:O,'Installation&amp;System Integration'!A5,用能设备节能分配!P:P,'Installation&amp;System Integration'!$A$1,用能设备节能分配!M:M,"2022")</f>
        <v>0</v>
      </c>
      <c r="K5" s="53"/>
    </row>
    <row r="6" spans="1:11" x14ac:dyDescent="0.15">
      <c r="A6" s="26" t="s">
        <v>100</v>
      </c>
      <c r="B6" s="51">
        <f>SUMIFS(工业节能技术装备推荐目录!L:L,工业节能技术装备推荐目录!D:D,'Installation&amp;System Integration'!A6,工业节能技术装备推荐目录!F:F,'Installation&amp;System Integration'!$A$1)+SUMIFS(用能设备节能分配!R:R,用能设备节能分配!O:O,'Installation&amp;System Integration'!A6,用能设备节能分配!P:P,'Installation&amp;System Integration'!$A$1)</f>
        <v>10.272061552177117</v>
      </c>
      <c r="C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</f>
        <v>0.40857823428936529</v>
      </c>
      <c r="D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</f>
        <v>1.2730564558595796</v>
      </c>
      <c r="E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1.2730564558595796</v>
      </c>
      <c r="F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Integration'!$A$1,工业节能技术装备推荐目录!A:A,"2021")+SUMIFS(用能设备节能分配!Q:Q,用能设备节能分配!O:O,'Installation&amp;System Integration'!A6,用能设备节能分配!P:P,'Installation&amp;System Integration'!$A$1,用能设备节能分配!M:M,"2021")+SUMIFS(工业节能技术装备推荐目录!K:K,工业节能技术装备推荐目录!D:D,'Installation&amp;System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1.2730564558595796</v>
      </c>
      <c r="G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Integration'!$A$1,工业节能技术装备推荐目录!A:A,"2020")+SUMIFS(用能设备节能分配!Q:Q,用能设备节能分配!O:O,'Installation&amp;System Integration'!A6,用能设备节能分配!P:P,'Installation&amp;System Integration'!$A$1,用能设备节能分配!M:M,"2020")+SUMIFS(工业节能技术装备推荐目录!K:K,工业节能技术装备推荐目录!D:D,'Installation&amp;System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0.40857823428936529</v>
      </c>
      <c r="H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</v>
      </c>
      <c r="I6" s="75">
        <f>SUMIFS(工业节能技术装备推荐目录!K:K,工业节能技术装备推荐目录!D:D,'Installation&amp;System Integration'!A6,工业节能技术装备推荐目录!F:F,'Installation&amp;System Integration'!$A$1,工业节能技术装备推荐目录!A:A,"2022")+SUMIFS(用能设备节能分配!Q:Q,用能设备节能分配!O:O,'Installation&amp;System Integration'!A6,用能设备节能分配!P:P,'Installation&amp;System Integration'!$A$1,用能设备节能分配!M:M,"2022")</f>
        <v>0</v>
      </c>
      <c r="K6" s="53"/>
    </row>
    <row r="7" spans="1:11" x14ac:dyDescent="0.15">
      <c r="A7" s="26" t="s">
        <v>101</v>
      </c>
      <c r="B7" s="51">
        <f>SUMIFS(工业节能技术装备推荐目录!L:L,工业节能技术装备推荐目录!D:D,'Installation&amp;System Integration'!A7,工业节能技术装备推荐目录!F:F,'Installation&amp;System Integration'!$A$1)+SUMIFS(用能设备节能分配!R:R,用能设备节能分配!O:O,'Installation&amp;System Integration'!A7,用能设备节能分配!P:P,'Installation&amp;System Integration'!$A$1)</f>
        <v>29.715509875124198</v>
      </c>
      <c r="C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</f>
        <v>0.99777206834897958</v>
      </c>
      <c r="D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</f>
        <v>4.354933335041574</v>
      </c>
      <c r="E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4.354933335041574</v>
      </c>
      <c r="F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Integration'!$A$1,工业节能技术装备推荐目录!A:A,"2021")+SUMIFS(用能设备节能分配!Q:Q,用能设备节能分配!O:O,'Installation&amp;System Integration'!A7,用能设备节能分配!P:P,'Installation&amp;System Integration'!$A$1,用能设备节能分配!M:M,"2021")+SUMIFS(工业节能技术装备推荐目录!K:K,工业节能技术装备推荐目录!D:D,'Installation&amp;System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4.354933335041574</v>
      </c>
      <c r="G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Integration'!$A$1,工业节能技术装备推荐目录!A:A,"2020")+SUMIFS(用能设备节能分配!Q:Q,用能设备节能分配!O:O,'Installation&amp;System Integration'!A7,用能设备节能分配!P:P,'Installation&amp;System Integration'!$A$1,用能设备节能分配!M:M,"2020")+SUMIFS(工业节能技术装备推荐目录!K:K,工业节能技术装备推荐目录!D:D,'Installation&amp;System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0.99777206834897958</v>
      </c>
      <c r="H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</v>
      </c>
      <c r="I7" s="75">
        <f>SUMIFS(工业节能技术装备推荐目录!K:K,工业节能技术装备推荐目录!D:D,'Installation&amp;System Integration'!A7,工业节能技术装备推荐目录!F:F,'Installation&amp;System Integration'!$A$1,工业节能技术装备推荐目录!A:A,"2022")+SUMIFS(用能设备节能分配!Q:Q,用能设备节能分配!O:O,'Installation&amp;System Integration'!A7,用能设备节能分配!P:P,'Installation&amp;System Integration'!$A$1,用能设备节能分配!M:M,"2022")</f>
        <v>0</v>
      </c>
      <c r="K7" s="53"/>
    </row>
    <row r="8" spans="1:11" x14ac:dyDescent="0.15">
      <c r="A8" s="26" t="s">
        <v>72</v>
      </c>
      <c r="B8" s="51">
        <f>SUMIFS(工业节能技术装备推荐目录!L:L,工业节能技术装备推荐目录!D:D,'Installation&amp;System Integration'!A8,工业节能技术装备推荐目录!F:F,'Installation&amp;System Integration'!$A$1)+SUMIFS(用能设备节能分配!R:R,用能设备节能分配!O:O,'Installation&amp;System Integration'!A8,用能设备节能分配!P:P,'Installation&amp;System Integration'!$A$1)</f>
        <v>103.88853105197545</v>
      </c>
      <c r="C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</f>
        <v>8.6028492311031961</v>
      </c>
      <c r="D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</f>
        <v>11.640627662141334</v>
      </c>
      <c r="E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11.640627662141334</v>
      </c>
      <c r="F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Integration'!$A$1,工业节能技术装备推荐目录!A:A,"2021")+SUMIFS(用能设备节能分配!Q:Q,用能设备节能分配!O:O,'Installation&amp;System Integration'!A8,用能设备节能分配!P:P,'Installation&amp;System Integration'!$A$1,用能设备节能分配!M:M,"2021")+SUMIFS(工业节能技术装备推荐目录!K:K,工业节能技术装备推荐目录!D:D,'Installation&amp;System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11.640627662141334</v>
      </c>
      <c r="G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Integration'!$A$1,工业节能技术装备推荐目录!A:A,"2020")+SUMIFS(用能设备节能分配!Q:Q,用能设备节能分配!O:O,'Installation&amp;System Integration'!A8,用能设备节能分配!P:P,'Installation&amp;System Integration'!$A$1,用能设备节能分配!M:M,"2020")+SUMIFS(工业节能技术装备推荐目录!K:K,工业节能技术装备推荐目录!D:D,'Installation&amp;System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8.6028492311031961</v>
      </c>
      <c r="H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0</v>
      </c>
      <c r="I8" s="75">
        <f>SUMIFS(工业节能技术装备推荐目录!K:K,工业节能技术装备推荐目录!D:D,'Installation&amp;System Integration'!A8,工业节能技术装备推荐目录!F:F,'Installation&amp;System Integration'!$A$1,工业节能技术装备推荐目录!A:A,"2022")+SUMIFS(用能设备节能分配!Q:Q,用能设备节能分配!O:O,'Installation&amp;System Integration'!A8,用能设备节能分配!P:P,'Installation&amp;System Integration'!$A$1,用能设备节能分配!M:M,"2022")</f>
        <v>0</v>
      </c>
      <c r="K8" s="53"/>
    </row>
    <row r="9" spans="1:11" x14ac:dyDescent="0.15">
      <c r="A9" s="26" t="s">
        <v>38</v>
      </c>
      <c r="B9" s="51">
        <f>SUMIFS(工业节能技术装备推荐目录!L:L,工业节能技术装备推荐目录!D:D,'Installation&amp;System Integration'!A9,工业节能技术装备推荐目录!F:F,'Installation&amp;System Integration'!$A$1)+SUMIFS(用能设备节能分配!R:R,用能设备节能分配!O:O,'Installation&amp;System Integration'!A9,用能设备节能分配!P:P,'Installation&amp;System Integration'!$A$1)</f>
        <v>3.3655063818558135</v>
      </c>
      <c r="C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</f>
        <v>0.13386530522656365</v>
      </c>
      <c r="D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</f>
        <v>0.41710026803237793</v>
      </c>
      <c r="E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0.41710026803237793</v>
      </c>
      <c r="F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Integration'!$A$1,工业节能技术装备推荐目录!A:A,"2021")+SUMIFS(用能设备节能分配!Q:Q,用能设备节能分配!O:O,'Installation&amp;System Integration'!A9,用能设备节能分配!P:P,'Installation&amp;System Integration'!$A$1,用能设备节能分配!M:M,"2021")+SUMIFS(工业节能技术装备推荐目录!K:K,工业节能技术装备推荐目录!D:D,'Installation&amp;System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0.41710026803237793</v>
      </c>
      <c r="G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Integration'!$A$1,工业节能技术装备推荐目录!A:A,"2020")+SUMIFS(用能设备节能分配!Q:Q,用能设备节能分配!O:O,'Installation&amp;System Integration'!A9,用能设备节能分配!P:P,'Installation&amp;System Integration'!$A$1,用能设备节能分配!M:M,"2020")+SUMIFS(工业节能技术装备推荐目录!K:K,工业节能技术装备推荐目录!D:D,'Installation&amp;System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0.13386530522656365</v>
      </c>
      <c r="H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</v>
      </c>
      <c r="I9" s="75">
        <f>SUMIFS(工业节能技术装备推荐目录!K:K,工业节能技术装备推荐目录!D:D,'Installation&amp;System Integration'!A9,工业节能技术装备推荐目录!F:F,'Installation&amp;System Integration'!$A$1,工业节能技术装备推荐目录!A:A,"2022")+SUMIFS(用能设备节能分配!Q:Q,用能设备节能分配!O:O,'Installation&amp;System Integration'!A9,用能设备节能分配!P:P,'Installation&amp;System Integration'!$A$1,用能设备节能分配!M:M,"2022")</f>
        <v>0</v>
      </c>
      <c r="K9" s="53"/>
    </row>
    <row r="10" spans="1:11" x14ac:dyDescent="0.15">
      <c r="A10" s="26" t="s">
        <v>68</v>
      </c>
      <c r="B10" s="51">
        <f>SUMIFS(工业节能技术装备推荐目录!L:L,工业节能技术装备推荐目录!D:D,'Installation&amp;System Integration'!A10,工业节能技术装备推荐目录!F:F,'Installation&amp;System Integration'!$A$1)+SUMIFS(用能设备节能分配!R:R,用能设备节能分配!O:O,'Installation&amp;System Integration'!A10,用能设备节能分配!P:P,'Installation&amp;System Integration'!$A$1)</f>
        <v>14.40133021127766</v>
      </c>
      <c r="C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</f>
        <v>0.57282270352973264</v>
      </c>
      <c r="D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</f>
        <v>1.784812747208167</v>
      </c>
      <c r="E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1.784812747208167</v>
      </c>
      <c r="F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Integration'!$A$1,工业节能技术装备推荐目录!A:A,"2021")+SUMIFS(用能设备节能分配!Q:Q,用能设备节能分配!O:O,'Installation&amp;System Integration'!A10,用能设备节能分配!P:P,'Installation&amp;System Integration'!$A$1,用能设备节能分配!M:M,"2021")+SUMIFS(工业节能技术装备推荐目录!K:K,工业节能技术装备推荐目录!D:D,'Installation&amp;System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1.784812747208167</v>
      </c>
      <c r="G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Integration'!$A$1,工业节能技术装备推荐目录!A:A,"2020")+SUMIFS(用能设备节能分配!Q:Q,用能设备节能分配!O:O,'Installation&amp;System Integration'!A10,用能设备节能分配!P:P,'Installation&amp;System Integration'!$A$1,用能设备节能分配!M:M,"2020")+SUMIFS(工业节能技术装备推荐目录!K:K,工业节能技术装备推荐目录!D:D,'Installation&amp;System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0.57282270352973264</v>
      </c>
      <c r="H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</v>
      </c>
      <c r="I10" s="75">
        <f>SUMIFS(工业节能技术装备推荐目录!K:K,工业节能技术装备推荐目录!D:D,'Installation&amp;System Integration'!A10,工业节能技术装备推荐目录!F:F,'Installation&amp;System Integration'!$A$1,工业节能技术装备推荐目录!A:A,"2022")+SUMIFS(用能设备节能分配!Q:Q,用能设备节能分配!O:O,'Installation&amp;System Integration'!A10,用能设备节能分配!P:P,'Installation&amp;System Integration'!$A$1,用能设备节能分配!M:M,"2022")</f>
        <v>0</v>
      </c>
      <c r="K10" s="53"/>
    </row>
    <row r="11" spans="1:11" x14ac:dyDescent="0.15">
      <c r="A11" s="26" t="s">
        <v>40</v>
      </c>
      <c r="B11" s="51">
        <f>SUMIFS(工业节能技术装备推荐目录!L:L,工业节能技术装备推荐目录!D:D,'Installation&amp;System Integration'!A11,工业节能技术装备推荐目录!F:F,'Installation&amp;System Integration'!$A$1)+SUMIFS(用能设备节能分配!R:R,用能设备节能分配!O:O,'Installation&amp;System Integration'!A11,用能设备节能分配!P:P,'Installation&amp;System Integration'!$A$1)</f>
        <v>899.76231536676414</v>
      </c>
      <c r="C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</f>
        <v>35.788658024030973</v>
      </c>
      <c r="D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</f>
        <v>111.51103588101552</v>
      </c>
      <c r="E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111.51103588101552</v>
      </c>
      <c r="F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Integration'!$A$1,工业节能技术装备推荐目录!A:A,"2021")+SUMIFS(用能设备节能分配!Q:Q,用能设备节能分配!O:O,'Installation&amp;System Integration'!A11,用能设备节能分配!P:P,'Installation&amp;System Integration'!$A$1,用能设备节能分配!M:M,"2021")+SUMIFS(工业节能技术装备推荐目录!K:K,工业节能技术装备推荐目录!D:D,'Installation&amp;System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111.51103588101552</v>
      </c>
      <c r="G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Integration'!$A$1,工业节能技术装备推荐目录!A:A,"2020")+SUMIFS(用能设备节能分配!Q:Q,用能设备节能分配!O:O,'Installation&amp;System Integration'!A11,用能设备节能分配!P:P,'Installation&amp;System Integration'!$A$1,用能设备节能分配!M:M,"2020")+SUMIFS(工业节能技术装备推荐目录!K:K,工业节能技术装备推荐目录!D:D,'Installation&amp;System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35.788658024030973</v>
      </c>
      <c r="H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0</v>
      </c>
      <c r="I11" s="75">
        <f>SUMIFS(工业节能技术装备推荐目录!K:K,工业节能技术装备推荐目录!D:D,'Installation&amp;System Integration'!A11,工业节能技术装备推荐目录!F:F,'Installation&amp;System Integration'!$A$1,工业节能技术装备推荐目录!A:A,"2022")+SUMIFS(用能设备节能分配!Q:Q,用能设备节能分配!O:O,'Installation&amp;System Integration'!A11,用能设备节能分配!P:P,'Installation&amp;System Integration'!$A$1,用能设备节能分配!M:M,"2022")</f>
        <v>0</v>
      </c>
      <c r="K11" s="53"/>
    </row>
    <row r="12" spans="1:11" x14ac:dyDescent="0.15">
      <c r="A12" s="26" t="s">
        <v>41</v>
      </c>
      <c r="B12" s="51">
        <f>SUMIFS(工业节能技术装备推荐目录!L:L,工业节能技术装备推荐目录!D:D,'Installation&amp;System Integration'!A12,工业节能技术装备推荐目录!F:F,'Installation&amp;System Integration'!$A$1)+SUMIFS(用能设备节能分配!R:R,用能设备节能分配!O:O,'Installation&amp;System Integration'!A12,用能设备节能分配!P:P,'Installation&amp;System Integration'!$A$1)</f>
        <v>577.66498068620945</v>
      </c>
      <c r="C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</f>
        <v>7.7419839063702618</v>
      </c>
      <c r="D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</f>
        <v>56.2711080724048</v>
      </c>
      <c r="E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56.2711080724048</v>
      </c>
      <c r="F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Integration'!$A$1,工业节能技术装备推荐目录!A:A,"2021")+SUMIFS(用能设备节能分配!Q:Q,用能设备节能分配!O:O,'Installation&amp;System Integration'!A12,用能设备节能分配!P:P,'Installation&amp;System Integration'!$A$1,用能设备节能分配!M:M,"2021")+SUMIFS(工业节能技术装备推荐目录!K:K,工业节能技术装备推荐目录!D:D,'Installation&amp;System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56.2711080724048</v>
      </c>
      <c r="G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Integration'!$A$1,工业节能技术装备推荐目录!A:A,"2020")+SUMIFS(用能设备节能分配!Q:Q,用能设备节能分配!O:O,'Installation&amp;System Integration'!A12,用能设备节能分配!P:P,'Installation&amp;System Integration'!$A$1,用能设备节能分配!M:M,"2020")+SUMIFS(工业节能技术装备推荐目录!K:K,工业节能技术装备推荐目录!D:D,'Installation&amp;System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7.7419839063702618</v>
      </c>
      <c r="H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0</v>
      </c>
      <c r="I12" s="75">
        <f>SUMIFS(工业节能技术装备推荐目录!K:K,工业节能技术装备推荐目录!D:D,'Installation&amp;System Integration'!A12,工业节能技术装备推荐目录!F:F,'Installation&amp;System Integration'!$A$1,工业节能技术装备推荐目录!A:A,"2022")+SUMIFS(用能设备节能分配!Q:Q,用能设备节能分配!O:O,'Installation&amp;System Integration'!A12,用能设备节能分配!P:P,'Installation&amp;System Integration'!$A$1,用能设备节能分配!M:M,"2022")</f>
        <v>0</v>
      </c>
      <c r="K12" s="53"/>
    </row>
    <row r="13" spans="1:11" x14ac:dyDescent="0.15">
      <c r="A13" s="26" t="s">
        <v>42</v>
      </c>
      <c r="B13" s="51">
        <f>SUMIFS(工业节能技术装备推荐目录!L:L,工业节能技术装备推荐目录!D:D,'Installation&amp;System Integration'!A13,工业节能技术装备推荐目录!F:F,'Installation&amp;System Integration'!$A$1)+SUMIFS(用能设备节能分配!R:R,用能设备节能分配!O:O,'Installation&amp;System Integration'!A13,用能设备节能分配!P:P,'Installation&amp;System Integration'!$A$1)</f>
        <v>10.626610430207087</v>
      </c>
      <c r="C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</f>
        <v>0.42268065704247448</v>
      </c>
      <c r="D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</f>
        <v>1.3169970743811032</v>
      </c>
      <c r="E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1.3169970743811032</v>
      </c>
      <c r="F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Integration'!$A$1,工业节能技术装备推荐目录!A:A,"2021")+SUMIFS(用能设备节能分配!Q:Q,用能设备节能分配!O:O,'Installation&amp;System Integration'!A13,用能设备节能分配!P:P,'Installation&amp;System Integration'!$A$1,用能设备节能分配!M:M,"2021")+SUMIFS(工业节能技术装备推荐目录!K:K,工业节能技术装备推荐目录!D:D,'Installation&amp;System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1.3169970743811032</v>
      </c>
      <c r="G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Integration'!$A$1,工业节能技术装备推荐目录!A:A,"2020")+SUMIFS(用能设备节能分配!Q:Q,用能设备节能分配!O:O,'Installation&amp;System Integration'!A13,用能设备节能分配!P:P,'Installation&amp;System Integration'!$A$1,用能设备节能分配!M:M,"2020")+SUMIFS(工业节能技术装备推荐目录!K:K,工业节能技术装备推荐目录!D:D,'Installation&amp;System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0.42268065704247448</v>
      </c>
      <c r="H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</v>
      </c>
      <c r="I13" s="75">
        <f>SUMIFS(工业节能技术装备推荐目录!K:K,工业节能技术装备推荐目录!D:D,'Installation&amp;System Integration'!A13,工业节能技术装备推荐目录!F:F,'Installation&amp;System Integration'!$A$1,工业节能技术装备推荐目录!A:A,"2022")+SUMIFS(用能设备节能分配!Q:Q,用能设备节能分配!O:O,'Installation&amp;System Integration'!A13,用能设备节能分配!P:P,'Installation&amp;System Integration'!$A$1,用能设备节能分配!M:M,"2022")</f>
        <v>0</v>
      </c>
      <c r="K13" s="53"/>
    </row>
    <row r="14" spans="1:11" x14ac:dyDescent="0.15">
      <c r="A14" s="26" t="s">
        <v>43</v>
      </c>
      <c r="B14" s="51">
        <f>SUMIFS(工业节能技术装备推荐目录!L:L,工业节能技术装备推荐目录!D:D,'Installation&amp;System Integration'!A14,工业节能技术装备推荐目录!F:F,'Installation&amp;System Integration'!$A$1)+SUMIFS(用能设备节能分配!R:R,用能设备节能分配!O:O,'Installation&amp;System Integration'!A14,用能设备节能分配!P:P,'Installation&amp;System Integration'!$A$1)</f>
        <v>4.6044810356079449</v>
      </c>
      <c r="C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</f>
        <v>0.18314636470892556</v>
      </c>
      <c r="D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</f>
        <v>0.57065120555292259</v>
      </c>
      <c r="E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0.57065120555292259</v>
      </c>
      <c r="F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Integration'!$A$1,工业节能技术装备推荐目录!A:A,"2021")+SUMIFS(用能设备节能分配!Q:Q,用能设备节能分配!O:O,'Installation&amp;System Integration'!A14,用能设备节能分配!P:P,'Installation&amp;System Integration'!$A$1,用能设备节能分配!M:M,"2021")+SUMIFS(工业节能技术装备推荐目录!K:K,工业节能技术装备推荐目录!D:D,'Installation&amp;System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0.57065120555292259</v>
      </c>
      <c r="G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Integration'!$A$1,工业节能技术装备推荐目录!A:A,"2020")+SUMIFS(用能设备节能分配!Q:Q,用能设备节能分配!O:O,'Installation&amp;System Integration'!A14,用能设备节能分配!P:P,'Installation&amp;System Integration'!$A$1,用能设备节能分配!M:M,"2020")+SUMIFS(工业节能技术装备推荐目录!K:K,工业节能技术装备推荐目录!D:D,'Installation&amp;System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0.18314636470892556</v>
      </c>
      <c r="H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</v>
      </c>
      <c r="I14" s="75">
        <f>SUMIFS(工业节能技术装备推荐目录!K:K,工业节能技术装备推荐目录!D:D,'Installation&amp;System Integration'!A14,工业节能技术装备推荐目录!F:F,'Installation&amp;System Integration'!$A$1,工业节能技术装备推荐目录!A:A,"2022")+SUMIFS(用能设备节能分配!Q:Q,用能设备节能分配!O:O,'Installation&amp;System Integration'!A14,用能设备节能分配!P:P,'Installation&amp;System Integration'!$A$1,用能设备节能分配!M:M,"2022")</f>
        <v>0</v>
      </c>
      <c r="K14" s="53"/>
    </row>
    <row r="15" spans="1:11" x14ac:dyDescent="0.15">
      <c r="A15" s="26" t="s">
        <v>56</v>
      </c>
      <c r="B15" s="51">
        <f>SUMIFS(工业节能技术装备推荐目录!L:L,工业节能技术装备推荐目录!D:D,'Installation&amp;System Integration'!A15,工业节能技术装备推荐目录!F:F,'Installation&amp;System Integration'!$A$1)+SUMIFS(用能设备节能分配!R:R,用能设备节能分配!O:O,'Installation&amp;System Integration'!A15,用能设备节能分配!P:P,'Installation&amp;System Integration'!$A$1)</f>
        <v>112.86904070053241</v>
      </c>
      <c r="C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</f>
        <v>4.4894428563450344</v>
      </c>
      <c r="D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</f>
        <v>13.988298278843187</v>
      </c>
      <c r="E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13.988298278843187</v>
      </c>
      <c r="F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Integration'!$A$1,工业节能技术装备推荐目录!A:A,"2021")+SUMIFS(用能设备节能分配!Q:Q,用能设备节能分配!O:O,'Installation&amp;System Integration'!A15,用能设备节能分配!P:P,'Installation&amp;System Integration'!$A$1,用能设备节能分配!M:M,"2021")+SUMIFS(工业节能技术装备推荐目录!K:K,工业节能技术装备推荐目录!D:D,'Installation&amp;System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13.988298278843187</v>
      </c>
      <c r="G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Integration'!$A$1,工业节能技术装备推荐目录!A:A,"2020")+SUMIFS(用能设备节能分配!Q:Q,用能设备节能分配!O:O,'Installation&amp;System Integration'!A15,用能设备节能分配!P:P,'Installation&amp;System Integration'!$A$1,用能设备节能分配!M:M,"2020")+SUMIFS(工业节能技术装备推荐目录!K:K,工业节能技术装备推荐目录!D:D,'Installation&amp;System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4.4894428563450344</v>
      </c>
      <c r="H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0</v>
      </c>
      <c r="I15" s="75">
        <f>SUMIFS(工业节能技术装备推荐目录!K:K,工业节能技术装备推荐目录!D:D,'Installation&amp;System Integration'!A15,工业节能技术装备推荐目录!F:F,'Installation&amp;System Integration'!$A$1,工业节能技术装备推荐目录!A:A,"2022")+SUMIFS(用能设备节能分配!Q:Q,用能设备节能分配!O:O,'Installation&amp;System Integration'!A15,用能设备节能分配!P:P,'Installation&amp;System Integration'!$A$1,用能设备节能分配!M:M,"2022")</f>
        <v>0</v>
      </c>
      <c r="K15" s="53"/>
    </row>
    <row r="16" spans="1:11" x14ac:dyDescent="0.15">
      <c r="A16" s="26" t="s">
        <v>45</v>
      </c>
      <c r="B16" s="51">
        <f>SUMIFS(工业节能技术装备推荐目录!L:L,工业节能技术装备推荐目录!D:D,'Installation&amp;System Integration'!A16,工业节能技术装备推荐目录!F:F,'Installation&amp;System Integration'!$A$1)+SUMIFS(用能设备节能分配!R:R,用能设备节能分配!O:O,'Installation&amp;System Integration'!A16,用能设备节能分配!P:P,'Installation&amp;System Integration'!$A$1)</f>
        <v>729.94942427913065</v>
      </c>
      <c r="C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</f>
        <v>71.612243422479054</v>
      </c>
      <c r="D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</f>
        <v>114.04812276525084</v>
      </c>
      <c r="E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114.04812276525084</v>
      </c>
      <c r="F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Integration'!$A$1,工业节能技术装备推荐目录!A:A,"2021")+SUMIFS(用能设备节能分配!Q:Q,用能设备节能分配!O:O,'Installation&amp;System Integration'!A16,用能设备节能分配!P:P,'Installation&amp;System Integration'!$A$1,用能设备节能分配!M:M,"2021")+SUMIFS(工业节能技术装备推荐目录!K:K,工业节能技术装备推荐目录!D:D,'Installation&amp;System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114.04812276525084</v>
      </c>
      <c r="G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Integration'!$A$1,工业节能技术装备推荐目录!A:A,"2020")+SUMIFS(用能设备节能分配!Q:Q,用能设备节能分配!O:O,'Installation&amp;System Integration'!A16,用能设备节能分配!P:P,'Installation&amp;System Integration'!$A$1,用能设备节能分配!M:M,"2020")+SUMIFS(工业节能技术装备推荐目录!K:K,工业节能技术装备推荐目录!D:D,'Installation&amp;System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71.612243422479054</v>
      </c>
      <c r="H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0</v>
      </c>
      <c r="I16" s="75">
        <f>SUMIFS(工业节能技术装备推荐目录!K:K,工业节能技术装备推荐目录!D:D,'Installation&amp;System Integration'!A16,工业节能技术装备推荐目录!F:F,'Installation&amp;System Integration'!$A$1,工业节能技术装备推荐目录!A:A,"2022")+SUMIFS(用能设备节能分配!Q:Q,用能设备节能分配!O:O,'Installation&amp;System Integration'!A16,用能设备节能分配!P:P,'Installation&amp;System Integration'!$A$1,用能设备节能分配!M:M,"2022")</f>
        <v>0</v>
      </c>
      <c r="K16" s="53"/>
    </row>
    <row r="17" spans="1:12" x14ac:dyDescent="0.15">
      <c r="A17" s="26" t="s">
        <v>46</v>
      </c>
      <c r="B17" s="51">
        <f>SUMIFS(工业节能技术装备推荐目录!L:L,工业节能技术装备推荐目录!D:D,'Installation&amp;System Integration'!A17,工业节能技术装备推荐目录!F:F,'Installation&amp;System Integration'!$A$1)+SUMIFS(用能设备节能分配!R:R,用能设备节能分配!O:O,'Installation&amp;System Integration'!A17,用能设备节能分配!P:P,'Installation&amp;System Integration'!$A$1)</f>
        <v>66.881862249052034</v>
      </c>
      <c r="C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</f>
        <v>2.2457246842374521</v>
      </c>
      <c r="D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</f>
        <v>9.8018190716587181</v>
      </c>
      <c r="E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9.8018190716587181</v>
      </c>
      <c r="F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Integration'!$A$1,工业节能技术装备推荐目录!A:A,"2021")+SUMIFS(用能设备节能分配!Q:Q,用能设备节能分配!O:O,'Installation&amp;System Integration'!A17,用能设备节能分配!P:P,'Installation&amp;System Integration'!$A$1,用能设备节能分配!M:M,"2021")+SUMIFS(工业节能技术装备推荐目录!K:K,工业节能技术装备推荐目录!D:D,'Installation&amp;System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9.8018190716587181</v>
      </c>
      <c r="G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Integration'!$A$1,工业节能技术装备推荐目录!A:A,"2020")+SUMIFS(用能设备节能分配!Q:Q,用能设备节能分配!O:O,'Installation&amp;System Integration'!A17,用能设备节能分配!P:P,'Installation&amp;System Integration'!$A$1,用能设备节能分配!M:M,"2020")+SUMIFS(工业节能技术装备推荐目录!K:K,工业节能技术装备推荐目录!D:D,'Installation&amp;System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2.2457246842374521</v>
      </c>
      <c r="H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0</v>
      </c>
      <c r="I17" s="75">
        <f>SUMIFS(工业节能技术装备推荐目录!K:K,工业节能技术装备推荐目录!D:D,'Installation&amp;System Integration'!A17,工业节能技术装备推荐目录!F:F,'Installation&amp;System Integration'!$A$1,工业节能技术装备推荐目录!A:A,"2022")+SUMIFS(用能设备节能分配!Q:Q,用能设备节能分配!O:O,'Installation&amp;System Integration'!A17,用能设备节能分配!P:P,'Installation&amp;System Integration'!$A$1,用能设备节能分配!M:M,"2022")</f>
        <v>0</v>
      </c>
      <c r="K17" s="53"/>
    </row>
    <row r="18" spans="1:12" x14ac:dyDescent="0.15">
      <c r="A18" s="26" t="s">
        <v>47</v>
      </c>
      <c r="B18" s="51">
        <f>SUMIFS(工业节能技术装备推荐目录!L:L,工业节能技术装备推荐目录!D:D,'Installation&amp;System Integration'!A18,工业节能技术装备推荐目录!F:F,'Installation&amp;System Integration'!$A$1)+SUMIFS(用能设备节能分配!R:R,用能设备节能分配!O:O,'Installation&amp;System Integration'!A18,用能设备节能分配!P:P,'Installation&amp;System Integration'!$A$1)</f>
        <v>16.756007904199237</v>
      </c>
      <c r="C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</f>
        <v>0.6664816101871357</v>
      </c>
      <c r="D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</f>
        <v>2.0766370926149587</v>
      </c>
      <c r="E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2.0766370926149587</v>
      </c>
      <c r="F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Integration'!$A$1,工业节能技术装备推荐目录!A:A,"2021")+SUMIFS(用能设备节能分配!Q:Q,用能设备节能分配!O:O,'Installation&amp;System Integration'!A18,用能设备节能分配!P:P,'Installation&amp;System Integration'!$A$1,用能设备节能分配!M:M,"2021")+SUMIFS(工业节能技术装备推荐目录!K:K,工业节能技术装备推荐目录!D:D,'Installation&amp;System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2.0766370926149587</v>
      </c>
      <c r="G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Integration'!$A$1,工业节能技术装备推荐目录!A:A,"2020")+SUMIFS(用能设备节能分配!Q:Q,用能设备节能分配!O:O,'Installation&amp;System Integration'!A18,用能设备节能分配!P:P,'Installation&amp;System Integration'!$A$1,用能设备节能分配!M:M,"2020")+SUMIFS(工业节能技术装备推荐目录!K:K,工业节能技术装备推荐目录!D:D,'Installation&amp;System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0.6664816101871357</v>
      </c>
      <c r="H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</v>
      </c>
      <c r="I18" s="75">
        <f>SUMIFS(工业节能技术装备推荐目录!K:K,工业节能技术装备推荐目录!D:D,'Installation&amp;System Integration'!A18,工业节能技术装备推荐目录!F:F,'Installation&amp;System Integration'!$A$1,工业节能技术装备推荐目录!A:A,"2022")+SUMIFS(用能设备节能分配!Q:Q,用能设备节能分配!O:O,'Installation&amp;System Integration'!A18,用能设备节能分配!P:P,'Installation&amp;System Integration'!$A$1,用能设备节能分配!M:M,"2022")</f>
        <v>0</v>
      </c>
      <c r="K18" s="53"/>
    </row>
    <row r="19" spans="1:12" x14ac:dyDescent="0.15">
      <c r="A19" s="26" t="s">
        <v>48</v>
      </c>
      <c r="B19" s="51">
        <f>SUMIFS(工业节能技术装备推荐目录!L:L,工业节能技术装备推荐目录!D:D,'Installation&amp;System Integration'!A19,工业节能技术装备推荐目录!F:F,'Installation&amp;System Integration'!$A$1)+SUMIFS(用能设备节能分配!R:R,用能设备节能分配!O:O,'Installation&amp;System Integration'!A19,用能设备节能分配!P:P,'Installation&amp;System Integration'!$A$1)</f>
        <v>11.412494283294109</v>
      </c>
      <c r="C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</f>
        <v>0.45393972178033759</v>
      </c>
      <c r="D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</f>
        <v>1.4143947104492196</v>
      </c>
      <c r="E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1.4143947104492196</v>
      </c>
      <c r="F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Integration'!$A$1,工业节能技术装备推荐目录!A:A,"2021")+SUMIFS(用能设备节能分配!Q:Q,用能设备节能分配!O:O,'Installation&amp;System Integration'!A19,用能设备节能分配!P:P,'Installation&amp;System Integration'!$A$1,用能设备节能分配!M:M,"2021")+SUMIFS(工业节能技术装备推荐目录!K:K,工业节能技术装备推荐目录!D:D,'Installation&amp;System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1.4143947104492196</v>
      </c>
      <c r="G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Integration'!$A$1,工业节能技术装备推荐目录!A:A,"2020")+SUMIFS(用能设备节能分配!Q:Q,用能设备节能分配!O:O,'Installation&amp;System Integration'!A19,用能设备节能分配!P:P,'Installation&amp;System Integration'!$A$1,用能设备节能分配!M:M,"2020")+SUMIFS(工业节能技术装备推荐目录!K:K,工业节能技术装备推荐目录!D:D,'Installation&amp;System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0.45393972178033759</v>
      </c>
      <c r="H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</v>
      </c>
      <c r="I19" s="75">
        <f>SUMIFS(工业节能技术装备推荐目录!K:K,工业节能技术装备推荐目录!D:D,'Installation&amp;System Integration'!A19,工业节能技术装备推荐目录!F:F,'Installation&amp;System Integration'!$A$1,工业节能技术装备推荐目录!A:A,"2022")+SUMIFS(用能设备节能分配!Q:Q,用能设备节能分配!O:O,'Installation&amp;System Integration'!A19,用能设备节能分配!P:P,'Installation&amp;System Integration'!$A$1,用能设备节能分配!M:M,"2022")</f>
        <v>0</v>
      </c>
      <c r="K19" s="53"/>
    </row>
    <row r="20" spans="1:12" x14ac:dyDescent="0.15">
      <c r="A20" s="26" t="s">
        <v>49</v>
      </c>
      <c r="B20" s="51">
        <f>SUMIFS(工业节能技术装备推荐目录!L:L,工业节能技术装备推荐目录!D:D,'Installation&amp;System Integration'!A20,工业节能技术装备推荐目录!F:F,'Installation&amp;System Integration'!$A$1)+SUMIFS(用能设备节能分配!R:R,用能设备节能分配!O:O,'Installation&amp;System Integration'!A20,用能设备节能分配!P:P,'Installation&amp;System Integration'!$A$1)</f>
        <v>6.0772935662379606</v>
      </c>
      <c r="C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</f>
        <v>0.24172848477775669</v>
      </c>
      <c r="D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</f>
        <v>0.7531825787213432</v>
      </c>
      <c r="E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0.7531825787213432</v>
      </c>
      <c r="F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Integration'!$A$1,工业节能技术装备推荐目录!A:A,"2021")+SUMIFS(用能设备节能分配!Q:Q,用能设备节能分配!O:O,'Installation&amp;System Integration'!A20,用能设备节能分配!P:P,'Installation&amp;System Integration'!$A$1,用能设备节能分配!M:M,"2021")+SUMIFS(工业节能技术装备推荐目录!K:K,工业节能技术装备推荐目录!D:D,'Installation&amp;System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0.7531825787213432</v>
      </c>
      <c r="G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Integration'!$A$1,工业节能技术装备推荐目录!A:A,"2020")+SUMIFS(用能设备节能分配!Q:Q,用能设备节能分配!O:O,'Installation&amp;System Integration'!A20,用能设备节能分配!P:P,'Installation&amp;System Integration'!$A$1,用能设备节能分配!M:M,"2020")+SUMIFS(工业节能技术装备推荐目录!K:K,工业节能技术装备推荐目录!D:D,'Installation&amp;System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0.24172848477775669</v>
      </c>
      <c r="H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</v>
      </c>
      <c r="I20" s="75">
        <f>SUMIFS(工业节能技术装备推荐目录!K:K,工业节能技术装备推荐目录!D:D,'Installation&amp;System Integration'!A20,工业节能技术装备推荐目录!F:F,'Installation&amp;System Integration'!$A$1,工业节能技术装备推荐目录!A:A,"2022")+SUMIFS(用能设备节能分配!Q:Q,用能设备节能分配!O:O,'Installation&amp;System Integration'!A20,用能设备节能分配!P:P,'Installation&amp;System Integration'!$A$1,用能设备节能分配!M:M,"2022")</f>
        <v>0</v>
      </c>
      <c r="K20" s="53"/>
    </row>
    <row r="21" spans="1:12" x14ac:dyDescent="0.15">
      <c r="A21" s="26" t="s">
        <v>50</v>
      </c>
      <c r="B21" s="51">
        <f>SUMIFS(工业节能技术装备推荐目录!L:L,工业节能技术装备推荐目录!D:D,'Installation&amp;System Integration'!A21,工业节能技术装备推荐目录!F:F,'Installation&amp;System Integration'!$A$1)+SUMIFS(用能设备节能分配!R:R,用能设备节能分配!O:O,'Installation&amp;System Integration'!A21,用能设备节能分配!P:P,'Installation&amp;System Integration'!$A$1)</f>
        <v>3.7592115564103898</v>
      </c>
      <c r="C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</f>
        <v>0.14952519630422192</v>
      </c>
      <c r="D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</f>
        <v>0.4658936783547486</v>
      </c>
      <c r="E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0.4658936783547486</v>
      </c>
      <c r="F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Integration'!$A$1,工业节能技术装备推荐目录!A:A,"2021")+SUMIFS(用能设备节能分配!Q:Q,用能设备节能分配!O:O,'Installation&amp;System Integration'!A21,用能设备节能分配!P:P,'Installation&amp;System Integration'!$A$1,用能设备节能分配!M:M,"2021")+SUMIFS(工业节能技术装备推荐目录!K:K,工业节能技术装备推荐目录!D:D,'Installation&amp;System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0.4658936783547486</v>
      </c>
      <c r="G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Integration'!$A$1,工业节能技术装备推荐目录!A:A,"2020")+SUMIFS(用能设备节能分配!Q:Q,用能设备节能分配!O:O,'Installation&amp;System Integration'!A21,用能设备节能分配!P:P,'Installation&amp;System Integration'!$A$1,用能设备节能分配!M:M,"2020")+SUMIFS(工业节能技术装备推荐目录!K:K,工业节能技术装备推荐目录!D:D,'Installation&amp;System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0.14952519630422192</v>
      </c>
      <c r="H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</v>
      </c>
      <c r="I21" s="75">
        <f>SUMIFS(工业节能技术装备推荐目录!K:K,工业节能技术装备推荐目录!D:D,'Installation&amp;System Integration'!A21,工业节能技术装备推荐目录!F:F,'Installation&amp;System Integration'!$A$1,工业节能技术装备推荐目录!A:A,"2022")+SUMIFS(用能设备节能分配!Q:Q,用能设备节能分配!O:O,'Installation&amp;System Integration'!A21,用能设备节能分配!P:P,'Installation&amp;System Integration'!$A$1,用能设备节能分配!M:M,"2022")</f>
        <v>0</v>
      </c>
      <c r="K21" s="53"/>
    </row>
    <row r="22" spans="1:12" x14ac:dyDescent="0.15">
      <c r="A22" s="26" t="s">
        <v>81</v>
      </c>
      <c r="B22" s="51">
        <f>SUMIFS(工业节能技术装备推荐目录!L:L,工业节能技术装备推荐目录!D:D,'Installation&amp;System Integration'!A22,工业节能技术装备推荐目录!F:F,'Installation&amp;System Integration'!$A$1)+SUMIFS(用能设备节能分配!R:R,用能设备节能分配!O:O,'Installation&amp;System Integration'!A22,用能设备节能分配!P:P,'Installation&amp;System Integration'!$A$1)</f>
        <v>8.4086857221323594</v>
      </c>
      <c r="C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</f>
        <v>0.334461193363359</v>
      </c>
      <c r="D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</f>
        <v>1.0421210571490445</v>
      </c>
      <c r="E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1.0421210571490445</v>
      </c>
      <c r="F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Integration'!$A$1,工业节能技术装备推荐目录!A:A,"2021")+SUMIFS(用能设备节能分配!Q:Q,用能设备节能分配!O:O,'Installation&amp;System Integration'!A22,用能设备节能分配!P:P,'Installation&amp;System Integration'!$A$1,用能设备节能分配!M:M,"2021")+SUMIFS(工业节能技术装备推荐目录!K:K,工业节能技术装备推荐目录!D:D,'Installation&amp;System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1.0421210571490445</v>
      </c>
      <c r="G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Integration'!$A$1,工业节能技术装备推荐目录!A:A,"2020")+SUMIFS(用能设备节能分配!Q:Q,用能设备节能分配!O:O,'Installation&amp;System Integration'!A22,用能设备节能分配!P:P,'Installation&amp;System Integration'!$A$1,用能设备节能分配!M:M,"2020")+SUMIFS(工业节能技术装备推荐目录!K:K,工业节能技术装备推荐目录!D:D,'Installation&amp;System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0.334461193363359</v>
      </c>
      <c r="H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</v>
      </c>
      <c r="I22" s="75">
        <f>SUMIFS(工业节能技术装备推荐目录!K:K,工业节能技术装备推荐目录!D:D,'Installation&amp;System Integration'!A22,工业节能技术装备推荐目录!F:F,'Installation&amp;System Integration'!$A$1,工业节能技术装备推荐目录!A:A,"2022")+SUMIFS(用能设备节能分配!Q:Q,用能设备节能分配!O:O,'Installation&amp;System Integration'!A22,用能设备节能分配!P:P,'Installation&amp;System Integration'!$A$1,用能设备节能分配!M:M,"2022")</f>
        <v>0</v>
      </c>
      <c r="K22" s="53"/>
    </row>
    <row r="23" spans="1:12" x14ac:dyDescent="0.15">
      <c r="A23" s="26" t="s">
        <v>71</v>
      </c>
      <c r="B23" s="51">
        <f>SUMIFS(工业节能技术装备推荐目录!L:L,工业节能技术装备推荐目录!D:D,'Installation&amp;System Integration'!A23,工业节能技术装备推荐目录!F:F,'Installation&amp;System Integration'!$A$1)+SUMIFS(用能设备节能分配!R:R,用能设备节能分配!O:O,'Installation&amp;System Integration'!A23,用能设备节能分配!P:P,'Installation&amp;System Integration'!$A$1)</f>
        <v>102.55210622624449</v>
      </c>
      <c r="C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</f>
        <v>15.101511760841898</v>
      </c>
      <c r="D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</f>
        <v>15.316292429796759</v>
      </c>
      <c r="E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15.316292429796759</v>
      </c>
      <c r="F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Integration'!$A$1,工业节能技术装备推荐目录!A:A,"2021")+SUMIFS(用能设备节能分配!Q:Q,用能设备节能分配!O:O,'Installation&amp;System Integration'!A23,用能设备节能分配!P:P,'Installation&amp;System Integration'!$A$1,用能设备节能分配!M:M,"2021")+SUMIFS(工业节能技术装备推荐目录!K:K,工业节能技术装备推荐目录!D:D,'Installation&amp;System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15.316292429796759</v>
      </c>
      <c r="G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Integration'!$A$1,工业节能技术装备推荐目录!A:A,"2020")+SUMIFS(用能设备节能分配!Q:Q,用能设备节能分配!O:O,'Installation&amp;System Integration'!A23,用能设备节能分配!P:P,'Installation&amp;System Integration'!$A$1,用能设备节能分配!M:M,"2020")+SUMIFS(工业节能技术装备推荐目录!K:K,工业节能技术装备推荐目录!D:D,'Installation&amp;System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15.101511760841898</v>
      </c>
      <c r="H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0</v>
      </c>
      <c r="I23" s="75">
        <f>SUMIFS(工业节能技术装备推荐目录!K:K,工业节能技术装备推荐目录!D:D,'Installation&amp;System Integration'!A23,工业节能技术装备推荐目录!F:F,'Installation&amp;System Integration'!$A$1,工业节能技术装备推荐目录!A:A,"2022")+SUMIFS(用能设备节能分配!Q:Q,用能设备节能分配!O:O,'Installation&amp;System Integration'!A23,用能设备节能分配!P:P,'Installation&amp;System Integration'!$A$1,用能设备节能分配!M:M,"2022")</f>
        <v>0</v>
      </c>
      <c r="K23" s="53"/>
    </row>
    <row r="24" spans="1:12" x14ac:dyDescent="0.15">
      <c r="A24" s="26" t="s">
        <v>53</v>
      </c>
      <c r="B24" s="51">
        <f>SUMIFS(工业节能技术装备推荐目录!L:L,工业节能技术装备推荐目录!D:D,'Installation&amp;System Integration'!A24,工业节能技术装备推荐目录!F:F,'Installation&amp;System Integration'!$A$1)+SUMIFS(用能设备节能分配!R:R,用能设备节能分配!O:O,'Installation&amp;System Integration'!A24,用能设备节能分配!P:P,'Installation&amp;System Integration'!$A$1)</f>
        <v>8.4647566513874697</v>
      </c>
      <c r="C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</f>
        <v>0.33669145270844258</v>
      </c>
      <c r="D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</f>
        <v>1.0490701450328817</v>
      </c>
      <c r="E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1.0490701450328817</v>
      </c>
      <c r="F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Integration'!$A$1,工业节能技术装备推荐目录!A:A,"2021")+SUMIFS(用能设备节能分配!Q:Q,用能设备节能分配!O:O,'Installation&amp;System Integration'!A24,用能设备节能分配!P:P,'Installation&amp;System Integration'!$A$1,用能设备节能分配!M:M,"2021")+SUMIFS(工业节能技术装备推荐目录!K:K,工业节能技术装备推荐目录!D:D,'Installation&amp;System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1.0490701450328817</v>
      </c>
      <c r="G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Integration'!$A$1,工业节能技术装备推荐目录!A:A,"2020")+SUMIFS(用能设备节能分配!Q:Q,用能设备节能分配!O:O,'Installation&amp;System Integration'!A24,用能设备节能分配!P:P,'Installation&amp;System Integration'!$A$1,用能设备节能分配!M:M,"2020")+SUMIFS(工业节能技术装备推荐目录!K:K,工业节能技术装备推荐目录!D:D,'Installation&amp;System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0.33669145270844258</v>
      </c>
      <c r="H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</v>
      </c>
      <c r="I24" s="75">
        <f>SUMIFS(工业节能技术装备推荐目录!K:K,工业节能技术装备推荐目录!D:D,'Installation&amp;System Integration'!A24,工业节能技术装备推荐目录!F:F,'Installation&amp;System Integration'!$A$1,工业节能技术装备推荐目录!A:A,"2022")+SUMIFS(用能设备节能分配!Q:Q,用能设备节能分配!O:O,'Installation&amp;System Integration'!A24,用能设备节能分配!P:P,'Installation&amp;System Integration'!$A$1,用能设备节能分配!M:M,"2022")</f>
        <v>0</v>
      </c>
      <c r="K24" s="53">
        <f>SUMIFS(工业节能技术装备推荐目录!K:K,工业节能技术装备推荐目录!D:D,'Installation&amp;System Integration'!A24,工业节能技术装备推荐目录!F:F,'Installation&amp;System Integration'!$A$1)</f>
        <v>0</v>
      </c>
      <c r="L24" s="21">
        <f>SUMIFS(用能设备节能分配!Q:Q,用能设备节能分配!O:O,'Installation&amp;System Integration'!A24,用能设备节能分配!P:P,'Installation&amp;System Integration'!$A$1)</f>
        <v>1.0490701450328817</v>
      </c>
    </row>
    <row r="25" spans="1:12" x14ac:dyDescent="0.15">
      <c r="A25" s="26" t="s">
        <v>76</v>
      </c>
      <c r="B25" s="51">
        <f>SUMIFS(工业节能技术装备推荐目录!L:L,工业节能技术装备推荐目录!D:D,'Installation&amp;System Integration'!A25,工业节能技术装备推荐目录!F:F,'Installation&amp;System Integration'!$A$1)+SUMIFS(用能设备节能分配!R:R,用能设备节能分配!O:O,'Installation&amp;System Integration'!A25,用能设备节能分配!P:P,'Installation&amp;System Integration'!$A$1)</f>
        <v>20.511814836189327</v>
      </c>
      <c r="C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</f>
        <v>0.80765107801842906</v>
      </c>
      <c r="D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</f>
        <v>2.5784958205412467</v>
      </c>
      <c r="E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2.5784958205412467</v>
      </c>
      <c r="F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Integration'!$A$1,工业节能技术装备推荐目录!A:A,"2021")+SUMIFS(用能设备节能分配!Q:Q,用能设备节能分配!O:O,'Installation&amp;System Integration'!A25,用能设备节能分配!P:P,'Installation&amp;System Integration'!$A$1,用能设备节能分配!M:M,"2021")+SUMIFS(工业节能技术装备推荐目录!K:K,工业节能技术装备推荐目录!D:D,'Installation&amp;System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2.5784958205412467</v>
      </c>
      <c r="G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Integration'!$A$1,工业节能技术装备推荐目录!A:A,"2020")+SUMIFS(用能设备节能分配!Q:Q,用能设备节能分配!O:O,'Installation&amp;System Integration'!A25,用能设备节能分配!P:P,'Installation&amp;System Integration'!$A$1,用能设备节能分配!M:M,"2020")+SUMIFS(工业节能技术装备推荐目录!K:K,工业节能技术装备推荐目录!D:D,'Installation&amp;System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0.80765107801842906</v>
      </c>
      <c r="H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</v>
      </c>
      <c r="I25" s="75">
        <f>SUMIFS(工业节能技术装备推荐目录!K:K,工业节能技术装备推荐目录!D:D,'Installation&amp;System Integration'!A25,工业节能技术装备推荐目录!F:F,'Installation&amp;System Integration'!$A$1,工业节能技术装备推荐目录!A:A,"2022")+SUMIFS(用能设备节能分配!Q:Q,用能设备节能分配!O:O,'Installation&amp;System Integration'!A25,用能设备节能分配!P:P,'Installation&amp;System Integration'!$A$1,用能设备节能分配!M:M,"2022")</f>
        <v>0</v>
      </c>
      <c r="K25" s="53"/>
    </row>
    <row r="26" spans="1:12" x14ac:dyDescent="0.15">
      <c r="A26" s="26" t="s">
        <v>83</v>
      </c>
      <c r="B26" s="51">
        <f>SUMIFS(工业节能技术装备推荐目录!L:L,工业节能技术装备推荐目录!D:D,'Installation&amp;System Integration'!A26,工业节能技术装备推荐目录!F:F,'Installation&amp;System Integration'!$A$1)+SUMIFS(用能设备节能分配!R:R,用能设备节能分配!O:O,'Installation&amp;System Integration'!A26,用能设备节能分配!P:P,'Installation&amp;System Integration'!$A$1)</f>
        <v>5.8464711256300088</v>
      </c>
      <c r="C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</f>
        <v>0.23254736521972888</v>
      </c>
      <c r="D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</f>
        <v>0.7245758577938447</v>
      </c>
      <c r="E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0.7245758577938447</v>
      </c>
      <c r="F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Integration'!$A$1,工业节能技术装备推荐目录!A:A,"2021")+SUMIFS(用能设备节能分配!Q:Q,用能设备节能分配!O:O,'Installation&amp;System Integration'!A26,用能设备节能分配!P:P,'Installation&amp;System Integration'!$A$1,用能设备节能分配!M:M,"2021")+SUMIFS(工业节能技术装备推荐目录!K:K,工业节能技术装备推荐目录!D:D,'Installation&amp;System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0.7245758577938447</v>
      </c>
      <c r="G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Integration'!$A$1,工业节能技术装备推荐目录!A:A,"2020")+SUMIFS(用能设备节能分配!Q:Q,用能设备节能分配!O:O,'Installation&amp;System Integration'!A26,用能设备节能分配!P:P,'Installation&amp;System Integration'!$A$1,用能设备节能分配!M:M,"2020")+SUMIFS(工业节能技术装备推荐目录!K:K,工业节能技术装备推荐目录!D:D,'Installation&amp;System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0.23254736521972888</v>
      </c>
      <c r="H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</v>
      </c>
      <c r="I26" s="75">
        <f>SUMIFS(工业节能技术装备推荐目录!K:K,工业节能技术装备推荐目录!D:D,'Installation&amp;System Integration'!A26,工业节能技术装备推荐目录!F:F,'Installation&amp;System Integration'!$A$1,工业节能技术装备推荐目录!A:A,"2022")+SUMIFS(用能设备节能分配!Q:Q,用能设备节能分配!O:O,'Installation&amp;System Integration'!A26,用能设备节能分配!P:P,'Installation&amp;System Integration'!$A$1,用能设备节能分配!M:M,"2022")</f>
        <v>0</v>
      </c>
      <c r="K26" s="53"/>
    </row>
    <row r="27" spans="1:12" x14ac:dyDescent="0.15">
      <c r="A27" s="26" t="s">
        <v>55</v>
      </c>
      <c r="B27" s="51">
        <f>SUMIFS(工业节能技术装备推荐目录!L:L,工业节能技术装备推荐目录!D:D,'Installation&amp;System Integration'!A27,工业节能技术装备推荐目录!F:F,'Installation&amp;System Integration'!$A$1)+SUMIFS(用能设备节能分配!R:R,用能设备节能分配!O:O,'Installation&amp;System Integration'!A27,用能设备节能分配!P:P,'Installation&amp;System Integration'!$A$1)</f>
        <v>30.149988463012292</v>
      </c>
      <c r="C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</f>
        <v>1.1992362961893877</v>
      </c>
      <c r="D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</f>
        <v>3.7366050876899797</v>
      </c>
      <c r="E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3.7366050876899797</v>
      </c>
      <c r="F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Integration'!$A$1,工业节能技术装备推荐目录!A:A,"2021")+SUMIFS(用能设备节能分配!Q:Q,用能设备节能分配!O:O,'Installation&amp;System Integration'!A27,用能设备节能分配!P:P,'Installation&amp;System Integration'!$A$1,用能设备节能分配!M:M,"2021")+SUMIFS(工业节能技术装备推荐目录!K:K,工业节能技术装备推荐目录!D:D,'Installation&amp;System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3.7366050876899797</v>
      </c>
      <c r="G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Integration'!$A$1,工业节能技术装备推荐目录!A:A,"2020")+SUMIFS(用能设备节能分配!Q:Q,用能设备节能分配!O:O,'Installation&amp;System Integration'!A27,用能设备节能分配!P:P,'Installation&amp;System Integration'!$A$1,用能设备节能分配!M:M,"2020")+SUMIFS(工业节能技术装备推荐目录!K:K,工业节能技术装备推荐目录!D:D,'Installation&amp;System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1.1992362961893877</v>
      </c>
      <c r="H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0</v>
      </c>
      <c r="I27" s="75">
        <f>SUMIFS(工业节能技术装备推荐目录!K:K,工业节能技术装备推荐目录!D:D,'Installation&amp;System Integration'!A27,工业节能技术装备推荐目录!F:F,'Installation&amp;System Integration'!$A$1,工业节能技术装备推荐目录!A:A,"2022")+SUMIFS(用能设备节能分配!Q:Q,用能设备节能分配!O:O,'Installation&amp;System Integration'!A27,用能设备节能分配!P:P,'Installation&amp;System Integration'!$A$1,用能设备节能分配!M:M,"2022")</f>
        <v>0</v>
      </c>
      <c r="K27" s="53"/>
    </row>
    <row r="28" spans="1:12" x14ac:dyDescent="0.15">
      <c r="A28" s="63" t="s">
        <v>445</v>
      </c>
      <c r="B28" s="64">
        <f>SUM(B3:B27)</f>
        <v>3127.2223012156105</v>
      </c>
      <c r="C28" s="76">
        <f t="shared" ref="C28:I28" si="0">SUM(C3:C27)</f>
        <v>166.39999999999995</v>
      </c>
      <c r="D28" s="76">
        <f t="shared" si="0"/>
        <v>401.09922126172563</v>
      </c>
      <c r="E28" s="76">
        <f t="shared" si="0"/>
        <v>401.09922126172563</v>
      </c>
      <c r="F28" s="76">
        <f t="shared" si="0"/>
        <v>401.09922126172563</v>
      </c>
      <c r="G28" s="76">
        <f t="shared" si="0"/>
        <v>166.39999999999995</v>
      </c>
      <c r="H28" s="76">
        <f t="shared" si="0"/>
        <v>0</v>
      </c>
      <c r="I28" s="76">
        <f t="shared" si="0"/>
        <v>0</v>
      </c>
    </row>
    <row r="31" spans="1:12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</row>
    <row r="32" spans="1:12" x14ac:dyDescent="0.15">
      <c r="A32" s="26" t="s">
        <v>384</v>
      </c>
      <c r="B32" s="46">
        <v>2060</v>
      </c>
      <c r="C32" s="20">
        <v>2021</v>
      </c>
      <c r="D32" s="20">
        <v>2022</v>
      </c>
      <c r="E32" s="20">
        <v>2023</v>
      </c>
      <c r="F32" s="20">
        <v>2024</v>
      </c>
      <c r="G32" s="20">
        <v>2025</v>
      </c>
      <c r="H32" s="20">
        <v>2026</v>
      </c>
      <c r="I32" s="20">
        <v>2027</v>
      </c>
    </row>
    <row r="33" spans="1:9" x14ac:dyDescent="0.15">
      <c r="A33" s="26" t="s">
        <v>99</v>
      </c>
      <c r="B33" s="60">
        <f>B3*$K$2/BIFUbC!AQ2</f>
        <v>2.5900267228856182E-3</v>
      </c>
      <c r="C33" s="77">
        <f>C3*$K$2/BIFUbC!D2</f>
        <v>1.7593221911997833E-4</v>
      </c>
      <c r="D33" s="77">
        <f>D3*$K$2/BIFUbC!E2</f>
        <v>5.2794028036799278E-4</v>
      </c>
      <c r="E33" s="77">
        <f>E3*$K$2/BIFUbC!F2</f>
        <v>5.0755534411831493E-4</v>
      </c>
      <c r="F33" s="77">
        <f>F3*$K$2/BIFUbC!G2</f>
        <v>4.8540414258242654E-4</v>
      </c>
      <c r="G33" s="77">
        <f>G3*$K$2/BIFUbC!H2</f>
        <v>1.5233328597146392E-4</v>
      </c>
      <c r="H33" s="77">
        <f>H3*$K$2/BIFUbC!I2</f>
        <v>0</v>
      </c>
      <c r="I33" s="77">
        <f>I3*$K$2/BIFUbC!J2</f>
        <v>0</v>
      </c>
    </row>
    <row r="34" spans="1:9" x14ac:dyDescent="0.15">
      <c r="A34" s="26" t="s">
        <v>35</v>
      </c>
      <c r="B34" s="60">
        <f>B4*$K$2/BIFUbC!AQ3</f>
        <v>5.0470310290048146E-3</v>
      </c>
      <c r="C34" s="77">
        <f>C4*$K$2/BIFUbC!D3</f>
        <v>1.6985533221074728E-4</v>
      </c>
      <c r="D34" s="77">
        <f>D4*$K$2/BIFUbC!E3</f>
        <v>4.7904585835845023E-4</v>
      </c>
      <c r="E34" s="77">
        <f>E4*$K$2/BIFUbC!F3</f>
        <v>4.674635231846133E-4</v>
      </c>
      <c r="F34" s="77">
        <f>F4*$K$2/BIFUbC!G3</f>
        <v>4.5643132756861642E-4</v>
      </c>
      <c r="G34" s="77">
        <f>G4*$K$2/BIFUbC!H3</f>
        <v>1.4311189625022892E-4</v>
      </c>
      <c r="H34" s="77">
        <f>H4*$K$2/BIFUbC!I3</f>
        <v>0</v>
      </c>
      <c r="I34" s="77">
        <f>I4*$K$2/BIFUbC!J3</f>
        <v>0</v>
      </c>
    </row>
    <row r="35" spans="1:9" x14ac:dyDescent="0.15">
      <c r="A35" s="26" t="s">
        <v>67</v>
      </c>
      <c r="B35" s="60">
        <f>B5*$K$2/BIFUbC!AQ4</f>
        <v>3.994591589421807E-3</v>
      </c>
      <c r="C35" s="77">
        <f>C5*$K$2/BIFUbC!D4</f>
        <v>1.7696731995085814E-4</v>
      </c>
      <c r="D35" s="77">
        <f>D5*$K$2/BIFUbC!E4</f>
        <v>1.2872297116685433E-3</v>
      </c>
      <c r="E35" s="77">
        <f>E5*$K$2/BIFUbC!F4</f>
        <v>1.2372493485729098E-3</v>
      </c>
      <c r="F35" s="77">
        <f>F5*$K$2/BIFUbC!G4</f>
        <v>1.1913583789931841E-3</v>
      </c>
      <c r="G35" s="77">
        <f>G5*$K$2/BIFUbC!H4</f>
        <v>1.4952882696217073E-4</v>
      </c>
      <c r="H35" s="77">
        <f>H5*$K$2/BIFUbC!I4</f>
        <v>0</v>
      </c>
      <c r="I35" s="77">
        <f>I5*$K$2/BIFUbC!J4</f>
        <v>0</v>
      </c>
    </row>
    <row r="36" spans="1:9" x14ac:dyDescent="0.15">
      <c r="A36" s="26" t="s">
        <v>100</v>
      </c>
      <c r="B36" s="60">
        <f>B6*$K$2/BIFUbC!AQ5</f>
        <v>5.9941594033353952E-3</v>
      </c>
      <c r="C36" s="77">
        <f>C6*$K$2/BIFUbC!D5</f>
        <v>1.8648889531762476E-4</v>
      </c>
      <c r="D36" s="77">
        <f>D6*$K$2/BIFUbC!E5</f>
        <v>5.9472303063715158E-4</v>
      </c>
      <c r="E36" s="77">
        <f>E6*$K$2/BIFUbC!F5</f>
        <v>5.5958567070308642E-4</v>
      </c>
      <c r="F36" s="77">
        <f>F6*$K$2/BIFUbC!G5</f>
        <v>5.2859568057752845E-4</v>
      </c>
      <c r="G36" s="77">
        <f>G6*$K$2/BIFUbC!H5</f>
        <v>1.6081222627923992E-4</v>
      </c>
      <c r="H36" s="77">
        <f>H6*$K$2/BIFUbC!I5</f>
        <v>0</v>
      </c>
      <c r="I36" s="77">
        <f>I6*$K$2/BIFUbC!J5</f>
        <v>0</v>
      </c>
    </row>
    <row r="37" spans="1:9" x14ac:dyDescent="0.15">
      <c r="A37" s="26" t="s">
        <v>101</v>
      </c>
      <c r="B37" s="60">
        <f>B7*$K$2/BIFUbC!AQ6</f>
        <v>4.1083813166711194E-3</v>
      </c>
      <c r="C37" s="77">
        <f>C7*$K$2/BIFUbC!D6</f>
        <v>1.7253386017615957E-4</v>
      </c>
      <c r="D37" s="77">
        <f>D7*$K$2/BIFUbC!E6</f>
        <v>7.2801362946494838E-4</v>
      </c>
      <c r="E37" s="77">
        <f>E7*$K$2/BIFUbC!F6</f>
        <v>7.2390125621632744E-4</v>
      </c>
      <c r="F37" s="77">
        <f>F7*$K$2/BIFUbC!G6</f>
        <v>7.0840568972998033E-4</v>
      </c>
      <c r="G37" s="77">
        <f>G7*$K$2/BIFUbC!H6</f>
        <v>1.5758844604790622E-4</v>
      </c>
      <c r="H37" s="77">
        <f>H7*$K$2/BIFUbC!I6</f>
        <v>0</v>
      </c>
      <c r="I37" s="77">
        <f>I7*$K$2/BIFUbC!J6</f>
        <v>0</v>
      </c>
    </row>
    <row r="38" spans="1:9" x14ac:dyDescent="0.15">
      <c r="A38" s="26" t="s">
        <v>72</v>
      </c>
      <c r="B38" s="60">
        <f>B8*$K$2/BIFUbC!AQ7</f>
        <v>2.7251063601185684E-2</v>
      </c>
      <c r="C38" s="77">
        <f>C8*$K$2/BIFUbC!D7</f>
        <v>1.7218621783364624E-3</v>
      </c>
      <c r="D38" s="77">
        <f>D8*$K$2/BIFUbC!E7</f>
        <v>2.3640579024788956E-3</v>
      </c>
      <c r="E38" s="77">
        <f>E8*$K$2/BIFUbC!F7</f>
        <v>2.3661864324211273E-3</v>
      </c>
      <c r="F38" s="77">
        <f>F8*$K$2/BIFUbC!G7</f>
        <v>2.3534034990422858E-3</v>
      </c>
      <c r="G38" s="77">
        <f>G8*$K$2/BIFUbC!H7</f>
        <v>1.7240986864593831E-3</v>
      </c>
      <c r="H38" s="77">
        <f>H8*$K$2/BIFUbC!I7</f>
        <v>0</v>
      </c>
      <c r="I38" s="77">
        <f>I8*$K$2/BIFUbC!J7</f>
        <v>0</v>
      </c>
    </row>
    <row r="39" spans="1:9" x14ac:dyDescent="0.15">
      <c r="A39" s="26" t="s">
        <v>38</v>
      </c>
      <c r="B39" s="60">
        <f>B9*$K$2/BIFUbC!AQ8</f>
        <v>4.8897625806337205E-3</v>
      </c>
      <c r="C39" s="77">
        <f>C9*$K$2/BIFUbC!D8</f>
        <v>1.6449372370094285E-4</v>
      </c>
      <c r="D39" s="77">
        <f>D9*$K$2/BIFUbC!E8</f>
        <v>5.1801340362477878E-4</v>
      </c>
      <c r="E39" s="77">
        <f>E9*$K$2/BIFUbC!F8</f>
        <v>5.1808607393908723E-4</v>
      </c>
      <c r="F39" s="77">
        <f>F9*$K$2/BIFUbC!G8</f>
        <v>5.1402583378072218E-4</v>
      </c>
      <c r="G39" s="77">
        <f>G9*$K$2/BIFUbC!H8</f>
        <v>1.6280829671975764E-4</v>
      </c>
      <c r="H39" s="77">
        <f>H9*$K$2/BIFUbC!I8</f>
        <v>0</v>
      </c>
      <c r="I39" s="77">
        <f>I9*$K$2/BIFUbC!J8</f>
        <v>0</v>
      </c>
    </row>
    <row r="40" spans="1:9" x14ac:dyDescent="0.15">
      <c r="A40" s="26" t="s">
        <v>68</v>
      </c>
      <c r="B40" s="60">
        <f>B10*$K$2/BIFUbC!AQ9</f>
        <v>4.0925481342033217E-3</v>
      </c>
      <c r="C40" s="77">
        <f>C10*$K$2/BIFUbC!D9</f>
        <v>1.6929128379317035E-4</v>
      </c>
      <c r="D40" s="77">
        <f>D10*$K$2/BIFUbC!E9</f>
        <v>5.2618190813561133E-4</v>
      </c>
      <c r="E40" s="77">
        <f>E10*$K$2/BIFUbC!F9</f>
        <v>5.0503946619510692E-4</v>
      </c>
      <c r="F40" s="77">
        <f>F10*$K$2/BIFUbC!G9</f>
        <v>4.8429778259854149E-4</v>
      </c>
      <c r="G40" s="77">
        <f>G10*$K$2/BIFUbC!H9</f>
        <v>1.4912314490066617E-4</v>
      </c>
      <c r="H40" s="77">
        <f>H10*$K$2/BIFUbC!I9</f>
        <v>0</v>
      </c>
      <c r="I40" s="77">
        <f>I10*$K$2/BIFUbC!J9</f>
        <v>0</v>
      </c>
    </row>
    <row r="41" spans="1:9" x14ac:dyDescent="0.15">
      <c r="A41" s="26" t="s">
        <v>40</v>
      </c>
      <c r="B41" s="60">
        <f>B11*$K$2/BIFUbC!AQ10</f>
        <v>5.8426722354948772E-3</v>
      </c>
      <c r="C41" s="77">
        <f>C11*$K$2/BIFUbC!D10</f>
        <v>1.7684312874523861E-4</v>
      </c>
      <c r="D41" s="77">
        <f>D11*$K$2/BIFUbC!E10</f>
        <v>5.4067783612992771E-4</v>
      </c>
      <c r="E41" s="77">
        <f>E11*$K$2/BIFUbC!F10</f>
        <v>5.011120443318205E-4</v>
      </c>
      <c r="F41" s="77">
        <f>F11*$K$2/BIFUbC!G10</f>
        <v>4.6695989145363029E-4</v>
      </c>
      <c r="G41" s="77">
        <f>G11*$K$2/BIFUbC!H10</f>
        <v>1.4031021318585503E-4</v>
      </c>
      <c r="H41" s="77">
        <f>H11*$K$2/BIFUbC!I10</f>
        <v>0</v>
      </c>
      <c r="I41" s="77">
        <f>I11*$K$2/BIFUbC!J10</f>
        <v>0</v>
      </c>
    </row>
    <row r="42" spans="1:9" x14ac:dyDescent="0.15">
      <c r="A42" s="26" t="s">
        <v>41</v>
      </c>
      <c r="B42" s="60">
        <f>B12*$K$2/BIFUbC!AQ11</f>
        <v>7.5140978521275595E-3</v>
      </c>
      <c r="C42" s="77">
        <f>C12*$K$2/BIFUbC!D11</f>
        <v>1.5936402084249936E-4</v>
      </c>
      <c r="D42" s="77">
        <f>D12*$K$2/BIFUbC!E11</f>
        <v>1.1694543116035356E-3</v>
      </c>
      <c r="E42" s="77">
        <f>E12*$K$2/BIFUbC!F11</f>
        <v>1.0757864979492277E-3</v>
      </c>
      <c r="F42" s="77">
        <f>F12*$K$2/BIFUbC!G11</f>
        <v>9.9536032841339157E-4</v>
      </c>
      <c r="G42" s="77">
        <f>G12*$K$2/BIFUbC!H11</f>
        <v>1.2741267760844874E-4</v>
      </c>
      <c r="H42" s="77">
        <f>H12*$K$2/BIFUbC!I11</f>
        <v>0</v>
      </c>
      <c r="I42" s="77">
        <f>I12*$K$2/BIFUbC!J11</f>
        <v>0</v>
      </c>
    </row>
    <row r="43" spans="1:9" x14ac:dyDescent="0.15">
      <c r="A43" s="26" t="s">
        <v>42</v>
      </c>
      <c r="B43" s="60">
        <f>B13*$K$2/BIFUbC!AQ12</f>
        <v>3.982025970112618E-3</v>
      </c>
      <c r="C43" s="77">
        <f>C13*$K$2/BIFUbC!D12</f>
        <v>1.620674205443191E-4</v>
      </c>
      <c r="D43" s="77">
        <f>D13*$K$2/BIFUbC!E12</f>
        <v>5.0876958651569328E-4</v>
      </c>
      <c r="E43" s="77">
        <f>E13*$K$2/BIFUbC!F12</f>
        <v>5.0402368416853653E-4</v>
      </c>
      <c r="F43" s="77">
        <f>F13*$K$2/BIFUbC!G12</f>
        <v>4.8942707808512893E-4</v>
      </c>
      <c r="G43" s="77">
        <f>G13*$K$2/BIFUbC!H12</f>
        <v>1.514980057769113E-4</v>
      </c>
      <c r="H43" s="77">
        <f>H13*$K$2/BIFUbC!I12</f>
        <v>0</v>
      </c>
      <c r="I43" s="77">
        <f>I13*$K$2/BIFUbC!J12</f>
        <v>0</v>
      </c>
    </row>
    <row r="44" spans="1:9" x14ac:dyDescent="0.15">
      <c r="A44" s="26" t="s">
        <v>43</v>
      </c>
      <c r="B44" s="60">
        <f>B14*$K$2/BIFUbC!AQ13</f>
        <v>1.8291404900133228E-3</v>
      </c>
      <c r="C44" s="77">
        <f>C14*$K$2/BIFUbC!D13</f>
        <v>1.6690218402772673E-4</v>
      </c>
      <c r="D44" s="77">
        <f>D14*$K$2/BIFUbC!E13</f>
        <v>4.9662419861201679E-4</v>
      </c>
      <c r="E44" s="77">
        <f>E14*$K$2/BIFUbC!F13</f>
        <v>4.8784124932629792E-4</v>
      </c>
      <c r="F44" s="77">
        <f>F14*$K$2/BIFUbC!G13</f>
        <v>4.6431738595353688E-4</v>
      </c>
      <c r="G44" s="77">
        <f>G14*$K$2/BIFUbC!H13</f>
        <v>1.4037281584423331E-4</v>
      </c>
      <c r="H44" s="77">
        <f>H14*$K$2/BIFUbC!I13</f>
        <v>0</v>
      </c>
      <c r="I44" s="77">
        <f>I14*$K$2/BIFUbC!J13</f>
        <v>0</v>
      </c>
    </row>
    <row r="45" spans="1:9" x14ac:dyDescent="0.15">
      <c r="A45" s="26" t="s">
        <v>56</v>
      </c>
      <c r="B45" s="60">
        <f>B15*$K$2/BIFUbC!AQ14</f>
        <v>7.1147009721414045E-3</v>
      </c>
      <c r="C45" s="77">
        <f>C15*$K$2/BIFUbC!D14</f>
        <v>1.718945438215582E-4</v>
      </c>
      <c r="D45" s="77">
        <f>D15*$K$2/BIFUbC!E14</f>
        <v>5.969721074983006E-4</v>
      </c>
      <c r="E45" s="77">
        <f>E15*$K$2/BIFUbC!F14</f>
        <v>5.7380136010261654E-4</v>
      </c>
      <c r="F45" s="77">
        <f>F15*$K$2/BIFUbC!G14</f>
        <v>5.524773289215173E-4</v>
      </c>
      <c r="G45" s="77">
        <f>G15*$K$2/BIFUbC!H14</f>
        <v>1.7099463418233292E-4</v>
      </c>
      <c r="H45" s="77">
        <f>H15*$K$2/BIFUbC!I14</f>
        <v>0</v>
      </c>
      <c r="I45" s="77">
        <f>I15*$K$2/BIFUbC!J14</f>
        <v>0</v>
      </c>
    </row>
    <row r="46" spans="1:9" x14ac:dyDescent="0.15">
      <c r="A46" s="26" t="s">
        <v>45</v>
      </c>
      <c r="B46" s="60">
        <f>B16*$K$2/BIFUbC!AQ15</f>
        <v>1.500179316496756E-2</v>
      </c>
      <c r="C46" s="77">
        <f>C16*$K$2/BIFUbC!D15</f>
        <v>1.0320376800080288E-3</v>
      </c>
      <c r="D46" s="77">
        <f>D16*$K$2/BIFUbC!E15</f>
        <v>1.6761894268698474E-3</v>
      </c>
      <c r="E46" s="77">
        <f>E16*$K$2/BIFUbC!F15</f>
        <v>1.5574584890724269E-3</v>
      </c>
      <c r="F46" s="77">
        <f>F16*$K$2/BIFUbC!G15</f>
        <v>1.4549958349111668E-3</v>
      </c>
      <c r="G46" s="77">
        <f>G16*$K$2/BIFUbC!H15</f>
        <v>8.5752540972131171E-4</v>
      </c>
      <c r="H46" s="77">
        <f>H16*$K$2/BIFUbC!I15</f>
        <v>0</v>
      </c>
      <c r="I46" s="77">
        <f>I16*$K$2/BIFUbC!J15</f>
        <v>0</v>
      </c>
    </row>
    <row r="47" spans="1:9" x14ac:dyDescent="0.15">
      <c r="A47" s="26" t="s">
        <v>46</v>
      </c>
      <c r="B47" s="60">
        <f>B17*$K$2/BIFUbC!AQ16</f>
        <v>4.0207466775186535E-3</v>
      </c>
      <c r="C47" s="77">
        <f>C17*$K$2/BIFUbC!D16</f>
        <v>1.7036228146412137E-4</v>
      </c>
      <c r="D47" s="77">
        <f>D17*$K$2/BIFUbC!E16</f>
        <v>7.1490107923667884E-4</v>
      </c>
      <c r="E47" s="77">
        <f>E17*$K$2/BIFUbC!F16</f>
        <v>6.6175831343803478E-4</v>
      </c>
      <c r="F47" s="77">
        <f>F17*$K$2/BIFUbC!G16</f>
        <v>6.1623516595067337E-4</v>
      </c>
      <c r="G47" s="77">
        <f>G17*$K$2/BIFUbC!H16</f>
        <v>1.3215347921874277E-4</v>
      </c>
      <c r="H47" s="77">
        <f>H17*$K$2/BIFUbC!I16</f>
        <v>0</v>
      </c>
      <c r="I47" s="77">
        <f>I17*$K$2/BIFUbC!J16</f>
        <v>0</v>
      </c>
    </row>
    <row r="48" spans="1:9" x14ac:dyDescent="0.15">
      <c r="A48" s="26" t="s">
        <v>47</v>
      </c>
      <c r="B48" s="60">
        <f>B18*$K$2/BIFUbC!AQ17</f>
        <v>2.8248434551034931E-3</v>
      </c>
      <c r="C48" s="77">
        <f>C18*$K$2/BIFUbC!D17</f>
        <v>1.4623672500605652E-4</v>
      </c>
      <c r="D48" s="77">
        <f>D18*$K$2/BIFUbC!E17</f>
        <v>4.526218920347082E-4</v>
      </c>
      <c r="E48" s="77">
        <f>E18*$K$2/BIFUbC!F17</f>
        <v>4.488639822493432E-4</v>
      </c>
      <c r="F48" s="77">
        <f>F18*$K$2/BIFUbC!G17</f>
        <v>4.3691418994227436E-4</v>
      </c>
      <c r="G48" s="77">
        <f>G18*$K$2/BIFUbC!H17</f>
        <v>1.3561358338174624E-4</v>
      </c>
      <c r="H48" s="77">
        <f>H18*$K$2/BIFUbC!I17</f>
        <v>0</v>
      </c>
      <c r="I48" s="77">
        <f>I18*$K$2/BIFUbC!J17</f>
        <v>0</v>
      </c>
    </row>
    <row r="49" spans="1:9" x14ac:dyDescent="0.15">
      <c r="A49" s="26" t="s">
        <v>48</v>
      </c>
      <c r="B49" s="60">
        <f>B19*$K$2/BIFUbC!AQ18</f>
        <v>1.3203020116176556E-3</v>
      </c>
      <c r="C49" s="77">
        <f>C19*$K$2/BIFUbC!D18</f>
        <v>1.5324675351233521E-4</v>
      </c>
      <c r="D49" s="77">
        <f>D19*$K$2/BIFUbC!E18</f>
        <v>4.3961375681273547E-4</v>
      </c>
      <c r="E49" s="77">
        <f>E19*$K$2/BIFUbC!F18</f>
        <v>4.3002754527771505E-4</v>
      </c>
      <c r="F49" s="77">
        <f>F19*$K$2/BIFUbC!G18</f>
        <v>4.0561616939453418E-4</v>
      </c>
      <c r="G49" s="77">
        <f>G19*$K$2/BIFUbC!H18</f>
        <v>1.2160656697625467E-4</v>
      </c>
      <c r="H49" s="77">
        <f>H19*$K$2/BIFUbC!I18</f>
        <v>0</v>
      </c>
      <c r="I49" s="77">
        <f>I19*$K$2/BIFUbC!J18</f>
        <v>0</v>
      </c>
    </row>
    <row r="50" spans="1:9" x14ac:dyDescent="0.15">
      <c r="A50" s="26" t="s">
        <v>49</v>
      </c>
      <c r="B50" s="60">
        <f>B20*$K$2/BIFUbC!AQ19</f>
        <v>1.1173151868863148E-3</v>
      </c>
      <c r="C50" s="77">
        <f>C20*$K$2/BIFUbC!D19</f>
        <v>1.3756016230121284E-4</v>
      </c>
      <c r="D50" s="77">
        <f>D20*$K$2/BIFUbC!E19</f>
        <v>3.7896668673346139E-4</v>
      </c>
      <c r="E50" s="77">
        <f>E20*$K$2/BIFUbC!F19</f>
        <v>3.6905901055813063E-4</v>
      </c>
      <c r="F50" s="77">
        <f>F20*$K$2/BIFUbC!G19</f>
        <v>3.4415260969065177E-4</v>
      </c>
      <c r="G50" s="77">
        <f>G20*$K$2/BIFUbC!H19</f>
        <v>1.0158532164061137E-4</v>
      </c>
      <c r="H50" s="77">
        <f>H20*$K$2/BIFUbC!I19</f>
        <v>0</v>
      </c>
      <c r="I50" s="77">
        <f>I20*$K$2/BIFUbC!J19</f>
        <v>0</v>
      </c>
    </row>
    <row r="51" spans="1:9" x14ac:dyDescent="0.15">
      <c r="A51" s="26" t="s">
        <v>50</v>
      </c>
      <c r="B51" s="60">
        <f>B21*$K$2/BIFUbC!AQ20</f>
        <v>2.8453740748183975E-3</v>
      </c>
      <c r="C51" s="77">
        <f>C21*$K$2/BIFUbC!D20</f>
        <v>1.5705588493193011E-4</v>
      </c>
      <c r="D51" s="77">
        <f>D21*$K$2/BIFUbC!E20</f>
        <v>4.4716016112012884E-4</v>
      </c>
      <c r="E51" s="77">
        <f>E21*$K$2/BIFUbC!F20</f>
        <v>4.4446549750965799E-4</v>
      </c>
      <c r="F51" s="77">
        <f>F21*$K$2/BIFUbC!G20</f>
        <v>4.3454191224561134E-4</v>
      </c>
      <c r="G51" s="77">
        <f>G21*$K$2/BIFUbC!H20</f>
        <v>1.3525795883187624E-4</v>
      </c>
      <c r="H51" s="77">
        <f>H21*$K$2/BIFUbC!I20</f>
        <v>0</v>
      </c>
      <c r="I51" s="77">
        <f>I21*$K$2/BIFUbC!J20</f>
        <v>0</v>
      </c>
    </row>
    <row r="52" spans="1:9" x14ac:dyDescent="0.15">
      <c r="A52" s="26" t="s">
        <v>81</v>
      </c>
      <c r="B52" s="60">
        <f>B22*$K$2/BIFUbC!AQ21</f>
        <v>2.9068266318527988E-3</v>
      </c>
      <c r="C52" s="77">
        <f>C22*$K$2/BIFUbC!D21</f>
        <v>1.6236365356872708E-4</v>
      </c>
      <c r="D52" s="77">
        <f>D22*$K$2/BIFUbC!E21</f>
        <v>4.9126827166650873E-4</v>
      </c>
      <c r="E52" s="77">
        <f>E22*$K$2/BIFUbC!F21</f>
        <v>4.5373924131665409E-4</v>
      </c>
      <c r="F52" s="77">
        <f>F22*$K$2/BIFUbC!G21</f>
        <v>4.2176318528612902E-4</v>
      </c>
      <c r="G52" s="77">
        <f>G22*$K$2/BIFUbC!H21</f>
        <v>1.2651395063020696E-4</v>
      </c>
      <c r="H52" s="77">
        <f>H22*$K$2/BIFUbC!I21</f>
        <v>0</v>
      </c>
      <c r="I52" s="77">
        <f>I22*$K$2/BIFUbC!J21</f>
        <v>0</v>
      </c>
    </row>
    <row r="53" spans="1:9" x14ac:dyDescent="0.15">
      <c r="A53" s="26" t="s">
        <v>71</v>
      </c>
      <c r="B53" s="60">
        <f>B23*$K$2/BIFUbC!AQ22</f>
        <v>0.16181836353153747</v>
      </c>
      <c r="C53" s="77">
        <f>C23*$K$2/BIFUbC!D22</f>
        <v>2.4822768120229613E-2</v>
      </c>
      <c r="D53" s="77">
        <f>D23*$K$2/BIFUbC!E22</f>
        <v>2.4324706741228667E-2</v>
      </c>
      <c r="E53" s="77">
        <f>E23*$K$2/BIFUbC!F22</f>
        <v>2.423200661532688E-2</v>
      </c>
      <c r="F53" s="77">
        <f>F23*$K$2/BIFUbC!G22</f>
        <v>2.3840399618241186E-2</v>
      </c>
      <c r="G53" s="77">
        <f>G23*$K$2/BIFUbC!H22</f>
        <v>2.3020232618849876E-2</v>
      </c>
      <c r="H53" s="77">
        <f>H23*$K$2/BIFUbC!I22</f>
        <v>0</v>
      </c>
      <c r="I53" s="77">
        <f>I23*$K$2/BIFUbC!J22</f>
        <v>0</v>
      </c>
    </row>
    <row r="54" spans="1:9" x14ac:dyDescent="0.15">
      <c r="A54" s="26" t="s">
        <v>53</v>
      </c>
      <c r="B54" s="60">
        <f>B24*$K$2/BIFUbC!AQ23</f>
        <v>2.5735313189894755E-3</v>
      </c>
      <c r="C54" s="77">
        <f>C24*$K$2/BIFUbC!D23</f>
        <v>1.3846321670100463E-4</v>
      </c>
      <c r="D54" s="77">
        <f>D24*$K$2/BIFUbC!E23</f>
        <v>4.3202605240453678E-4</v>
      </c>
      <c r="E54" s="77">
        <f>E24*$K$2/BIFUbC!F23</f>
        <v>4.2807525422695723E-4</v>
      </c>
      <c r="F54" s="77">
        <f>F24*$K$2/BIFUbC!G23</f>
        <v>4.1585044178512752E-4</v>
      </c>
      <c r="G54" s="77">
        <f>G24*$K$2/BIFUbC!H23</f>
        <v>1.2877470337989809E-4</v>
      </c>
      <c r="H54" s="77">
        <f>H24*$K$2/BIFUbC!I23</f>
        <v>0</v>
      </c>
      <c r="I54" s="77">
        <f>I24*$K$2/BIFUbC!J23</f>
        <v>0</v>
      </c>
    </row>
    <row r="55" spans="1:9" x14ac:dyDescent="0.15">
      <c r="A55" s="26" t="s">
        <v>76</v>
      </c>
      <c r="B55" s="60">
        <f>B25*$K$2/BIFUbC!AQ24</f>
        <v>4.4187208093595819E-4</v>
      </c>
      <c r="C55" s="77">
        <f>C25*$K$2/BIFUbC!D24</f>
        <v>1.1158430351030125E-4</v>
      </c>
      <c r="D55" s="77">
        <f>D25*$K$2/BIFUbC!E24</f>
        <v>3.3009153138834177E-4</v>
      </c>
      <c r="E55" s="77">
        <f>E25*$K$2/BIFUbC!F24</f>
        <v>3.1587688960651355E-4</v>
      </c>
      <c r="F55" s="77">
        <f>F25*$K$2/BIFUbC!G24</f>
        <v>2.8430024704278166E-4</v>
      </c>
      <c r="G55" s="77">
        <f>G25*$K$2/BIFUbC!H24</f>
        <v>7.8598605906305769E-5</v>
      </c>
      <c r="H55" s="77">
        <f>H25*$K$2/BIFUbC!I24</f>
        <v>0</v>
      </c>
      <c r="I55" s="77">
        <f>I25*$K$2/BIFUbC!J24</f>
        <v>0</v>
      </c>
    </row>
    <row r="56" spans="1:9" x14ac:dyDescent="0.15">
      <c r="A56" s="26" t="s">
        <v>83</v>
      </c>
      <c r="B56" s="60">
        <f>B26*$K$2/BIFUbC!AQ25</f>
        <v>7.8891929672203769E-4</v>
      </c>
      <c r="C56" s="77">
        <f>C26*$K$2/BIFUbC!D25</f>
        <v>1.433864106123975E-4</v>
      </c>
      <c r="D56" s="77">
        <f>D26*$K$2/BIFUbC!E25</f>
        <v>3.9721735468433735E-4</v>
      </c>
      <c r="E56" s="77">
        <f>E26*$K$2/BIFUbC!F25</f>
        <v>3.8613039594732825E-4</v>
      </c>
      <c r="F56" s="77">
        <f>F26*$K$2/BIFUbC!G25</f>
        <v>3.5828327587657065E-4</v>
      </c>
      <c r="G56" s="77">
        <f>G26*$K$2/BIFUbC!H25</f>
        <v>1.0497658811854648E-4</v>
      </c>
      <c r="H56" s="77">
        <f>H26*$K$2/BIFUbC!I25</f>
        <v>0</v>
      </c>
      <c r="I56" s="77">
        <f>I26*$K$2/BIFUbC!J25</f>
        <v>0</v>
      </c>
    </row>
    <row r="57" spans="1:9" x14ac:dyDescent="0.15">
      <c r="A57" s="26" t="s">
        <v>55</v>
      </c>
      <c r="B57" s="60">
        <f>B27*$K$2/BIFUbC!AQ26</f>
        <v>2.1651484181965711E-3</v>
      </c>
      <c r="C57" s="77">
        <f>C27*$K$2/BIFUbC!D26</f>
        <v>1.6853520158490351E-4</v>
      </c>
      <c r="D57" s="77">
        <f>D27*$K$2/BIFUbC!E26</f>
        <v>5.1703518007432502E-4</v>
      </c>
      <c r="E57" s="77">
        <f>E27*$K$2/BIFUbC!F26</f>
        <v>4.9257771141535394E-4</v>
      </c>
      <c r="F57" s="77">
        <f>F27*$K$2/BIFUbC!G26</f>
        <v>4.6936447687385464E-4</v>
      </c>
      <c r="G57" s="77">
        <f>G27*$K$2/BIFUbC!H26</f>
        <v>1.4488571524727735E-4</v>
      </c>
      <c r="H57" s="77">
        <f>H27*$K$2/BIFUbC!I26</f>
        <v>0</v>
      </c>
      <c r="I57" s="77">
        <f>I27*$K$2/BIFUbC!J26</f>
        <v>0</v>
      </c>
    </row>
    <row r="58" spans="1:9" x14ac:dyDescent="0.15">
      <c r="A58" s="63" t="s">
        <v>446</v>
      </c>
      <c r="B58" s="66">
        <f>B28*$K$2/SUM(BIFUbC!AQ2:AQ26)</f>
        <v>6.1876304165674528E-3</v>
      </c>
      <c r="C58" s="88">
        <f>C28*$K$2/SUM(BIFUbC!D2:D26)</f>
        <v>3.3821339421217996E-4</v>
      </c>
      <c r="D58" s="88">
        <f>D28*$K$2/SUM(BIFUbC!E2:E26)</f>
        <v>7.9991779695566772E-4</v>
      </c>
      <c r="E58" s="88">
        <f>E28*$K$2/SUM(BIFUbC!F2:F26)</f>
        <v>7.5260915468993784E-4</v>
      </c>
      <c r="F58" s="88">
        <f>F28*$K$2/SUM(BIFUbC!G2:G26)</f>
        <v>7.0893356249942217E-4</v>
      </c>
      <c r="G58" s="88">
        <f>G28*$K$2/SUM(BIFUbC!H2:H26)</f>
        <v>2.7780802052401911E-4</v>
      </c>
      <c r="H58" s="88">
        <f>H28*$K$2/SUM(BIFUbC!I2:I26)</f>
        <v>0</v>
      </c>
      <c r="I58" s="88">
        <f>I28*$K$2/SUM(BIFUbC!J2:J26)</f>
        <v>0</v>
      </c>
    </row>
    <row r="61" spans="1:9" x14ac:dyDescent="0.15">
      <c r="A61" s="52" t="s">
        <v>103</v>
      </c>
      <c r="B61" s="52" t="s">
        <v>440</v>
      </c>
      <c r="C61" s="52"/>
      <c r="D61" s="52"/>
      <c r="E61" s="52"/>
      <c r="F61" s="52"/>
      <c r="G61" s="52"/>
      <c r="H61" s="52"/>
      <c r="I61" s="52"/>
    </row>
    <row r="62" spans="1:9" x14ac:dyDescent="0.15">
      <c r="A62" s="26" t="s">
        <v>384</v>
      </c>
      <c r="B62" s="46">
        <v>2060</v>
      </c>
      <c r="C62" s="20">
        <v>2021</v>
      </c>
      <c r="D62" s="20">
        <v>2022</v>
      </c>
      <c r="E62" s="20">
        <v>2023</v>
      </c>
      <c r="F62" s="20">
        <v>2024</v>
      </c>
      <c r="G62" s="20">
        <v>2025</v>
      </c>
      <c r="H62" s="20">
        <v>2026</v>
      </c>
      <c r="I62" s="20">
        <v>2027</v>
      </c>
    </row>
    <row r="63" spans="1:9" x14ac:dyDescent="0.15">
      <c r="A63" s="26" t="s">
        <v>99</v>
      </c>
      <c r="B63" s="59">
        <v>1</v>
      </c>
      <c r="C63" s="78">
        <f>C33/$B33</f>
        <v>6.7926796880291462E-2</v>
      </c>
      <c r="D63" s="78">
        <f t="shared" ref="D63:I63" si="1">D33/$B33</f>
        <v>0.20383584296759702</v>
      </c>
      <c r="E63" s="78">
        <f t="shared" si="1"/>
        <v>0.19596529241707356</v>
      </c>
      <c r="F63" s="78">
        <f t="shared" si="1"/>
        <v>0.18741279319374157</v>
      </c>
      <c r="G63" s="78">
        <f t="shared" si="1"/>
        <v>5.8815333689586538E-2</v>
      </c>
      <c r="H63" s="78">
        <f t="shared" si="1"/>
        <v>0</v>
      </c>
      <c r="I63" s="78">
        <f t="shared" si="1"/>
        <v>0</v>
      </c>
    </row>
    <row r="64" spans="1:9" x14ac:dyDescent="0.15">
      <c r="A64" s="26" t="s">
        <v>35</v>
      </c>
      <c r="B64" s="59">
        <v>1</v>
      </c>
      <c r="C64" s="78">
        <f t="shared" ref="C64:I64" si="2">C34/$B34</f>
        <v>3.3654505239734928E-2</v>
      </c>
      <c r="D64" s="78">
        <f t="shared" si="2"/>
        <v>9.4916368773129894E-2</v>
      </c>
      <c r="E64" s="78">
        <f t="shared" si="2"/>
        <v>9.2621487860515259E-2</v>
      </c>
      <c r="F64" s="78">
        <f t="shared" si="2"/>
        <v>9.0435609558480679E-2</v>
      </c>
      <c r="G64" s="78">
        <f t="shared" si="2"/>
        <v>2.8355660075751122E-2</v>
      </c>
      <c r="H64" s="78">
        <f t="shared" si="2"/>
        <v>0</v>
      </c>
      <c r="I64" s="78">
        <f t="shared" si="2"/>
        <v>0</v>
      </c>
    </row>
    <row r="65" spans="1:9" x14ac:dyDescent="0.15">
      <c r="A65" s="26" t="s">
        <v>67</v>
      </c>
      <c r="B65" s="59">
        <v>1</v>
      </c>
      <c r="C65" s="78">
        <f t="shared" ref="C65:I65" si="3">C35/$B35</f>
        <v>4.4301730474647368E-2</v>
      </c>
      <c r="D65" s="78">
        <f t="shared" si="3"/>
        <v>0.32224313371041319</v>
      </c>
      <c r="E65" s="78">
        <f t="shared" si="3"/>
        <v>0.30973112541700271</v>
      </c>
      <c r="F65" s="78">
        <f t="shared" si="3"/>
        <v>0.29824284969408499</v>
      </c>
      <c r="G65" s="78">
        <f t="shared" si="3"/>
        <v>3.7432819755126488E-2</v>
      </c>
      <c r="H65" s="78">
        <f t="shared" si="3"/>
        <v>0</v>
      </c>
      <c r="I65" s="78">
        <f t="shared" si="3"/>
        <v>0</v>
      </c>
    </row>
    <row r="66" spans="1:9" x14ac:dyDescent="0.15">
      <c r="A66" s="26" t="s">
        <v>100</v>
      </c>
      <c r="B66" s="59">
        <v>1</v>
      </c>
      <c r="C66" s="78">
        <f t="shared" ref="C66:I66" si="4">C36/$B36</f>
        <v>3.1111767767446209E-2</v>
      </c>
      <c r="D66" s="78">
        <f t="shared" si="4"/>
        <v>9.9217086270048702E-2</v>
      </c>
      <c r="E66" s="78">
        <f t="shared" si="4"/>
        <v>9.3355153416792694E-2</v>
      </c>
      <c r="F66" s="78">
        <f t="shared" si="4"/>
        <v>8.8185122384866213E-2</v>
      </c>
      <c r="G66" s="78">
        <f t="shared" si="4"/>
        <v>2.6828153116808577E-2</v>
      </c>
      <c r="H66" s="78">
        <f t="shared" si="4"/>
        <v>0</v>
      </c>
      <c r="I66" s="78">
        <f t="shared" si="4"/>
        <v>0</v>
      </c>
    </row>
    <row r="67" spans="1:9" x14ac:dyDescent="0.15">
      <c r="A67" s="26" t="s">
        <v>101</v>
      </c>
      <c r="B67" s="59">
        <v>1</v>
      </c>
      <c r="C67" s="78">
        <f t="shared" ref="C67:I67" si="5">C37/$B37</f>
        <v>4.1995580954485953E-2</v>
      </c>
      <c r="D67" s="78">
        <f t="shared" si="5"/>
        <v>0.17720205924187019</v>
      </c>
      <c r="E67" s="78">
        <f t="shared" si="5"/>
        <v>0.17620108758621261</v>
      </c>
      <c r="F67" s="78">
        <f t="shared" si="5"/>
        <v>0.17242939131657262</v>
      </c>
      <c r="G67" s="78">
        <f t="shared" si="5"/>
        <v>3.8357794445330294E-2</v>
      </c>
      <c r="H67" s="78">
        <f t="shared" si="5"/>
        <v>0</v>
      </c>
      <c r="I67" s="78">
        <f t="shared" si="5"/>
        <v>0</v>
      </c>
    </row>
    <row r="68" spans="1:9" x14ac:dyDescent="0.15">
      <c r="A68" s="26" t="s">
        <v>72</v>
      </c>
      <c r="B68" s="59">
        <v>1</v>
      </c>
      <c r="C68" s="78">
        <f t="shared" ref="C68:I68" si="6">C38/$B38</f>
        <v>6.3185136680740231E-2</v>
      </c>
      <c r="D68" s="78">
        <f t="shared" si="6"/>
        <v>8.6751032439557202E-2</v>
      </c>
      <c r="E68" s="78">
        <f t="shared" si="6"/>
        <v>8.6829140581440478E-2</v>
      </c>
      <c r="F68" s="78">
        <f t="shared" si="6"/>
        <v>8.6360060417601095E-2</v>
      </c>
      <c r="G68" s="78">
        <f t="shared" si="6"/>
        <v>6.326720717001183E-2</v>
      </c>
      <c r="H68" s="78">
        <f t="shared" si="6"/>
        <v>0</v>
      </c>
      <c r="I68" s="78">
        <f t="shared" si="6"/>
        <v>0</v>
      </c>
    </row>
    <row r="69" spans="1:9" x14ac:dyDescent="0.15">
      <c r="A69" s="26" t="s">
        <v>38</v>
      </c>
      <c r="B69" s="59">
        <v>1</v>
      </c>
      <c r="C69" s="78">
        <f t="shared" ref="C69:I69" si="7">C39/$B39</f>
        <v>3.3640431613680563E-2</v>
      </c>
      <c r="D69" s="78">
        <f t="shared" si="7"/>
        <v>0.10593835489608648</v>
      </c>
      <c r="E69" s="78">
        <f t="shared" si="7"/>
        <v>0.10595321662262434</v>
      </c>
      <c r="F69" s="78">
        <f t="shared" si="7"/>
        <v>0.10512286134638947</v>
      </c>
      <c r="G69" s="78">
        <f t="shared" si="7"/>
        <v>3.3295746784224735E-2</v>
      </c>
      <c r="H69" s="78">
        <f t="shared" si="7"/>
        <v>0</v>
      </c>
      <c r="I69" s="78">
        <f t="shared" si="7"/>
        <v>0</v>
      </c>
    </row>
    <row r="70" spans="1:9" x14ac:dyDescent="0.15">
      <c r="A70" s="26" t="s">
        <v>68</v>
      </c>
      <c r="B70" s="59">
        <v>1</v>
      </c>
      <c r="C70" s="78">
        <f t="shared" ref="C70:I70" si="8">C40/$B40</f>
        <v>4.1365740424241959E-2</v>
      </c>
      <c r="D70" s="78">
        <f t="shared" si="8"/>
        <v>0.12857073170088465</v>
      </c>
      <c r="E70" s="78">
        <f t="shared" si="8"/>
        <v>0.12340464904352816</v>
      </c>
      <c r="F70" s="78">
        <f t="shared" si="8"/>
        <v>0.11833649030320265</v>
      </c>
      <c r="G70" s="78">
        <f t="shared" si="8"/>
        <v>3.6437725351199886E-2</v>
      </c>
      <c r="H70" s="78">
        <f t="shared" si="8"/>
        <v>0</v>
      </c>
      <c r="I70" s="78">
        <f t="shared" si="8"/>
        <v>0</v>
      </c>
    </row>
    <row r="71" spans="1:9" x14ac:dyDescent="0.15">
      <c r="A71" s="26" t="s">
        <v>40</v>
      </c>
      <c r="B71" s="59">
        <v>1</v>
      </c>
      <c r="C71" s="78">
        <f t="shared" ref="C71:I71" si="9">C41/$B41</f>
        <v>3.0267508019857271E-2</v>
      </c>
      <c r="D71" s="78">
        <f t="shared" si="9"/>
        <v>9.2539477543383375E-2</v>
      </c>
      <c r="E71" s="78">
        <f t="shared" si="9"/>
        <v>8.5767611827942306E-2</v>
      </c>
      <c r="F71" s="78">
        <f t="shared" si="9"/>
        <v>7.9922315103831687E-2</v>
      </c>
      <c r="G71" s="78">
        <f t="shared" si="9"/>
        <v>2.4014732904826499E-2</v>
      </c>
      <c r="H71" s="78">
        <f t="shared" si="9"/>
        <v>0</v>
      </c>
      <c r="I71" s="78">
        <f t="shared" si="9"/>
        <v>0</v>
      </c>
    </row>
    <row r="72" spans="1:9" x14ac:dyDescent="0.15">
      <c r="A72" s="26" t="s">
        <v>41</v>
      </c>
      <c r="B72" s="59">
        <v>1</v>
      </c>
      <c r="C72" s="78">
        <f t="shared" ref="C72:I72" si="10">C42/$B42</f>
        <v>2.12086698867485E-2</v>
      </c>
      <c r="D72" s="78">
        <f t="shared" si="10"/>
        <v>0.15563469289562334</v>
      </c>
      <c r="E72" s="78">
        <f t="shared" si="10"/>
        <v>0.14316908285199226</v>
      </c>
      <c r="F72" s="78">
        <f t="shared" si="10"/>
        <v>0.1324657128508864</v>
      </c>
      <c r="G72" s="78">
        <f t="shared" si="10"/>
        <v>1.6956483681187733E-2</v>
      </c>
      <c r="H72" s="78">
        <f t="shared" si="10"/>
        <v>0</v>
      </c>
      <c r="I72" s="78">
        <f t="shared" si="10"/>
        <v>0</v>
      </c>
    </row>
    <row r="73" spans="1:9" x14ac:dyDescent="0.15">
      <c r="A73" s="26" t="s">
        <v>42</v>
      </c>
      <c r="B73" s="59">
        <v>1</v>
      </c>
      <c r="C73" s="78">
        <f t="shared" ref="C73:I73" si="11">C43/$B43</f>
        <v>4.069973972061653E-2</v>
      </c>
      <c r="D73" s="78">
        <f t="shared" si="11"/>
        <v>0.12776651642513132</v>
      </c>
      <c r="E73" s="78">
        <f t="shared" si="11"/>
        <v>0.12657468533643992</v>
      </c>
      <c r="F73" s="78">
        <f t="shared" si="11"/>
        <v>0.12290906231113484</v>
      </c>
      <c r="G73" s="78">
        <f t="shared" si="11"/>
        <v>3.8045458998507413E-2</v>
      </c>
      <c r="H73" s="78">
        <f t="shared" si="11"/>
        <v>0</v>
      </c>
      <c r="I73" s="78">
        <f t="shared" si="11"/>
        <v>0</v>
      </c>
    </row>
    <row r="74" spans="1:9" x14ac:dyDescent="0.15">
      <c r="A74" s="26" t="s">
        <v>43</v>
      </c>
      <c r="B74" s="59">
        <v>1</v>
      </c>
      <c r="C74" s="78">
        <f t="shared" ref="C74:I74" si="12">C44/$B44</f>
        <v>9.1246235561988506E-2</v>
      </c>
      <c r="D74" s="78">
        <f t="shared" si="12"/>
        <v>0.2715068641930285</v>
      </c>
      <c r="E74" s="78">
        <f t="shared" si="12"/>
        <v>0.2667051831118476</v>
      </c>
      <c r="F74" s="78">
        <f t="shared" si="12"/>
        <v>0.25384457262227844</v>
      </c>
      <c r="G74" s="78">
        <f t="shared" si="12"/>
        <v>7.674250097826596E-2</v>
      </c>
      <c r="H74" s="78">
        <f t="shared" si="12"/>
        <v>0</v>
      </c>
      <c r="I74" s="78">
        <f t="shared" si="12"/>
        <v>0</v>
      </c>
    </row>
    <row r="75" spans="1:9" x14ac:dyDescent="0.15">
      <c r="A75" s="26" t="s">
        <v>56</v>
      </c>
      <c r="B75" s="59">
        <v>1</v>
      </c>
      <c r="C75" s="78">
        <f t="shared" ref="C75:I75" si="13">C45/$B45</f>
        <v>2.4160473433055732E-2</v>
      </c>
      <c r="D75" s="78">
        <f t="shared" si="13"/>
        <v>8.3906844410724699E-2</v>
      </c>
      <c r="E75" s="78">
        <f t="shared" si="13"/>
        <v>8.0650102140541829E-2</v>
      </c>
      <c r="F75" s="78">
        <f t="shared" si="13"/>
        <v>7.7652923304130234E-2</v>
      </c>
      <c r="G75" s="78">
        <f t="shared" si="13"/>
        <v>2.4033987493204009E-2</v>
      </c>
      <c r="H75" s="78">
        <f t="shared" si="13"/>
        <v>0</v>
      </c>
      <c r="I75" s="78">
        <f t="shared" si="13"/>
        <v>0</v>
      </c>
    </row>
    <row r="76" spans="1:9" x14ac:dyDescent="0.15">
      <c r="A76" s="26" t="s">
        <v>45</v>
      </c>
      <c r="B76" s="59">
        <v>1</v>
      </c>
      <c r="C76" s="78">
        <f t="shared" ref="C76:I76" si="14">C46/$B46</f>
        <v>6.8794288033383943E-2</v>
      </c>
      <c r="D76" s="78">
        <f t="shared" si="14"/>
        <v>0.11173260479181336</v>
      </c>
      <c r="E76" s="78">
        <f t="shared" si="14"/>
        <v>0.10381815506625103</v>
      </c>
      <c r="F76" s="78">
        <f t="shared" si="14"/>
        <v>9.6988127946524255E-2</v>
      </c>
      <c r="G76" s="78">
        <f t="shared" si="14"/>
        <v>5.71615273115363E-2</v>
      </c>
      <c r="H76" s="78">
        <f t="shared" si="14"/>
        <v>0</v>
      </c>
      <c r="I76" s="78">
        <f t="shared" si="14"/>
        <v>0</v>
      </c>
    </row>
    <row r="77" spans="1:9" x14ac:dyDescent="0.15">
      <c r="A77" s="26" t="s">
        <v>46</v>
      </c>
      <c r="B77" s="59">
        <v>1</v>
      </c>
      <c r="C77" s="78">
        <f t="shared" ref="C77:I77" si="15">C47/$B47</f>
        <v>4.2370806998778154E-2</v>
      </c>
      <c r="D77" s="78">
        <f t="shared" si="15"/>
        <v>0.17780306410098679</v>
      </c>
      <c r="E77" s="78">
        <f t="shared" si="15"/>
        <v>0.16458592557898463</v>
      </c>
      <c r="F77" s="78">
        <f t="shared" si="15"/>
        <v>0.15326386250500471</v>
      </c>
      <c r="G77" s="78">
        <f t="shared" si="15"/>
        <v>3.28678949006306E-2</v>
      </c>
      <c r="H77" s="78">
        <f t="shared" si="15"/>
        <v>0</v>
      </c>
      <c r="I77" s="78">
        <f t="shared" si="15"/>
        <v>0</v>
      </c>
    </row>
    <row r="78" spans="1:9" x14ac:dyDescent="0.15">
      <c r="A78" s="26" t="s">
        <v>47</v>
      </c>
      <c r="B78" s="59">
        <v>1</v>
      </c>
      <c r="C78" s="78">
        <f t="shared" ref="C78:I78" si="16">C48/$B48</f>
        <v>5.1768081074318816E-2</v>
      </c>
      <c r="D78" s="78">
        <f t="shared" si="16"/>
        <v>0.16022901772378945</v>
      </c>
      <c r="E78" s="78">
        <f t="shared" si="16"/>
        <v>0.1588987104536376</v>
      </c>
      <c r="F78" s="78">
        <f t="shared" si="16"/>
        <v>0.1546684610621254</v>
      </c>
      <c r="G78" s="78">
        <f t="shared" si="16"/>
        <v>4.8007468568476049E-2</v>
      </c>
      <c r="H78" s="78">
        <f t="shared" si="16"/>
        <v>0</v>
      </c>
      <c r="I78" s="78">
        <f t="shared" si="16"/>
        <v>0</v>
      </c>
    </row>
    <row r="79" spans="1:9" x14ac:dyDescent="0.15">
      <c r="A79" s="26" t="s">
        <v>48</v>
      </c>
      <c r="B79" s="59">
        <v>1</v>
      </c>
      <c r="C79" s="78">
        <f t="shared" ref="C79:I79" si="17">C49/$B49</f>
        <v>0.11606946907895323</v>
      </c>
      <c r="D79" s="78">
        <f t="shared" si="17"/>
        <v>0.33296454367596812</v>
      </c>
      <c r="E79" s="78">
        <f t="shared" si="17"/>
        <v>0.32570392341585414</v>
      </c>
      <c r="F79" s="78">
        <f t="shared" si="17"/>
        <v>0.30721468711356931</v>
      </c>
      <c r="G79" s="78">
        <f t="shared" si="17"/>
        <v>9.2105113758980284E-2</v>
      </c>
      <c r="H79" s="78">
        <f t="shared" si="17"/>
        <v>0</v>
      </c>
      <c r="I79" s="78">
        <f t="shared" si="17"/>
        <v>0</v>
      </c>
    </row>
    <row r="80" spans="1:9" x14ac:dyDescent="0.15">
      <c r="A80" s="26" t="s">
        <v>49</v>
      </c>
      <c r="B80" s="59">
        <v>1</v>
      </c>
      <c r="C80" s="78">
        <f t="shared" ref="C80:I80" si="18">C50/$B50</f>
        <v>0.12311670325054785</v>
      </c>
      <c r="D80" s="78">
        <f t="shared" si="18"/>
        <v>0.33917617086146407</v>
      </c>
      <c r="E80" s="78">
        <f t="shared" si="18"/>
        <v>0.33030877490048993</v>
      </c>
      <c r="F80" s="78">
        <f t="shared" si="18"/>
        <v>0.30801748130688283</v>
      </c>
      <c r="G80" s="78">
        <f t="shared" si="18"/>
        <v>9.0919127237234568E-2</v>
      </c>
      <c r="H80" s="78">
        <f t="shared" si="18"/>
        <v>0</v>
      </c>
      <c r="I80" s="78">
        <f t="shared" si="18"/>
        <v>0</v>
      </c>
    </row>
    <row r="81" spans="1:9" x14ac:dyDescent="0.15">
      <c r="A81" s="26" t="s">
        <v>50</v>
      </c>
      <c r="B81" s="59">
        <v>1</v>
      </c>
      <c r="C81" s="78">
        <f t="shared" ref="C81:I81" si="19">C51/$B51</f>
        <v>5.5196919913580784E-2</v>
      </c>
      <c r="D81" s="78">
        <f t="shared" si="19"/>
        <v>0.1571533827757492</v>
      </c>
      <c r="E81" s="78">
        <f t="shared" si="19"/>
        <v>0.15620634961258142</v>
      </c>
      <c r="F81" s="78">
        <f t="shared" si="19"/>
        <v>0.15271872900344236</v>
      </c>
      <c r="G81" s="78">
        <f t="shared" si="19"/>
        <v>4.7536090255728122E-2</v>
      </c>
      <c r="H81" s="78">
        <f t="shared" si="19"/>
        <v>0</v>
      </c>
      <c r="I81" s="78">
        <f t="shared" si="19"/>
        <v>0</v>
      </c>
    </row>
    <row r="82" spans="1:9" x14ac:dyDescent="0.15">
      <c r="A82" s="26" t="s">
        <v>81</v>
      </c>
      <c r="B82" s="59">
        <v>1</v>
      </c>
      <c r="C82" s="78">
        <f t="shared" ref="C82:I82" si="20">C52/$B52</f>
        <v>5.5855981154692112E-2</v>
      </c>
      <c r="D82" s="78">
        <f t="shared" si="20"/>
        <v>0.16900501264273077</v>
      </c>
      <c r="E82" s="78">
        <f t="shared" si="20"/>
        <v>0.15609435951377762</v>
      </c>
      <c r="F82" s="78">
        <f t="shared" si="20"/>
        <v>0.14509402819709924</v>
      </c>
      <c r="G82" s="78">
        <f t="shared" si="20"/>
        <v>4.3523046487835261E-2</v>
      </c>
      <c r="H82" s="78">
        <f t="shared" si="20"/>
        <v>0</v>
      </c>
      <c r="I82" s="78">
        <f t="shared" si="20"/>
        <v>0</v>
      </c>
    </row>
    <row r="83" spans="1:9" x14ac:dyDescent="0.15">
      <c r="A83" s="26" t="s">
        <v>71</v>
      </c>
      <c r="B83" s="59">
        <v>1</v>
      </c>
      <c r="C83" s="78">
        <f t="shared" ref="C83:I83" si="21">C53/$B53</f>
        <v>0.15339895657387362</v>
      </c>
      <c r="D83" s="78">
        <f t="shared" si="21"/>
        <v>0.15032105263187834</v>
      </c>
      <c r="E83" s="78">
        <f t="shared" si="21"/>
        <v>0.14974818732859205</v>
      </c>
      <c r="F83" s="78">
        <f t="shared" si="21"/>
        <v>0.14732814680575376</v>
      </c>
      <c r="G83" s="78">
        <f t="shared" si="21"/>
        <v>0.14225970474830171</v>
      </c>
      <c r="H83" s="78">
        <f t="shared" si="21"/>
        <v>0</v>
      </c>
      <c r="I83" s="78">
        <f t="shared" si="21"/>
        <v>0</v>
      </c>
    </row>
    <row r="84" spans="1:9" x14ac:dyDescent="0.15">
      <c r="A84" s="26" t="s">
        <v>53</v>
      </c>
      <c r="B84" s="59">
        <v>1</v>
      </c>
      <c r="C84" s="78">
        <f t="shared" ref="C84:I84" si="22">C54/$B54</f>
        <v>5.3802810045215879E-2</v>
      </c>
      <c r="D84" s="78">
        <f t="shared" si="22"/>
        <v>0.16787285595349832</v>
      </c>
      <c r="E84" s="78">
        <f t="shared" si="22"/>
        <v>0.16633768979933983</v>
      </c>
      <c r="F84" s="78">
        <f t="shared" si="22"/>
        <v>0.1615874804851474</v>
      </c>
      <c r="G84" s="78">
        <f t="shared" si="22"/>
        <v>5.003813337327593E-2</v>
      </c>
      <c r="H84" s="78">
        <f t="shared" si="22"/>
        <v>0</v>
      </c>
      <c r="I84" s="78">
        <f t="shared" si="22"/>
        <v>0</v>
      </c>
    </row>
    <row r="85" spans="1:9" x14ac:dyDescent="0.15">
      <c r="A85" s="26" t="s">
        <v>76</v>
      </c>
      <c r="B85" s="59">
        <v>1</v>
      </c>
      <c r="C85" s="78">
        <f t="shared" ref="C85:I85" si="23">C55/$B55</f>
        <v>0.25252625889815722</v>
      </c>
      <c r="D85" s="78">
        <f t="shared" si="23"/>
        <v>0.74702961700850912</v>
      </c>
      <c r="E85" s="78">
        <f t="shared" si="23"/>
        <v>0.71486048391524082</v>
      </c>
      <c r="F85" s="78">
        <f t="shared" si="23"/>
        <v>0.64339943460692672</v>
      </c>
      <c r="G85" s="78">
        <f t="shared" si="23"/>
        <v>0.17787637938070427</v>
      </c>
      <c r="H85" s="78">
        <f t="shared" si="23"/>
        <v>0</v>
      </c>
      <c r="I85" s="78">
        <f t="shared" si="23"/>
        <v>0</v>
      </c>
    </row>
    <row r="86" spans="1:9" x14ac:dyDescent="0.15">
      <c r="A86" s="26" t="s">
        <v>83</v>
      </c>
      <c r="B86" s="59">
        <v>1</v>
      </c>
      <c r="C86" s="78">
        <f t="shared" ref="C86:I86" si="24">C56/$B56</f>
        <v>0.18175041630768637</v>
      </c>
      <c r="D86" s="78">
        <f t="shared" si="24"/>
        <v>0.50349554933537155</v>
      </c>
      <c r="E86" s="78">
        <f t="shared" si="24"/>
        <v>0.48944219966693847</v>
      </c>
      <c r="F86" s="78">
        <f t="shared" si="24"/>
        <v>0.45414439393894768</v>
      </c>
      <c r="G86" s="78">
        <f t="shared" si="24"/>
        <v>0.13306378555414292</v>
      </c>
      <c r="H86" s="78">
        <f t="shared" si="24"/>
        <v>0</v>
      </c>
      <c r="I86" s="78">
        <f t="shared" si="24"/>
        <v>0</v>
      </c>
    </row>
    <row r="87" spans="1:9" x14ac:dyDescent="0.15">
      <c r="A87" s="26" t="s">
        <v>55</v>
      </c>
      <c r="B87" s="59">
        <v>1</v>
      </c>
      <c r="C87" s="78">
        <f t="shared" ref="C87:I87" si="25">C57/$B57</f>
        <v>7.7840022498449526E-2</v>
      </c>
      <c r="D87" s="78">
        <f t="shared" si="25"/>
        <v>0.23879895517970171</v>
      </c>
      <c r="E87" s="78">
        <f t="shared" si="25"/>
        <v>0.22750297729041569</v>
      </c>
      <c r="F87" s="78">
        <f t="shared" si="25"/>
        <v>0.21678166398625226</v>
      </c>
      <c r="G87" s="78">
        <f t="shared" si="25"/>
        <v>6.6917221022639084E-2</v>
      </c>
      <c r="H87" s="78">
        <f t="shared" si="25"/>
        <v>0</v>
      </c>
      <c r="I87" s="78">
        <f t="shared" si="25"/>
        <v>0</v>
      </c>
    </row>
    <row r="88" spans="1:9" x14ac:dyDescent="0.15">
      <c r="A88" s="63" t="s">
        <v>446</v>
      </c>
      <c r="B88" s="63">
        <v>1</v>
      </c>
      <c r="C88" s="79"/>
      <c r="D88" s="79"/>
      <c r="E88" s="79"/>
      <c r="F88" s="79"/>
      <c r="G88" s="79"/>
      <c r="H88" s="79"/>
      <c r="I88" s="79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FB86-23FC-4BF7-B7F2-BC3B4B52B6F4}">
  <dimension ref="A1:L88"/>
  <sheetViews>
    <sheetView topLeftCell="A59" workbookViewId="0">
      <selection activeCell="L74" sqref="L74"/>
    </sheetView>
  </sheetViews>
  <sheetFormatPr defaultColWidth="9" defaultRowHeight="12" x14ac:dyDescent="0.15"/>
  <cols>
    <col min="1" max="1" width="27" style="21" customWidth="1"/>
    <col min="2" max="3" width="11" style="21" customWidth="1"/>
    <col min="4" max="10" width="9.5" style="21" customWidth="1"/>
    <col min="11" max="11" width="10" style="21" customWidth="1"/>
    <col min="12" max="12" width="9" style="21" customWidth="1"/>
    <col min="13" max="16384" width="9" style="21"/>
  </cols>
  <sheetData>
    <row r="1" spans="1:12" x14ac:dyDescent="0.15">
      <c r="A1" s="52" t="s">
        <v>102</v>
      </c>
      <c r="B1" s="52" t="s">
        <v>439</v>
      </c>
      <c r="C1" s="52"/>
      <c r="D1" s="52"/>
      <c r="E1" s="52"/>
      <c r="F1" s="52"/>
      <c r="G1" s="52"/>
      <c r="H1" s="52"/>
      <c r="I1" s="52"/>
      <c r="J1" s="52"/>
      <c r="L1" s="21" t="s">
        <v>441</v>
      </c>
    </row>
    <row r="2" spans="1:12" x14ac:dyDescent="0.15">
      <c r="A2" s="26" t="s">
        <v>384</v>
      </c>
      <c r="B2" s="50">
        <v>2027</v>
      </c>
      <c r="C2" s="46" t="s">
        <v>438</v>
      </c>
      <c r="D2" s="20">
        <v>2021</v>
      </c>
      <c r="E2" s="20">
        <v>2022</v>
      </c>
      <c r="F2" s="20">
        <v>2023</v>
      </c>
      <c r="G2" s="20">
        <v>2024</v>
      </c>
      <c r="H2" s="20">
        <v>2025</v>
      </c>
      <c r="I2" s="20">
        <v>2026</v>
      </c>
      <c r="J2" s="20">
        <v>2027</v>
      </c>
      <c r="L2" s="21">
        <v>277435549975.86145</v>
      </c>
    </row>
    <row r="3" spans="1:12" x14ac:dyDescent="0.15">
      <c r="A3" s="26" t="s">
        <v>99</v>
      </c>
      <c r="B3" s="47">
        <f>SUMIFS(工业节能技术装备推荐目录!K:K,工业节能技术装备推荐目录!D:D,'Cogeneration&amp;Waste Heat Recover'!A3,工业节能技术装备推荐目录!F:F,'Cogeneration&amp;Waste Heat Recover'!$A$1)+SUMIFS(用能设备节能分配!Q:Q,用能设备节能分配!O:O,'Cogeneration&amp;Waste Heat Recover'!A3,用能设备节能分配!P:P,'Cogeneration&amp;Waste Heat Recover'!$A$1)</f>
        <v>0</v>
      </c>
      <c r="C3" s="51">
        <f>SUMIFS(工业节能技术装备推荐目录!L:L,工业节能技术装备推荐目录!D:D,'Cogeneration&amp;Waste Heat Recover'!A3,工业节能技术装备推荐目录!F:F,'Cogeneration&amp;Waste Heat Recover'!$A$1)+SUMIFS(用能设备节能分配!R:R,用能设备节能分配!O:O,'Cogeneration&amp;Waste Heat Recover'!A3,用能设备节能分配!P:P,'Cogeneration&amp;Waste Heat Recover'!$A$1)</f>
        <v>0</v>
      </c>
      <c r="D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</f>
        <v>0</v>
      </c>
      <c r="E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</f>
        <v>0</v>
      </c>
      <c r="F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G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Recover'!$A$1,工业节能技术装备推荐目录!A:A,"2021")+SUMIFS(用能设备节能分配!Q:Q,用能设备节能分配!O:O,'Cogeneration&amp;Waste Heat Recover'!A3,用能设备节能分配!P:P,'Cogeneration&amp;Waste Heat Recover'!$A$1,用能设备节能分配!M:M,"2021")+SUMIFS(工业节能技术装备推荐目录!K:K,工业节能技术装备推荐目录!D:D,'Cogeneration&amp;Waste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H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Recover'!$A$1,工业节能技术装备推荐目录!A:A,"2020")+SUMIFS(用能设备节能分配!Q:Q,用能设备节能分配!O:O,'Cogeneration&amp;Waste Heat Recover'!A3,用能设备节能分配!P:P,'Cogeneration&amp;Waste Heat Recover'!$A$1,用能设备节能分配!M:M,"2020")+SUMIFS(工业节能技术装备推荐目录!K:K,工业节能技术装备推荐目录!D:D,'Cogeneration&amp;Waste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I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J3" s="75">
        <f>SUMIFS(工业节能技术装备推荐目录!K:K,工业节能技术装备推荐目录!D:D,'Cogeneration&amp;Waste Heat Recover'!A3,工业节能技术装备推荐目录!F:F,'Cogeneration&amp;Waste Heat Recover'!$A$1,工业节能技术装备推荐目录!A:A,"2022")+SUMIFS(用能设备节能分配!Q:Q,用能设备节能分配!O:O,'Cogeneration&amp;Waste Heat Recover'!A3,用能设备节能分配!P:P,'Cogeneration&amp;Waste Heat Recover'!$A$1,用能设备节能分配!M:M,"2022")</f>
        <v>0</v>
      </c>
      <c r="L3" s="53"/>
    </row>
    <row r="4" spans="1:12" x14ac:dyDescent="0.15">
      <c r="A4" s="26" t="s">
        <v>35</v>
      </c>
      <c r="B4" s="47">
        <f>SUMIFS(工业节能技术装备推荐目录!K:K,工业节能技术装备推荐目录!D:D,'Cogeneration&amp;Waste Heat Recover'!A4,工业节能技术装备推荐目录!F:F,'Cogeneration&amp;Waste Heat Recover'!$A$1)+SUMIFS(用能设备节能分配!Q:Q,用能设备节能分配!O:O,'Cogeneration&amp;Waste Heat Recover'!A4,用能设备节能分配!P:P,'Cogeneration&amp;Waste Heat Recover'!$A$1)</f>
        <v>0</v>
      </c>
      <c r="C4" s="51">
        <f>SUMIFS(工业节能技术装备推荐目录!L:L,工业节能技术装备推荐目录!D:D,'Cogeneration&amp;Waste Heat Recover'!A4,工业节能技术装备推荐目录!F:F,'Cogeneration&amp;Waste Heat Recover'!$A$1)+SUMIFS(用能设备节能分配!R:R,用能设备节能分配!O:O,'Cogeneration&amp;Waste Heat Recover'!A4,用能设备节能分配!P:P,'Cogeneration&amp;Waste Heat Recover'!$A$1)</f>
        <v>0</v>
      </c>
      <c r="D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</f>
        <v>0</v>
      </c>
      <c r="E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</f>
        <v>0</v>
      </c>
      <c r="F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G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Recover'!$A$1,工业节能技术装备推荐目录!A:A,"2021")+SUMIFS(用能设备节能分配!Q:Q,用能设备节能分配!O:O,'Cogeneration&amp;Waste Heat Recover'!A4,用能设备节能分配!P:P,'Cogeneration&amp;Waste Heat Recover'!$A$1,用能设备节能分配!M:M,"2021")+SUMIFS(工业节能技术装备推荐目录!K:K,工业节能技术装备推荐目录!D:D,'Cogeneration&amp;Waste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H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Recover'!$A$1,工业节能技术装备推荐目录!A:A,"2020")+SUMIFS(用能设备节能分配!Q:Q,用能设备节能分配!O:O,'Cogeneration&amp;Waste Heat Recover'!A4,用能设备节能分配!P:P,'Cogeneration&amp;Waste Heat Recover'!$A$1,用能设备节能分配!M:M,"2020")+SUMIFS(工业节能技术装备推荐目录!K:K,工业节能技术装备推荐目录!D:D,'Cogeneration&amp;Waste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I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J4" s="75">
        <f>SUMIFS(工业节能技术装备推荐目录!K:K,工业节能技术装备推荐目录!D:D,'Cogeneration&amp;Waste Heat Recover'!A4,工业节能技术装备推荐目录!F:F,'Cogeneration&amp;Waste Heat Recover'!$A$1,工业节能技术装备推荐目录!A:A,"2022")+SUMIFS(用能设备节能分配!Q:Q,用能设备节能分配!O:O,'Cogeneration&amp;Waste Heat Recover'!A4,用能设备节能分配!P:P,'Cogeneration&amp;Waste Heat Recover'!$A$1,用能设备节能分配!M:M,"2022")</f>
        <v>0</v>
      </c>
      <c r="L4" s="53"/>
    </row>
    <row r="5" spans="1:12" x14ac:dyDescent="0.15">
      <c r="A5" s="26" t="s">
        <v>67</v>
      </c>
      <c r="B5" s="47">
        <f>SUMIFS(工业节能技术装备推荐目录!K:K,工业节能技术装备推荐目录!D:D,'Cogeneration&amp;Waste Heat Recover'!A5,工业节能技术装备推荐目录!F:F,'Cogeneration&amp;Waste Heat Recover'!$A$1)+SUMIFS(用能设备节能分配!Q:Q,用能设备节能分配!O:O,'Cogeneration&amp;Waste Heat Recover'!A5,用能设备节能分配!P:P,'Cogeneration&amp;Waste Heat Recover'!$A$1)</f>
        <v>0</v>
      </c>
      <c r="C5" s="51">
        <f>SUMIFS(工业节能技术装备推荐目录!L:L,工业节能技术装备推荐目录!D:D,'Cogeneration&amp;Waste Heat Recover'!A5,工业节能技术装备推荐目录!F:F,'Cogeneration&amp;Waste Heat Recover'!$A$1)+SUMIFS(用能设备节能分配!R:R,用能设备节能分配!O:O,'Cogeneration&amp;Waste Heat Recover'!A5,用能设备节能分配!P:P,'Cogeneration&amp;Waste Heat Recover'!$A$1)</f>
        <v>0</v>
      </c>
      <c r="D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</f>
        <v>0</v>
      </c>
      <c r="E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</f>
        <v>0</v>
      </c>
      <c r="F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G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Recover'!$A$1,工业节能技术装备推荐目录!A:A,"2021")+SUMIFS(用能设备节能分配!Q:Q,用能设备节能分配!O:O,'Cogeneration&amp;Waste Heat Recover'!A5,用能设备节能分配!P:P,'Cogeneration&amp;Waste Heat Recover'!$A$1,用能设备节能分配!M:M,"2021")+SUMIFS(工业节能技术装备推荐目录!K:K,工业节能技术装备推荐目录!D:D,'Cogeneration&amp;Waste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H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Recover'!$A$1,工业节能技术装备推荐目录!A:A,"2020")+SUMIFS(用能设备节能分配!Q:Q,用能设备节能分配!O:O,'Cogeneration&amp;Waste Heat Recover'!A5,用能设备节能分配!P:P,'Cogeneration&amp;Waste Heat Recover'!$A$1,用能设备节能分配!M:M,"2020")+SUMIFS(工业节能技术装备推荐目录!K:K,工业节能技术装备推荐目录!D:D,'Cogeneration&amp;Waste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I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J5" s="75">
        <f>SUMIFS(工业节能技术装备推荐目录!K:K,工业节能技术装备推荐目录!D:D,'Cogeneration&amp;Waste Heat Recover'!A5,工业节能技术装备推荐目录!F:F,'Cogeneration&amp;Waste Heat Recover'!$A$1,工业节能技术装备推荐目录!A:A,"2022")+SUMIFS(用能设备节能分配!Q:Q,用能设备节能分配!O:O,'Cogeneration&amp;Waste Heat Recover'!A5,用能设备节能分配!P:P,'Cogeneration&amp;Waste Heat Recover'!$A$1,用能设备节能分配!M:M,"2022")</f>
        <v>0</v>
      </c>
      <c r="L5" s="53"/>
    </row>
    <row r="6" spans="1:12" x14ac:dyDescent="0.15">
      <c r="A6" s="26" t="s">
        <v>100</v>
      </c>
      <c r="B6" s="47">
        <f>SUMIFS(工业节能技术装备推荐目录!K:K,工业节能技术装备推荐目录!D:D,'Cogeneration&amp;Waste Heat Recover'!A6,工业节能技术装备推荐目录!F:F,'Cogeneration&amp;Waste Heat Recover'!$A$1)+SUMIFS(用能设备节能分配!Q:Q,用能设备节能分配!O:O,'Cogeneration&amp;Waste Heat Recover'!A6,用能设备节能分配!P:P,'Cogeneration&amp;Waste Heat Recover'!$A$1)</f>
        <v>0</v>
      </c>
      <c r="C6" s="51">
        <f>SUMIFS(工业节能技术装备推荐目录!L:L,工业节能技术装备推荐目录!D:D,'Cogeneration&amp;Waste Heat Recover'!A6,工业节能技术装备推荐目录!F:F,'Cogeneration&amp;Waste Heat Recover'!$A$1)+SUMIFS(用能设备节能分配!R:R,用能设备节能分配!O:O,'Cogeneration&amp;Waste Heat Recover'!A6,用能设备节能分配!P:P,'Cogeneration&amp;Waste Heat Recover'!$A$1)</f>
        <v>0</v>
      </c>
      <c r="D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</f>
        <v>0</v>
      </c>
      <c r="E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</f>
        <v>0</v>
      </c>
      <c r="F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G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Recover'!$A$1,工业节能技术装备推荐目录!A:A,"2021")+SUMIFS(用能设备节能分配!Q:Q,用能设备节能分配!O:O,'Cogeneration&amp;Waste Heat Recover'!A6,用能设备节能分配!P:P,'Cogeneration&amp;Waste Heat Recover'!$A$1,用能设备节能分配!M:M,"2021")+SUMIFS(工业节能技术装备推荐目录!K:K,工业节能技术装备推荐目录!D:D,'Cogeneration&amp;Waste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H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Recover'!$A$1,工业节能技术装备推荐目录!A:A,"2020")+SUMIFS(用能设备节能分配!Q:Q,用能设备节能分配!O:O,'Cogeneration&amp;Waste Heat Recover'!A6,用能设备节能分配!P:P,'Cogeneration&amp;Waste Heat Recover'!$A$1,用能设备节能分配!M:M,"2020")+SUMIFS(工业节能技术装备推荐目录!K:K,工业节能技术装备推荐目录!D:D,'Cogeneration&amp;Waste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I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J6" s="75">
        <f>SUMIFS(工业节能技术装备推荐目录!K:K,工业节能技术装备推荐目录!D:D,'Cogeneration&amp;Waste Heat Recover'!A6,工业节能技术装备推荐目录!F:F,'Cogeneration&amp;Waste Heat Recover'!$A$1,工业节能技术装备推荐目录!A:A,"2022")+SUMIFS(用能设备节能分配!Q:Q,用能设备节能分配!O:O,'Cogeneration&amp;Waste Heat Recover'!A6,用能设备节能分配!P:P,'Cogeneration&amp;Waste Heat Recover'!$A$1,用能设备节能分配!M:M,"2022")</f>
        <v>0</v>
      </c>
      <c r="L6" s="53"/>
    </row>
    <row r="7" spans="1:12" x14ac:dyDescent="0.15">
      <c r="A7" s="26" t="s">
        <v>101</v>
      </c>
      <c r="B7" s="47">
        <f>SUMIFS(工业节能技术装备推荐目录!K:K,工业节能技术装备推荐目录!D:D,'Cogeneration&amp;Waste Heat Recover'!A7,工业节能技术装备推荐目录!F:F,'Cogeneration&amp;Waste Heat Recover'!$A$1)+SUMIFS(用能设备节能分配!Q:Q,用能设备节能分配!O:O,'Cogeneration&amp;Waste Heat Recover'!A7,用能设备节能分配!P:P,'Cogeneration&amp;Waste Heat Recover'!$A$1)</f>
        <v>2.2745198133184381</v>
      </c>
      <c r="C7" s="51">
        <f>SUMIFS(工业节能技术装备推荐目录!L:L,工业节能技术装备推荐目录!D:D,'Cogeneration&amp;Waste Heat Recover'!A7,工业节能技术装备推荐目录!F:F,'Cogeneration&amp;Waste Heat Recover'!$A$1)+SUMIFS(用能设备节能分配!R:R,用能设备节能分配!O:O,'Cogeneration&amp;Waste Heat Recover'!A7,用能设备节能分配!P:P,'Cogeneration&amp;Waste Heat Recover'!$A$1)</f>
        <v>16.962199860001231</v>
      </c>
      <c r="D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</f>
        <v>1.7185500479123794</v>
      </c>
      <c r="E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</f>
        <v>1.7267306502590913</v>
      </c>
      <c r="F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2.2745198133184381</v>
      </c>
      <c r="G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Recover'!$A$1,工业节能技术装备推荐目录!A:A,"2021")+SUMIFS(用能设备节能分配!Q:Q,用能设备节能分配!O:O,'Cogeneration&amp;Waste Heat Recover'!A7,用能设备节能分配!P:P,'Cogeneration&amp;Waste Heat Recover'!$A$1,用能设备节能分配!M:M,"2021")+SUMIFS(工业节能技术装备推荐目录!K:K,工业节能技术装备推荐目录!D:D,'Cogeneration&amp;Waste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2.2745198133184381</v>
      </c>
      <c r="H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Recover'!$A$1,工业节能技术装备推荐目录!A:A,"2020")+SUMIFS(用能设备节能分配!Q:Q,用能设备节能分配!O:O,'Cogeneration&amp;Waste Heat Recover'!A7,用能设备节能分配!P:P,'Cogeneration&amp;Waste Heat Recover'!$A$1,用能设备节能分配!M:M,"2020")+SUMIFS(工业节能技术装备推荐目录!K:K,工业节能技术装备推荐目录!D:D,'Cogeneration&amp;Waste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2.2663392109717262</v>
      </c>
      <c r="I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0.54778916305934688</v>
      </c>
      <c r="J7" s="75">
        <f>SUMIFS(工业节能技术装备推荐目录!K:K,工业节能技术装备推荐目录!D:D,'Cogeneration&amp;Waste Heat Recover'!A7,工业节能技术装备推荐目录!F:F,'Cogeneration&amp;Waste Heat Recover'!$A$1,工业节能技术装备推荐目录!A:A,"2022")+SUMIFS(用能设备节能分配!Q:Q,用能设备节能分配!O:O,'Cogeneration&amp;Waste Heat Recover'!A7,用能设备节能分配!P:P,'Cogeneration&amp;Waste Heat Recover'!$A$1,用能设备节能分配!M:M,"2022")</f>
        <v>0.54778916305934688</v>
      </c>
      <c r="L7" s="53"/>
    </row>
    <row r="8" spans="1:12" x14ac:dyDescent="0.15">
      <c r="A8" s="26" t="s">
        <v>72</v>
      </c>
      <c r="B8" s="47">
        <f>SUMIFS(工业节能技术装备推荐目录!K:K,工业节能技术装备推荐目录!D:D,'Cogeneration&amp;Waste Heat Recover'!A8,工业节能技术装备推荐目录!F:F,'Cogeneration&amp;Waste Heat Recover'!$A$1)+SUMIFS(用能设备节能分配!Q:Q,用能设备节能分配!O:O,'Cogeneration&amp;Waste Heat Recover'!A8,用能设备节能分配!P:P,'Cogeneration&amp;Waste Heat Recover'!$A$1)</f>
        <v>6.7081338461213473</v>
      </c>
      <c r="C8" s="51">
        <f>SUMIFS(工业节能技术装备推荐目录!L:L,工业节能技术装备推荐目录!D:D,'Cogeneration&amp;Waste Heat Recover'!A8,工业节能技术装备推荐目录!F:F,'Cogeneration&amp;Waste Heat Recover'!$A$1)+SUMIFS(用能设备节能分配!R:R,用能设备节能分配!O:O,'Cogeneration&amp;Waste Heat Recover'!A8,用能设备节能分配!P:P,'Cogeneration&amp;Waste Heat Recover'!$A$1)</f>
        <v>165.34850452043776</v>
      </c>
      <c r="D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</f>
        <v>1.5550561481817002</v>
      </c>
      <c r="E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</f>
        <v>6.2124584906334306</v>
      </c>
      <c r="F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6.7081338461213473</v>
      </c>
      <c r="G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Recover'!$A$1,工业节能技术装备推荐目录!A:A,"2021")+SUMIFS(用能设备节能分配!Q:Q,用能设备节能分配!O:O,'Cogeneration&amp;Waste Heat Recover'!A8,用能设备节能分配!P:P,'Cogeneration&amp;Waste Heat Recover'!$A$1,用能设备节能分配!M:M,"2021")+SUMIFS(工业节能技术装备推荐目录!K:K,工业节能技术装备推荐目录!D:D,'Cogeneration&amp;Waste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6.7081338461213473</v>
      </c>
      <c r="H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Recover'!$A$1,工业节能技术装备推荐目录!A:A,"2020")+SUMIFS(用能设备节能分配!Q:Q,用能设备节能分配!O:O,'Cogeneration&amp;Waste Heat Recover'!A8,用能设备节能分配!P:P,'Cogeneration&amp;Waste Heat Recover'!$A$1,用能设备节能分配!M:M,"2020")+SUMIFS(工业节能技术装备推荐目录!K:K,工业节能技术装备推荐目录!D:D,'Cogeneration&amp;Waste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2.050731503669617</v>
      </c>
      <c r="I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0.49567535548791691</v>
      </c>
      <c r="J8" s="75">
        <f>SUMIFS(工业节能技术装备推荐目录!K:K,工业节能技术装备推荐目录!D:D,'Cogeneration&amp;Waste Heat Recover'!A8,工业节能技术装备推荐目录!F:F,'Cogeneration&amp;Waste Heat Recover'!$A$1,工业节能技术装备推荐目录!A:A,"2022")+SUMIFS(用能设备节能分配!Q:Q,用能设备节能分配!O:O,'Cogeneration&amp;Waste Heat Recover'!A8,用能设备节能分配!P:P,'Cogeneration&amp;Waste Heat Recover'!$A$1,用能设备节能分配!M:M,"2022")</f>
        <v>0.49567535548791691</v>
      </c>
      <c r="L8" s="53"/>
    </row>
    <row r="9" spans="1:12" x14ac:dyDescent="0.15">
      <c r="A9" s="26" t="s">
        <v>38</v>
      </c>
      <c r="B9" s="47">
        <f>SUMIFS(工业节能技术装备推荐目录!K:K,工业节能技术装备推荐目录!D:D,'Cogeneration&amp;Waste Heat Recover'!A9,工业节能技术装备推荐目录!F:F,'Cogeneration&amp;Waste Heat Recover'!$A$1)+SUMIFS(用能设备节能分配!Q:Q,用能设备节能分配!O:O,'Cogeneration&amp;Waste Heat Recover'!A9,用能设备节能分配!P:P,'Cogeneration&amp;Waste Heat Recover'!$A$1)</f>
        <v>0</v>
      </c>
      <c r="C9" s="51">
        <f>SUMIFS(工业节能技术装备推荐目录!L:L,工业节能技术装备推荐目录!D:D,'Cogeneration&amp;Waste Heat Recover'!A9,工业节能技术装备推荐目录!F:F,'Cogeneration&amp;Waste Heat Recover'!$A$1)+SUMIFS(用能设备节能分配!R:R,用能设备节能分配!O:O,'Cogeneration&amp;Waste Heat Recover'!A9,用能设备节能分配!P:P,'Cogeneration&amp;Waste Heat Recover'!$A$1)</f>
        <v>0</v>
      </c>
      <c r="D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</f>
        <v>0</v>
      </c>
      <c r="E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</f>
        <v>0</v>
      </c>
      <c r="F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G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Recover'!$A$1,工业节能技术装备推荐目录!A:A,"2021")+SUMIFS(用能设备节能分配!Q:Q,用能设备节能分配!O:O,'Cogeneration&amp;Waste Heat Recover'!A9,用能设备节能分配!P:P,'Cogeneration&amp;Waste Heat Recover'!$A$1,用能设备节能分配!M:M,"2021")+SUMIFS(工业节能技术装备推荐目录!K:K,工业节能技术装备推荐目录!D:D,'Cogeneration&amp;Waste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H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Recover'!$A$1,工业节能技术装备推荐目录!A:A,"2020")+SUMIFS(用能设备节能分配!Q:Q,用能设备节能分配!O:O,'Cogeneration&amp;Waste Heat Recover'!A9,用能设备节能分配!P:P,'Cogeneration&amp;Waste Heat Recover'!$A$1,用能设备节能分配!M:M,"2020")+SUMIFS(工业节能技术装备推荐目录!K:K,工业节能技术装备推荐目录!D:D,'Cogeneration&amp;Waste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I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J9" s="75">
        <f>SUMIFS(工业节能技术装备推荐目录!K:K,工业节能技术装备推荐目录!D:D,'Cogeneration&amp;Waste Heat Recover'!A9,工业节能技术装备推荐目录!F:F,'Cogeneration&amp;Waste Heat Recover'!$A$1,工业节能技术装备推荐目录!A:A,"2022")+SUMIFS(用能设备节能分配!Q:Q,用能设备节能分配!O:O,'Cogeneration&amp;Waste Heat Recover'!A9,用能设备节能分配!P:P,'Cogeneration&amp;Waste Heat Recover'!$A$1,用能设备节能分配!M:M,"2022")</f>
        <v>0</v>
      </c>
      <c r="L9" s="53"/>
    </row>
    <row r="10" spans="1:12" x14ac:dyDescent="0.15">
      <c r="A10" s="26" t="s">
        <v>68</v>
      </c>
      <c r="B10" s="47">
        <f>SUMIFS(工业节能技术装备推荐目录!K:K,工业节能技术装备推荐目录!D:D,'Cogeneration&amp;Waste Heat Recover'!A10,工业节能技术装备推荐目录!F:F,'Cogeneration&amp;Waste Heat Recover'!$A$1)+SUMIFS(用能设备节能分配!Q:Q,用能设备节能分配!O:O,'Cogeneration&amp;Waste Heat Recover'!A10,用能设备节能分配!P:P,'Cogeneration&amp;Waste Heat Recover'!$A$1)</f>
        <v>1.3058058348465522</v>
      </c>
      <c r="C10" s="51">
        <f>SUMIFS(工业节能技术装备推荐目录!L:L,工业节能技术装备推荐目录!D:D,'Cogeneration&amp;Waste Heat Recover'!A10,工业节能技术装备推荐目录!F:F,'Cogeneration&amp;Waste Heat Recover'!$A$1)+SUMIFS(用能设备节能分配!R:R,用能设备节能分配!O:O,'Cogeneration&amp;Waste Heat Recover'!A10,用能设备节能分配!P:P,'Cogeneration&amp;Waste Heat Recover'!$A$1)</f>
        <v>9.7380288442983218</v>
      </c>
      <c r="D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</f>
        <v>0.98662261234196991</v>
      </c>
      <c r="E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</f>
        <v>0.99131911057177013</v>
      </c>
      <c r="F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1.3058058348465522</v>
      </c>
      <c r="G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Recover'!$A$1,工业节能技术装备推荐目录!A:A,"2021")+SUMIFS(用能设备节能分配!Q:Q,用能设备节能分配!O:O,'Cogeneration&amp;Waste Heat Recover'!A10,用能设备节能分配!P:P,'Cogeneration&amp;Waste Heat Recover'!$A$1,用能设备节能分配!M:M,"2021")+SUMIFS(工业节能技术装备推荐目录!K:K,工业节能技术装备推荐目录!D:D,'Cogeneration&amp;Waste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1.3058058348465522</v>
      </c>
      <c r="H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Recover'!$A$1,工业节能技术装备推荐目录!A:A,"2020")+SUMIFS(用能设备节能分配!Q:Q,用能设备节能分配!O:O,'Cogeneration&amp;Waste Heat Recover'!A10,用能设备节能分配!P:P,'Cogeneration&amp;Waste Heat Recover'!$A$1,用能设备节能分配!M:M,"2020")+SUMIFS(工业节能技术装备推荐目录!K:K,工业节能技术装备推荐目录!D:D,'Cogeneration&amp;Waste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1.3011093366167521</v>
      </c>
      <c r="I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0.31448672427478214</v>
      </c>
      <c r="J10" s="75">
        <f>SUMIFS(工业节能技术装备推荐目录!K:K,工业节能技术装备推荐目录!D:D,'Cogeneration&amp;Waste Heat Recover'!A10,工业节能技术装备推荐目录!F:F,'Cogeneration&amp;Waste Heat Recover'!$A$1,工业节能技术装备推荐目录!A:A,"2022")+SUMIFS(用能设备节能分配!Q:Q,用能设备节能分配!O:O,'Cogeneration&amp;Waste Heat Recover'!A10,用能设备节能分配!P:P,'Cogeneration&amp;Waste Heat Recover'!$A$1,用能设备节能分配!M:M,"2022")</f>
        <v>0.31448672427478214</v>
      </c>
      <c r="L10" s="53"/>
    </row>
    <row r="11" spans="1:12" x14ac:dyDescent="0.15">
      <c r="A11" s="26" t="s">
        <v>40</v>
      </c>
      <c r="B11" s="47">
        <f>SUMIFS(工业节能技术装备推荐目录!K:K,工业节能技术装备推荐目录!D:D,'Cogeneration&amp;Waste Heat Recover'!A11,工业节能技术装备推荐目录!F:F,'Cogeneration&amp;Waste Heat Recover'!$A$1)+SUMIFS(用能设备节能分配!Q:Q,用能设备节能分配!O:O,'Cogeneration&amp;Waste Heat Recover'!A11,用能设备节能分配!P:P,'Cogeneration&amp;Waste Heat Recover'!$A$1)</f>
        <v>229.94894421812654</v>
      </c>
      <c r="C11" s="51">
        <f>SUMIFS(工业节能技术装备推荐目录!L:L,工业节能技术装备推荐目录!D:D,'Cogeneration&amp;Waste Heat Recover'!A11,工业节能技术装备推荐目录!F:F,'Cogeneration&amp;Waste Heat Recover'!$A$1)+SUMIFS(用能设备节能分配!R:R,用能设备节能分配!O:O,'Cogeneration&amp;Waste Heat Recover'!A11,用能设备节能分配!P:P,'Cogeneration&amp;Waste Heat Recover'!$A$1)</f>
        <v>4316.8110245600528</v>
      </c>
      <c r="D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</f>
        <v>61.641933977657125</v>
      </c>
      <c r="E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</f>
        <v>174.30052986790221</v>
      </c>
      <c r="F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229.94894421812654</v>
      </c>
      <c r="G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Recover'!$A$1,工业节能技术装备推荐目录!A:A,"2021")+SUMIFS(用能设备节能分配!Q:Q,用能设备节能分配!O:O,'Cogeneration&amp;Waste Heat Recover'!A11,用能设备节能分配!P:P,'Cogeneration&amp;Waste Heat Recover'!$A$1,用能设备节能分配!M:M,"2021")+SUMIFS(工业节能技术装备推荐目录!K:K,工业节能技术装备推荐目录!D:D,'Cogeneration&amp;Waste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229.94894421812654</v>
      </c>
      <c r="H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Recover'!$A$1,工业节能技术装备推荐目录!A:A,"2020")+SUMIFS(用能设备节能分配!Q:Q,用能设备节能分配!O:O,'Cogeneration&amp;Waste Heat Recover'!A11,用能设备节能分配!P:P,'Cogeneration&amp;Waste Heat Recover'!$A$1,用能设备节能分配!M:M,"2020")+SUMIFS(工业节能技术装备推荐目录!K:K,工业节能技术装备推荐目录!D:D,'Cogeneration&amp;Waste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117.29034832788145</v>
      </c>
      <c r="I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55.648414350224336</v>
      </c>
      <c r="J11" s="75">
        <f>SUMIFS(工业节能技术装备推荐目录!K:K,工业节能技术装备推荐目录!D:D,'Cogeneration&amp;Waste Heat Recover'!A11,工业节能技术装备推荐目录!F:F,'Cogeneration&amp;Waste Heat Recover'!$A$1,工业节能技术装备推荐目录!A:A,"2022")+SUMIFS(用能设备节能分配!Q:Q,用能设备节能分配!O:O,'Cogeneration&amp;Waste Heat Recover'!A11,用能设备节能分配!P:P,'Cogeneration&amp;Waste Heat Recover'!$A$1,用能设备节能分配!M:M,"2022")</f>
        <v>55.648414350224336</v>
      </c>
      <c r="L11" s="53"/>
    </row>
    <row r="12" spans="1:12" x14ac:dyDescent="0.15">
      <c r="A12" s="26" t="s">
        <v>41</v>
      </c>
      <c r="B12" s="47">
        <f>SUMIFS(工业节能技术装备推荐目录!K:K,工业节能技术装备推荐目录!D:D,'Cogeneration&amp;Waste Heat Recover'!A12,工业节能技术装备推荐目录!F:F,'Cogeneration&amp;Waste Heat Recover'!$A$1)+SUMIFS(用能设备节能分配!Q:Q,用能设备节能分配!O:O,'Cogeneration&amp;Waste Heat Recover'!A12,用能设备节能分配!P:P,'Cogeneration&amp;Waste Heat Recover'!$A$1)</f>
        <v>93.769292610561919</v>
      </c>
      <c r="C12" s="51">
        <f>SUMIFS(工业节能技术装备推荐目录!L:L,工业节能技术装备推荐目录!D:D,'Cogeneration&amp;Waste Heat Recover'!A12,工业节能技术装备推荐目录!F:F,'Cogeneration&amp;Waste Heat Recover'!$A$1)+SUMIFS(用能设备节能分配!R:R,用能设备节能分配!O:O,'Cogeneration&amp;Waste Heat Recover'!A12,用能设备节能分配!P:P,'Cogeneration&amp;Waste Heat Recover'!$A$1)</f>
        <v>1034.8035363981176</v>
      </c>
      <c r="D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</f>
        <v>13.334695603621515</v>
      </c>
      <c r="E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</f>
        <v>36.518848026051678</v>
      </c>
      <c r="F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93.769292610561905</v>
      </c>
      <c r="G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Recover'!$A$1,工业节能技术装备推荐目录!A:A,"2021")+SUMIFS(用能设备节能分配!Q:Q,用能设备节能分配!O:O,'Cogeneration&amp;Waste Heat Recover'!A12,用能设备节能分配!P:P,'Cogeneration&amp;Waste Heat Recover'!$A$1,用能设备节能分配!M:M,"2021")+SUMIFS(工业节能技术装备推荐目录!K:K,工业节能技术装备推荐目录!D:D,'Cogeneration&amp;Waste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93.769292610561905</v>
      </c>
      <c r="H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Recover'!$A$1,工业节能技术装备推荐目录!A:A,"2020")+SUMIFS(用能设备节能分配!Q:Q,用能设备节能分配!O:O,'Cogeneration&amp;Waste Heat Recover'!A12,用能设备节能分配!P:P,'Cogeneration&amp;Waste Heat Recover'!$A$1,用能设备节能分配!M:M,"2020")+SUMIFS(工业节能技术装备推荐目录!K:K,工业节能技术装备推荐目录!D:D,'Cogeneration&amp;Waste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70.585140188131746</v>
      </c>
      <c r="I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57.250444584510234</v>
      </c>
      <c r="J12" s="75">
        <f>SUMIFS(工业节能技术装备推荐目录!K:K,工业节能技术装备推荐目录!D:D,'Cogeneration&amp;Waste Heat Recover'!A12,工业节能技术装备推荐目录!F:F,'Cogeneration&amp;Waste Heat Recover'!$A$1,工业节能技术装备推荐目录!A:A,"2022")+SUMIFS(用能设备节能分配!Q:Q,用能设备节能分配!O:O,'Cogeneration&amp;Waste Heat Recover'!A12,用能设备节能分配!P:P,'Cogeneration&amp;Waste Heat Recover'!$A$1,用能设备节能分配!M:M,"2022")</f>
        <v>57.250444584510234</v>
      </c>
      <c r="L12" s="53"/>
    </row>
    <row r="13" spans="1:12" x14ac:dyDescent="0.15">
      <c r="A13" s="26" t="s">
        <v>42</v>
      </c>
      <c r="B13" s="47">
        <f>SUMIFS(工业节能技术装备推荐目录!K:K,工业节能技术装备推荐目录!D:D,'Cogeneration&amp;Waste Heat Recover'!A13,工业节能技术装备推荐目录!F:F,'Cogeneration&amp;Waste Heat Recover'!$A$1)+SUMIFS(用能设备节能分配!Q:Q,用能设备节能分配!O:O,'Cogeneration&amp;Waste Heat Recover'!A13,用能设备节能分配!P:P,'Cogeneration&amp;Waste Heat Recover'!$A$1)</f>
        <v>0</v>
      </c>
      <c r="C13" s="51">
        <f>SUMIFS(工业节能技术装备推荐目录!L:L,工业节能技术装备推荐目录!D:D,'Cogeneration&amp;Waste Heat Recover'!A13,工业节能技术装备推荐目录!F:F,'Cogeneration&amp;Waste Heat Recover'!$A$1)+SUMIFS(用能设备节能分配!R:R,用能设备节能分配!O:O,'Cogeneration&amp;Waste Heat Recover'!A13,用能设备节能分配!P:P,'Cogeneration&amp;Waste Heat Recover'!$A$1)</f>
        <v>0</v>
      </c>
      <c r="D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</f>
        <v>0</v>
      </c>
      <c r="E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</f>
        <v>0</v>
      </c>
      <c r="F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G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Recover'!$A$1,工业节能技术装备推荐目录!A:A,"2021")+SUMIFS(用能设备节能分配!Q:Q,用能设备节能分配!O:O,'Cogeneration&amp;Waste Heat Recover'!A13,用能设备节能分配!P:P,'Cogeneration&amp;Waste Heat Recover'!$A$1,用能设备节能分配!M:M,"2021")+SUMIFS(工业节能技术装备推荐目录!K:K,工业节能技术装备推荐目录!D:D,'Cogeneration&amp;Waste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H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Recover'!$A$1,工业节能技术装备推荐目录!A:A,"2020")+SUMIFS(用能设备节能分配!Q:Q,用能设备节能分配!O:O,'Cogeneration&amp;Waste Heat Recover'!A13,用能设备节能分配!P:P,'Cogeneration&amp;Waste Heat Recover'!$A$1,用能设备节能分配!M:M,"2020")+SUMIFS(工业节能技术装备推荐目录!K:K,工业节能技术装备推荐目录!D:D,'Cogeneration&amp;Waste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I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J13" s="75">
        <f>SUMIFS(工业节能技术装备推荐目录!K:K,工业节能技术装备推荐目录!D:D,'Cogeneration&amp;Waste Heat Recover'!A13,工业节能技术装备推荐目录!F:F,'Cogeneration&amp;Waste Heat Recover'!$A$1,工业节能技术装备推荐目录!A:A,"2022")+SUMIFS(用能设备节能分配!Q:Q,用能设备节能分配!O:O,'Cogeneration&amp;Waste Heat Recover'!A13,用能设备节能分配!P:P,'Cogeneration&amp;Waste Heat Recover'!$A$1,用能设备节能分配!M:M,"2022")</f>
        <v>0</v>
      </c>
      <c r="L13" s="53"/>
    </row>
    <row r="14" spans="1:12" x14ac:dyDescent="0.15">
      <c r="A14" s="26" t="s">
        <v>43</v>
      </c>
      <c r="B14" s="47">
        <f>SUMIFS(工业节能技术装备推荐目录!K:K,工业节能技术装备推荐目录!D:D,'Cogeneration&amp;Waste Heat Recover'!A14,工业节能技术装备推荐目录!F:F,'Cogeneration&amp;Waste Heat Recover'!$A$1)+SUMIFS(用能设备节能分配!Q:Q,用能设备节能分配!O:O,'Cogeneration&amp;Waste Heat Recover'!A14,用能设备节能分配!P:P,'Cogeneration&amp;Waste Heat Recover'!$A$1)</f>
        <v>0</v>
      </c>
      <c r="C14" s="51">
        <f>SUMIFS(工业节能技术装备推荐目录!L:L,工业节能技术装备推荐目录!D:D,'Cogeneration&amp;Waste Heat Recover'!A14,工业节能技术装备推荐目录!F:F,'Cogeneration&amp;Waste Heat Recover'!$A$1)+SUMIFS(用能设备节能分配!R:R,用能设备节能分配!O:O,'Cogeneration&amp;Waste Heat Recover'!A14,用能设备节能分配!P:P,'Cogeneration&amp;Waste Heat Recover'!$A$1)</f>
        <v>0</v>
      </c>
      <c r="D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</f>
        <v>0</v>
      </c>
      <c r="E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</f>
        <v>0</v>
      </c>
      <c r="F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G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Recover'!$A$1,工业节能技术装备推荐目录!A:A,"2021")+SUMIFS(用能设备节能分配!Q:Q,用能设备节能分配!O:O,'Cogeneration&amp;Waste Heat Recover'!A14,用能设备节能分配!P:P,'Cogeneration&amp;Waste Heat Recover'!$A$1,用能设备节能分配!M:M,"2021")+SUMIFS(工业节能技术装备推荐目录!K:K,工业节能技术装备推荐目录!D:D,'Cogeneration&amp;Waste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H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Recover'!$A$1,工业节能技术装备推荐目录!A:A,"2020")+SUMIFS(用能设备节能分配!Q:Q,用能设备节能分配!O:O,'Cogeneration&amp;Waste Heat Recover'!A14,用能设备节能分配!P:P,'Cogeneration&amp;Waste Heat Recover'!$A$1,用能设备节能分配!M:M,"2020")+SUMIFS(工业节能技术装备推荐目录!K:K,工业节能技术装备推荐目录!D:D,'Cogeneration&amp;Waste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I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J14" s="75">
        <f>SUMIFS(工业节能技术装备推荐目录!K:K,工业节能技术装备推荐目录!D:D,'Cogeneration&amp;Waste Heat Recover'!A14,工业节能技术装备推荐目录!F:F,'Cogeneration&amp;Waste Heat Recover'!$A$1,工业节能技术装备推荐目录!A:A,"2022")+SUMIFS(用能设备节能分配!Q:Q,用能设备节能分配!O:O,'Cogeneration&amp;Waste Heat Recover'!A14,用能设备节能分配!P:P,'Cogeneration&amp;Waste Heat Recover'!$A$1,用能设备节能分配!M:M,"2022")</f>
        <v>0</v>
      </c>
      <c r="L14" s="53"/>
    </row>
    <row r="15" spans="1:12" x14ac:dyDescent="0.15">
      <c r="A15" s="26" t="s">
        <v>56</v>
      </c>
      <c r="B15" s="47">
        <f>SUMIFS(工业节能技术装备推荐目录!K:K,工业节能技术装备推荐目录!D:D,'Cogeneration&amp;Waste Heat Recover'!A15,工业节能技术装备推荐目录!F:F,'Cogeneration&amp;Waste Heat Recover'!$A$1)+SUMIFS(用能设备节能分配!Q:Q,用能设备节能分配!O:O,'Cogeneration&amp;Waste Heat Recover'!A15,用能设备节能分配!P:P,'Cogeneration&amp;Waste Heat Recover'!$A$1)</f>
        <v>0.60455403547216446</v>
      </c>
      <c r="C15" s="51">
        <f>SUMIFS(工业节能技术装备推荐目录!L:L,工业节能技术装备推荐目录!D:D,'Cogeneration&amp;Waste Heat Recover'!A15,工业节能技术装备推荐目录!F:F,'Cogeneration&amp;Waste Heat Recover'!$A$1)+SUMIFS(用能设备节能分配!R:R,用能设备节能分配!O:O,'Cogeneration&amp;Waste Heat Recover'!A15,用能设备节能分配!P:P,'Cogeneration&amp;Waste Heat Recover'!$A$1)</f>
        <v>25.188632107981739</v>
      </c>
      <c r="D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</f>
        <v>0</v>
      </c>
      <c r="E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</f>
        <v>0.60455403547216446</v>
      </c>
      <c r="F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0.60455403547216446</v>
      </c>
      <c r="G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Recover'!$A$1,工业节能技术装备推荐目录!A:A,"2021")+SUMIFS(用能设备节能分配!Q:Q,用能设备节能分配!O:O,'Cogeneration&amp;Waste Heat Recover'!A15,用能设备节能分配!P:P,'Cogeneration&amp;Waste Heat Recover'!$A$1,用能设备节能分配!M:M,"2021")+SUMIFS(工业节能技术装备推荐目录!K:K,工业节能技术装备推荐目录!D:D,'Cogeneration&amp;Waste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0.60455403547216446</v>
      </c>
      <c r="H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Recover'!$A$1,工业节能技术装备推荐目录!A:A,"2020")+SUMIFS(用能设备节能分配!Q:Q,用能设备节能分配!O:O,'Cogeneration&amp;Waste Heat Recover'!A15,用能设备节能分配!P:P,'Cogeneration&amp;Waste Heat Recover'!$A$1,用能设备节能分配!M:M,"2020")+SUMIFS(工业节能技术装备推荐目录!K:K,工业节能技术装备推荐目录!D:D,'Cogeneration&amp;Waste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I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J15" s="75">
        <f>SUMIFS(工业节能技术装备推荐目录!K:K,工业节能技术装备推荐目录!D:D,'Cogeneration&amp;Waste Heat Recover'!A15,工业节能技术装备推荐目录!F:F,'Cogeneration&amp;Waste Heat Recover'!$A$1,工业节能技术装备推荐目录!A:A,"2022")+SUMIFS(用能设备节能分配!Q:Q,用能设备节能分配!O:O,'Cogeneration&amp;Waste Heat Recover'!A15,用能设备节能分配!P:P,'Cogeneration&amp;Waste Heat Recover'!$A$1,用能设备节能分配!M:M,"2022")</f>
        <v>0</v>
      </c>
      <c r="L15" s="53"/>
    </row>
    <row r="16" spans="1:12" x14ac:dyDescent="0.15">
      <c r="A16" s="26" t="s">
        <v>45</v>
      </c>
      <c r="B16" s="47">
        <f>SUMIFS(工业节能技术装备推荐目录!K:K,工业节能技术装备推荐目录!D:D,'Cogeneration&amp;Waste Heat Recover'!A16,工业节能技术装备推荐目录!F:F,'Cogeneration&amp;Waste Heat Recover'!$A$1)+SUMIFS(用能设备节能分配!Q:Q,用能设备节能分配!O:O,'Cogeneration&amp;Waste Heat Recover'!A16,用能设备节能分配!P:P,'Cogeneration&amp;Waste Heat Recover'!$A$1)</f>
        <v>335.80309144642888</v>
      </c>
      <c r="C16" s="51">
        <f>SUMIFS(工业节能技术装备推荐目录!L:L,工业节能技术装备推荐目录!D:D,'Cogeneration&amp;Waste Heat Recover'!A16,工业节能技术装备推荐目录!F:F,'Cogeneration&amp;Waste Heat Recover'!$A$1)+SUMIFS(用能设备节能分配!R:R,用能设备节能分配!O:O,'Cogeneration&amp;Waste Heat Recover'!A16,用能设备节能分配!P:P,'Cogeneration&amp;Waste Heat Recover'!$A$1)</f>
        <v>7025.2763722866594</v>
      </c>
      <c r="D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</f>
        <v>21.723169274370818</v>
      </c>
      <c r="E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</f>
        <v>22.878814361650697</v>
      </c>
      <c r="F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335.80309144642888</v>
      </c>
      <c r="G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Recover'!$A$1,工业节能技术装备推荐目录!A:A,"2021")+SUMIFS(用能设备节能分配!Q:Q,用能设备节能分配!O:O,'Cogeneration&amp;Waste Heat Recover'!A16,用能设备节能分配!P:P,'Cogeneration&amp;Waste Heat Recover'!$A$1,用能设备节能分配!M:M,"2021")+SUMIFS(工业节能技术装备推荐目录!K:K,工业节能技术装备推荐目录!D:D,'Cogeneration&amp;Waste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335.80309144642888</v>
      </c>
      <c r="H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Recover'!$A$1,工业节能技术装备推荐目录!A:A,"2020")+SUMIFS(用能设备节能分配!Q:Q,用能设备节能分配!O:O,'Cogeneration&amp;Waste Heat Recover'!A16,用能设备节能分配!P:P,'Cogeneration&amp;Waste Heat Recover'!$A$1,用能设备节能分配!M:M,"2020")+SUMIFS(工业节能技术装备推荐目录!K:K,工业节能技术装备推荐目录!D:D,'Cogeneration&amp;Waste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334.647446359149</v>
      </c>
      <c r="I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312.92427708477817</v>
      </c>
      <c r="J16" s="75">
        <f>SUMIFS(工业节能技术装备推荐目录!K:K,工业节能技术装备推荐目录!D:D,'Cogeneration&amp;Waste Heat Recover'!A16,工业节能技术装备推荐目录!F:F,'Cogeneration&amp;Waste Heat Recover'!$A$1,工业节能技术装备推荐目录!A:A,"2022")+SUMIFS(用能设备节能分配!Q:Q,用能设备节能分配!O:O,'Cogeneration&amp;Waste Heat Recover'!A16,用能设备节能分配!P:P,'Cogeneration&amp;Waste Heat Recover'!$A$1,用能设备节能分配!M:M,"2022")</f>
        <v>312.92427708477817</v>
      </c>
      <c r="L16" s="53"/>
    </row>
    <row r="17" spans="1:12" x14ac:dyDescent="0.15">
      <c r="A17" s="26" t="s">
        <v>46</v>
      </c>
      <c r="B17" s="47">
        <f>SUMIFS(工业节能技术装备推荐目录!K:K,工业节能技术装备推荐目录!D:D,'Cogeneration&amp;Waste Heat Recover'!A17,工业节能技术装备推荐目录!F:F,'Cogeneration&amp;Waste Heat Recover'!$A$1)+SUMIFS(用能设备节能分配!Q:Q,用能设备节能分配!O:O,'Cogeneration&amp;Waste Heat Recover'!A17,用能设备节能分配!P:P,'Cogeneration&amp;Waste Heat Recover'!$A$1)</f>
        <v>1.6079199821285259</v>
      </c>
      <c r="C17" s="51">
        <f>SUMIFS(工业节能技术装备推荐目录!L:L,工业节能技术装备推荐目录!D:D,'Cogeneration&amp;Waste Heat Recover'!A17,工业节能技术装备推荐目录!F:F,'Cogeneration&amp;Waste Heat Recover'!$A$1)+SUMIFS(用能设备节能分配!R:R,用能设备节能分配!O:O,'Cogeneration&amp;Waste Heat Recover'!A17,用能设备节能分配!P:P,'Cogeneration&amp;Waste Heat Recover'!$A$1)</f>
        <v>10.734016664062946</v>
      </c>
      <c r="D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</f>
        <v>1.4021468605840608</v>
      </c>
      <c r="E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</f>
        <v>1.6079199821285262</v>
      </c>
      <c r="F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1.6079199821285262</v>
      </c>
      <c r="G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Recover'!$A$1,工业节能技术装备推荐目录!A:A,"2021")+SUMIFS(用能设备节能分配!Q:Q,用能设备节能分配!O:O,'Cogeneration&amp;Waste Heat Recover'!A17,用能设备节能分配!P:P,'Cogeneration&amp;Waste Heat Recover'!$A$1,用能设备节能分配!M:M,"2021")+SUMIFS(工业节能技术装备推荐目录!K:K,工业节能技术装备推荐目录!D:D,'Cogeneration&amp;Waste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1.6079199821285262</v>
      </c>
      <c r="H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Recover'!$A$1,工业节能技术装备推荐目录!A:A,"2020")+SUMIFS(用能设备节能分配!Q:Q,用能设备节能分配!O:O,'Cogeneration&amp;Waste Heat Recover'!A17,用能设备节能分配!P:P,'Cogeneration&amp;Waste Heat Recover'!$A$1,用能设备节能分配!M:M,"2020")+SUMIFS(工业节能技术装备推荐目录!K:K,工业节能技术装备推荐目录!D:D,'Cogeneration&amp;Waste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1.4021468605840608</v>
      </c>
      <c r="I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0</v>
      </c>
      <c r="J17" s="75">
        <f>SUMIFS(工业节能技术装备推荐目录!K:K,工业节能技术装备推荐目录!D:D,'Cogeneration&amp;Waste Heat Recover'!A17,工业节能技术装备推荐目录!F:F,'Cogeneration&amp;Waste Heat Recover'!$A$1,工业节能技术装备推荐目录!A:A,"2022")+SUMIFS(用能设备节能分配!Q:Q,用能设备节能分配!O:O,'Cogeneration&amp;Waste Heat Recover'!A17,用能设备节能分配!P:P,'Cogeneration&amp;Waste Heat Recover'!$A$1,用能设备节能分配!M:M,"2022")</f>
        <v>0</v>
      </c>
      <c r="L17" s="53"/>
    </row>
    <row r="18" spans="1:12" x14ac:dyDescent="0.15">
      <c r="A18" s="26" t="s">
        <v>47</v>
      </c>
      <c r="B18" s="47">
        <f>SUMIFS(工业节能技术装备推荐目录!K:K,工业节能技术装备推荐目录!D:D,'Cogeneration&amp;Waste Heat Recover'!A18,工业节能技术装备推荐目录!F:F,'Cogeneration&amp;Waste Heat Recover'!$A$1)+SUMIFS(用能设备节能分配!Q:Q,用能设备节能分配!O:O,'Cogeneration&amp;Waste Heat Recover'!A18,用能设备节能分配!P:P,'Cogeneration&amp;Waste Heat Recover'!$A$1)</f>
        <v>0</v>
      </c>
      <c r="C18" s="51">
        <f>SUMIFS(工业节能技术装备推荐目录!L:L,工业节能技术装备推荐目录!D:D,'Cogeneration&amp;Waste Heat Recover'!A18,工业节能技术装备推荐目录!F:F,'Cogeneration&amp;Waste Heat Recover'!$A$1)+SUMIFS(用能设备节能分配!R:R,用能设备节能分配!O:O,'Cogeneration&amp;Waste Heat Recover'!A18,用能设备节能分配!P:P,'Cogeneration&amp;Waste Heat Recover'!$A$1)</f>
        <v>0</v>
      </c>
      <c r="D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</f>
        <v>0</v>
      </c>
      <c r="E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</f>
        <v>0</v>
      </c>
      <c r="F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G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Recover'!$A$1,工业节能技术装备推荐目录!A:A,"2021")+SUMIFS(用能设备节能分配!Q:Q,用能设备节能分配!O:O,'Cogeneration&amp;Waste Heat Recover'!A18,用能设备节能分配!P:P,'Cogeneration&amp;Waste Heat Recover'!$A$1,用能设备节能分配!M:M,"2021")+SUMIFS(工业节能技术装备推荐目录!K:K,工业节能技术装备推荐目录!D:D,'Cogeneration&amp;Waste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H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Recover'!$A$1,工业节能技术装备推荐目录!A:A,"2020")+SUMIFS(用能设备节能分配!Q:Q,用能设备节能分配!O:O,'Cogeneration&amp;Waste Heat Recover'!A18,用能设备节能分配!P:P,'Cogeneration&amp;Waste Heat Recover'!$A$1,用能设备节能分配!M:M,"2020")+SUMIFS(工业节能技术装备推荐目录!K:K,工业节能技术装备推荐目录!D:D,'Cogeneration&amp;Waste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I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J18" s="75">
        <f>SUMIFS(工业节能技术装备推荐目录!K:K,工业节能技术装备推荐目录!D:D,'Cogeneration&amp;Waste Heat Recover'!A18,工业节能技术装备推荐目录!F:F,'Cogeneration&amp;Waste Heat Recover'!$A$1,工业节能技术装备推荐目录!A:A,"2022")+SUMIFS(用能设备节能分配!Q:Q,用能设备节能分配!O:O,'Cogeneration&amp;Waste Heat Recover'!A18,用能设备节能分配!P:P,'Cogeneration&amp;Waste Heat Recover'!$A$1,用能设备节能分配!M:M,"2022")</f>
        <v>0</v>
      </c>
      <c r="L18" s="53"/>
    </row>
    <row r="19" spans="1:12" x14ac:dyDescent="0.15">
      <c r="A19" s="26" t="s">
        <v>48</v>
      </c>
      <c r="B19" s="47">
        <f>SUMIFS(工业节能技术装备推荐目录!K:K,工业节能技术装备推荐目录!D:D,'Cogeneration&amp;Waste Heat Recover'!A19,工业节能技术装备推荐目录!F:F,'Cogeneration&amp;Waste Heat Recover'!$A$1)+SUMIFS(用能设备节能分配!Q:Q,用能设备节能分配!O:O,'Cogeneration&amp;Waste Heat Recover'!A19,用能设备节能分配!P:P,'Cogeneration&amp;Waste Heat Recover'!$A$1)</f>
        <v>0</v>
      </c>
      <c r="C19" s="51">
        <f>SUMIFS(工业节能技术装备推荐目录!L:L,工业节能技术装备推荐目录!D:D,'Cogeneration&amp;Waste Heat Recover'!A19,工业节能技术装备推荐目录!F:F,'Cogeneration&amp;Waste Heat Recover'!$A$1)+SUMIFS(用能设备节能分配!R:R,用能设备节能分配!O:O,'Cogeneration&amp;Waste Heat Recover'!A19,用能设备节能分配!P:P,'Cogeneration&amp;Waste Heat Recover'!$A$1)</f>
        <v>0</v>
      </c>
      <c r="D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</f>
        <v>0</v>
      </c>
      <c r="E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</f>
        <v>0</v>
      </c>
      <c r="F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G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Recover'!$A$1,工业节能技术装备推荐目录!A:A,"2021")+SUMIFS(用能设备节能分配!Q:Q,用能设备节能分配!O:O,'Cogeneration&amp;Waste Heat Recover'!A19,用能设备节能分配!P:P,'Cogeneration&amp;Waste Heat Recover'!$A$1,用能设备节能分配!M:M,"2021")+SUMIFS(工业节能技术装备推荐目录!K:K,工业节能技术装备推荐目录!D:D,'Cogeneration&amp;Waste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H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Recover'!$A$1,工业节能技术装备推荐目录!A:A,"2020")+SUMIFS(用能设备节能分配!Q:Q,用能设备节能分配!O:O,'Cogeneration&amp;Waste Heat Recover'!A19,用能设备节能分配!P:P,'Cogeneration&amp;Waste Heat Recover'!$A$1,用能设备节能分配!M:M,"2020")+SUMIFS(工业节能技术装备推荐目录!K:K,工业节能技术装备推荐目录!D:D,'Cogeneration&amp;Waste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I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J19" s="75">
        <f>SUMIFS(工业节能技术装备推荐目录!K:K,工业节能技术装备推荐目录!D:D,'Cogeneration&amp;Waste Heat Recover'!A19,工业节能技术装备推荐目录!F:F,'Cogeneration&amp;Waste Heat Recover'!$A$1,工业节能技术装备推荐目录!A:A,"2022")+SUMIFS(用能设备节能分配!Q:Q,用能设备节能分配!O:O,'Cogeneration&amp;Waste Heat Recover'!A19,用能设备节能分配!P:P,'Cogeneration&amp;Waste Heat Recover'!$A$1,用能设备节能分配!M:M,"2022")</f>
        <v>0</v>
      </c>
      <c r="L19" s="53"/>
    </row>
    <row r="20" spans="1:12" x14ac:dyDescent="0.15">
      <c r="A20" s="26" t="s">
        <v>49</v>
      </c>
      <c r="B20" s="47">
        <f>SUMIFS(工业节能技术装备推荐目录!K:K,工业节能技术装备推荐目录!D:D,'Cogeneration&amp;Waste Heat Recover'!A20,工业节能技术装备推荐目录!F:F,'Cogeneration&amp;Waste Heat Recover'!$A$1)+SUMIFS(用能设备节能分配!Q:Q,用能设备节能分配!O:O,'Cogeneration&amp;Waste Heat Recover'!A20,用能设备节能分配!P:P,'Cogeneration&amp;Waste Heat Recover'!$A$1)</f>
        <v>0</v>
      </c>
      <c r="C20" s="51">
        <f>SUMIFS(工业节能技术装备推荐目录!L:L,工业节能技术装备推荐目录!D:D,'Cogeneration&amp;Waste Heat Recover'!A20,工业节能技术装备推荐目录!F:F,'Cogeneration&amp;Waste Heat Recover'!$A$1)+SUMIFS(用能设备节能分配!R:R,用能设备节能分配!O:O,'Cogeneration&amp;Waste Heat Recover'!A20,用能设备节能分配!P:P,'Cogeneration&amp;Waste Heat Recover'!$A$1)</f>
        <v>0</v>
      </c>
      <c r="D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</f>
        <v>0</v>
      </c>
      <c r="E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</f>
        <v>0</v>
      </c>
      <c r="F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G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Recover'!$A$1,工业节能技术装备推荐目录!A:A,"2021")+SUMIFS(用能设备节能分配!Q:Q,用能设备节能分配!O:O,'Cogeneration&amp;Waste Heat Recover'!A20,用能设备节能分配!P:P,'Cogeneration&amp;Waste Heat Recover'!$A$1,用能设备节能分配!M:M,"2021")+SUMIFS(工业节能技术装备推荐目录!K:K,工业节能技术装备推荐目录!D:D,'Cogeneration&amp;Waste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H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Recover'!$A$1,工业节能技术装备推荐目录!A:A,"2020")+SUMIFS(用能设备节能分配!Q:Q,用能设备节能分配!O:O,'Cogeneration&amp;Waste Heat Recover'!A20,用能设备节能分配!P:P,'Cogeneration&amp;Waste Heat Recover'!$A$1,用能设备节能分配!M:M,"2020")+SUMIFS(工业节能技术装备推荐目录!K:K,工业节能技术装备推荐目录!D:D,'Cogeneration&amp;Waste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I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J20" s="75">
        <f>SUMIFS(工业节能技术装备推荐目录!K:K,工业节能技术装备推荐目录!D:D,'Cogeneration&amp;Waste Heat Recover'!A20,工业节能技术装备推荐目录!F:F,'Cogeneration&amp;Waste Heat Recover'!$A$1,工业节能技术装备推荐目录!A:A,"2022")+SUMIFS(用能设备节能分配!Q:Q,用能设备节能分配!O:O,'Cogeneration&amp;Waste Heat Recover'!A20,用能设备节能分配!P:P,'Cogeneration&amp;Waste Heat Recover'!$A$1,用能设备节能分配!M:M,"2022")</f>
        <v>0</v>
      </c>
      <c r="L20" s="53"/>
    </row>
    <row r="21" spans="1:12" x14ac:dyDescent="0.15">
      <c r="A21" s="26" t="s">
        <v>50</v>
      </c>
      <c r="B21" s="47">
        <f>SUMIFS(工业节能技术装备推荐目录!K:K,工业节能技术装备推荐目录!D:D,'Cogeneration&amp;Waste Heat Recover'!A21,工业节能技术装备推荐目录!F:F,'Cogeneration&amp;Waste Heat Recover'!$A$1)+SUMIFS(用能设备节能分配!Q:Q,用能设备节能分配!O:O,'Cogeneration&amp;Waste Heat Recover'!A21,用能设备节能分配!P:P,'Cogeneration&amp;Waste Heat Recover'!$A$1)</f>
        <v>0</v>
      </c>
      <c r="C21" s="51">
        <f>SUMIFS(工业节能技术装备推荐目录!L:L,工业节能技术装备推荐目录!D:D,'Cogeneration&amp;Waste Heat Recover'!A21,工业节能技术装备推荐目录!F:F,'Cogeneration&amp;Waste Heat Recover'!$A$1)+SUMIFS(用能设备节能分配!R:R,用能设备节能分配!O:O,'Cogeneration&amp;Waste Heat Recover'!A21,用能设备节能分配!P:P,'Cogeneration&amp;Waste Heat Recover'!$A$1)</f>
        <v>0</v>
      </c>
      <c r="D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</f>
        <v>0</v>
      </c>
      <c r="E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</f>
        <v>0</v>
      </c>
      <c r="F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G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Recover'!$A$1,工业节能技术装备推荐目录!A:A,"2021")+SUMIFS(用能设备节能分配!Q:Q,用能设备节能分配!O:O,'Cogeneration&amp;Waste Heat Recover'!A21,用能设备节能分配!P:P,'Cogeneration&amp;Waste Heat Recover'!$A$1,用能设备节能分配!M:M,"2021")+SUMIFS(工业节能技术装备推荐目录!K:K,工业节能技术装备推荐目录!D:D,'Cogeneration&amp;Waste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H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Recover'!$A$1,工业节能技术装备推荐目录!A:A,"2020")+SUMIFS(用能设备节能分配!Q:Q,用能设备节能分配!O:O,'Cogeneration&amp;Waste Heat Recover'!A21,用能设备节能分配!P:P,'Cogeneration&amp;Waste Heat Recover'!$A$1,用能设备节能分配!M:M,"2020")+SUMIFS(工业节能技术装备推荐目录!K:K,工业节能技术装备推荐目录!D:D,'Cogeneration&amp;Waste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I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J21" s="75">
        <f>SUMIFS(工业节能技术装备推荐目录!K:K,工业节能技术装备推荐目录!D:D,'Cogeneration&amp;Waste Heat Recover'!A21,工业节能技术装备推荐目录!F:F,'Cogeneration&amp;Waste Heat Recover'!$A$1,工业节能技术装备推荐目录!A:A,"2022")+SUMIFS(用能设备节能分配!Q:Q,用能设备节能分配!O:O,'Cogeneration&amp;Waste Heat Recover'!A21,用能设备节能分配!P:P,'Cogeneration&amp;Waste Heat Recover'!$A$1,用能设备节能分配!M:M,"2022")</f>
        <v>0</v>
      </c>
      <c r="L21" s="53"/>
    </row>
    <row r="22" spans="1:12" x14ac:dyDescent="0.15">
      <c r="A22" s="26" t="s">
        <v>81</v>
      </c>
      <c r="B22" s="47">
        <f>SUMIFS(工业节能技术装备推荐目录!K:K,工业节能技术装备推荐目录!D:D,'Cogeneration&amp;Waste Heat Recover'!A22,工业节能技术装备推荐目录!F:F,'Cogeneration&amp;Waste Heat Recover'!$A$1)+SUMIFS(用能设备节能分配!Q:Q,用能设备节能分配!O:O,'Cogeneration&amp;Waste Heat Recover'!A22,用能设备节能分配!P:P,'Cogeneration&amp;Waste Heat Recover'!$A$1)</f>
        <v>6</v>
      </c>
      <c r="C22" s="51">
        <f>SUMIFS(工业节能技术装备推荐目录!L:L,工业节能技术装备推荐目录!D:D,'Cogeneration&amp;Waste Heat Recover'!A22,工业节能技术装备推荐目录!F:F,'Cogeneration&amp;Waste Heat Recover'!$A$1)+SUMIFS(用能设备节能分配!R:R,用能设备节能分配!O:O,'Cogeneration&amp;Waste Heat Recover'!A22,用能设备节能分配!P:P,'Cogeneration&amp;Waste Heat Recover'!$A$1)</f>
        <v>200</v>
      </c>
      <c r="D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</f>
        <v>0</v>
      </c>
      <c r="E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</f>
        <v>6</v>
      </c>
      <c r="F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6</v>
      </c>
      <c r="G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Recover'!$A$1,工业节能技术装备推荐目录!A:A,"2021")+SUMIFS(用能设备节能分配!Q:Q,用能设备节能分配!O:O,'Cogeneration&amp;Waste Heat Recover'!A22,用能设备节能分配!P:P,'Cogeneration&amp;Waste Heat Recover'!$A$1,用能设备节能分配!M:M,"2021")+SUMIFS(工业节能技术装备推荐目录!K:K,工业节能技术装备推荐目录!D:D,'Cogeneration&amp;Waste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6</v>
      </c>
      <c r="H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Recover'!$A$1,工业节能技术装备推荐目录!A:A,"2020")+SUMIFS(用能设备节能分配!Q:Q,用能设备节能分配!O:O,'Cogeneration&amp;Waste Heat Recover'!A22,用能设备节能分配!P:P,'Cogeneration&amp;Waste Heat Recover'!$A$1,用能设备节能分配!M:M,"2020")+SUMIFS(工业节能技术装备推荐目录!K:K,工业节能技术装备推荐目录!D:D,'Cogeneration&amp;Waste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I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J22" s="75">
        <f>SUMIFS(工业节能技术装备推荐目录!K:K,工业节能技术装备推荐目录!D:D,'Cogeneration&amp;Waste Heat Recover'!A22,工业节能技术装备推荐目录!F:F,'Cogeneration&amp;Waste Heat Recover'!$A$1,工业节能技术装备推荐目录!A:A,"2022")+SUMIFS(用能设备节能分配!Q:Q,用能设备节能分配!O:O,'Cogeneration&amp;Waste Heat Recover'!A22,用能设备节能分配!P:P,'Cogeneration&amp;Waste Heat Recover'!$A$1,用能设备节能分配!M:M,"2022")</f>
        <v>0</v>
      </c>
      <c r="L22" s="53"/>
    </row>
    <row r="23" spans="1:12" x14ac:dyDescent="0.15">
      <c r="A23" s="26" t="s">
        <v>71</v>
      </c>
      <c r="B23" s="47">
        <f>SUMIFS(工业节能技术装备推荐目录!K:K,工业节能技术装备推荐目录!D:D,'Cogeneration&amp;Waste Heat Recover'!A23,工业节能技术装备推荐目录!F:F,'Cogeneration&amp;Waste Heat Recover'!$A$1)+SUMIFS(用能设备节能分配!Q:Q,用能设备节能分配!O:O,'Cogeneration&amp;Waste Heat Recover'!A23,用能设备节能分配!P:P,'Cogeneration&amp;Waste Heat Recover'!$A$1)</f>
        <v>2.2938745444397313</v>
      </c>
      <c r="C23" s="51">
        <f>SUMIFS(工业节能技术装备推荐目录!L:L,工业节能技术装备推荐目录!D:D,'Cogeneration&amp;Waste Heat Recover'!A23,工业节能技术装备推荐目录!F:F,'Cogeneration&amp;Waste Heat Recover'!$A$1)+SUMIFS(用能设备节能分配!R:R,用能设备节能分配!O:O,'Cogeneration&amp;Waste Heat Recover'!A23,用能设备节能分配!P:P,'Cogeneration&amp;Waste Heat Recover'!$A$1)</f>
        <v>15.292496962931541</v>
      </c>
      <c r="D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</f>
        <v>2.2938745444397313</v>
      </c>
      <c r="E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</f>
        <v>2.2938745444397313</v>
      </c>
      <c r="F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2.2938745444397313</v>
      </c>
      <c r="G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Recover'!$A$1,工业节能技术装备推荐目录!A:A,"2021")+SUMIFS(用能设备节能分配!Q:Q,用能设备节能分配!O:O,'Cogeneration&amp;Waste Heat Recover'!A23,用能设备节能分配!P:P,'Cogeneration&amp;Waste Heat Recover'!$A$1,用能设备节能分配!M:M,"2021")+SUMIFS(工业节能技术装备推荐目录!K:K,工业节能技术装备推荐目录!D:D,'Cogeneration&amp;Waste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2.2938745444397313</v>
      </c>
      <c r="H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Recover'!$A$1,工业节能技术装备推荐目录!A:A,"2020")+SUMIFS(用能设备节能分配!Q:Q,用能设备节能分配!O:O,'Cogeneration&amp;Waste Heat Recover'!A23,用能设备节能分配!P:P,'Cogeneration&amp;Waste Heat Recover'!$A$1,用能设备节能分配!M:M,"2020")+SUMIFS(工业节能技术装备推荐目录!K:K,工业节能技术装备推荐目录!D:D,'Cogeneration&amp;Waste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2.2938745444397313</v>
      </c>
      <c r="I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0</v>
      </c>
      <c r="J23" s="75">
        <f>SUMIFS(工业节能技术装备推荐目录!K:K,工业节能技术装备推荐目录!D:D,'Cogeneration&amp;Waste Heat Recover'!A23,工业节能技术装备推荐目录!F:F,'Cogeneration&amp;Waste Heat Recover'!$A$1,工业节能技术装备推荐目录!A:A,"2022")+SUMIFS(用能设备节能分配!Q:Q,用能设备节能分配!O:O,'Cogeneration&amp;Waste Heat Recover'!A23,用能设备节能分配!P:P,'Cogeneration&amp;Waste Heat Recover'!$A$1,用能设备节能分配!M:M,"2022")</f>
        <v>0</v>
      </c>
      <c r="L23" s="53"/>
    </row>
    <row r="24" spans="1:12" x14ac:dyDescent="0.15">
      <c r="A24" s="26" t="s">
        <v>53</v>
      </c>
      <c r="B24" s="47">
        <f>SUMIFS(工业节能技术装备推荐目录!K:K,工业节能技术装备推荐目录!D:D,'Cogeneration&amp;Waste Heat Recover'!A24,工业节能技术装备推荐目录!F:F,'Cogeneration&amp;Waste Heat Recover'!$A$1)+SUMIFS(用能设备节能分配!Q:Q,用能设备节能分配!O:O,'Cogeneration&amp;Waste Heat Recover'!A24,用能设备节能分配!P:P,'Cogeneration&amp;Waste Heat Recover'!$A$1)</f>
        <v>0</v>
      </c>
      <c r="C24" s="51">
        <f>SUMIFS(工业节能技术装备推荐目录!L:L,工业节能技术装备推荐目录!D:D,'Cogeneration&amp;Waste Heat Recover'!A24,工业节能技术装备推荐目录!F:F,'Cogeneration&amp;Waste Heat Recover'!$A$1)+SUMIFS(用能设备节能分配!R:R,用能设备节能分配!O:O,'Cogeneration&amp;Waste Heat Recover'!A24,用能设备节能分配!P:P,'Cogeneration&amp;Waste Heat Recover'!$A$1)</f>
        <v>0</v>
      </c>
      <c r="D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</f>
        <v>0</v>
      </c>
      <c r="E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</f>
        <v>0</v>
      </c>
      <c r="F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G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Recover'!$A$1,工业节能技术装备推荐目录!A:A,"2021")+SUMIFS(用能设备节能分配!Q:Q,用能设备节能分配!O:O,'Cogeneration&amp;Waste Heat Recover'!A24,用能设备节能分配!P:P,'Cogeneration&amp;Waste Heat Recover'!$A$1,用能设备节能分配!M:M,"2021")+SUMIFS(工业节能技术装备推荐目录!K:K,工业节能技术装备推荐目录!D:D,'Cogeneration&amp;Waste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H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Recover'!$A$1,工业节能技术装备推荐目录!A:A,"2020")+SUMIFS(用能设备节能分配!Q:Q,用能设备节能分配!O:O,'Cogeneration&amp;Waste Heat Recover'!A24,用能设备节能分配!P:P,'Cogeneration&amp;Waste Heat Recover'!$A$1,用能设备节能分配!M:M,"2020")+SUMIFS(工业节能技术装备推荐目录!K:K,工业节能技术装备推荐目录!D:D,'Cogeneration&amp;Waste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I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J24" s="75">
        <f>SUMIFS(工业节能技术装备推荐目录!K:K,工业节能技术装备推荐目录!D:D,'Cogeneration&amp;Waste Heat Recover'!A24,工业节能技术装备推荐目录!F:F,'Cogeneration&amp;Waste Heat Recover'!$A$1,工业节能技术装备推荐目录!A:A,"2022")+SUMIFS(用能设备节能分配!Q:Q,用能设备节能分配!O:O,'Cogeneration&amp;Waste Heat Recover'!A24,用能设备节能分配!P:P,'Cogeneration&amp;Waste Heat Recover'!$A$1,用能设备节能分配!M:M,"2022")</f>
        <v>0</v>
      </c>
      <c r="L24" s="53"/>
    </row>
    <row r="25" spans="1:12" x14ac:dyDescent="0.15">
      <c r="A25" s="26" t="s">
        <v>76</v>
      </c>
      <c r="B25" s="47">
        <f>SUMIFS(工业节能技术装备推荐目录!K:K,工业节能技术装备推荐目录!D:D,'Cogeneration&amp;Waste Heat Recover'!A25,工业节能技术装备推荐目录!F:F,'Cogeneration&amp;Waste Heat Recover'!$A$1)+SUMIFS(用能设备节能分配!Q:Q,用能设备节能分配!O:O,'Cogeneration&amp;Waste Heat Recover'!A25,用能设备节能分配!P:P,'Cogeneration&amp;Waste Heat Recover'!$A$1)</f>
        <v>0</v>
      </c>
      <c r="C25" s="51">
        <f>SUMIFS(工业节能技术装备推荐目录!L:L,工业节能技术装备推荐目录!D:D,'Cogeneration&amp;Waste Heat Recover'!A25,工业节能技术装备推荐目录!F:F,'Cogeneration&amp;Waste Heat Recover'!$A$1)+SUMIFS(用能设备节能分配!R:R,用能设备节能分配!O:O,'Cogeneration&amp;Waste Heat Recover'!A25,用能设备节能分配!P:P,'Cogeneration&amp;Waste Heat Recover'!$A$1)</f>
        <v>0</v>
      </c>
      <c r="D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</f>
        <v>0</v>
      </c>
      <c r="E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</f>
        <v>0</v>
      </c>
      <c r="F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G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Recover'!$A$1,工业节能技术装备推荐目录!A:A,"2021")+SUMIFS(用能设备节能分配!Q:Q,用能设备节能分配!O:O,'Cogeneration&amp;Waste Heat Recover'!A25,用能设备节能分配!P:P,'Cogeneration&amp;Waste Heat Recover'!$A$1,用能设备节能分配!M:M,"2021")+SUMIFS(工业节能技术装备推荐目录!K:K,工业节能技术装备推荐目录!D:D,'Cogeneration&amp;Waste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H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Recover'!$A$1,工业节能技术装备推荐目录!A:A,"2020")+SUMIFS(用能设备节能分配!Q:Q,用能设备节能分配!O:O,'Cogeneration&amp;Waste Heat Recover'!A25,用能设备节能分配!P:P,'Cogeneration&amp;Waste Heat Recover'!$A$1,用能设备节能分配!M:M,"2020")+SUMIFS(工业节能技术装备推荐目录!K:K,工业节能技术装备推荐目录!D:D,'Cogeneration&amp;Waste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I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J25" s="75">
        <f>SUMIFS(工业节能技术装备推荐目录!K:K,工业节能技术装备推荐目录!D:D,'Cogeneration&amp;Waste Heat Recover'!A25,工业节能技术装备推荐目录!F:F,'Cogeneration&amp;Waste Heat Recover'!$A$1,工业节能技术装备推荐目录!A:A,"2022")+SUMIFS(用能设备节能分配!Q:Q,用能设备节能分配!O:O,'Cogeneration&amp;Waste Heat Recover'!A25,用能设备节能分配!P:P,'Cogeneration&amp;Waste Heat Recover'!$A$1,用能设备节能分配!M:M,"2022")</f>
        <v>0</v>
      </c>
      <c r="L25" s="53"/>
    </row>
    <row r="26" spans="1:12" x14ac:dyDescent="0.15">
      <c r="A26" s="26" t="s">
        <v>83</v>
      </c>
      <c r="B26" s="47">
        <f>SUMIFS(工业节能技术装备推荐目录!K:K,工业节能技术装备推荐目录!D:D,'Cogeneration&amp;Waste Heat Recover'!A26,工业节能技术装备推荐目录!F:F,'Cogeneration&amp;Waste Heat Recover'!$A$1)+SUMIFS(用能设备节能分配!Q:Q,用能设备节能分配!O:O,'Cogeneration&amp;Waste Heat Recover'!A26,用能设备节能分配!P:P,'Cogeneration&amp;Waste Heat Recover'!$A$1)</f>
        <v>10</v>
      </c>
      <c r="C26" s="51">
        <f>SUMIFS(工业节能技术装备推荐目录!L:L,工业节能技术装备推荐目录!D:D,'Cogeneration&amp;Waste Heat Recover'!A26,工业节能技术装备推荐目录!F:F,'Cogeneration&amp;Waste Heat Recover'!$A$1)+SUMIFS(用能设备节能分配!R:R,用能设备节能分配!O:O,'Cogeneration&amp;Waste Heat Recover'!A26,用能设备节能分配!P:P,'Cogeneration&amp;Waste Heat Recover'!$A$1)</f>
        <v>33.333333333333329</v>
      </c>
      <c r="D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</f>
        <v>0</v>
      </c>
      <c r="E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</f>
        <v>10</v>
      </c>
      <c r="F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10</v>
      </c>
      <c r="G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Recover'!$A$1,工业节能技术装备推荐目录!A:A,"2021")+SUMIFS(用能设备节能分配!Q:Q,用能设备节能分配!O:O,'Cogeneration&amp;Waste Heat Recover'!A26,用能设备节能分配!P:P,'Cogeneration&amp;Waste Heat Recover'!$A$1,用能设备节能分配!M:M,"2021")+SUMIFS(工业节能技术装备推荐目录!K:K,工业节能技术装备推荐目录!D:D,'Cogeneration&amp;Waste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10</v>
      </c>
      <c r="H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Recover'!$A$1,工业节能技术装备推荐目录!A:A,"2020")+SUMIFS(用能设备节能分配!Q:Q,用能设备节能分配!O:O,'Cogeneration&amp;Waste Heat Recover'!A26,用能设备节能分配!P:P,'Cogeneration&amp;Waste Heat Recover'!$A$1,用能设备节能分配!M:M,"2020")+SUMIFS(工业节能技术装备推荐目录!K:K,工业节能技术装备推荐目录!D:D,'Cogeneration&amp;Waste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I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J26" s="75">
        <f>SUMIFS(工业节能技术装备推荐目录!K:K,工业节能技术装备推荐目录!D:D,'Cogeneration&amp;Waste Heat Recover'!A26,工业节能技术装备推荐目录!F:F,'Cogeneration&amp;Waste Heat Recover'!$A$1,工业节能技术装备推荐目录!A:A,"2022")+SUMIFS(用能设备节能分配!Q:Q,用能设备节能分配!O:O,'Cogeneration&amp;Waste Heat Recover'!A26,用能设备节能分配!P:P,'Cogeneration&amp;Waste Heat Recover'!$A$1,用能设备节能分配!M:M,"2022")</f>
        <v>0</v>
      </c>
      <c r="L26" s="53"/>
    </row>
    <row r="27" spans="1:12" x14ac:dyDescent="0.15">
      <c r="A27" s="26" t="s">
        <v>55</v>
      </c>
      <c r="B27" s="47">
        <f>SUMIFS(工业节能技术装备推荐目录!K:K,工业节能技术装备推荐目录!D:D,'Cogeneration&amp;Waste Heat Recover'!A27,工业节能技术装备推荐目录!F:F,'Cogeneration&amp;Waste Heat Recover'!$A$1)+SUMIFS(用能设备节能分配!Q:Q,用能设备节能分配!O:O,'Cogeneration&amp;Waste Heat Recover'!A27,用能设备节能分配!P:P,'Cogeneration&amp;Waste Heat Recover'!$A$1)</f>
        <v>0</v>
      </c>
      <c r="C27" s="51">
        <f>SUMIFS(工业节能技术装备推荐目录!L:L,工业节能技术装备推荐目录!D:D,'Cogeneration&amp;Waste Heat Recover'!A27,工业节能技术装备推荐目录!F:F,'Cogeneration&amp;Waste Heat Recover'!$A$1)+SUMIFS(用能设备节能分配!R:R,用能设备节能分配!O:O,'Cogeneration&amp;Waste Heat Recover'!A27,用能设备节能分配!P:P,'Cogeneration&amp;Waste Heat Recover'!$A$1)</f>
        <v>0</v>
      </c>
      <c r="D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</f>
        <v>0</v>
      </c>
      <c r="E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</f>
        <v>0</v>
      </c>
      <c r="F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G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Recover'!$A$1,工业节能技术装备推荐目录!A:A,"2021")+SUMIFS(用能设备节能分配!Q:Q,用能设备节能分配!O:O,'Cogeneration&amp;Waste Heat Recover'!A27,用能设备节能分配!P:P,'Cogeneration&amp;Waste Heat Recover'!$A$1,用能设备节能分配!M:M,"2021")+SUMIFS(工业节能技术装备推荐目录!K:K,工业节能技术装备推荐目录!D:D,'Cogeneration&amp;Waste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H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Recover'!$A$1,工业节能技术装备推荐目录!A:A,"2020")+SUMIFS(用能设备节能分配!Q:Q,用能设备节能分配!O:O,'Cogeneration&amp;Waste Heat Recover'!A27,用能设备节能分配!P:P,'Cogeneration&amp;Waste Heat Recover'!$A$1,用能设备节能分配!M:M,"2020")+SUMIFS(工业节能技术装备推荐目录!K:K,工业节能技术装备推荐目录!D:D,'Cogeneration&amp;Waste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I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J27" s="75">
        <f>SUMIFS(工业节能技术装备推荐目录!K:K,工业节能技术装备推荐目录!D:D,'Cogeneration&amp;Waste Heat Recover'!A27,工业节能技术装备推荐目录!F:F,'Cogeneration&amp;Waste Heat Recover'!$A$1,工业节能技术装备推荐目录!A:A,"2022")+SUMIFS(用能设备节能分配!Q:Q,用能设备节能分配!O:O,'Cogeneration&amp;Waste Heat Recover'!A27,用能设备节能分配!P:P,'Cogeneration&amp;Waste Heat Recover'!$A$1,用能设备节能分配!M:M,"2022")</f>
        <v>0</v>
      </c>
      <c r="L27" s="53"/>
    </row>
    <row r="28" spans="1:12" x14ac:dyDescent="0.15">
      <c r="A28" s="63" t="s">
        <v>445</v>
      </c>
      <c r="B28" s="64">
        <f>SUM(B3:B27)</f>
        <v>690.31613633144423</v>
      </c>
      <c r="C28" s="64">
        <f>SUM(C3:C27)</f>
        <v>12853.488145537878</v>
      </c>
      <c r="D28" s="76">
        <f>SUM(D3:D27)</f>
        <v>104.65604906910929</v>
      </c>
      <c r="E28" s="76">
        <f t="shared" ref="E28:J28" si="0">SUM(E3:E27)</f>
        <v>263.1350490691093</v>
      </c>
      <c r="F28" s="76">
        <f t="shared" si="0"/>
        <v>690.31613633144423</v>
      </c>
      <c r="G28" s="76">
        <f t="shared" si="0"/>
        <v>690.31613633144423</v>
      </c>
      <c r="H28" s="76">
        <f t="shared" si="0"/>
        <v>531.83713633144407</v>
      </c>
      <c r="I28" s="76">
        <f t="shared" si="0"/>
        <v>427.18108726233481</v>
      </c>
      <c r="J28" s="76">
        <f t="shared" si="0"/>
        <v>427.18108726233481</v>
      </c>
    </row>
    <row r="31" spans="1:12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  <c r="J31" s="52"/>
    </row>
    <row r="32" spans="1:12" x14ac:dyDescent="0.15">
      <c r="A32" s="26" t="s">
        <v>384</v>
      </c>
      <c r="B32" s="50">
        <v>2027</v>
      </c>
      <c r="C32" s="46">
        <v>2060</v>
      </c>
      <c r="D32" s="20">
        <v>2021</v>
      </c>
      <c r="E32" s="20">
        <v>2022</v>
      </c>
      <c r="F32" s="20">
        <v>2023</v>
      </c>
      <c r="G32" s="20">
        <v>2024</v>
      </c>
      <c r="H32" s="20">
        <v>2025</v>
      </c>
      <c r="I32" s="20">
        <v>2026</v>
      </c>
      <c r="J32" s="20">
        <v>2027</v>
      </c>
    </row>
    <row r="33" spans="1:10" x14ac:dyDescent="0.15">
      <c r="A33" s="26" t="s">
        <v>99</v>
      </c>
      <c r="B33" s="60">
        <f>B3*$L$2/BIFUbC!G2</f>
        <v>0</v>
      </c>
      <c r="C33" s="60">
        <f>C3*$L$2/BIFUbC!AQ2</f>
        <v>0</v>
      </c>
      <c r="D33" s="60">
        <f>D3*$L$2/BIFUbC!D2</f>
        <v>0</v>
      </c>
      <c r="E33" s="60">
        <f>E3*$L$2/BIFUbC!E2</f>
        <v>0</v>
      </c>
      <c r="F33" s="60">
        <f>F3*$L$2/BIFUbC!F2</f>
        <v>0</v>
      </c>
      <c r="G33" s="60">
        <f>G3*$L$2/BIFUbC!G2</f>
        <v>0</v>
      </c>
      <c r="H33" s="60">
        <f>H3*$L$2/BIFUbC!H2</f>
        <v>0</v>
      </c>
      <c r="I33" s="60">
        <f>I3*$L$2/BIFUbC!I2</f>
        <v>0</v>
      </c>
      <c r="J33" s="60">
        <f>J3*$L$2/BIFUbC!J2</f>
        <v>0</v>
      </c>
    </row>
    <row r="34" spans="1:10" x14ac:dyDescent="0.15">
      <c r="A34" s="26" t="s">
        <v>35</v>
      </c>
      <c r="B34" s="60">
        <f>B4*$L$2/BIFUbC!G3</f>
        <v>0</v>
      </c>
      <c r="C34" s="60">
        <f>C4*$L$2/BIFUbC!AQ3</f>
        <v>0</v>
      </c>
      <c r="D34" s="77">
        <f>D4*$L$2/BIFUbC!D3</f>
        <v>0</v>
      </c>
      <c r="E34" s="77">
        <f>E4*$L$2/BIFUbC!E3</f>
        <v>0</v>
      </c>
      <c r="F34" s="77">
        <f>F4*$L$2/BIFUbC!F3</f>
        <v>0</v>
      </c>
      <c r="G34" s="77">
        <f>G4*$L$2/BIFUbC!G3</f>
        <v>0</v>
      </c>
      <c r="H34" s="77">
        <f>H4*$L$2/BIFUbC!H3</f>
        <v>0</v>
      </c>
      <c r="I34" s="77">
        <f>I4*$L$2/BIFUbC!I3</f>
        <v>0</v>
      </c>
      <c r="J34" s="77">
        <f>J4*$L$2/BIFUbC!J3</f>
        <v>0</v>
      </c>
    </row>
    <row r="35" spans="1:10" x14ac:dyDescent="0.15">
      <c r="A35" s="26" t="s">
        <v>67</v>
      </c>
      <c r="B35" s="60">
        <f>B5*$L$2/BIFUbC!G4</f>
        <v>0</v>
      </c>
      <c r="C35" s="60">
        <f>C5*$L$2/BIFUbC!AQ4</f>
        <v>0</v>
      </c>
      <c r="D35" s="77">
        <f>D5*$L$2/BIFUbC!D4</f>
        <v>0</v>
      </c>
      <c r="E35" s="77">
        <f>E5*$L$2/BIFUbC!E4</f>
        <v>0</v>
      </c>
      <c r="F35" s="77">
        <f>F5*$L$2/BIFUbC!F4</f>
        <v>0</v>
      </c>
      <c r="G35" s="77">
        <f>G5*$L$2/BIFUbC!G4</f>
        <v>0</v>
      </c>
      <c r="H35" s="77">
        <f>H5*$L$2/BIFUbC!H4</f>
        <v>0</v>
      </c>
      <c r="I35" s="77">
        <f>I5*$L$2/BIFUbC!I4</f>
        <v>0</v>
      </c>
      <c r="J35" s="77">
        <f>J5*$L$2/BIFUbC!J4</f>
        <v>0</v>
      </c>
    </row>
    <row r="36" spans="1:10" x14ac:dyDescent="0.15">
      <c r="A36" s="26" t="s">
        <v>100</v>
      </c>
      <c r="B36" s="60">
        <f>B6*$L$2/BIFUbC!G5</f>
        <v>0</v>
      </c>
      <c r="C36" s="60">
        <f>C6*$L$2/BIFUbC!AQ5</f>
        <v>0</v>
      </c>
      <c r="D36" s="77">
        <f>D6*$L$2/BIFUbC!D5</f>
        <v>0</v>
      </c>
      <c r="E36" s="77">
        <f>E6*$L$2/BIFUbC!E5</f>
        <v>0</v>
      </c>
      <c r="F36" s="77">
        <f>F6*$L$2/BIFUbC!F5</f>
        <v>0</v>
      </c>
      <c r="G36" s="77">
        <f>G6*$L$2/BIFUbC!G5</f>
        <v>0</v>
      </c>
      <c r="H36" s="77">
        <f>H6*$L$2/BIFUbC!H5</f>
        <v>0</v>
      </c>
      <c r="I36" s="77">
        <f>I6*$L$2/BIFUbC!I5</f>
        <v>0</v>
      </c>
      <c r="J36" s="77">
        <f>J6*$L$2/BIFUbC!J5</f>
        <v>0</v>
      </c>
    </row>
    <row r="37" spans="1:10" x14ac:dyDescent="0.15">
      <c r="A37" s="26" t="s">
        <v>101</v>
      </c>
      <c r="B37" s="60">
        <f>B7*$L$2/BIFUbC!G6</f>
        <v>3.6999022790849964E-4</v>
      </c>
      <c r="C37" s="60">
        <f>C7*$L$2/BIFUbC!AQ6</f>
        <v>2.3451451880624774E-3</v>
      </c>
      <c r="D37" s="77">
        <f>D7*$L$2/BIFUbC!D6</f>
        <v>2.9717014845172084E-4</v>
      </c>
      <c r="E37" s="77">
        <f>E7*$L$2/BIFUbC!E6</f>
        <v>2.8865733435882567E-4</v>
      </c>
      <c r="F37" s="77">
        <f>F7*$L$2/BIFUbC!F6</f>
        <v>3.7808334214935245E-4</v>
      </c>
      <c r="G37" s="77">
        <f>G7*$L$2/BIFUbC!G6</f>
        <v>3.6999022790849964E-4</v>
      </c>
      <c r="H37" s="77">
        <f>H7*$L$2/BIFUbC!H6</f>
        <v>3.5794635448700121E-4</v>
      </c>
      <c r="I37" s="77">
        <f>I7*$L$2/BIFUbC!I6</f>
        <v>8.3870534817331814E-5</v>
      </c>
      <c r="J37" s="77">
        <f>J7*$L$2/BIFUbC!J6</f>
        <v>8.1392505745292416E-5</v>
      </c>
    </row>
    <row r="38" spans="1:10" x14ac:dyDescent="0.15">
      <c r="A38" s="26" t="s">
        <v>72</v>
      </c>
      <c r="B38" s="60">
        <f>B8*$L$2/BIFUbC!G7</f>
        <v>1.356193679903503E-3</v>
      </c>
      <c r="C38" s="60">
        <f>C8*$L$2/BIFUbC!AQ7</f>
        <v>4.3372666524595233E-2</v>
      </c>
      <c r="D38" s="77">
        <f>D8*$L$2/BIFUbC!D7</f>
        <v>3.1124483235890518E-4</v>
      </c>
      <c r="E38" s="77">
        <f>E8*$L$2/BIFUbC!E7</f>
        <v>1.2616683580017902E-3</v>
      </c>
      <c r="F38" s="77">
        <f>F8*$L$2/BIFUbC!F7</f>
        <v>1.363560089219231E-3</v>
      </c>
      <c r="G38" s="77">
        <f>G8*$L$2/BIFUbC!G7</f>
        <v>1.356193679903503E-3</v>
      </c>
      <c r="H38" s="77">
        <f>H8*$L$2/BIFUbC!H7</f>
        <v>4.1098749923160774E-4</v>
      </c>
      <c r="I38" s="77">
        <f>I8*$L$2/BIFUbC!I7</f>
        <v>9.8340082177099947E-5</v>
      </c>
      <c r="J38" s="77">
        <f>J8*$L$2/BIFUbC!J7</f>
        <v>9.7443840150052971E-5</v>
      </c>
    </row>
    <row r="39" spans="1:10" x14ac:dyDescent="0.15">
      <c r="A39" s="26" t="s">
        <v>38</v>
      </c>
      <c r="B39" s="60">
        <f>B9*$L$2/BIFUbC!G8</f>
        <v>0</v>
      </c>
      <c r="C39" s="60">
        <f>C9*$L$2/BIFUbC!AQ8</f>
        <v>0</v>
      </c>
      <c r="D39" s="77">
        <f>D9*$L$2/BIFUbC!D8</f>
        <v>0</v>
      </c>
      <c r="E39" s="77">
        <f>E9*$L$2/BIFUbC!E8</f>
        <v>0</v>
      </c>
      <c r="F39" s="77">
        <f>F9*$L$2/BIFUbC!F8</f>
        <v>0</v>
      </c>
      <c r="G39" s="77">
        <f>G9*$L$2/BIFUbC!G8</f>
        <v>0</v>
      </c>
      <c r="H39" s="77">
        <f>H9*$L$2/BIFUbC!H8</f>
        <v>0</v>
      </c>
      <c r="I39" s="77">
        <f>I9*$L$2/BIFUbC!I8</f>
        <v>0</v>
      </c>
      <c r="J39" s="77">
        <f>J9*$L$2/BIFUbC!J8</f>
        <v>0</v>
      </c>
    </row>
    <row r="40" spans="1:10" x14ac:dyDescent="0.15">
      <c r="A40" s="26" t="s">
        <v>68</v>
      </c>
      <c r="B40" s="60">
        <f>B10*$L$2/BIFUbC!G9</f>
        <v>3.543222510650661E-4</v>
      </c>
      <c r="C40" s="60">
        <f>C10*$L$2/BIFUbC!AQ9</f>
        <v>2.7673382384039865E-3</v>
      </c>
      <c r="D40" s="77">
        <f>D10*$L$2/BIFUbC!D9</f>
        <v>2.9158517571584684E-4</v>
      </c>
      <c r="E40" s="77">
        <f>E10*$L$2/BIFUbC!E9</f>
        <v>2.9225148799943773E-4</v>
      </c>
      <c r="F40" s="77">
        <f>F10*$L$2/BIFUbC!F9</f>
        <v>3.694972947817262E-4</v>
      </c>
      <c r="G40" s="77">
        <f>G10*$L$2/BIFUbC!G9</f>
        <v>3.543222510650661E-4</v>
      </c>
      <c r="H40" s="77">
        <f>H10*$L$2/BIFUbC!H9</f>
        <v>3.3871827171012012E-4</v>
      </c>
      <c r="I40" s="77">
        <f>I10*$L$2/BIFUbC!I9</f>
        <v>8.0050107924594562E-5</v>
      </c>
      <c r="J40" s="77">
        <f>J10*$L$2/BIFUbC!J9</f>
        <v>7.8317031196740601E-5</v>
      </c>
    </row>
    <row r="41" spans="1:10" x14ac:dyDescent="0.15">
      <c r="A41" s="26" t="s">
        <v>40</v>
      </c>
      <c r="B41" s="60">
        <f>B11*$L$2/BIFUbC!G10</f>
        <v>9.6292652277525767E-4</v>
      </c>
      <c r="C41" s="60">
        <f>C11*$L$2/BIFUbC!AQ10</f>
        <v>2.8031527313737582E-2</v>
      </c>
      <c r="D41" s="77">
        <f>D11*$L$2/BIFUbC!D10</f>
        <v>3.0459237837855403E-4</v>
      </c>
      <c r="E41" s="77">
        <f>E11*$L$2/BIFUbC!E10</f>
        <v>8.4512203281685613E-4</v>
      </c>
      <c r="F41" s="77">
        <f>F11*$L$2/BIFUbC!F10</f>
        <v>1.0333523011304643E-3</v>
      </c>
      <c r="G41" s="77">
        <f>G11*$L$2/BIFUbC!G10</f>
        <v>9.6292652277525767E-4</v>
      </c>
      <c r="H41" s="77">
        <f>H11*$L$2/BIFUbC!H10</f>
        <v>4.5983936495964321E-4</v>
      </c>
      <c r="I41" s="77">
        <f>I11*$L$2/BIFUbC!I10</f>
        <v>2.1347668042373698E-4</v>
      </c>
      <c r="J41" s="77">
        <f>J11*$L$2/BIFUbC!J10</f>
        <v>2.0898231155862978E-4</v>
      </c>
    </row>
    <row r="42" spans="1:10" x14ac:dyDescent="0.15">
      <c r="A42" s="26" t="s">
        <v>41</v>
      </c>
      <c r="B42" s="60">
        <f>B12*$L$2/BIFUbC!G11</f>
        <v>1.6586528519723818E-3</v>
      </c>
      <c r="C42" s="60">
        <f>C12*$L$2/BIFUbC!AQ11</f>
        <v>1.3460423065608771E-2</v>
      </c>
      <c r="D42" s="77">
        <f>D12*$L$2/BIFUbC!D11</f>
        <v>2.7448658300043385E-4</v>
      </c>
      <c r="E42" s="77">
        <f>E12*$L$2/BIFUbC!E11</f>
        <v>7.5895296435088075E-4</v>
      </c>
      <c r="F42" s="77">
        <f>F12*$L$2/BIFUbC!F11</f>
        <v>1.7926737604472725E-3</v>
      </c>
      <c r="G42" s="77">
        <f>G12*$L$2/BIFUbC!G11</f>
        <v>1.6586528519723816E-3</v>
      </c>
      <c r="H42" s="77">
        <f>H12*$L$2/BIFUbC!H11</f>
        <v>1.1616456220397981E-3</v>
      </c>
      <c r="I42" s="77">
        <f>I12*$L$2/BIFUbC!I11</f>
        <v>9.1039740762999071E-4</v>
      </c>
      <c r="J42" s="77">
        <f>J12*$L$2/BIFUbC!J11</f>
        <v>8.8103244428462484E-4</v>
      </c>
    </row>
    <row r="43" spans="1:10" x14ac:dyDescent="0.15">
      <c r="A43" s="26" t="s">
        <v>42</v>
      </c>
      <c r="B43" s="60">
        <f>B13*$L$2/BIFUbC!G12</f>
        <v>0</v>
      </c>
      <c r="C43" s="60">
        <f>C13*$L$2/BIFUbC!AQ12</f>
        <v>0</v>
      </c>
      <c r="D43" s="77">
        <f>D13*$L$2/BIFUbC!D12</f>
        <v>0</v>
      </c>
      <c r="E43" s="77">
        <f>E13*$L$2/BIFUbC!E12</f>
        <v>0</v>
      </c>
      <c r="F43" s="77">
        <f>F13*$L$2/BIFUbC!F12</f>
        <v>0</v>
      </c>
      <c r="G43" s="77">
        <f>G13*$L$2/BIFUbC!G12</f>
        <v>0</v>
      </c>
      <c r="H43" s="77">
        <f>H13*$L$2/BIFUbC!H12</f>
        <v>0</v>
      </c>
      <c r="I43" s="77">
        <f>I13*$L$2/BIFUbC!I12</f>
        <v>0</v>
      </c>
      <c r="J43" s="77">
        <f>J13*$L$2/BIFUbC!J12</f>
        <v>0</v>
      </c>
    </row>
    <row r="44" spans="1:10" x14ac:dyDescent="0.15">
      <c r="A44" s="26" t="s">
        <v>43</v>
      </c>
      <c r="B44" s="60">
        <f>B14*$L$2/BIFUbC!G13</f>
        <v>0</v>
      </c>
      <c r="C44" s="60">
        <f>C14*$L$2/BIFUbC!AQ13</f>
        <v>0</v>
      </c>
      <c r="D44" s="77">
        <f>D14*$L$2/BIFUbC!D13</f>
        <v>0</v>
      </c>
      <c r="E44" s="77">
        <f>E14*$L$2/BIFUbC!E13</f>
        <v>0</v>
      </c>
      <c r="F44" s="77">
        <f>F14*$L$2/BIFUbC!F13</f>
        <v>0</v>
      </c>
      <c r="G44" s="77">
        <f>G14*$L$2/BIFUbC!G13</f>
        <v>0</v>
      </c>
      <c r="H44" s="77">
        <f>H14*$L$2/BIFUbC!H13</f>
        <v>0</v>
      </c>
      <c r="I44" s="77">
        <f>I14*$L$2/BIFUbC!I13</f>
        <v>0</v>
      </c>
      <c r="J44" s="77">
        <f>J14*$L$2/BIFUbC!J13</f>
        <v>0</v>
      </c>
    </row>
    <row r="45" spans="1:10" x14ac:dyDescent="0.15">
      <c r="A45" s="26" t="s">
        <v>56</v>
      </c>
      <c r="B45" s="60">
        <f>B15*$L$2/BIFUbC!G14</f>
        <v>2.3877271705848066E-5</v>
      </c>
      <c r="C45" s="60">
        <f>C15*$L$2/BIFUbC!AQ14</f>
        <v>1.5877656462151943E-3</v>
      </c>
      <c r="D45" s="77">
        <f>D15*$L$2/BIFUbC!D14</f>
        <v>0</v>
      </c>
      <c r="E45" s="77">
        <f>E15*$L$2/BIFUbC!E14</f>
        <v>2.5800271731284995E-5</v>
      </c>
      <c r="F45" s="77">
        <f>F15*$L$2/BIFUbC!F14</f>
        <v>2.4798865515623041E-5</v>
      </c>
      <c r="G45" s="77">
        <f>G15*$L$2/BIFUbC!G14</f>
        <v>2.3877271705848066E-5</v>
      </c>
      <c r="H45" s="77">
        <f>H15*$L$2/BIFUbC!H14</f>
        <v>0</v>
      </c>
      <c r="I45" s="77">
        <f>I15*$L$2/BIFUbC!I14</f>
        <v>0</v>
      </c>
      <c r="J45" s="77">
        <f>J15*$L$2/BIFUbC!J14</f>
        <v>0</v>
      </c>
    </row>
    <row r="46" spans="1:10" x14ac:dyDescent="0.15">
      <c r="A46" s="26" t="s">
        <v>45</v>
      </c>
      <c r="B46" s="60">
        <f>B16*$L$2/BIFUbC!G15</f>
        <v>4.2840871691551957E-3</v>
      </c>
      <c r="C46" s="60">
        <f>C16*$L$2/BIFUbC!AQ15</f>
        <v>0.14438225383609124</v>
      </c>
      <c r="D46" s="77">
        <f>D16*$L$2/BIFUbC!D15</f>
        <v>3.1306279693097837E-4</v>
      </c>
      <c r="E46" s="77">
        <f>E16*$L$2/BIFUbC!E15</f>
        <v>3.3625478265216554E-4</v>
      </c>
      <c r="F46" s="77">
        <f>F16*$L$2/BIFUbC!F15</f>
        <v>4.5857780272851372E-3</v>
      </c>
      <c r="G46" s="77">
        <f>G16*$L$2/BIFUbC!G15</f>
        <v>4.2840871691551957E-3</v>
      </c>
      <c r="H46" s="77">
        <f>H16*$L$2/BIFUbC!H15</f>
        <v>4.0072573464615211E-3</v>
      </c>
      <c r="I46" s="77">
        <f>I16*$L$2/BIFUbC!I15</f>
        <v>3.6752171387000217E-3</v>
      </c>
      <c r="J46" s="77">
        <f>J16*$L$2/BIFUbC!J15</f>
        <v>3.6064113921769848E-3</v>
      </c>
    </row>
    <row r="47" spans="1:10" x14ac:dyDescent="0.15">
      <c r="A47" s="26" t="s">
        <v>46</v>
      </c>
      <c r="B47" s="60">
        <f>B17*$L$2/BIFUbC!G16</f>
        <v>1.0108907640290666E-4</v>
      </c>
      <c r="C47" s="60">
        <f>C17*$L$2/BIFUbC!AQ16</f>
        <v>6.4529844695035627E-4</v>
      </c>
      <c r="D47" s="77">
        <f>D17*$L$2/BIFUbC!D16</f>
        <v>1.0636786414358112E-4</v>
      </c>
      <c r="E47" s="77">
        <f>E17*$L$2/BIFUbC!E16</f>
        <v>1.1727453058928777E-4</v>
      </c>
      <c r="F47" s="77">
        <f>F17*$L$2/BIFUbC!F16</f>
        <v>1.0855683090430919E-4</v>
      </c>
      <c r="G47" s="77">
        <f>G17*$L$2/BIFUbC!G16</f>
        <v>1.0108907640290667E-4</v>
      </c>
      <c r="H47" s="77">
        <f>H17*$L$2/BIFUbC!H16</f>
        <v>8.2511710942314469E-5</v>
      </c>
      <c r="I47" s="77">
        <f>I17*$L$2/BIFUbC!I16</f>
        <v>0</v>
      </c>
      <c r="J47" s="77">
        <f>J17*$L$2/BIFUbC!J16</f>
        <v>0</v>
      </c>
    </row>
    <row r="48" spans="1:10" x14ac:dyDescent="0.15">
      <c r="A48" s="26" t="s">
        <v>47</v>
      </c>
      <c r="B48" s="60">
        <f>B18*$L$2/BIFUbC!G17</f>
        <v>0</v>
      </c>
      <c r="C48" s="60">
        <f>C18*$L$2/BIFUbC!AQ17</f>
        <v>0</v>
      </c>
      <c r="D48" s="77">
        <f>D18*$L$2/BIFUbC!D17</f>
        <v>0</v>
      </c>
      <c r="E48" s="77">
        <f>E18*$L$2/BIFUbC!E17</f>
        <v>0</v>
      </c>
      <c r="F48" s="77">
        <f>F18*$L$2/BIFUbC!F17</f>
        <v>0</v>
      </c>
      <c r="G48" s="77">
        <f>G18*$L$2/BIFUbC!G17</f>
        <v>0</v>
      </c>
      <c r="H48" s="77">
        <f>H18*$L$2/BIFUbC!H17</f>
        <v>0</v>
      </c>
      <c r="I48" s="77">
        <f>I18*$L$2/BIFUbC!I17</f>
        <v>0</v>
      </c>
      <c r="J48" s="77">
        <f>J18*$L$2/BIFUbC!J17</f>
        <v>0</v>
      </c>
    </row>
    <row r="49" spans="1:10" x14ac:dyDescent="0.15">
      <c r="A49" s="26" t="s">
        <v>48</v>
      </c>
      <c r="B49" s="60">
        <f>B19*$L$2/BIFUbC!G18</f>
        <v>0</v>
      </c>
      <c r="C49" s="60">
        <f>C19*$L$2/BIFUbC!AQ18</f>
        <v>0</v>
      </c>
      <c r="D49" s="77">
        <f>D19*$L$2/BIFUbC!D18</f>
        <v>0</v>
      </c>
      <c r="E49" s="77">
        <f>E19*$L$2/BIFUbC!E18</f>
        <v>0</v>
      </c>
      <c r="F49" s="77">
        <f>F19*$L$2/BIFUbC!F18</f>
        <v>0</v>
      </c>
      <c r="G49" s="77">
        <f>G19*$L$2/BIFUbC!G18</f>
        <v>0</v>
      </c>
      <c r="H49" s="77">
        <f>H19*$L$2/BIFUbC!H18</f>
        <v>0</v>
      </c>
      <c r="I49" s="77">
        <f>I19*$L$2/BIFUbC!I18</f>
        <v>0</v>
      </c>
      <c r="J49" s="77">
        <f>J19*$L$2/BIFUbC!J18</f>
        <v>0</v>
      </c>
    </row>
    <row r="50" spans="1:10" x14ac:dyDescent="0.15">
      <c r="A50" s="26" t="s">
        <v>49</v>
      </c>
      <c r="B50" s="60">
        <f>B20*$L$2/BIFUbC!G19</f>
        <v>0</v>
      </c>
      <c r="C50" s="60">
        <f>C20*$L$2/BIFUbC!AQ19</f>
        <v>0</v>
      </c>
      <c r="D50" s="77">
        <f>D20*$L$2/BIFUbC!D19</f>
        <v>0</v>
      </c>
      <c r="E50" s="77">
        <f>E20*$L$2/BIFUbC!E19</f>
        <v>0</v>
      </c>
      <c r="F50" s="77">
        <f>F20*$L$2/BIFUbC!F19</f>
        <v>0</v>
      </c>
      <c r="G50" s="77">
        <f>G20*$L$2/BIFUbC!G19</f>
        <v>0</v>
      </c>
      <c r="H50" s="77">
        <f>H20*$L$2/BIFUbC!H19</f>
        <v>0</v>
      </c>
      <c r="I50" s="77">
        <f>I20*$L$2/BIFUbC!I19</f>
        <v>0</v>
      </c>
      <c r="J50" s="77">
        <f>J20*$L$2/BIFUbC!J19</f>
        <v>0</v>
      </c>
    </row>
    <row r="51" spans="1:10" x14ac:dyDescent="0.15">
      <c r="A51" s="26" t="s">
        <v>50</v>
      </c>
      <c r="B51" s="60">
        <f>B21*$L$2/BIFUbC!G20</f>
        <v>0</v>
      </c>
      <c r="C51" s="60">
        <f>C21*$L$2/BIFUbC!AQ20</f>
        <v>0</v>
      </c>
      <c r="D51" s="77">
        <f>D21*$L$2/BIFUbC!D20</f>
        <v>0</v>
      </c>
      <c r="E51" s="77">
        <f>E21*$L$2/BIFUbC!E20</f>
        <v>0</v>
      </c>
      <c r="F51" s="77">
        <f>F21*$L$2/BIFUbC!F20</f>
        <v>0</v>
      </c>
      <c r="G51" s="77">
        <f>G21*$L$2/BIFUbC!G20</f>
        <v>0</v>
      </c>
      <c r="H51" s="77">
        <f>H21*$L$2/BIFUbC!H20</f>
        <v>0</v>
      </c>
      <c r="I51" s="77">
        <f>I21*$L$2/BIFUbC!I20</f>
        <v>0</v>
      </c>
      <c r="J51" s="77">
        <f>J21*$L$2/BIFUbC!J20</f>
        <v>0</v>
      </c>
    </row>
    <row r="52" spans="1:10" x14ac:dyDescent="0.15">
      <c r="A52" s="26" t="s">
        <v>81</v>
      </c>
      <c r="B52" s="60">
        <f>B22*$L$2/BIFUbC!G21</f>
        <v>2.4282966881407617E-3</v>
      </c>
      <c r="C52" s="60">
        <f>C22*$L$2/BIFUbC!AQ21</f>
        <v>6.9138667513801585E-2</v>
      </c>
      <c r="D52" s="77">
        <f>D22*$L$2/BIFUbC!D21</f>
        <v>0</v>
      </c>
      <c r="E52" s="77">
        <f>E22*$L$2/BIFUbC!E21</f>
        <v>2.8284714235243444E-3</v>
      </c>
      <c r="F52" s="77">
        <f>F22*$L$2/BIFUbC!F21</f>
        <v>2.6123984629460961E-3</v>
      </c>
      <c r="G52" s="77">
        <f>G22*$L$2/BIFUbC!G21</f>
        <v>2.4282966881407617E-3</v>
      </c>
      <c r="H52" s="77">
        <f>H22*$L$2/BIFUbC!H21</f>
        <v>0</v>
      </c>
      <c r="I52" s="77">
        <f>I22*$L$2/BIFUbC!I21</f>
        <v>0</v>
      </c>
      <c r="J52" s="77">
        <f>J22*$L$2/BIFUbC!J21</f>
        <v>0</v>
      </c>
    </row>
    <row r="53" spans="1:10" x14ac:dyDescent="0.15">
      <c r="A53" s="26" t="s">
        <v>71</v>
      </c>
      <c r="B53" s="60">
        <f>B23*$L$2/BIFUbC!G22</f>
        <v>3.570504158510626E-3</v>
      </c>
      <c r="C53" s="60">
        <f>C23*$L$2/BIFUbC!AQ22</f>
        <v>2.4130238996683845E-2</v>
      </c>
      <c r="D53" s="77">
        <f>D23*$L$2/BIFUbC!D22</f>
        <v>3.7705043584557265E-3</v>
      </c>
      <c r="E53" s="77">
        <f>E23*$L$2/BIFUbC!E22</f>
        <v>3.6430373636713326E-3</v>
      </c>
      <c r="F53" s="77">
        <f>F23*$L$2/BIFUbC!F22</f>
        <v>3.6291539476914448E-3</v>
      </c>
      <c r="G53" s="77">
        <f>G23*$L$2/BIFUbC!G22</f>
        <v>3.570504158510626E-3</v>
      </c>
      <c r="H53" s="77">
        <f>H23*$L$2/BIFUbC!H22</f>
        <v>3.4967045980380069E-3</v>
      </c>
      <c r="I53" s="77">
        <f>I23*$L$2/BIFUbC!I22</f>
        <v>0</v>
      </c>
      <c r="J53" s="77">
        <f>J23*$L$2/BIFUbC!J22</f>
        <v>0</v>
      </c>
    </row>
    <row r="54" spans="1:10" x14ac:dyDescent="0.15">
      <c r="A54" s="26" t="s">
        <v>53</v>
      </c>
      <c r="B54" s="60">
        <f>B24*$L$2/BIFUbC!G23</f>
        <v>0</v>
      </c>
      <c r="C54" s="60">
        <f>C24*$L$2/BIFUbC!AQ23</f>
        <v>0</v>
      </c>
      <c r="D54" s="77">
        <f>D24*$L$2/BIFUbC!D23</f>
        <v>0</v>
      </c>
      <c r="E54" s="77">
        <f>E24*$L$2/BIFUbC!E23</f>
        <v>0</v>
      </c>
      <c r="F54" s="77">
        <f>F24*$L$2/BIFUbC!F23</f>
        <v>0</v>
      </c>
      <c r="G54" s="77">
        <f>G24*$L$2/BIFUbC!G23</f>
        <v>0</v>
      </c>
      <c r="H54" s="77">
        <f>H24*$L$2/BIFUbC!H23</f>
        <v>0</v>
      </c>
      <c r="I54" s="77">
        <f>I24*$L$2/BIFUbC!I23</f>
        <v>0</v>
      </c>
      <c r="J54" s="77">
        <f>J24*$L$2/BIFUbC!J23</f>
        <v>0</v>
      </c>
    </row>
    <row r="55" spans="1:10" x14ac:dyDescent="0.15">
      <c r="A55" s="26" t="s">
        <v>76</v>
      </c>
      <c r="B55" s="60">
        <f>B25*$L$2/BIFUbC!G24</f>
        <v>0</v>
      </c>
      <c r="C55" s="60">
        <f>C25*$L$2/BIFUbC!AQ24</f>
        <v>0</v>
      </c>
      <c r="D55" s="77">
        <f>D25*$L$2/BIFUbC!D24</f>
        <v>0</v>
      </c>
      <c r="E55" s="77">
        <f>E25*$L$2/BIFUbC!E24</f>
        <v>0</v>
      </c>
      <c r="F55" s="77">
        <f>F25*$L$2/BIFUbC!F24</f>
        <v>0</v>
      </c>
      <c r="G55" s="77">
        <f>G25*$L$2/BIFUbC!G24</f>
        <v>0</v>
      </c>
      <c r="H55" s="77">
        <f>H25*$L$2/BIFUbC!H24</f>
        <v>0</v>
      </c>
      <c r="I55" s="77">
        <f>I25*$L$2/BIFUbC!I24</f>
        <v>0</v>
      </c>
      <c r="J55" s="77">
        <f>J25*$L$2/BIFUbC!J24</f>
        <v>0</v>
      </c>
    </row>
    <row r="56" spans="1:10" x14ac:dyDescent="0.15">
      <c r="A56" s="26" t="s">
        <v>83</v>
      </c>
      <c r="B56" s="60">
        <f>B26*$L$2/BIFUbC!G25</f>
        <v>4.9447310729818558E-3</v>
      </c>
      <c r="C56" s="60">
        <f>C26*$L$2/BIFUbC!AQ25</f>
        <v>4.4979799481864062E-3</v>
      </c>
      <c r="D56" s="77">
        <f>D26*$L$2/BIFUbC!D25</f>
        <v>0</v>
      </c>
      <c r="E56" s="77">
        <f>E26*$L$2/BIFUbC!E25</f>
        <v>5.4820672040297681E-3</v>
      </c>
      <c r="F56" s="77">
        <f>F26*$L$2/BIFUbC!F25</f>
        <v>5.3290541189572665E-3</v>
      </c>
      <c r="G56" s="77">
        <f>G26*$L$2/BIFUbC!G25</f>
        <v>4.9447310729818558E-3</v>
      </c>
      <c r="H56" s="77">
        <f>H26*$L$2/BIFUbC!H25</f>
        <v>0</v>
      </c>
      <c r="I56" s="77">
        <f>I26*$L$2/BIFUbC!I25</f>
        <v>0</v>
      </c>
      <c r="J56" s="77">
        <f>J26*$L$2/BIFUbC!J25</f>
        <v>0</v>
      </c>
    </row>
    <row r="57" spans="1:10" x14ac:dyDescent="0.15">
      <c r="A57" s="26" t="s">
        <v>55</v>
      </c>
      <c r="B57" s="60">
        <f>B27*$L$2/BIFUbC!G26</f>
        <v>0</v>
      </c>
      <c r="C57" s="60">
        <f>C27*$L$2/BIFUbC!AQ26</f>
        <v>0</v>
      </c>
      <c r="D57" s="77">
        <f>D27*$L$2/BIFUbC!D26</f>
        <v>0</v>
      </c>
      <c r="E57" s="77">
        <f>E27*$L$2/BIFUbC!E26</f>
        <v>0</v>
      </c>
      <c r="F57" s="77">
        <f>F27*$L$2/BIFUbC!F26</f>
        <v>0</v>
      </c>
      <c r="G57" s="77">
        <f>G27*$L$2/BIFUbC!G26</f>
        <v>0</v>
      </c>
      <c r="H57" s="77">
        <f>H27*$L$2/BIFUbC!H26</f>
        <v>0</v>
      </c>
      <c r="I57" s="77">
        <f>I27*$L$2/BIFUbC!I26</f>
        <v>0</v>
      </c>
      <c r="J57" s="77">
        <f>J27*$L$2/BIFUbC!J26</f>
        <v>0</v>
      </c>
    </row>
    <row r="58" spans="1:10" x14ac:dyDescent="0.15">
      <c r="A58" s="63" t="s">
        <v>446</v>
      </c>
      <c r="B58" s="66">
        <f>B28*$L$2/SUM(BIFUbC!G2:G26)</f>
        <v>1.2201177460301061E-3</v>
      </c>
      <c r="C58" s="66">
        <f>C28*$L$2/SUM(BIFUbC!AQ2:AQ26)</f>
        <v>2.5432357072090305E-2</v>
      </c>
      <c r="D58" s="66">
        <f>D28*$L$2/SUM(BIFUbC!D2:D26)</f>
        <v>2.1271681238281204E-4</v>
      </c>
      <c r="E58" s="66">
        <f>E28*$L$2/SUM(BIFUbC!E2:E26)</f>
        <v>5.2477391526979959E-4</v>
      </c>
      <c r="F58" s="66">
        <f>F28*$L$2/SUM(BIFUbC!F2:F26)</f>
        <v>1.2952860945452261E-3</v>
      </c>
      <c r="G58" s="66">
        <f>G28*$L$2/SUM(BIFUbC!G2:G26)</f>
        <v>1.2201177460301061E-3</v>
      </c>
      <c r="H58" s="66">
        <f>H28*$L$2/SUM(BIFUbC!H2:H26)</f>
        <v>8.879123923401528E-4</v>
      </c>
      <c r="I58" s="66">
        <f>I28*$L$2/SUM(BIFUbC!I2:I26)</f>
        <v>6.952223759191296E-4</v>
      </c>
      <c r="J58" s="66">
        <f>J28*$L$2/SUM(BIFUbC!J2:J26)</f>
        <v>6.7866729534160847E-4</v>
      </c>
    </row>
    <row r="61" spans="1:10" x14ac:dyDescent="0.15">
      <c r="A61" s="52" t="s">
        <v>103</v>
      </c>
      <c r="B61" s="52" t="s">
        <v>440</v>
      </c>
      <c r="C61" s="52"/>
      <c r="D61" s="52"/>
      <c r="E61" s="52"/>
      <c r="F61" s="52"/>
      <c r="G61" s="52"/>
      <c r="H61" s="52"/>
      <c r="I61" s="52"/>
      <c r="J61" s="52"/>
    </row>
    <row r="62" spans="1:10" x14ac:dyDescent="0.15">
      <c r="A62" s="26" t="s">
        <v>384</v>
      </c>
      <c r="B62" s="50">
        <v>2027</v>
      </c>
      <c r="C62" s="46">
        <v>2060</v>
      </c>
      <c r="D62" s="20">
        <v>2021</v>
      </c>
      <c r="E62" s="20">
        <v>2022</v>
      </c>
      <c r="F62" s="20">
        <v>2023</v>
      </c>
      <c r="G62" s="20">
        <v>2024</v>
      </c>
      <c r="H62" s="20">
        <v>2025</v>
      </c>
      <c r="I62" s="20">
        <v>2026</v>
      </c>
      <c r="J62" s="20">
        <v>2027</v>
      </c>
    </row>
    <row r="63" spans="1:10" x14ac:dyDescent="0.15">
      <c r="A63" s="26" t="s">
        <v>99</v>
      </c>
      <c r="B63" s="59">
        <f>IFERROR(B33/C33,1)</f>
        <v>1</v>
      </c>
      <c r="C63" s="59">
        <v>1</v>
      </c>
      <c r="D63" s="78">
        <f>IFERROR(D33/$C33,1)</f>
        <v>1</v>
      </c>
      <c r="E63" s="78">
        <f t="shared" ref="E63:J63" si="1">IFERROR(E33/$C33,1)</f>
        <v>1</v>
      </c>
      <c r="F63" s="78">
        <f t="shared" si="1"/>
        <v>1</v>
      </c>
      <c r="G63" s="78">
        <f t="shared" si="1"/>
        <v>1</v>
      </c>
      <c r="H63" s="78">
        <f t="shared" si="1"/>
        <v>1</v>
      </c>
      <c r="I63" s="78">
        <f t="shared" si="1"/>
        <v>1</v>
      </c>
      <c r="J63" s="78">
        <f t="shared" si="1"/>
        <v>1</v>
      </c>
    </row>
    <row r="64" spans="1:10" x14ac:dyDescent="0.15">
      <c r="A64" s="26" t="s">
        <v>35</v>
      </c>
      <c r="B64" s="59">
        <f t="shared" ref="B64:B87" si="2">IFERROR(B34/C34,1)</f>
        <v>1</v>
      </c>
      <c r="C64" s="59">
        <v>1</v>
      </c>
      <c r="D64" s="78">
        <f t="shared" ref="D64:J87" si="3">IFERROR(D34/$C34,1)</f>
        <v>1</v>
      </c>
      <c r="E64" s="78">
        <f t="shared" si="3"/>
        <v>1</v>
      </c>
      <c r="F64" s="78">
        <f t="shared" si="3"/>
        <v>1</v>
      </c>
      <c r="G64" s="78">
        <f t="shared" si="3"/>
        <v>1</v>
      </c>
      <c r="H64" s="78">
        <f t="shared" si="3"/>
        <v>1</v>
      </c>
      <c r="I64" s="78">
        <f t="shared" si="3"/>
        <v>1</v>
      </c>
      <c r="J64" s="78">
        <f t="shared" si="3"/>
        <v>1</v>
      </c>
    </row>
    <row r="65" spans="1:10" x14ac:dyDescent="0.15">
      <c r="A65" s="26" t="s">
        <v>67</v>
      </c>
      <c r="B65" s="59">
        <f t="shared" si="2"/>
        <v>1</v>
      </c>
      <c r="C65" s="59">
        <v>1</v>
      </c>
      <c r="D65" s="78">
        <f t="shared" si="3"/>
        <v>1</v>
      </c>
      <c r="E65" s="78">
        <f t="shared" si="3"/>
        <v>1</v>
      </c>
      <c r="F65" s="78">
        <f t="shared" si="3"/>
        <v>1</v>
      </c>
      <c r="G65" s="78">
        <f t="shared" si="3"/>
        <v>1</v>
      </c>
      <c r="H65" s="78">
        <f t="shared" si="3"/>
        <v>1</v>
      </c>
      <c r="I65" s="78">
        <f t="shared" si="3"/>
        <v>1</v>
      </c>
      <c r="J65" s="78">
        <f t="shared" si="3"/>
        <v>1</v>
      </c>
    </row>
    <row r="66" spans="1:10" x14ac:dyDescent="0.15">
      <c r="A66" s="26" t="s">
        <v>100</v>
      </c>
      <c r="B66" s="59">
        <f t="shared" si="2"/>
        <v>1</v>
      </c>
      <c r="C66" s="59">
        <v>1</v>
      </c>
      <c r="D66" s="78">
        <f t="shared" si="3"/>
        <v>1</v>
      </c>
      <c r="E66" s="78">
        <f t="shared" si="3"/>
        <v>1</v>
      </c>
      <c r="F66" s="78">
        <f t="shared" si="3"/>
        <v>1</v>
      </c>
      <c r="G66" s="78">
        <f t="shared" si="3"/>
        <v>1</v>
      </c>
      <c r="H66" s="78">
        <f t="shared" si="3"/>
        <v>1</v>
      </c>
      <c r="I66" s="78">
        <f t="shared" si="3"/>
        <v>1</v>
      </c>
      <c r="J66" s="78">
        <f t="shared" si="3"/>
        <v>1</v>
      </c>
    </row>
    <row r="67" spans="1:10" x14ac:dyDescent="0.15">
      <c r="A67" s="26" t="s">
        <v>101</v>
      </c>
      <c r="B67" s="59">
        <f t="shared" si="2"/>
        <v>0.15776858072236449</v>
      </c>
      <c r="C67" s="59">
        <v>1</v>
      </c>
      <c r="D67" s="78">
        <f t="shared" si="3"/>
        <v>0.12671716444867032</v>
      </c>
      <c r="E67" s="78">
        <f t="shared" si="3"/>
        <v>0.12308719128699656</v>
      </c>
      <c r="F67" s="78">
        <f t="shared" si="3"/>
        <v>0.16121958848173448</v>
      </c>
      <c r="G67" s="78">
        <f t="shared" si="3"/>
        <v>0.15776858072236449</v>
      </c>
      <c r="H67" s="78">
        <f t="shared" si="3"/>
        <v>0.15263291855406655</v>
      </c>
      <c r="I67" s="78">
        <f t="shared" si="3"/>
        <v>3.5763472233727396E-2</v>
      </c>
      <c r="J67" s="78">
        <f t="shared" si="3"/>
        <v>3.4706808840495561E-2</v>
      </c>
    </row>
    <row r="68" spans="1:10" x14ac:dyDescent="0.15">
      <c r="A68" s="26" t="s">
        <v>72</v>
      </c>
      <c r="B68" s="59">
        <f t="shared" si="2"/>
        <v>3.126839524921645E-2</v>
      </c>
      <c r="C68" s="59">
        <v>1</v>
      </c>
      <c r="D68" s="78">
        <f t="shared" si="3"/>
        <v>7.1760594240247678E-3</v>
      </c>
      <c r="E68" s="78">
        <f t="shared" si="3"/>
        <v>2.9089019861998546E-2</v>
      </c>
      <c r="F68" s="78">
        <f t="shared" si="3"/>
        <v>3.1438235148535318E-2</v>
      </c>
      <c r="G68" s="78">
        <f t="shared" si="3"/>
        <v>3.126839524921645E-2</v>
      </c>
      <c r="H68" s="78">
        <f t="shared" si="3"/>
        <v>9.4757258929088449E-3</v>
      </c>
      <c r="I68" s="78">
        <f t="shared" si="3"/>
        <v>2.2673284825901695E-3</v>
      </c>
      <c r="J68" s="78">
        <f t="shared" si="3"/>
        <v>2.2466647305347419E-3</v>
      </c>
    </row>
    <row r="69" spans="1:10" x14ac:dyDescent="0.15">
      <c r="A69" s="26" t="s">
        <v>38</v>
      </c>
      <c r="B69" s="59">
        <f t="shared" si="2"/>
        <v>1</v>
      </c>
      <c r="C69" s="59">
        <v>1</v>
      </c>
      <c r="D69" s="78">
        <f t="shared" si="3"/>
        <v>1</v>
      </c>
      <c r="E69" s="78">
        <f t="shared" si="3"/>
        <v>1</v>
      </c>
      <c r="F69" s="78">
        <f t="shared" si="3"/>
        <v>1</v>
      </c>
      <c r="G69" s="78">
        <f t="shared" si="3"/>
        <v>1</v>
      </c>
      <c r="H69" s="78">
        <f t="shared" si="3"/>
        <v>1</v>
      </c>
      <c r="I69" s="78">
        <f t="shared" si="3"/>
        <v>1</v>
      </c>
      <c r="J69" s="78">
        <f t="shared" si="3"/>
        <v>1</v>
      </c>
    </row>
    <row r="70" spans="1:10" x14ac:dyDescent="0.15">
      <c r="A70" s="26" t="s">
        <v>68</v>
      </c>
      <c r="B70" s="59">
        <f t="shared" si="2"/>
        <v>0.12803720417978801</v>
      </c>
      <c r="C70" s="59">
        <v>1</v>
      </c>
      <c r="D70" s="78">
        <f t="shared" si="3"/>
        <v>0.10536665582448405</v>
      </c>
      <c r="E70" s="78">
        <f t="shared" si="3"/>
        <v>0.10560743314412792</v>
      </c>
      <c r="F70" s="78">
        <f t="shared" si="3"/>
        <v>0.13352082866271789</v>
      </c>
      <c r="G70" s="78">
        <f t="shared" si="3"/>
        <v>0.12803720417978801</v>
      </c>
      <c r="H70" s="78">
        <f t="shared" si="3"/>
        <v>0.1223985803432073</v>
      </c>
      <c r="I70" s="78">
        <f t="shared" si="3"/>
        <v>2.8926752362140613E-2</v>
      </c>
      <c r="J70" s="78">
        <f t="shared" si="3"/>
        <v>2.8300491103649319E-2</v>
      </c>
    </row>
    <row r="71" spans="1:10" x14ac:dyDescent="0.15">
      <c r="A71" s="26" t="s">
        <v>40</v>
      </c>
      <c r="B71" s="59">
        <f t="shared" si="2"/>
        <v>3.4351553948448264E-2</v>
      </c>
      <c r="C71" s="59">
        <v>1</v>
      </c>
      <c r="D71" s="78">
        <f t="shared" si="3"/>
        <v>1.0866064305717677E-2</v>
      </c>
      <c r="E71" s="78">
        <f t="shared" si="3"/>
        <v>3.0148982727840234E-2</v>
      </c>
      <c r="F71" s="78">
        <f t="shared" si="3"/>
        <v>3.6863931442795234E-2</v>
      </c>
      <c r="G71" s="78">
        <f t="shared" si="3"/>
        <v>3.4351553948448264E-2</v>
      </c>
      <c r="H71" s="78">
        <f t="shared" si="3"/>
        <v>1.6404363551546008E-2</v>
      </c>
      <c r="I71" s="78">
        <f t="shared" si="3"/>
        <v>7.615592187840481E-3</v>
      </c>
      <c r="J71" s="78">
        <f t="shared" si="3"/>
        <v>7.4552595447131614E-3</v>
      </c>
    </row>
    <row r="72" spans="1:10" x14ac:dyDescent="0.15">
      <c r="A72" s="26" t="s">
        <v>41</v>
      </c>
      <c r="B72" s="59">
        <f t="shared" si="2"/>
        <v>0.1232244219879107</v>
      </c>
      <c r="C72" s="59">
        <v>1</v>
      </c>
      <c r="D72" s="78">
        <f t="shared" si="3"/>
        <v>2.0392121530098409E-2</v>
      </c>
      <c r="E72" s="78">
        <f t="shared" si="3"/>
        <v>5.6384034933493067E-2</v>
      </c>
      <c r="F72" s="78">
        <f t="shared" si="3"/>
        <v>0.13318108589228028</v>
      </c>
      <c r="G72" s="78">
        <f t="shared" si="3"/>
        <v>0.12322442198791068</v>
      </c>
      <c r="H72" s="78">
        <f t="shared" si="3"/>
        <v>8.6300825492460903E-2</v>
      </c>
      <c r="I72" s="78">
        <f t="shared" si="3"/>
        <v>6.7635125819785397E-2</v>
      </c>
      <c r="J72" s="78">
        <f t="shared" si="3"/>
        <v>6.5453547781544316E-2</v>
      </c>
    </row>
    <row r="73" spans="1:10" x14ac:dyDescent="0.15">
      <c r="A73" s="26" t="s">
        <v>42</v>
      </c>
      <c r="B73" s="59">
        <f t="shared" si="2"/>
        <v>1</v>
      </c>
      <c r="C73" s="59">
        <v>1</v>
      </c>
      <c r="D73" s="78">
        <f t="shared" si="3"/>
        <v>1</v>
      </c>
      <c r="E73" s="78">
        <f t="shared" si="3"/>
        <v>1</v>
      </c>
      <c r="F73" s="78">
        <f t="shared" si="3"/>
        <v>1</v>
      </c>
      <c r="G73" s="78">
        <f t="shared" si="3"/>
        <v>1</v>
      </c>
      <c r="H73" s="78">
        <f t="shared" si="3"/>
        <v>1</v>
      </c>
      <c r="I73" s="78">
        <f t="shared" si="3"/>
        <v>1</v>
      </c>
      <c r="J73" s="78">
        <f t="shared" si="3"/>
        <v>1</v>
      </c>
    </row>
    <row r="74" spans="1:10" x14ac:dyDescent="0.15">
      <c r="A74" s="26" t="s">
        <v>43</v>
      </c>
      <c r="B74" s="59">
        <f t="shared" si="2"/>
        <v>1</v>
      </c>
      <c r="C74" s="59">
        <v>1</v>
      </c>
      <c r="D74" s="78">
        <f t="shared" si="3"/>
        <v>1</v>
      </c>
      <c r="E74" s="78">
        <f t="shared" si="3"/>
        <v>1</v>
      </c>
      <c r="F74" s="78">
        <f t="shared" si="3"/>
        <v>1</v>
      </c>
      <c r="G74" s="78">
        <f t="shared" si="3"/>
        <v>1</v>
      </c>
      <c r="H74" s="78">
        <f t="shared" si="3"/>
        <v>1</v>
      </c>
      <c r="I74" s="78">
        <f t="shared" si="3"/>
        <v>1</v>
      </c>
      <c r="J74" s="78">
        <f t="shared" si="3"/>
        <v>1</v>
      </c>
    </row>
    <row r="75" spans="1:10" x14ac:dyDescent="0.15">
      <c r="A75" s="26" t="s">
        <v>56</v>
      </c>
      <c r="B75" s="59">
        <f t="shared" si="2"/>
        <v>1.5038284625168111E-2</v>
      </c>
      <c r="C75" s="59">
        <v>1</v>
      </c>
      <c r="D75" s="78">
        <f t="shared" si="3"/>
        <v>0</v>
      </c>
      <c r="E75" s="78">
        <f t="shared" si="3"/>
        <v>1.6249420556985784E-2</v>
      </c>
      <c r="F75" s="78">
        <f t="shared" si="3"/>
        <v>1.5618719031197619E-2</v>
      </c>
      <c r="G75" s="78">
        <f t="shared" si="3"/>
        <v>1.5038284625168111E-2</v>
      </c>
      <c r="H75" s="78">
        <f t="shared" si="3"/>
        <v>0</v>
      </c>
      <c r="I75" s="78">
        <f t="shared" si="3"/>
        <v>0</v>
      </c>
      <c r="J75" s="78">
        <f t="shared" si="3"/>
        <v>0</v>
      </c>
    </row>
    <row r="76" spans="1:10" x14ac:dyDescent="0.15">
      <c r="A76" s="26" t="s">
        <v>45</v>
      </c>
      <c r="B76" s="59">
        <f t="shared" si="2"/>
        <v>2.9671840238888848E-2</v>
      </c>
      <c r="C76" s="59">
        <v>1</v>
      </c>
      <c r="D76" s="78">
        <f t="shared" si="3"/>
        <v>2.1682913835545212E-3</v>
      </c>
      <c r="E76" s="78">
        <f t="shared" si="3"/>
        <v>2.3289204436017187E-3</v>
      </c>
      <c r="F76" s="78">
        <f t="shared" si="3"/>
        <v>3.1761368904042069E-2</v>
      </c>
      <c r="G76" s="78">
        <f t="shared" si="3"/>
        <v>2.9671840238888848E-2</v>
      </c>
      <c r="H76" s="78">
        <f t="shared" si="3"/>
        <v>2.7754500570483731E-2</v>
      </c>
      <c r="I76" s="78">
        <f t="shared" si="3"/>
        <v>2.5454770520983012E-2</v>
      </c>
      <c r="J76" s="78">
        <f t="shared" si="3"/>
        <v>2.4978217865134128E-2</v>
      </c>
    </row>
    <row r="77" spans="1:10" x14ac:dyDescent="0.15">
      <c r="A77" s="26" t="s">
        <v>46</v>
      </c>
      <c r="B77" s="59">
        <f t="shared" si="2"/>
        <v>0.1566547647536545</v>
      </c>
      <c r="C77" s="59">
        <v>1</v>
      </c>
      <c r="D77" s="78">
        <f t="shared" si="3"/>
        <v>0.16483514666162546</v>
      </c>
      <c r="E77" s="78">
        <f t="shared" si="3"/>
        <v>0.18173688646473662</v>
      </c>
      <c r="F77" s="78">
        <f t="shared" si="3"/>
        <v>0.1682273239883694</v>
      </c>
      <c r="G77" s="78">
        <f t="shared" si="3"/>
        <v>0.15665476475365453</v>
      </c>
      <c r="H77" s="78">
        <f t="shared" si="3"/>
        <v>0.12786596857974805</v>
      </c>
      <c r="I77" s="78">
        <f t="shared" si="3"/>
        <v>0</v>
      </c>
      <c r="J77" s="78">
        <f t="shared" si="3"/>
        <v>0</v>
      </c>
    </row>
    <row r="78" spans="1:10" x14ac:dyDescent="0.15">
      <c r="A78" s="26" t="s">
        <v>47</v>
      </c>
      <c r="B78" s="59">
        <f t="shared" si="2"/>
        <v>1</v>
      </c>
      <c r="C78" s="59">
        <v>1</v>
      </c>
      <c r="D78" s="78">
        <f t="shared" si="3"/>
        <v>1</v>
      </c>
      <c r="E78" s="78">
        <f t="shared" si="3"/>
        <v>1</v>
      </c>
      <c r="F78" s="78">
        <f t="shared" si="3"/>
        <v>1</v>
      </c>
      <c r="G78" s="78">
        <f t="shared" si="3"/>
        <v>1</v>
      </c>
      <c r="H78" s="78">
        <f t="shared" si="3"/>
        <v>1</v>
      </c>
      <c r="I78" s="78">
        <f t="shared" si="3"/>
        <v>1</v>
      </c>
      <c r="J78" s="78">
        <f t="shared" si="3"/>
        <v>1</v>
      </c>
    </row>
    <row r="79" spans="1:10" x14ac:dyDescent="0.15">
      <c r="A79" s="26" t="s">
        <v>48</v>
      </c>
      <c r="B79" s="59">
        <f t="shared" si="2"/>
        <v>1</v>
      </c>
      <c r="C79" s="59">
        <v>1</v>
      </c>
      <c r="D79" s="78">
        <f t="shared" si="3"/>
        <v>1</v>
      </c>
      <c r="E79" s="78">
        <f t="shared" si="3"/>
        <v>1</v>
      </c>
      <c r="F79" s="78">
        <f t="shared" si="3"/>
        <v>1</v>
      </c>
      <c r="G79" s="78">
        <f t="shared" si="3"/>
        <v>1</v>
      </c>
      <c r="H79" s="78">
        <f t="shared" si="3"/>
        <v>1</v>
      </c>
      <c r="I79" s="78">
        <f t="shared" si="3"/>
        <v>1</v>
      </c>
      <c r="J79" s="78">
        <f t="shared" si="3"/>
        <v>1</v>
      </c>
    </row>
    <row r="80" spans="1:10" x14ac:dyDescent="0.15">
      <c r="A80" s="26" t="s">
        <v>49</v>
      </c>
      <c r="B80" s="59">
        <f t="shared" si="2"/>
        <v>1</v>
      </c>
      <c r="C80" s="59">
        <v>1</v>
      </c>
      <c r="D80" s="78">
        <f t="shared" si="3"/>
        <v>1</v>
      </c>
      <c r="E80" s="78">
        <f t="shared" si="3"/>
        <v>1</v>
      </c>
      <c r="F80" s="78">
        <f t="shared" si="3"/>
        <v>1</v>
      </c>
      <c r="G80" s="78">
        <f t="shared" si="3"/>
        <v>1</v>
      </c>
      <c r="H80" s="78">
        <f t="shared" si="3"/>
        <v>1</v>
      </c>
      <c r="I80" s="78">
        <f t="shared" si="3"/>
        <v>1</v>
      </c>
      <c r="J80" s="78">
        <f t="shared" si="3"/>
        <v>1</v>
      </c>
    </row>
    <row r="81" spans="1:10" x14ac:dyDescent="0.15">
      <c r="A81" s="26" t="s">
        <v>50</v>
      </c>
      <c r="B81" s="59">
        <f t="shared" si="2"/>
        <v>1</v>
      </c>
      <c r="C81" s="59">
        <v>1</v>
      </c>
      <c r="D81" s="78">
        <f t="shared" si="3"/>
        <v>1</v>
      </c>
      <c r="E81" s="78">
        <f t="shared" si="3"/>
        <v>1</v>
      </c>
      <c r="F81" s="78">
        <f t="shared" si="3"/>
        <v>1</v>
      </c>
      <c r="G81" s="78">
        <f t="shared" si="3"/>
        <v>1</v>
      </c>
      <c r="H81" s="78">
        <f t="shared" si="3"/>
        <v>1</v>
      </c>
      <c r="I81" s="78">
        <f t="shared" si="3"/>
        <v>1</v>
      </c>
      <c r="J81" s="78">
        <f t="shared" si="3"/>
        <v>1</v>
      </c>
    </row>
    <row r="82" spans="1:10" x14ac:dyDescent="0.15">
      <c r="A82" s="26" t="s">
        <v>81</v>
      </c>
      <c r="B82" s="59">
        <f t="shared" si="2"/>
        <v>3.5122121606639599E-2</v>
      </c>
      <c r="C82" s="59">
        <v>1</v>
      </c>
      <c r="D82" s="78">
        <f t="shared" si="3"/>
        <v>0</v>
      </c>
      <c r="E82" s="78">
        <f t="shared" si="3"/>
        <v>4.0910123455296848E-2</v>
      </c>
      <c r="F82" s="78">
        <f t="shared" si="3"/>
        <v>3.7784911929704235E-2</v>
      </c>
      <c r="G82" s="78">
        <f t="shared" si="3"/>
        <v>3.5122121606639599E-2</v>
      </c>
      <c r="H82" s="78">
        <f t="shared" si="3"/>
        <v>0</v>
      </c>
      <c r="I82" s="78">
        <f t="shared" si="3"/>
        <v>0</v>
      </c>
      <c r="J82" s="78">
        <f t="shared" si="3"/>
        <v>0</v>
      </c>
    </row>
    <row r="83" spans="1:10" x14ac:dyDescent="0.15">
      <c r="A83" s="26" t="s">
        <v>71</v>
      </c>
      <c r="B83" s="59">
        <f t="shared" si="2"/>
        <v>0.14796803956236451</v>
      </c>
      <c r="C83" s="59">
        <v>1</v>
      </c>
      <c r="D83" s="78">
        <f t="shared" si="3"/>
        <v>0.15625640338555688</v>
      </c>
      <c r="E83" s="78">
        <f t="shared" si="3"/>
        <v>0.15097394452545562</v>
      </c>
      <c r="F83" s="78">
        <f t="shared" si="3"/>
        <v>0.15039859108690096</v>
      </c>
      <c r="G83" s="78">
        <f t="shared" si="3"/>
        <v>0.14796803956236451</v>
      </c>
      <c r="H83" s="78">
        <f t="shared" si="3"/>
        <v>0.14490965458396618</v>
      </c>
      <c r="I83" s="78">
        <f t="shared" si="3"/>
        <v>0</v>
      </c>
      <c r="J83" s="78">
        <f t="shared" si="3"/>
        <v>0</v>
      </c>
    </row>
    <row r="84" spans="1:10" x14ac:dyDescent="0.15">
      <c r="A84" s="26" t="s">
        <v>53</v>
      </c>
      <c r="B84" s="59">
        <f t="shared" si="2"/>
        <v>1</v>
      </c>
      <c r="C84" s="59">
        <v>1</v>
      </c>
      <c r="D84" s="78">
        <f t="shared" si="3"/>
        <v>1</v>
      </c>
      <c r="E84" s="78">
        <f t="shared" si="3"/>
        <v>1</v>
      </c>
      <c r="F84" s="78">
        <f t="shared" si="3"/>
        <v>1</v>
      </c>
      <c r="G84" s="78">
        <f t="shared" si="3"/>
        <v>1</v>
      </c>
      <c r="H84" s="78">
        <f t="shared" si="3"/>
        <v>1</v>
      </c>
      <c r="I84" s="78">
        <f t="shared" si="3"/>
        <v>1</v>
      </c>
      <c r="J84" s="78">
        <f t="shared" si="3"/>
        <v>1</v>
      </c>
    </row>
    <row r="85" spans="1:10" x14ac:dyDescent="0.15">
      <c r="A85" s="26" t="s">
        <v>76</v>
      </c>
      <c r="B85" s="59">
        <f t="shared" si="2"/>
        <v>1</v>
      </c>
      <c r="C85" s="59">
        <v>1</v>
      </c>
      <c r="D85" s="78">
        <f t="shared" si="3"/>
        <v>1</v>
      </c>
      <c r="E85" s="78">
        <f t="shared" si="3"/>
        <v>1</v>
      </c>
      <c r="F85" s="78">
        <f t="shared" si="3"/>
        <v>1</v>
      </c>
      <c r="G85" s="78">
        <f t="shared" si="3"/>
        <v>1</v>
      </c>
      <c r="H85" s="78">
        <f t="shared" si="3"/>
        <v>1</v>
      </c>
      <c r="I85" s="78">
        <f t="shared" si="3"/>
        <v>1</v>
      </c>
      <c r="J85" s="78">
        <f t="shared" si="3"/>
        <v>1</v>
      </c>
    </row>
    <row r="86" spans="1:10" x14ac:dyDescent="0.15">
      <c r="A86" s="26" t="s">
        <v>83</v>
      </c>
      <c r="B86" s="59">
        <f t="shared" si="2"/>
        <v>1.0993226136936383</v>
      </c>
      <c r="C86" s="59">
        <v>1</v>
      </c>
      <c r="D86" s="78">
        <f t="shared" si="3"/>
        <v>0</v>
      </c>
      <c r="E86" s="78">
        <f t="shared" si="3"/>
        <v>1.2187842692006992</v>
      </c>
      <c r="F86" s="78">
        <f t="shared" si="3"/>
        <v>1.1847660906327409</v>
      </c>
      <c r="G86" s="78">
        <f t="shared" si="3"/>
        <v>1.0993226136936383</v>
      </c>
      <c r="H86" s="78">
        <f t="shared" si="3"/>
        <v>0</v>
      </c>
      <c r="I86" s="78">
        <f t="shared" si="3"/>
        <v>0</v>
      </c>
      <c r="J86" s="78">
        <f t="shared" si="3"/>
        <v>0</v>
      </c>
    </row>
    <row r="87" spans="1:10" x14ac:dyDescent="0.15">
      <c r="A87" s="26" t="s">
        <v>55</v>
      </c>
      <c r="B87" s="59">
        <f t="shared" si="2"/>
        <v>1</v>
      </c>
      <c r="C87" s="59">
        <v>1</v>
      </c>
      <c r="D87" s="78">
        <f t="shared" si="3"/>
        <v>1</v>
      </c>
      <c r="E87" s="78">
        <f t="shared" si="3"/>
        <v>1</v>
      </c>
      <c r="F87" s="78">
        <f t="shared" si="3"/>
        <v>1</v>
      </c>
      <c r="G87" s="78">
        <f t="shared" si="3"/>
        <v>1</v>
      </c>
      <c r="H87" s="78">
        <f t="shared" si="3"/>
        <v>1</v>
      </c>
      <c r="I87" s="78">
        <f t="shared" si="3"/>
        <v>1</v>
      </c>
      <c r="J87" s="78">
        <f t="shared" si="3"/>
        <v>1</v>
      </c>
    </row>
    <row r="88" spans="1:10" x14ac:dyDescent="0.15">
      <c r="A88" s="63" t="s">
        <v>446</v>
      </c>
      <c r="B88" s="68">
        <f>SUM(B41,B46)/SUM(C41,C46)</f>
        <v>3.0432681523124651E-2</v>
      </c>
      <c r="C88" s="63">
        <v>1</v>
      </c>
      <c r="D88" s="79"/>
      <c r="E88" s="79"/>
      <c r="F88" s="79"/>
      <c r="G88" s="79"/>
      <c r="H88" s="79"/>
      <c r="I88" s="79"/>
      <c r="J88" s="79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63389-C2C6-4C3E-B406-5BBC71EF244D}">
  <dimension ref="A1:L87"/>
  <sheetViews>
    <sheetView topLeftCell="A46" workbookViewId="0">
      <selection activeCell="D63" sqref="D63:J87"/>
    </sheetView>
  </sheetViews>
  <sheetFormatPr defaultColWidth="9" defaultRowHeight="12" x14ac:dyDescent="0.15"/>
  <cols>
    <col min="1" max="1" width="27" style="21" customWidth="1"/>
    <col min="2" max="3" width="11" style="21" customWidth="1"/>
    <col min="4" max="11" width="10" style="21" customWidth="1"/>
    <col min="12" max="12" width="9" style="21" customWidth="1"/>
    <col min="13" max="16384" width="9" style="21"/>
  </cols>
  <sheetData>
    <row r="1" spans="1:12" x14ac:dyDescent="0.15">
      <c r="A1" s="52" t="s">
        <v>105</v>
      </c>
      <c r="B1" s="52" t="s">
        <v>439</v>
      </c>
      <c r="C1" s="52"/>
      <c r="D1" s="52"/>
      <c r="E1" s="52"/>
      <c r="F1" s="52"/>
      <c r="G1" s="52"/>
      <c r="H1" s="52"/>
      <c r="I1" s="52"/>
      <c r="J1" s="52"/>
      <c r="L1" s="21" t="s">
        <v>441</v>
      </c>
    </row>
    <row r="2" spans="1:12" x14ac:dyDescent="0.15">
      <c r="A2" s="26" t="s">
        <v>384</v>
      </c>
      <c r="B2" s="50">
        <v>2027</v>
      </c>
      <c r="C2" s="46" t="s">
        <v>438</v>
      </c>
      <c r="D2" s="20">
        <v>2021</v>
      </c>
      <c r="E2" s="20">
        <v>2022</v>
      </c>
      <c r="F2" s="20">
        <v>2023</v>
      </c>
      <c r="G2" s="20">
        <v>2024</v>
      </c>
      <c r="H2" s="20">
        <v>2025</v>
      </c>
      <c r="I2" s="20">
        <v>2026</v>
      </c>
      <c r="J2" s="20">
        <v>2027</v>
      </c>
      <c r="L2" s="21">
        <v>277435549975.86145</v>
      </c>
    </row>
    <row r="3" spans="1:12" x14ac:dyDescent="0.15">
      <c r="A3" s="26" t="s">
        <v>99</v>
      </c>
      <c r="B3" s="47">
        <f>SUMIFS(工业节能技术装备推荐目录!K:K,工业节能技术装备推荐目录!D:D,'Improvement in Eqpt Efficiency'!A3,工业节能技术装备推荐目录!F:F,'Improvement in Eqpt Efficiency'!$A$1)+SUMIFS(用能设备节能分配!Q:Q,用能设备节能分配!O:O,'Improvement in Eqpt Efficiency'!A3,用能设备节能分配!P:P,'Improvement in Eqpt Efficiency'!$A$1)</f>
        <v>6.3042738348297434</v>
      </c>
      <c r="C3" s="51">
        <f>SUMIFS(工业节能技术装备推荐目录!L:L,工业节能技术装备推荐目录!D:D,'Improvement in Eqpt Efficiency'!A3,工业节能技术装备推荐目录!F:F,'Improvement in Eqpt Efficiency'!$A$1)+SUMIFS(用能设备节能分配!R:R,用能设备节能分配!O:O,'Improvement in Eqpt Efficiency'!A3,用能设备节能分配!P:P,'Improvement in Eqpt Efficiency'!$A$1)</f>
        <v>48.04282352950635</v>
      </c>
      <c r="D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</f>
        <v>0.55510446514849221</v>
      </c>
      <c r="E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</f>
        <v>4.1874408125599683</v>
      </c>
      <c r="F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6.3042738348297434</v>
      </c>
      <c r="G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Efficiency'!$A$1,工业节能技术装备推荐目录!A:A,"2021")+SUMIFS(用能设备节能分配!Q:Q,用能设备节能分配!O:O,'Improvement in Eqpt Efficiency'!A3,用能设备节能分配!P:P,'Improvement in Eqpt Efficiency'!$A$1,用能设备节能分配!M:M,"2021")+SUMIFS(工业节能技术装备推荐目录!K:K,工业节能技术装备推荐目录!D:D,'Improvement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6.3042738348297434</v>
      </c>
      <c r="H3" s="75">
        <f>SUMIFS(工业节能技术装备推荐目录!K:K,工业节能技术装备推荐目录!D:D,'Improvement in Eqpt Efficiency'!A3,工业节能技术装备推荐目录!F:F,'Improvement in Eqpt Efficiency'!$A$1,工业节能技术装备推荐目录!A:A,"2020")+SUMIFS(用能设备节能分配!Q:Q,用能设备节能分配!O:O,'Improvement in Eqpt Efficiency'!A3,用能设备节能分配!P:P,'Improvement in Eqpt Efficiency'!$A$1,用能设备节能分配!M:M,"2020")+SUMIFS(工业节能技术装备推荐目录!K:K,工业节能技术装备推荐目录!D:D,'Improvement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2.6719374874182673</v>
      </c>
      <c r="I3" s="75">
        <f>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2.1168330222697751</v>
      </c>
      <c r="J3" s="75">
        <f>SUMIFS(工业节能技术装备推荐目录!K:K,工业节能技术装备推荐目录!D:D,'Improvement in Eqpt Efficiency'!A3,工业节能技术装备推荐目录!F:F,'Improvement in Eqpt Efficiency'!$A$1,工业节能技术装备推荐目录!A:A,"2022")+SUMIFS(用能设备节能分配!Q:Q,用能设备节能分配!O:O,'Improvement in Eqpt Efficiency'!A3,用能设备节能分配!P:P,'Improvement in Eqpt Efficiency'!$A$1,用能设备节能分配!M:M,"2022")</f>
        <v>2.1168330222697751</v>
      </c>
      <c r="L3" s="53"/>
    </row>
    <row r="4" spans="1:12" x14ac:dyDescent="0.15">
      <c r="A4" s="26" t="s">
        <v>35</v>
      </c>
      <c r="B4" s="47">
        <f>SUMIFS(工业节能技术装备推荐目录!K:K,工业节能技术装备推荐目录!D:D,'Improvement in Eqpt Efficiency'!A4,工业节能技术装备推荐目录!F:F,'Improvement in Eqpt Efficiency'!$A$1)+SUMIFS(用能设备节能分配!Q:Q,用能设备节能分配!O:O,'Improvement in Eqpt Efficiency'!A4,用能设备节能分配!P:P,'Improvement in Eqpt Efficiency'!$A$1)</f>
        <v>99.765215766561667</v>
      </c>
      <c r="C4" s="51">
        <f>SUMIFS(工业节能技术装备推荐目录!L:L,工业节能技术装备推荐目录!D:D,'Improvement in Eqpt Efficiency'!A4,工业节能技术装备推荐目录!F:F,'Improvement in Eqpt Efficiency'!$A$1)+SUMIFS(用能设备节能分配!R:R,用能设备节能分配!O:O,'Improvement in Eqpt Efficiency'!A4,用能设备节能分配!P:P,'Improvement in Eqpt Efficiency'!$A$1)</f>
        <v>789.24464822453569</v>
      </c>
      <c r="D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</f>
        <v>6.1580351845622525</v>
      </c>
      <c r="E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</f>
        <v>62.945488054005345</v>
      </c>
      <c r="F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99.765215766561681</v>
      </c>
      <c r="G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Efficiency'!$A$1,工业节能技术装备推荐目录!A:A,"2021")+SUMIFS(用能设备节能分配!Q:Q,用能设备节能分配!O:O,'Improvement in Eqpt Efficiency'!A4,用能设备节能分配!P:P,'Improvement in Eqpt Efficiency'!$A$1,用能设备节能分配!M:M,"2021")+SUMIFS(工业节能技术装备推荐目录!K:K,工业节能技术装备推荐目录!D:D,'Improvement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99.765215766561681</v>
      </c>
      <c r="H4" s="75">
        <f>SUMIFS(工业节能技术装备推荐目录!K:K,工业节能技术装备推荐目录!D:D,'Improvement in Eqpt Efficiency'!A4,工业节能技术装备推荐目录!F:F,'Improvement in Eqpt Efficiency'!$A$1,工业节能技术装备推荐目录!A:A,"2020")+SUMIFS(用能设备节能分配!Q:Q,用能设备节能分配!O:O,'Improvement in Eqpt Efficiency'!A4,用能设备节能分配!P:P,'Improvement in Eqpt Efficiency'!$A$1,用能设备节能分配!M:M,"2020")+SUMIFS(工业节能技术装备推荐目录!K:K,工业节能技术装备推荐目录!D:D,'Improvement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42.977762897118588</v>
      </c>
      <c r="I4" s="75">
        <f>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36.819727712556336</v>
      </c>
      <c r="J4" s="75">
        <f>SUMIFS(工业节能技术装备推荐目录!K:K,工业节能技术装备推荐目录!D:D,'Improvement in Eqpt Efficiency'!A4,工业节能技术装备推荐目录!F:F,'Improvement in Eqpt Efficiency'!$A$1,工业节能技术装备推荐目录!A:A,"2022")+SUMIFS(用能设备节能分配!Q:Q,用能设备节能分配!O:O,'Improvement in Eqpt Efficiency'!A4,用能设备节能分配!P:P,'Improvement in Eqpt Efficiency'!$A$1,用能设备节能分配!M:M,"2022")</f>
        <v>36.819727712556336</v>
      </c>
      <c r="L4" s="53"/>
    </row>
    <row r="5" spans="1:12" x14ac:dyDescent="0.15">
      <c r="A5" s="26" t="s">
        <v>67</v>
      </c>
      <c r="B5" s="47">
        <f>SUMIFS(工业节能技术装备推荐目录!K:K,工业节能技术装备推荐目录!D:D,'Improvement in Eqpt Efficiency'!A5,工业节能技术装备推荐目录!F:F,'Improvement in Eqpt Efficiency'!$A$1)+SUMIFS(用能设备节能分配!Q:Q,用能设备节能分配!O:O,'Improvement in Eqpt Efficiency'!A5,用能设备节能分配!P:P,'Improvement in Eqpt Efficiency'!$A$1)</f>
        <v>110.97935624404852</v>
      </c>
      <c r="C5" s="51">
        <f>SUMIFS(工业节能技术装备推荐目录!L:L,工业节能技术装备推荐目录!D:D,'Improvement in Eqpt Efficiency'!A5,工业节能技术装备推荐目录!F:F,'Improvement in Eqpt Efficiency'!$A$1)+SUMIFS(用能设备节能分配!R:R,用能设备节能分配!O:O,'Improvement in Eqpt Efficiency'!A5,用能设备节能分配!P:P,'Improvement in Eqpt Efficiency'!$A$1)</f>
        <v>822.70470636499908</v>
      </c>
      <c r="D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</f>
        <v>108.26233853377406</v>
      </c>
      <c r="E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</f>
        <v>109.97895558764559</v>
      </c>
      <c r="F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110.97935624404853</v>
      </c>
      <c r="G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Efficiency'!$A$1,工业节能技术装备推荐目录!A:A,"2021")+SUMIFS(用能设备节能分配!Q:Q,用能设备节能分配!O:O,'Improvement in Eqpt Efficiency'!A5,用能设备节能分配!P:P,'Improvement in Eqpt Efficiency'!$A$1,用能设备节能分配!M:M,"2021")+SUMIFS(工业节能技术装备推荐目录!K:K,工业节能技术装备推荐目录!D:D,'Improvement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110.97935624404853</v>
      </c>
      <c r="H5" s="75">
        <f>SUMIFS(工业节能技术装备推荐目录!K:K,工业节能技术装备推荐目录!D:D,'Improvement in Eqpt Efficiency'!A5,工业节能技术装备推荐目录!F:F,'Improvement in Eqpt Efficiency'!$A$1,工业节能技术装备推荐目录!A:A,"2020")+SUMIFS(用能设备节能分配!Q:Q,用能设备节能分配!O:O,'Improvement in Eqpt Efficiency'!A5,用能设备节能分配!P:P,'Improvement in Eqpt Efficiency'!$A$1,用能设备节能分配!M:M,"2020")+SUMIFS(工业节能技术装备推荐目录!K:K,工业节能技术装备推荐目录!D:D,'Improvement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109.262739190177</v>
      </c>
      <c r="I5" s="75">
        <f>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1.0004006564029404</v>
      </c>
      <c r="J5" s="75">
        <f>SUMIFS(工业节能技术装备推荐目录!K:K,工业节能技术装备推荐目录!D:D,'Improvement in Eqpt Efficiency'!A5,工业节能技术装备推荐目录!F:F,'Improvement in Eqpt Efficiency'!$A$1,工业节能技术装备推荐目录!A:A,"2022")+SUMIFS(用能设备节能分配!Q:Q,用能设备节能分配!O:O,'Improvement in Eqpt Efficiency'!A5,用能设备节能分配!P:P,'Improvement in Eqpt Efficiency'!$A$1,用能设备节能分配!M:M,"2022")</f>
        <v>1.0004006564029404</v>
      </c>
      <c r="L5" s="53"/>
    </row>
    <row r="6" spans="1:12" x14ac:dyDescent="0.15">
      <c r="A6" s="26" t="s">
        <v>100</v>
      </c>
      <c r="B6" s="47">
        <f>SUMIFS(工业节能技术装备推荐目录!K:K,工业节能技术装备推荐目录!D:D,'Improvement in Eqpt Efficiency'!A6,工业节能技术装备推荐目录!F:F,'Improvement in Eqpt Efficiency'!$A$1)+SUMIFS(用能设备节能分配!Q:Q,用能设备节能分配!O:O,'Improvement in Eqpt Efficiency'!A6,用能设备节能分配!P:P,'Improvement in Eqpt Efficiency'!$A$1)</f>
        <v>2.3666602258764162</v>
      </c>
      <c r="C6" s="51">
        <f>SUMIFS(工业节能技术装备推荐目录!L:L,工业节能技术装备推荐目录!D:D,'Improvement in Eqpt Efficiency'!A6,工业节能技术装备推荐目录!F:F,'Improvement in Eqpt Efficiency'!$A$1)+SUMIFS(用能设备节能分配!R:R,用能设备节能分配!O:O,'Improvement in Eqpt Efficiency'!A6,用能设备节能分配!P:P,'Improvement in Eqpt Efficiency'!$A$1)</f>
        <v>18.035548988673174</v>
      </c>
      <c r="D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</f>
        <v>0.20838937097167157</v>
      </c>
      <c r="E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</f>
        <v>1.5719890789872297</v>
      </c>
      <c r="F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2.3666602258764167</v>
      </c>
      <c r="G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Efficiency'!$A$1,工业节能技术装备推荐目录!A:A,"2021")+SUMIFS(用能设备节能分配!Q:Q,用能设备节能分配!O:O,'Improvement in Eqpt Efficiency'!A6,用能设备节能分配!P:P,'Improvement in Eqpt Efficiency'!$A$1,用能设备节能分配!M:M,"2021")+SUMIFS(工业节能技术装备推荐目录!K:K,工业节能技术装备推荐目录!D:D,'Improvement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2.3666602258764167</v>
      </c>
      <c r="H6" s="75">
        <f>SUMIFS(工业节能技术装备推荐目录!K:K,工业节能技术装备推荐目录!D:D,'Improvement in Eqpt Efficiency'!A6,工业节能技术装备推荐目录!F:F,'Improvement in Eqpt Efficiency'!$A$1,工业节能技术装备推荐目录!A:A,"2020")+SUMIFS(用能设备节能分配!Q:Q,用能设备节能分配!O:O,'Improvement in Eqpt Efficiency'!A6,用能设备节能分配!P:P,'Improvement in Eqpt Efficiency'!$A$1,用能设备节能分配!M:M,"2020")+SUMIFS(工业节能技术装备推荐目录!K:K,工业节能技术装备推荐目录!D:D,'Improvement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1.0030605178608583</v>
      </c>
      <c r="I6" s="75">
        <f>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0.79467114688918672</v>
      </c>
      <c r="J6" s="75">
        <f>SUMIFS(工业节能技术装备推荐目录!K:K,工业节能技术装备推荐目录!D:D,'Improvement in Eqpt Efficiency'!A6,工业节能技术装备推荐目录!F:F,'Improvement in Eqpt Efficiency'!$A$1,工业节能技术装备推荐目录!A:A,"2022")+SUMIFS(用能设备节能分配!Q:Q,用能设备节能分配!O:O,'Improvement in Eqpt Efficiency'!A6,用能设备节能分配!P:P,'Improvement in Eqpt Efficiency'!$A$1,用能设备节能分配!M:M,"2022")</f>
        <v>0.79467114688918672</v>
      </c>
      <c r="L6" s="53"/>
    </row>
    <row r="7" spans="1:12" x14ac:dyDescent="0.15">
      <c r="A7" s="26" t="s">
        <v>101</v>
      </c>
      <c r="B7" s="47">
        <f>SUMIFS(工业节能技术装备推荐目录!K:K,工业节能技术装备推荐目录!D:D,'Improvement in Eqpt Efficiency'!A7,工业节能技术装备推荐目录!F:F,'Improvement in Eqpt Efficiency'!$A$1)+SUMIFS(用能设备节能分配!Q:Q,用能设备节能分配!O:O,'Improvement in Eqpt Efficiency'!A7,用能设备节能分配!P:P,'Improvement in Eqpt Efficiency'!$A$1)</f>
        <v>8.5166541727971516</v>
      </c>
      <c r="C7" s="51">
        <f>SUMIFS(工业节能技术装备推荐目录!L:L,工业节能技术装备推荐目录!D:D,'Improvement in Eqpt Efficiency'!A7,工业节能技术装备推荐目录!F:F,'Improvement in Eqpt Efficiency'!$A$1)+SUMIFS(用能设备节能分配!R:R,用能设备节能分配!O:O,'Improvement in Eqpt Efficiency'!A7,用能设备节能分配!P:P,'Improvement in Eqpt Efficiency'!$A$1)</f>
        <v>58.498342700175591</v>
      </c>
      <c r="D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</f>
        <v>3.3252451547035489</v>
      </c>
      <c r="E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</f>
        <v>6.8947310675983537</v>
      </c>
      <c r="F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8.5166541727971499</v>
      </c>
      <c r="G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Efficiency'!$A$1,工业节能技术装备推荐目录!A:A,"2021")+SUMIFS(用能设备节能分配!Q:Q,用能设备节能分配!O:O,'Improvement in Eqpt Efficiency'!A7,用能设备节能分配!P:P,'Improvement in Eqpt Efficiency'!$A$1,用能设备节能分配!M:M,"2021")+SUMIFS(工业节能技术装备推荐目录!K:K,工业节能技术装备推荐目录!D:D,'Improvement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8.5166541727971499</v>
      </c>
      <c r="H7" s="75">
        <f>SUMIFS(工业节能技术装备推荐目录!K:K,工业节能技术装备推荐目录!D:D,'Improvement in Eqpt Efficiency'!A7,工业节能技术装备推荐目录!F:F,'Improvement in Eqpt Efficiency'!$A$1,工业节能技术装备推荐目录!A:A,"2020")+SUMIFS(用能设备节能分配!Q:Q,用能设备节能分配!O:O,'Improvement in Eqpt Efficiency'!A7,用能设备节能分配!P:P,'Improvement in Eqpt Efficiency'!$A$1,用能设备节能分配!M:M,"2020")+SUMIFS(工业节能技术装备推荐目录!K:K,工业节能技术装备推荐目录!D:D,'Improvement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4.9471682599023454</v>
      </c>
      <c r="I7" s="75">
        <f>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1.6219231051987966</v>
      </c>
      <c r="J7" s="75">
        <f>SUMIFS(工业节能技术装备推荐目录!K:K,工业节能技术装备推荐目录!D:D,'Improvement in Eqpt Efficiency'!A7,工业节能技术装备推荐目录!F:F,'Improvement in Eqpt Efficiency'!$A$1,工业节能技术装备推荐目录!A:A,"2022")+SUMIFS(用能设备节能分配!Q:Q,用能设备节能分配!O:O,'Improvement in Eqpt Efficiency'!A7,用能设备节能分配!P:P,'Improvement in Eqpt Efficiency'!$A$1,用能设备节能分配!M:M,"2022")</f>
        <v>1.6219231051987966</v>
      </c>
      <c r="L7" s="53"/>
    </row>
    <row r="8" spans="1:12" x14ac:dyDescent="0.15">
      <c r="A8" s="26" t="s">
        <v>72</v>
      </c>
      <c r="B8" s="47">
        <f>SUMIFS(工业节能技术装备推荐目录!K:K,工业节能技术装备推荐目录!D:D,'Improvement in Eqpt Efficiency'!A8,工业节能技术装备推荐目录!F:F,'Improvement in Eqpt Efficiency'!$A$1)+SUMIFS(用能设备节能分配!Q:Q,用能设备节能分配!O:O,'Improvement in Eqpt Efficiency'!A8,用能设备节能分配!P:P,'Improvement in Eqpt Efficiency'!$A$1)</f>
        <v>7.706424057555747</v>
      </c>
      <c r="C8" s="51">
        <f>SUMIFS(工业节能技术装备推荐目录!L:L,工业节能技术装备推荐目录!D:D,'Improvement in Eqpt Efficiency'!A8,工业节能技术装备推荐目录!F:F,'Improvement in Eqpt Efficiency'!$A$1)+SUMIFS(用能设备节能分配!R:R,用能设备节能分配!O:O,'Improvement in Eqpt Efficiency'!A8,用能设备节能分配!P:P,'Improvement in Eqpt Efficiency'!$A$1)</f>
        <v>52.93311509016128</v>
      </c>
      <c r="D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</f>
        <v>3.0088986516945502</v>
      </c>
      <c r="E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</f>
        <v>6.2388022680820097</v>
      </c>
      <c r="F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7.706424057555747</v>
      </c>
      <c r="G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Efficiency'!$A$1,工业节能技术装备推荐目录!A:A,"2021")+SUMIFS(用能设备节能分配!Q:Q,用能设备节能分配!O:O,'Improvement in Eqpt Efficiency'!A8,用能设备节能分配!P:P,'Improvement in Eqpt Efficiency'!$A$1,用能设备节能分配!M:M,"2021")+SUMIFS(工业节能技术装备推荐目录!K:K,工业节能技术装备推荐目录!D:D,'Improvement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7.706424057555747</v>
      </c>
      <c r="H8" s="75">
        <f>SUMIFS(工业节能技术装备推荐目录!K:K,工业节能技术装备推荐目录!D:D,'Improvement in Eqpt Efficiency'!A8,工业节能技术装备推荐目录!F:F,'Improvement in Eqpt Efficiency'!$A$1,工业节能技术装备推荐目录!A:A,"2020")+SUMIFS(用能设备节能分配!Q:Q,用能设备节能分配!O:O,'Improvement in Eqpt Efficiency'!A8,用能设备节能分配!P:P,'Improvement in Eqpt Efficiency'!$A$1,用能设备节能分配!M:M,"2020")+SUMIFS(工业节能技术装备推荐目录!K:K,工业节能技术装备推荐目录!D:D,'Improvement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4.4765204411682875</v>
      </c>
      <c r="I8" s="75">
        <f>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1.4676217894737373</v>
      </c>
      <c r="J8" s="75">
        <f>SUMIFS(工业节能技术装备推荐目录!K:K,工业节能技术装备推荐目录!D:D,'Improvement in Eqpt Efficiency'!A8,工业节能技术装备推荐目录!F:F,'Improvement in Eqpt Efficiency'!$A$1,工业节能技术装备推荐目录!A:A,"2022")+SUMIFS(用能设备节能分配!Q:Q,用能设备节能分配!O:O,'Improvement in Eqpt Efficiency'!A8,用能设备节能分配!P:P,'Improvement in Eqpt Efficiency'!$A$1,用能设备节能分配!M:M,"2022")</f>
        <v>1.4676217894737373</v>
      </c>
      <c r="L8" s="53"/>
    </row>
    <row r="9" spans="1:12" x14ac:dyDescent="0.15">
      <c r="A9" s="26" t="s">
        <v>38</v>
      </c>
      <c r="B9" s="47">
        <f>SUMIFS(工业节能技术装备推荐目录!K:K,工业节能技术装备推荐目录!D:D,'Improvement in Eqpt Efficiency'!A9,工业节能技术装备推荐目录!F:F,'Improvement in Eqpt Efficiency'!$A$1)+SUMIFS(用能设备节能分配!Q:Q,用能设备节能分配!O:O,'Improvement in Eqpt Efficiency'!A9,用能设备节能分配!P:P,'Improvement in Eqpt Efficiency'!$A$1)</f>
        <v>0.60512807632994903</v>
      </c>
      <c r="C9" s="51">
        <f>SUMIFS(工业节能技术装备推荐目录!L:L,工业节能技术装备推荐目录!D:D,'Improvement in Eqpt Efficiency'!A9,工业节能技术装备推荐目录!F:F,'Improvement in Eqpt Efficiency'!$A$1)+SUMIFS(用能设备节能分配!R:R,用能设备节能分配!O:O,'Improvement in Eqpt Efficiency'!A9,用能设备节能分配!P:P,'Improvement in Eqpt Efficiency'!$A$1)</f>
        <v>4.773930399478747</v>
      </c>
      <c r="D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</f>
        <v>6.8276047057704237E-2</v>
      </c>
      <c r="E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</f>
        <v>0.51504162535103371</v>
      </c>
      <c r="F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0.60512807632994903</v>
      </c>
      <c r="G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Efficiency'!$A$1,工业节能技术装备推荐目录!A:A,"2021")+SUMIFS(用能设备节能分配!Q:Q,用能设备节能分配!O:O,'Improvement in Eqpt Efficiency'!A9,用能设备节能分配!P:P,'Improvement in Eqpt Efficiency'!$A$1,用能设备节能分配!M:M,"2021")+SUMIFS(工业节能技术装备推荐目录!K:K,工业节能技术装备推荐目录!D:D,'Improvement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0.60512807632994903</v>
      </c>
      <c r="H9" s="75">
        <f>SUMIFS(工业节能技术装备推荐目录!K:K,工业节能技术装备推荐目录!D:D,'Improvement in Eqpt Efficiency'!A9,工业节能技术装备推荐目录!F:F,'Improvement in Eqpt Efficiency'!$A$1,工业节能技术装备推荐目录!A:A,"2020")+SUMIFS(用能设备节能分配!Q:Q,用能设备节能分配!O:O,'Improvement in Eqpt Efficiency'!A9,用能设备节能分配!P:P,'Improvement in Eqpt Efficiency'!$A$1,用能设备节能分配!M:M,"2020")+SUMIFS(工业节能技术装备推荐目录!K:K,工业节能技术装备推荐目录!D:D,'Improvement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0.15836249803661956</v>
      </c>
      <c r="I9" s="75">
        <f>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9.0086450978915308E-2</v>
      </c>
      <c r="J9" s="75">
        <f>SUMIFS(工业节能技术装备推荐目录!K:K,工业节能技术装备推荐目录!D:D,'Improvement in Eqpt Efficiency'!A9,工业节能技术装备推荐目录!F:F,'Improvement in Eqpt Efficiency'!$A$1,工业节能技术装备推荐目录!A:A,"2022")+SUMIFS(用能设备节能分配!Q:Q,用能设备节能分配!O:O,'Improvement in Eqpt Efficiency'!A9,用能设备节能分配!P:P,'Improvement in Eqpt Efficiency'!$A$1,用能设备节能分配!M:M,"2022")</f>
        <v>9.0086450978915308E-2</v>
      </c>
      <c r="L9" s="53"/>
    </row>
    <row r="10" spans="1:12" x14ac:dyDescent="0.15">
      <c r="A10" s="26" t="s">
        <v>68</v>
      </c>
      <c r="B10" s="47">
        <f>SUMIFS(工业节能技术装备推荐目录!K:K,工业节能技术装备推荐目录!D:D,'Improvement in Eqpt Efficiency'!A10,工业节能技术装备推荐目录!F:F,'Improvement in Eqpt Efficiency'!$A$1)+SUMIFS(用能设备节能分配!Q:Q,用能设备节能分配!O:O,'Improvement in Eqpt Efficiency'!A10,用能设备节能分配!P:P,'Improvement in Eqpt Efficiency'!$A$1)</f>
        <v>57.373499788737256</v>
      </c>
      <c r="C10" s="51">
        <f>SUMIFS(工业节能技术装备推荐目录!L:L,工业节能技术装备推荐目录!D:D,'Improvement in Eqpt Efficiency'!A10,工业节能技术装备推荐目录!F:F,'Improvement in Eqpt Efficiency'!$A$1)+SUMIFS(用能设备节能分配!R:R,用能设备节能分配!O:O,'Improvement in Eqpt Efficiency'!A10,用能设备节能分配!P:P,'Improvement in Eqpt Efficiency'!$A$1)</f>
        <v>558.45664950127809</v>
      </c>
      <c r="D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</f>
        <v>54.76357654125642</v>
      </c>
      <c r="E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</f>
        <v>56.740233655311847</v>
      </c>
      <c r="F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57.373499788737256</v>
      </c>
      <c r="G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Efficiency'!$A$1,工业节能技术装备推荐目录!A:A,"2021")+SUMIFS(用能设备节能分配!Q:Q,用能设备节能分配!O:O,'Improvement in Eqpt Efficiency'!A10,用能设备节能分配!P:P,'Improvement in Eqpt Efficiency'!$A$1,用能设备节能分配!M:M,"2021")+SUMIFS(工业节能技术装备推荐目录!K:K,工业节能技术装备推荐目录!D:D,'Improvement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57.373499788737256</v>
      </c>
      <c r="H10" s="75">
        <f>SUMIFS(工业节能技术装备推荐目录!K:K,工业节能技术装备推荐目录!D:D,'Improvement in Eqpt Efficiency'!A10,工业节能技术装备推荐目录!F:F,'Improvement in Eqpt Efficiency'!$A$1,工业节能技术装备推荐目录!A:A,"2020")+SUMIFS(用能设备节能分配!Q:Q,用能设备节能分配!O:O,'Improvement in Eqpt Efficiency'!A10,用能设备节能分配!P:P,'Improvement in Eqpt Efficiency'!$A$1,用能设备节能分配!M:M,"2020")+SUMIFS(工业节能技术装备推荐目录!K:K,工业节能技术装备推荐目录!D:D,'Improvement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55.396842674681828</v>
      </c>
      <c r="I10" s="75">
        <f>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0.63326613342540594</v>
      </c>
      <c r="J10" s="75">
        <f>SUMIFS(工业节能技术装备推荐目录!K:K,工业节能技术装备推荐目录!D:D,'Improvement in Eqpt Efficiency'!A10,工业节能技术装备推荐目录!F:F,'Improvement in Eqpt Efficiency'!$A$1,工业节能技术装备推荐目录!A:A,"2022")+SUMIFS(用能设备节能分配!Q:Q,用能设备节能分配!O:O,'Improvement in Eqpt Efficiency'!A10,用能设备节能分配!P:P,'Improvement in Eqpt Efficiency'!$A$1,用能设备节能分配!M:M,"2022")</f>
        <v>0.63326613342540594</v>
      </c>
      <c r="L10" s="53"/>
    </row>
    <row r="11" spans="1:12" x14ac:dyDescent="0.15">
      <c r="A11" s="26" t="s">
        <v>40</v>
      </c>
      <c r="B11" s="47">
        <f>SUMIFS(工业节能技术装备推荐目录!K:K,工业节能技术装备推荐目录!D:D,'Improvement in Eqpt Efficiency'!A11,工业节能技术装备推荐目录!F:F,'Improvement in Eqpt Efficiency'!$A$1)+SUMIFS(用能设备节能分配!Q:Q,用能设备节能分配!O:O,'Improvement in Eqpt Efficiency'!A11,用能设备节能分配!P:P,'Improvement in Eqpt Efficiency'!$A$1)</f>
        <v>398.12565476789888</v>
      </c>
      <c r="C11" s="51">
        <f>SUMIFS(工业节能技术装备推荐目录!L:L,工业节能技术装备推荐目录!D:D,'Improvement in Eqpt Efficiency'!A11,工业节能技术装备推荐目录!F:F,'Improvement in Eqpt Efficiency'!$A$1)+SUMIFS(用能设备节能分配!R:R,用能设备节能分配!O:O,'Improvement in Eqpt Efficiency'!A11,用能设备节能分配!P:P,'Improvement in Eqpt Efficiency'!$A$1)</f>
        <v>2611.2941086316187</v>
      </c>
      <c r="D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</f>
        <v>110.18424609448691</v>
      </c>
      <c r="E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</f>
        <v>272.59938069264905</v>
      </c>
      <c r="F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398.12565476789894</v>
      </c>
      <c r="G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Efficiency'!$A$1,工业节能技术装备推荐目录!A:A,"2021")+SUMIFS(用能设备节能分配!Q:Q,用能设备节能分配!O:O,'Improvement in Eqpt Efficiency'!A11,用能设备节能分配!P:P,'Improvement in Eqpt Efficiency'!$A$1,用能设备节能分配!M:M,"2021")+SUMIFS(工业节能技术装备推荐目录!K:K,工业节能技术装备推荐目录!D:D,'Improvement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398.12565476789894</v>
      </c>
      <c r="H11" s="75">
        <f>SUMIFS(工业节能技术装备推荐目录!K:K,工业节能技术装备推荐目录!D:D,'Improvement in Eqpt Efficiency'!A11,工业节能技术装备推荐目录!F:F,'Improvement in Eqpt Efficiency'!$A$1,工业节能技术装备推荐目录!A:A,"2020")+SUMIFS(用能设备节能分配!Q:Q,用能设备节能分配!O:O,'Improvement in Eqpt Efficiency'!A11,用能设备节能分配!P:P,'Improvement in Eqpt Efficiency'!$A$1,用能设备节能分配!M:M,"2020")+SUMIFS(工业节能技术装备推荐目录!K:K,工业节能技术装备推荐目录!D:D,'Improvement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235.71052016973681</v>
      </c>
      <c r="I11" s="75">
        <f>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125.52627407524989</v>
      </c>
      <c r="J11" s="75">
        <f>SUMIFS(工业节能技术装备推荐目录!K:K,工业节能技术装备推荐目录!D:D,'Improvement in Eqpt Efficiency'!A11,工业节能技术装备推荐目录!F:F,'Improvement in Eqpt Efficiency'!$A$1,工业节能技术装备推荐目录!A:A,"2022")+SUMIFS(用能设备节能分配!Q:Q,用能设备节能分配!O:O,'Improvement in Eqpt Efficiency'!A11,用能设备节能分配!P:P,'Improvement in Eqpt Efficiency'!$A$1,用能设备节能分配!M:M,"2022")</f>
        <v>125.52627407524989</v>
      </c>
      <c r="L11" s="53"/>
    </row>
    <row r="12" spans="1:12" x14ac:dyDescent="0.15">
      <c r="A12" s="26" t="s">
        <v>41</v>
      </c>
      <c r="B12" s="47">
        <f>SUMIFS(工业节能技术装备推荐目录!K:K,工业节能技术装备推荐目录!D:D,'Improvement in Eqpt Efficiency'!A12,工业节能技术装备推荐目录!F:F,'Improvement in Eqpt Efficiency'!$A$1)+SUMIFS(用能设备节能分配!Q:Q,用能设备节能分配!O:O,'Improvement in Eqpt Efficiency'!A12,用能设备节能分配!P:P,'Improvement in Eqpt Efficiency'!$A$1)</f>
        <v>96.322216668861444</v>
      </c>
      <c r="C12" s="51">
        <f>SUMIFS(工业节能技术装备推荐目录!L:L,工业节能技术装备推荐目录!D:D,'Improvement in Eqpt Efficiency'!A12,工业节能技术装备推荐目录!F:F,'Improvement in Eqpt Efficiency'!$A$1)+SUMIFS(用能设备节能分配!R:R,用能设备节能分配!O:O,'Improvement in Eqpt Efficiency'!A12,用能设备节能分配!P:P,'Improvement in Eqpt Efficiency'!$A$1)</f>
        <v>636.04912773566741</v>
      </c>
      <c r="D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</f>
        <v>31.081478402827347</v>
      </c>
      <c r="E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</f>
        <v>65.441848142479444</v>
      </c>
      <c r="F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96.322216668861429</v>
      </c>
      <c r="G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Efficiency'!$A$1,工业节能技术装备推荐目录!A:A,"2021")+SUMIFS(用能设备节能分配!Q:Q,用能设备节能分配!O:O,'Improvement in Eqpt Efficiency'!A12,用能设备节能分配!P:P,'Improvement in Eqpt Efficiency'!$A$1,用能设备节能分配!M:M,"2021")+SUMIFS(工业节能技术装备推荐目录!K:K,工业节能技术装备推荐目录!D:D,'Improvement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96.322216668861429</v>
      </c>
      <c r="H12" s="75">
        <f>SUMIFS(工业节能技术装备推荐目录!K:K,工业节能技术装备推荐目录!D:D,'Improvement in Eqpt Efficiency'!A12,工业节能技术装备推荐目录!F:F,'Improvement in Eqpt Efficiency'!$A$1,工业节能技术装备推荐目录!A:A,"2020")+SUMIFS(用能设备节能分配!Q:Q,用能设备节能分配!O:O,'Improvement in Eqpt Efficiency'!A12,用能设备节能分配!P:P,'Improvement in Eqpt Efficiency'!$A$1,用能设备节能分配!M:M,"2020")+SUMIFS(工业节能技术装备推荐目录!K:K,工业节能技术装备推荐目录!D:D,'Improvement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61.961846929209329</v>
      </c>
      <c r="I12" s="75">
        <f>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30.880368526381986</v>
      </c>
      <c r="J12" s="75">
        <f>SUMIFS(工业节能技术装备推荐目录!K:K,工业节能技术装备推荐目录!D:D,'Improvement in Eqpt Efficiency'!A12,工业节能技术装备推荐目录!F:F,'Improvement in Eqpt Efficiency'!$A$1,工业节能技术装备推荐目录!A:A,"2022")+SUMIFS(用能设备节能分配!Q:Q,用能设备节能分配!O:O,'Improvement in Eqpt Efficiency'!A12,用能设备节能分配!P:P,'Improvement in Eqpt Efficiency'!$A$1,用能设备节能分配!M:M,"2022")</f>
        <v>30.880368526381986</v>
      </c>
      <c r="L12" s="53"/>
    </row>
    <row r="13" spans="1:12" x14ac:dyDescent="0.15">
      <c r="A13" s="26" t="s">
        <v>42</v>
      </c>
      <c r="B13" s="47">
        <f>SUMIFS(工业节能技术装备推荐目录!K:K,工业节能技术装备推荐目录!D:D,'Improvement in Eqpt Efficiency'!A13,工业节能技术装备推荐目录!F:F,'Improvement in Eqpt Efficiency'!$A$1)+SUMIFS(用能设备节能分配!Q:Q,用能设备节能分配!O:O,'Improvement in Eqpt Efficiency'!A13,用能设备节能分配!P:P,'Improvement in Eqpt Efficiency'!$A$1)</f>
        <v>1.910696221587044</v>
      </c>
      <c r="C13" s="51">
        <f>SUMIFS(工业节能技术装备推荐目录!L:L,工业节能技术装备推荐目录!D:D,'Improvement in Eqpt Efficiency'!A13,工业节能技术装备推荐目录!F:F,'Improvement in Eqpt Efficiency'!$A$1)+SUMIFS(用能设备节能分配!R:R,用能设备节能分配!O:O,'Improvement in Eqpt Efficiency'!A13,用能设备节能分配!P:P,'Improvement in Eqpt Efficiency'!$A$1)</f>
        <v>15.073719321907666</v>
      </c>
      <c r="D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</f>
        <v>0.21558210607125028</v>
      </c>
      <c r="E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</f>
        <v>1.6262476094096998</v>
      </c>
      <c r="F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1.910696221587044</v>
      </c>
      <c r="G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Efficiency'!$A$1,工业节能技术装备推荐目录!A:A,"2021")+SUMIFS(用能设备节能分配!Q:Q,用能设备节能分配!O:O,'Improvement in Eqpt Efficiency'!A13,用能设备节能分配!P:P,'Improvement in Eqpt Efficiency'!$A$1,用能设备节能分配!M:M,"2021")+SUMIFS(工业节能技术装备推荐目录!K:K,工业节能技术装备推荐目录!D:D,'Improvement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1.910696221587044</v>
      </c>
      <c r="H13" s="75">
        <f>SUMIFS(工业节能技术装备推荐目录!K:K,工业节能技术装备推荐目录!D:D,'Improvement in Eqpt Efficiency'!A13,工业节能技术装备推荐目录!F:F,'Improvement in Eqpt Efficiency'!$A$1,工业节能技术装备推荐目录!A:A,"2020")+SUMIFS(用能设备节能分配!Q:Q,用能设备节能分配!O:O,'Improvement in Eqpt Efficiency'!A13,用能设备节能分配!P:P,'Improvement in Eqpt Efficiency'!$A$1,用能设备节能分配!M:M,"2020")+SUMIFS(工业节能技术装备推荐目录!K:K,工业节能技术装备推荐目录!D:D,'Improvement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0.50003071824859435</v>
      </c>
      <c r="I13" s="75">
        <f>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0.28444861217734413</v>
      </c>
      <c r="J13" s="75">
        <f>SUMIFS(工业节能技术装备推荐目录!K:K,工业节能技术装备推荐目录!D:D,'Improvement in Eqpt Efficiency'!A13,工业节能技术装备推荐目录!F:F,'Improvement in Eqpt Efficiency'!$A$1,工业节能技术装备推荐目录!A:A,"2022")+SUMIFS(用能设备节能分配!Q:Q,用能设备节能分配!O:O,'Improvement in Eqpt Efficiency'!A13,用能设备节能分配!P:P,'Improvement in Eqpt Efficiency'!$A$1,用能设备节能分配!M:M,"2022")</f>
        <v>0.28444861217734413</v>
      </c>
      <c r="L13" s="53"/>
    </row>
    <row r="14" spans="1:12" x14ac:dyDescent="0.15">
      <c r="A14" s="26" t="s">
        <v>43</v>
      </c>
      <c r="B14" s="47">
        <f>SUMIFS(工业节能技术装备推荐目录!K:K,工业节能技术装备推荐目录!D:D,'Improvement in Eqpt Efficiency'!A14,工业节能技术装备推荐目录!F:F,'Improvement in Eqpt Efficiency'!$A$1)+SUMIFS(用能设备节能分配!Q:Q,用能设备节能分配!O:O,'Improvement in Eqpt Efficiency'!A14,用能设备节能分配!P:P,'Improvement in Eqpt Efficiency'!$A$1)</f>
        <v>0.82789941109508169</v>
      </c>
      <c r="C14" s="51">
        <f>SUMIFS(工业节能技术装备推荐目录!L:L,工业节能技术装备推荐目录!D:D,'Improvement in Eqpt Efficiency'!A14,工业节能技术装备推荐目录!F:F,'Improvement in Eqpt Efficiency'!$A$1)+SUMIFS(用能设备节能分配!R:R,用能设备节能分配!O:O,'Improvement in Eqpt Efficiency'!A14,用能设备节能分配!P:P,'Improvement in Eqpt Efficiency'!$A$1)</f>
        <v>6.5314010718324909</v>
      </c>
      <c r="D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</f>
        <v>9.3411132885780221E-2</v>
      </c>
      <c r="E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</f>
        <v>0.70464861075967722</v>
      </c>
      <c r="F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0.82789941109508169</v>
      </c>
      <c r="G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Efficiency'!$A$1,工业节能技术装备推荐目录!A:A,"2021")+SUMIFS(用能设备节能分配!Q:Q,用能设备节能分配!O:O,'Improvement in Eqpt Efficiency'!A14,用能设备节能分配!P:P,'Improvement in Eqpt Efficiency'!$A$1,用能设备节能分配!M:M,"2021")+SUMIFS(工业节能技术装备推荐目录!K:K,工业节能技术装备推荐目录!D:D,'Improvement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0.82789941109508169</v>
      </c>
      <c r="H14" s="75">
        <f>SUMIFS(工业节能技术装备推荐目录!K:K,工业节能技术装备推荐目录!D:D,'Improvement in Eqpt Efficiency'!A14,工业节能技术装备推荐目录!F:F,'Improvement in Eqpt Efficiency'!$A$1,工业节能技术装备推荐目录!A:A,"2020")+SUMIFS(用能设备节能分配!Q:Q,用能设备节能分配!O:O,'Improvement in Eqpt Efficiency'!A14,用能设备节能分配!P:P,'Improvement in Eqpt Efficiency'!$A$1,用能设备节能分配!M:M,"2020")+SUMIFS(工业节能技术装备推荐目录!K:K,工业节能技术装备推荐目录!D:D,'Improvement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0.21666193322118465</v>
      </c>
      <c r="I14" s="75">
        <f>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0.12325080033540445</v>
      </c>
      <c r="J14" s="75">
        <f>SUMIFS(工业节能技术装备推荐目录!K:K,工业节能技术装备推荐目录!D:D,'Improvement in Eqpt Efficiency'!A14,工业节能技术装备推荐目录!F:F,'Improvement in Eqpt Efficiency'!$A$1,工业节能技术装备推荐目录!A:A,"2022")+SUMIFS(用能设备节能分配!Q:Q,用能设备节能分配!O:O,'Improvement in Eqpt Efficiency'!A14,用能设备节能分配!P:P,'Improvement in Eqpt Efficiency'!$A$1,用能设备节能分配!M:M,"2022")</f>
        <v>0.12325080033540445</v>
      </c>
      <c r="L14" s="53"/>
    </row>
    <row r="15" spans="1:12" x14ac:dyDescent="0.15">
      <c r="A15" s="26" t="s">
        <v>56</v>
      </c>
      <c r="B15" s="47">
        <f>SUMIFS(工业节能技术装备推荐目录!K:K,工业节能技术装备推荐目录!D:D,'Improvement in Eqpt Efficiency'!A15,工业节能技术装备推荐目录!F:F,'Improvement in Eqpt Efficiency'!$A$1)+SUMIFS(用能设备节能分配!Q:Q,用能设备节能分配!O:O,'Improvement in Eqpt Efficiency'!A15,用能设备节能分配!P:P,'Improvement in Eqpt Efficiency'!$A$1)</f>
        <v>23.75474344500514</v>
      </c>
      <c r="C15" s="51">
        <f>SUMIFS(工业节能技术装备推荐目录!L:L,工业节能技术装备推荐目录!D:D,'Improvement in Eqpt Efficiency'!A15,工业节能技术装备推荐目录!F:F,'Improvement in Eqpt Efficiency'!$A$1)+SUMIFS(用能设备节能分配!R:R,用能设备节能分配!O:O,'Improvement in Eqpt Efficiency'!A15,用能设备节能分配!P:P,'Improvement in Eqpt Efficiency'!$A$1)</f>
        <v>217.60963739501955</v>
      </c>
      <c r="D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</f>
        <v>2.2897748688796398</v>
      </c>
      <c r="E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</f>
        <v>18.29076900563232</v>
      </c>
      <c r="F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23.75474344500514</v>
      </c>
      <c r="G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Efficiency'!$A$1,工业节能技术装备推荐目录!A:A,"2021")+SUMIFS(用能设备节能分配!Q:Q,用能设备节能分配!O:O,'Improvement in Eqpt Efficiency'!A15,用能设备节能分配!P:P,'Improvement in Eqpt Efficiency'!$A$1,用能设备节能分配!M:M,"2021")+SUMIFS(工业节能技术装备推荐目录!K:K,工业节能技术装备推荐目录!D:D,'Improvement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23.75474344500514</v>
      </c>
      <c r="H15" s="75">
        <f>SUMIFS(工业节能技术装备推荐目录!K:K,工业节能技术装备推荐目录!D:D,'Improvement in Eqpt Efficiency'!A15,工业节能技术装备推荐目录!F:F,'Improvement in Eqpt Efficiency'!$A$1,工业节能技术装备推荐目录!A:A,"2020")+SUMIFS(用能设备节能分配!Q:Q,用能设备节能分配!O:O,'Improvement in Eqpt Efficiency'!A15,用能设备节能分配!P:P,'Improvement in Eqpt Efficiency'!$A$1,用能设备节能分配!M:M,"2020")+SUMIFS(工业节能技术装备推荐目录!K:K,工业节能技术装备推荐目录!D:D,'Improvement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7.7537493082524591</v>
      </c>
      <c r="I15" s="75">
        <f>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5.4639744393728193</v>
      </c>
      <c r="J15" s="75">
        <f>SUMIFS(工业节能技术装备推荐目录!K:K,工业节能技术装备推荐目录!D:D,'Improvement in Eqpt Efficiency'!A15,工业节能技术装备推荐目录!F:F,'Improvement in Eqpt Efficiency'!$A$1,工业节能技术装备推荐目录!A:A,"2022")+SUMIFS(用能设备节能分配!Q:Q,用能设备节能分配!O:O,'Improvement in Eqpt Efficiency'!A15,用能设备节能分配!P:P,'Improvement in Eqpt Efficiency'!$A$1,用能设备节能分配!M:M,"2022")</f>
        <v>5.4639744393728193</v>
      </c>
      <c r="L15" s="53"/>
    </row>
    <row r="16" spans="1:12" x14ac:dyDescent="0.15">
      <c r="A16" s="26" t="s">
        <v>45</v>
      </c>
      <c r="B16" s="47">
        <f>SUMIFS(工业节能技术装备推荐目录!K:K,工业节能技术装备推荐目录!D:D,'Improvement in Eqpt Efficiency'!A16,工业节能技术装备推荐目录!F:F,'Improvement in Eqpt Efficiency'!$A$1)+SUMIFS(用能设备节能分配!Q:Q,用能设备节能分配!O:O,'Improvement in Eqpt Efficiency'!A16,用能设备节能分配!P:P,'Improvement in Eqpt Efficiency'!$A$1)</f>
        <v>241.8496030952177</v>
      </c>
      <c r="C16" s="51">
        <f>SUMIFS(工业节能技术装备推荐目录!L:L,工业节能技术装备推荐目录!D:D,'Improvement in Eqpt Efficiency'!A16,工业节能技术装备推荐目录!F:F,'Improvement in Eqpt Efficiency'!$A$1)+SUMIFS(用能设备节能分配!R:R,用能设备节能分配!O:O,'Improvement in Eqpt Efficiency'!A16,用能设备节能分配!P:P,'Improvement in Eqpt Efficiency'!$A$1)</f>
        <v>1836.7608360307436</v>
      </c>
      <c r="D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</f>
        <v>42.032446749022156</v>
      </c>
      <c r="E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</f>
        <v>151.48924753064438</v>
      </c>
      <c r="F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241.84960309521773</v>
      </c>
      <c r="G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Efficiency'!$A$1,工业节能技术装备推荐目录!A:A,"2021")+SUMIFS(用能设备节能分配!Q:Q,用能设备节能分配!O:O,'Improvement in Eqpt Efficiency'!A16,用能设备节能分配!P:P,'Improvement in Eqpt Efficiency'!$A$1,用能设备节能分配!M:M,"2021")+SUMIFS(工业节能技术装备推荐目录!K:K,工业节能技术装备推荐目录!D:D,'Improvement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241.84960309521773</v>
      </c>
      <c r="H16" s="75">
        <f>SUMIFS(工业节能技术装备推荐目录!K:K,工业节能技术装备推荐目录!D:D,'Improvement in Eqpt Efficiency'!A16,工业节能技术装备推荐目录!F:F,'Improvement in Eqpt Efficiency'!$A$1,工业节能技术装备推荐目录!A:A,"2020")+SUMIFS(用能设备节能分配!Q:Q,用能设备节能分配!O:O,'Improvement in Eqpt Efficiency'!A16,用能设备节能分配!P:P,'Improvement in Eqpt Efficiency'!$A$1,用能设备节能分配!M:M,"2020")+SUMIFS(工业节能技术装备推荐目录!K:K,工业节能技术装备推荐目录!D:D,'Improvement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132.39280231359552</v>
      </c>
      <c r="I16" s="75">
        <f>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90.360355564573368</v>
      </c>
      <c r="J16" s="75">
        <f>SUMIFS(工业节能技术装备推荐目录!K:K,工业节能技术装备推荐目录!D:D,'Improvement in Eqpt Efficiency'!A16,工业节能技术装备推荐目录!F:F,'Improvement in Eqpt Efficiency'!$A$1,工业节能技术装备推荐目录!A:A,"2022")+SUMIFS(用能设备节能分配!Q:Q,用能设备节能分配!O:O,'Improvement in Eqpt Efficiency'!A16,用能设备节能分配!P:P,'Improvement in Eqpt Efficiency'!$A$1,用能设备节能分配!M:M,"2022")</f>
        <v>90.360355564573368</v>
      </c>
      <c r="L16" s="53"/>
    </row>
    <row r="17" spans="1:12" x14ac:dyDescent="0.15">
      <c r="A17" s="26" t="s">
        <v>46</v>
      </c>
      <c r="B17" s="47">
        <f>SUMIFS(工业节能技术装备推荐目录!K:K,工业节能技术装备推荐目录!D:D,'Improvement in Eqpt Efficiency'!A17,工业节能技术装备推荐目录!F:F,'Improvement in Eqpt Efficiency'!$A$1)+SUMIFS(用能设备节能分配!Q:Q,用能设备节能分配!O:O,'Improvement in Eqpt Efficiency'!A17,用能设备节能分配!P:P,'Improvement in Eqpt Efficiency'!$A$1)</f>
        <v>13.879050377207371</v>
      </c>
      <c r="C17" s="51">
        <f>SUMIFS(工业节能技术装备推荐目录!L:L,工业节能技术装备推荐目录!D:D,'Improvement in Eqpt Efficiency'!A17,工业节能技术装备推荐目录!F:F,'Improvement in Eqpt Efficiency'!$A$1)+SUMIFS(用能设备节能分配!R:R,用能设备节能分配!O:O,'Improvement in Eqpt Efficiency'!A17,用能设备节能分配!P:P,'Improvement in Eqpt Efficiency'!$A$1)</f>
        <v>131.52277354766437</v>
      </c>
      <c r="D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</f>
        <v>1.7156391237315338</v>
      </c>
      <c r="E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</f>
        <v>10.368242132146214</v>
      </c>
      <c r="F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13.879050377207369</v>
      </c>
      <c r="G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Efficiency'!$A$1,工业节能技术装备推荐目录!A:A,"2021")+SUMIFS(用能设备节能分配!Q:Q,用能设备节能分配!O:O,'Improvement in Eqpt Efficiency'!A17,用能设备节能分配!P:P,'Improvement in Eqpt Efficiency'!$A$1,用能设备节能分配!M:M,"2021")+SUMIFS(工业节能技术装备推荐目录!K:K,工业节能技术装备推荐目录!D:D,'Improvement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13.879050377207369</v>
      </c>
      <c r="H17" s="75">
        <f>SUMIFS(工业节能技术装备推荐目录!K:K,工业节能技术装备推荐目录!D:D,'Improvement in Eqpt Efficiency'!A17,工业节能技术装备推荐目录!F:F,'Improvement in Eqpt Efficiency'!$A$1,工业节能技术装备推荐目录!A:A,"2020")+SUMIFS(用能设备节能分配!Q:Q,用能设备节能分配!O:O,'Improvement in Eqpt Efficiency'!A17,用能设备节能分配!P:P,'Improvement in Eqpt Efficiency'!$A$1,用能设备节能分配!M:M,"2020")+SUMIFS(工业节能技术装备推荐目录!K:K,工业节能技术装备推荐目录!D:D,'Improvement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5.2264473687926882</v>
      </c>
      <c r="I17" s="75">
        <f>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3.5108082450611544</v>
      </c>
      <c r="J17" s="75">
        <f>SUMIFS(工业节能技术装备推荐目录!K:K,工业节能技术装备推荐目录!D:D,'Improvement in Eqpt Efficiency'!A17,工业节能技术装备推荐目录!F:F,'Improvement in Eqpt Efficiency'!$A$1,工业节能技术装备推荐目录!A:A,"2022")+SUMIFS(用能设备节能分配!Q:Q,用能设备节能分配!O:O,'Improvement in Eqpt Efficiency'!A17,用能设备节能分配!P:P,'Improvement in Eqpt Efficiency'!$A$1,用能设备节能分配!M:M,"2022")</f>
        <v>3.5108082450611544</v>
      </c>
      <c r="L17" s="53"/>
    </row>
    <row r="18" spans="1:12" x14ac:dyDescent="0.15">
      <c r="A18" s="26" t="s">
        <v>47</v>
      </c>
      <c r="B18" s="47">
        <f>SUMIFS(工业节能技术装备推荐目录!K:K,工业节能技术装备推荐目录!D:D,'Improvement in Eqpt Efficiency'!A18,工业节能技术装备推荐目录!F:F,'Improvement in Eqpt Efficiency'!$A$1)+SUMIFS(用能设备节能分配!Q:Q,用能设备节能分配!O:O,'Improvement in Eqpt Efficiency'!A18,用能设备节能分配!P:P,'Improvement in Eqpt Efficiency'!$A$1)</f>
        <v>3.0127801524020135</v>
      </c>
      <c r="C18" s="51">
        <f>SUMIFS(工业节能技术装备推荐目录!L:L,工业节能技术装备推荐目录!D:D,'Improvement in Eqpt Efficiency'!A18,工业节能技术装备推荐目录!F:F,'Improvement in Eqpt Efficiency'!$A$1)+SUMIFS(用能设备节能分配!R:R,用能设备节能分配!O:O,'Improvement in Eqpt Efficiency'!A18,用能设备节能分配!P:P,'Improvement in Eqpt Efficiency'!$A$1)</f>
        <v>23.768196054839621</v>
      </c>
      <c r="D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</f>
        <v>0.33992922739178588</v>
      </c>
      <c r="E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</f>
        <v>2.5642624218156294</v>
      </c>
      <c r="F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3.0127801524020135</v>
      </c>
      <c r="G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Efficiency'!$A$1,工业节能技术装备推荐目录!A:A,"2021")+SUMIFS(用能设备节能分配!Q:Q,用能设备节能分配!O:O,'Improvement in Eqpt Efficiency'!A18,用能设备节能分配!P:P,'Improvement in Eqpt Efficiency'!$A$1,用能设备节能分配!M:M,"2021")+SUMIFS(工业节能技术装备推荐目录!K:K,工业节能技术装备推荐目录!D:D,'Improvement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3.0127801524020135</v>
      </c>
      <c r="H18" s="75">
        <f>SUMIFS(工业节能技术装备推荐目录!K:K,工业节能技术装备推荐目录!D:D,'Improvement in Eqpt Efficiency'!A18,工业节能技术装备推荐目录!F:F,'Improvement in Eqpt Efficiency'!$A$1,工业节能技术装备推荐目录!A:A,"2020")+SUMIFS(用能设备节能分配!Q:Q,用能设备节能分配!O:O,'Improvement in Eqpt Efficiency'!A18,用能设备节能分配!P:P,'Improvement in Eqpt Efficiency'!$A$1,用能设备节能分配!M:M,"2020")+SUMIFS(工业节能技术装备推荐目录!K:K,工业节能技术装备推荐目录!D:D,'Improvement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0.78844695797816999</v>
      </c>
      <c r="I18" s="75">
        <f>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0.44851773058638411</v>
      </c>
      <c r="J18" s="75">
        <f>SUMIFS(工业节能技术装备推荐目录!K:K,工业节能技术装备推荐目录!D:D,'Improvement in Eqpt Efficiency'!A18,工业节能技术装备推荐目录!F:F,'Improvement in Eqpt Efficiency'!$A$1,工业节能技术装备推荐目录!A:A,"2022")+SUMIFS(用能设备节能分配!Q:Q,用能设备节能分配!O:O,'Improvement in Eqpt Efficiency'!A18,用能设备节能分配!P:P,'Improvement in Eqpt Efficiency'!$A$1,用能设备节能分配!M:M,"2022")</f>
        <v>0.44851773058638411</v>
      </c>
      <c r="L18" s="53"/>
    </row>
    <row r="19" spans="1:12" x14ac:dyDescent="0.15">
      <c r="A19" s="26" t="s">
        <v>48</v>
      </c>
      <c r="B19" s="47">
        <f>SUMIFS(工业节能技术装备推荐目录!K:K,工业节能技术装备推荐目录!D:D,'Improvement in Eqpt Efficiency'!A19,工业节能技术装备推荐目录!F:F,'Improvement in Eqpt Efficiency'!$A$1)+SUMIFS(用能设备节能分配!Q:Q,用能设备节能分配!O:O,'Improvement in Eqpt Efficiency'!A19,用能设备节能分配!P:P,'Improvement in Eqpt Efficiency'!$A$1)</f>
        <v>2.0520004802273393</v>
      </c>
      <c r="C19" s="51">
        <f>SUMIFS(工业节能技术装备推荐目录!L:L,工业节能技术装备推荐目录!D:D,'Improvement in Eqpt Efficiency'!A19,工业节能技术装备推荐目录!F:F,'Improvement in Eqpt Efficiency'!$A$1)+SUMIFS(用能设备节能分配!R:R,用能设备节能分配!O:O,'Improvement in Eqpt Efficiency'!A19,用能设备节能分配!P:P,'Improvement in Eqpt Efficiency'!$A$1)</f>
        <v>16.188486132910661</v>
      </c>
      <c r="D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</f>
        <v>0.23152533625632329</v>
      </c>
      <c r="E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</f>
        <v>1.7465156615558017</v>
      </c>
      <c r="F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2.0520004802273393</v>
      </c>
      <c r="G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Efficiency'!$A$1,工业节能技术装备推荐目录!A:A,"2021")+SUMIFS(用能设备节能分配!Q:Q,用能设备节能分配!O:O,'Improvement in Eqpt Efficiency'!A19,用能设备节能分配!P:P,'Improvement in Eqpt Efficiency'!$A$1,用能设备节能分配!M:M,"2021")+SUMIFS(工业节能技术装备推荐目录!K:K,工业节能技术装备推荐目录!D:D,'Improvement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2.0520004802273393</v>
      </c>
      <c r="H19" s="75">
        <f>SUMIFS(工业节能技术装备推荐目录!K:K,工业节能技术装备推荐目录!D:D,'Improvement in Eqpt Efficiency'!A19,工业节能技术装备推荐目录!F:F,'Improvement in Eqpt Efficiency'!$A$1,工业节能技术装备推荐目录!A:A,"2020")+SUMIFS(用能设备节能分配!Q:Q,用能设备节能分配!O:O,'Improvement in Eqpt Efficiency'!A19,用能设备节能分配!P:P,'Improvement in Eqpt Efficiency'!$A$1,用能设备节能分配!M:M,"2020")+SUMIFS(工业节能技术装备推荐目录!K:K,工业节能技术装备推荐目录!D:D,'Improvement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0.53701015492786097</v>
      </c>
      <c r="I19" s="75">
        <f>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0.30548481867153765</v>
      </c>
      <c r="J19" s="75">
        <f>SUMIFS(工业节能技术装备推荐目录!K:K,工业节能技术装备推荐目录!D:D,'Improvement in Eqpt Efficiency'!A19,工业节能技术装备推荐目录!F:F,'Improvement in Eqpt Efficiency'!$A$1,工业节能技术装备推荐目录!A:A,"2022")+SUMIFS(用能设备节能分配!Q:Q,用能设备节能分配!O:O,'Improvement in Eqpt Efficiency'!A19,用能设备节能分配!P:P,'Improvement in Eqpt Efficiency'!$A$1,用能设备节能分配!M:M,"2022")</f>
        <v>0.30548481867153765</v>
      </c>
      <c r="L19" s="53"/>
    </row>
    <row r="20" spans="1:12" x14ac:dyDescent="0.15">
      <c r="A20" s="26" t="s">
        <v>49</v>
      </c>
      <c r="B20" s="47">
        <f>SUMIFS(工业节能技术装备推荐目录!K:K,工业节能技术装备推荐目录!D:D,'Improvement in Eqpt Efficiency'!A20,工业节能技术装备推荐目录!F:F,'Improvement in Eqpt Efficiency'!$A$1)+SUMIFS(用能设备节能分配!Q:Q,用能设备节能分配!O:O,'Improvement in Eqpt Efficiency'!A20,用能设备节能分配!P:P,'Improvement in Eqpt Efficiency'!$A$1)</f>
        <v>1.0927154929363339</v>
      </c>
      <c r="C20" s="51">
        <f>SUMIFS(工业节能技术装备推荐目录!L:L,工业节能技术装备推荐目录!D:D,'Improvement in Eqpt Efficiency'!A20,工业节能技术装备推荐目录!F:F,'Improvement in Eqpt Efficiency'!$A$1)+SUMIFS(用能设备节能分配!R:R,用能设备节能分配!O:O,'Improvement in Eqpt Efficiency'!A20,用能设备节能分配!P:P,'Improvement in Eqpt Efficiency'!$A$1)</f>
        <v>8.6205679652943754</v>
      </c>
      <c r="D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</f>
        <v>0.12329008904839539</v>
      </c>
      <c r="E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</f>
        <v>0.9300410698863677</v>
      </c>
      <c r="F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1.0927154929363339</v>
      </c>
      <c r="G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Efficiency'!$A$1,工业节能技术装备推荐目录!A:A,"2021")+SUMIFS(用能设备节能分配!Q:Q,用能设备节能分配!O:O,'Improvement in Eqpt Efficiency'!A20,用能设备节能分配!P:P,'Improvement in Eqpt Efficiency'!$A$1,用能设备节能分配!M:M,"2021")+SUMIFS(工业节能技术装备推荐目录!K:K,工业节能技术装备推荐目录!D:D,'Improvement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1.0927154929363339</v>
      </c>
      <c r="H20" s="75">
        <f>SUMIFS(工业节能技术装备推荐目录!K:K,工业节能技术装备推荐目录!D:D,'Improvement in Eqpt Efficiency'!A20,工业节能技术装备推荐目录!F:F,'Improvement in Eqpt Efficiency'!$A$1,工业节能技术装备推荐目录!A:A,"2020")+SUMIFS(用能设备节能分配!Q:Q,用能设备节能分配!O:O,'Improvement in Eqpt Efficiency'!A20,用能设备节能分配!P:P,'Improvement in Eqpt Efficiency'!$A$1,用能设备节能分配!M:M,"2020")+SUMIFS(工业节能技术装备推荐目录!K:K,工业节能技术装备推荐目录!D:D,'Improvement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0.28596451209836149</v>
      </c>
      <c r="I20" s="75">
        <f>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0.16267442304996613</v>
      </c>
      <c r="J20" s="75">
        <f>SUMIFS(工业节能技术装备推荐目录!K:K,工业节能技术装备推荐目录!D:D,'Improvement in Eqpt Efficiency'!A20,工业节能技术装备推荐目录!F:F,'Improvement in Eqpt Efficiency'!$A$1,工业节能技术装备推荐目录!A:A,"2022")+SUMIFS(用能设备节能分配!Q:Q,用能设备节能分配!O:O,'Improvement in Eqpt Efficiency'!A20,用能设备节能分配!P:P,'Improvement in Eqpt Efficiency'!$A$1,用能设备节能分配!M:M,"2022")</f>
        <v>0.16267442304996613</v>
      </c>
      <c r="L20" s="53"/>
    </row>
    <row r="21" spans="1:12" x14ac:dyDescent="0.15">
      <c r="A21" s="26" t="s">
        <v>50</v>
      </c>
      <c r="B21" s="47">
        <f>SUMIFS(工业节能技术装备推荐目录!K:K,工业节能技术装备推荐目录!D:D,'Improvement in Eqpt Efficiency'!A21,工业节能技术装备推荐目录!F:F,'Improvement in Eqpt Efficiency'!$A$1)+SUMIFS(用能设备节能分配!Q:Q,用能设备节能分配!O:O,'Improvement in Eqpt Efficiency'!A21,用能设备节能分配!P:P,'Improvement in Eqpt Efficiency'!$A$1)</f>
        <v>0.67591743991688891</v>
      </c>
      <c r="C21" s="51">
        <f>SUMIFS(工业节能技术装备推荐目录!L:L,工业节能技术装备推荐目录!D:D,'Improvement in Eqpt Efficiency'!A21,工业节能技术装备推荐目录!F:F,'Improvement in Eqpt Efficiency'!$A$1)+SUMIFS(用能设备节能分配!R:R,用能设备节能分配!O:O,'Improvement in Eqpt Efficiency'!A21,用能设备节能分配!P:P,'Improvement in Eqpt Efficiency'!$A$1)</f>
        <v>5.332396463121083</v>
      </c>
      <c r="D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</f>
        <v>7.626314616697033E-2</v>
      </c>
      <c r="E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</f>
        <v>0.57529245539102525</v>
      </c>
      <c r="F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0.67591743991688891</v>
      </c>
      <c r="G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Efficiency'!$A$1,工业节能技术装备推荐目录!A:A,"2021")+SUMIFS(用能设备节能分配!Q:Q,用能设备节能分配!O:O,'Improvement in Eqpt Efficiency'!A21,用能设备节能分配!P:P,'Improvement in Eqpt Efficiency'!$A$1,用能设备节能分配!M:M,"2021")+SUMIFS(工业节能技术装备推荐目录!K:K,工业节能技术装备推荐目录!D:D,'Improvement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0.67591743991688891</v>
      </c>
      <c r="H21" s="75">
        <f>SUMIFS(工业节能技术装备推荐目录!K:K,工业节能技术装备推荐目录!D:D,'Improvement in Eqpt Efficiency'!A21,工业节能技术装备推荐目录!F:F,'Improvement in Eqpt Efficiency'!$A$1,工业节能技术装备推荐目录!A:A,"2020")+SUMIFS(用能设备节能分配!Q:Q,用能设备节能分配!O:O,'Improvement in Eqpt Efficiency'!A21,用能设备节能分配!P:P,'Improvement in Eqpt Efficiency'!$A$1,用能设备节能分配!M:M,"2020")+SUMIFS(工业节能技术装备推荐目录!K:K,工业节能技术装备推荐目录!D:D,'Improvement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0.17688813069283393</v>
      </c>
      <c r="I21" s="75">
        <f>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0.10062498452586362</v>
      </c>
      <c r="J21" s="75">
        <f>SUMIFS(工业节能技术装备推荐目录!K:K,工业节能技术装备推荐目录!D:D,'Improvement in Eqpt Efficiency'!A21,工业节能技术装备推荐目录!F:F,'Improvement in Eqpt Efficiency'!$A$1,工业节能技术装备推荐目录!A:A,"2022")+SUMIFS(用能设备节能分配!Q:Q,用能设备节能分配!O:O,'Improvement in Eqpt Efficiency'!A21,用能设备节能分配!P:P,'Improvement in Eqpt Efficiency'!$A$1,用能设备节能分配!M:M,"2022")</f>
        <v>0.10062498452586362</v>
      </c>
      <c r="L21" s="53"/>
    </row>
    <row r="22" spans="1:12" x14ac:dyDescent="0.15">
      <c r="A22" s="26" t="s">
        <v>81</v>
      </c>
      <c r="B22" s="47">
        <f>SUMIFS(工业节能技术装备推荐目录!K:K,工业节能技术装备推荐目录!D:D,'Improvement in Eqpt Efficiency'!A22,工业节能技术装备推荐目录!F:F,'Improvement in Eqpt Efficiency'!$A$1)+SUMIFS(用能设备节能分配!Q:Q,用能设备节能分配!O:O,'Improvement in Eqpt Efficiency'!A22,用能设备节能分配!P:P,'Improvement in Eqpt Efficiency'!$A$1)</f>
        <v>8.9687060034454795</v>
      </c>
      <c r="C22" s="51">
        <f>SUMIFS(工业节能技术装备推荐目录!L:L,工业节能技术装备推荐目录!D:D,'Improvement in Eqpt Efficiency'!A22,工业节能技术装备推荐目录!F:F,'Improvement in Eqpt Efficiency'!$A$1)+SUMIFS(用能设备节能分配!R:R,用能设备节能分配!O:O,'Improvement in Eqpt Efficiency'!A22,用能设备节能分配!P:P,'Improvement in Eqpt Efficiency'!$A$1)</f>
        <v>93.952411539077843</v>
      </c>
      <c r="D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</f>
        <v>0.17058705493857274</v>
      </c>
      <c r="E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</f>
        <v>8.7436258615126405</v>
      </c>
      <c r="F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8.9687060034454795</v>
      </c>
      <c r="G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Efficiency'!$A$1,工业节能技术装备推荐目录!A:A,"2021")+SUMIFS(用能设备节能分配!Q:Q,用能设备节能分配!O:O,'Improvement in Eqpt Efficiency'!A22,用能设备节能分配!P:P,'Improvement in Eqpt Efficiency'!$A$1,用能设备节能分配!M:M,"2021")+SUMIFS(工业节能技术装备推荐目录!K:K,工业节能技术装备推荐目录!D:D,'Improvement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8.9687060034454795</v>
      </c>
      <c r="H22" s="75">
        <f>SUMIFS(工业节能技术装备推荐目录!K:K,工业节能技术装备推荐目录!D:D,'Improvement in Eqpt Efficiency'!A22,工业节能技术装备推荐目录!F:F,'Improvement in Eqpt Efficiency'!$A$1,工业节能技术装备推荐目录!A:A,"2020")+SUMIFS(用能设备节能分配!Q:Q,用能设备节能分配!O:O,'Improvement in Eqpt Efficiency'!A22,用能设备节能分配!P:P,'Improvement in Eqpt Efficiency'!$A$1,用能设备节能分配!M:M,"2020")+SUMIFS(工业节能技术装备推荐目录!K:K,工业节能技术装备推荐目录!D:D,'Improvement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0.39566719687141172</v>
      </c>
      <c r="I22" s="75">
        <f>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0.22508014193283898</v>
      </c>
      <c r="J22" s="75">
        <f>SUMIFS(工业节能技术装备推荐目录!K:K,工业节能技术装备推荐目录!D:D,'Improvement in Eqpt Efficiency'!A22,工业节能技术装备推荐目录!F:F,'Improvement in Eqpt Efficiency'!$A$1,工业节能技术装备推荐目录!A:A,"2022")+SUMIFS(用能设备节能分配!Q:Q,用能设备节能分配!O:O,'Improvement in Eqpt Efficiency'!A22,用能设备节能分配!P:P,'Improvement in Eqpt Efficiency'!$A$1,用能设备节能分配!M:M,"2022")</f>
        <v>0.22508014193283898</v>
      </c>
      <c r="L22" s="53"/>
    </row>
    <row r="23" spans="1:12" x14ac:dyDescent="0.15">
      <c r="A23" s="26" t="s">
        <v>71</v>
      </c>
      <c r="B23" s="47">
        <f>SUMIFS(工业节能技术装备推荐目录!K:K,工业节能技术装备推荐目录!D:D,'Improvement in Eqpt Efficiency'!A23,工业节能技术装备推荐目录!F:F,'Improvement in Eqpt Efficiency'!$A$1)+SUMIFS(用能设备节能分配!Q:Q,用能设备节能分配!O:O,'Improvement in Eqpt Efficiency'!A23,用能设备节能分配!P:P,'Improvement in Eqpt Efficiency'!$A$1)</f>
        <v>5.9220770509359735</v>
      </c>
      <c r="C23" s="51">
        <f>SUMIFS(工业节能技术装备推荐目录!L:L,工业节能技术装备推荐目录!D:D,'Improvement in Eqpt Efficiency'!A23,工业节能技术装备推荐目录!F:F,'Improvement in Eqpt Efficiency'!$A$1)+SUMIFS(用能设备节能分配!R:R,用能设备节能分配!O:O,'Improvement in Eqpt Efficiency'!A23,用能设备节能分配!P:P,'Improvement in Eqpt Efficiency'!$A$1)</f>
        <v>92.515340254476712</v>
      </c>
      <c r="D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</f>
        <v>5.1774593487249401E-2</v>
      </c>
      <c r="E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</f>
        <v>5.8537633511958527</v>
      </c>
      <c r="F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5.9220770509359735</v>
      </c>
      <c r="G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Efficiency'!$A$1,工业节能技术装备推荐目录!A:A,"2021")+SUMIFS(用能设备节能分配!Q:Q,用能设备节能分配!O:O,'Improvement in Eqpt Efficiency'!A23,用能设备节能分配!P:P,'Improvement in Eqpt Efficiency'!$A$1,用能设备节能分配!M:M,"2021")+SUMIFS(工业节能技术装备推荐目录!K:K,工业节能技术装备推荐目录!D:D,'Improvement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5.9220770509359735</v>
      </c>
      <c r="H23" s="75">
        <f>SUMIFS(工业节能技术装备推荐目录!K:K,工业节能技术装备推荐目录!D:D,'Improvement in Eqpt Efficiency'!A23,工业节能技术装备推荐目录!F:F,'Improvement in Eqpt Efficiency'!$A$1,工业节能技术装备推荐目录!A:A,"2020")+SUMIFS(用能设备节能分配!Q:Q,用能设备节能分配!O:O,'Improvement in Eqpt Efficiency'!A23,用能设备节能分配!P:P,'Improvement in Eqpt Efficiency'!$A$1,用能设备节能分配!M:M,"2020")+SUMIFS(工业节能技术装备推荐目录!K:K,工业节能技术装备推荐目录!D:D,'Improvement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0.12008829322737014</v>
      </c>
      <c r="I23" s="75">
        <f>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6.8313699740120734E-2</v>
      </c>
      <c r="J23" s="75">
        <f>SUMIFS(工业节能技术装备推荐目录!K:K,工业节能技术装备推荐目录!D:D,'Improvement in Eqpt Efficiency'!A23,工业节能技术装备推荐目录!F:F,'Improvement in Eqpt Efficiency'!$A$1,工业节能技术装备推荐目录!A:A,"2022")+SUMIFS(用能设备节能分配!Q:Q,用能设备节能分配!O:O,'Improvement in Eqpt Efficiency'!A23,用能设备节能分配!P:P,'Improvement in Eqpt Efficiency'!$A$1,用能设备节能分配!M:M,"2022")</f>
        <v>6.8313699740120734E-2</v>
      </c>
      <c r="L23" s="53"/>
    </row>
    <row r="24" spans="1:12" x14ac:dyDescent="0.15">
      <c r="A24" s="26" t="s">
        <v>53</v>
      </c>
      <c r="B24" s="47">
        <f>SUMIFS(工业节能技术装备推荐目录!K:K,工业节能技术装备推荐目录!D:D,'Improvement in Eqpt Efficiency'!A24,工业节能技术装备推荐目录!F:F,'Improvement in Eqpt Efficiency'!$A$1)+SUMIFS(用能设备节能分配!Q:Q,用能设备节能分配!O:O,'Improvement in Eqpt Efficiency'!A24,用能设备节能分配!P:P,'Improvement in Eqpt Efficiency'!$A$1)</f>
        <v>1.5219884700473256</v>
      </c>
      <c r="C24" s="51">
        <f>SUMIFS(工业节能技术装备推荐目录!L:L,工业节能技术装备推荐目录!D:D,'Improvement in Eqpt Efficiency'!A24,工业节能技术装备推荐目录!F:F,'Improvement in Eqpt Efficiency'!$A$1)+SUMIFS(用能设备节能分配!R:R,用能设备节能分配!O:O,'Improvement in Eqpt Efficiency'!A24,用能设备节能分配!P:P,'Improvement in Eqpt Efficiency'!$A$1)</f>
        <v>12.007155689886261</v>
      </c>
      <c r="D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</f>
        <v>0.17172456619840282</v>
      </c>
      <c r="E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</f>
        <v>1.2954074452022108</v>
      </c>
      <c r="F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1.5219884700473256</v>
      </c>
      <c r="G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Efficiency'!$A$1,工业节能技术装备推荐目录!A:A,"2021")+SUMIFS(用能设备节能分配!Q:Q,用能设备节能分配!O:O,'Improvement in Eqpt Efficiency'!A24,用能设备节能分配!P:P,'Improvement in Eqpt Efficiency'!$A$1,用能设备节能分配!M:M,"2021")+SUMIFS(工业节能技术装备推荐目录!K:K,工业节能技术装备推荐目录!D:D,'Improvement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1.5219884700473256</v>
      </c>
      <c r="H24" s="75">
        <f>SUMIFS(工业节能技术装备推荐目录!K:K,工业节能技术装备推荐目录!D:D,'Improvement in Eqpt Efficiency'!A24,工业节能技术装备推荐目录!F:F,'Improvement in Eqpt Efficiency'!$A$1,工业节能技术装备推荐目录!A:A,"2020")+SUMIFS(用能设备节能分配!Q:Q,用能设备节能分配!O:O,'Improvement in Eqpt Efficiency'!A24,用能设备节能分配!P:P,'Improvement in Eqpt Efficiency'!$A$1,用能设备节能分配!M:M,"2020")+SUMIFS(工业节能技术装备推荐目录!K:K,工业节能技术装备推荐目录!D:D,'Improvement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0.39830559104351765</v>
      </c>
      <c r="I24" s="75">
        <f>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0.22658102484511483</v>
      </c>
      <c r="J24" s="75">
        <f>SUMIFS(工业节能技术装备推荐目录!K:K,工业节能技术装备推荐目录!D:D,'Improvement in Eqpt Efficiency'!A24,工业节能技术装备推荐目录!F:F,'Improvement in Eqpt Efficiency'!$A$1,工业节能技术装备推荐目录!A:A,"2022")+SUMIFS(用能设备节能分配!Q:Q,用能设备节能分配!O:O,'Improvement in Eqpt Efficiency'!A24,用能设备节能分配!P:P,'Improvement in Eqpt Efficiency'!$A$1,用能设备节能分配!M:M,"2022")</f>
        <v>0.22658102484511483</v>
      </c>
      <c r="L24" s="53"/>
    </row>
    <row r="25" spans="1:12" x14ac:dyDescent="0.15">
      <c r="A25" s="26" t="s">
        <v>76</v>
      </c>
      <c r="B25" s="47">
        <f>SUMIFS(工业节能技术装备推荐目录!K:K,工业节能技术装备推荐目录!D:D,'Improvement in Eqpt Efficiency'!A25,工业节能技术装备推荐目录!F:F,'Improvement in Eqpt Efficiency'!$A$1)+SUMIFS(用能设备节能分配!Q:Q,用能设备节能分配!O:O,'Improvement in Eqpt Efficiency'!A25,用能设备节能分配!P:P,'Improvement in Eqpt Efficiency'!$A$1)</f>
        <v>48.290926148190039</v>
      </c>
      <c r="C25" s="51">
        <f>SUMIFS(工业节能技术装备推荐目录!L:L,工业节能技术装备推荐目录!D:D,'Improvement in Eqpt Efficiency'!A25,工业节能技术装备推荐目录!F:F,'Improvement in Eqpt Efficiency'!$A$1)+SUMIFS(用能设备节能分配!R:R,用能设备节能分配!O:O,'Improvement in Eqpt Efficiency'!A25,用能设备节能分配!P:P,'Improvement in Eqpt Efficiency'!$A$1)</f>
        <v>181.19433305140819</v>
      </c>
      <c r="D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</f>
        <v>0.41193065608496032</v>
      </c>
      <c r="E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</f>
        <v>47.747406532522383</v>
      </c>
      <c r="F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48.290926148190039</v>
      </c>
      <c r="G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Efficiency'!$A$1,工业节能技术装备推荐目录!A:A,"2021")+SUMIFS(用能设备节能分配!Q:Q,用能设备节能分配!O:O,'Improvement in Eqpt Efficiency'!A25,用能设备节能分配!P:P,'Improvement in Eqpt Efficiency'!$A$1,用能设备节能分配!M:M,"2021")+SUMIFS(工业节能技术装备推荐目录!K:K,工业节能技术装备推荐目录!D:D,'Improvement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48.290926148190039</v>
      </c>
      <c r="H25" s="75">
        <f>SUMIFS(工业节能技术装备推荐目录!K:K,工业节能技术装备推荐目录!D:D,'Improvement in Eqpt Efficiency'!A25,工业节能技术装备推荐目录!F:F,'Improvement in Eqpt Efficiency'!$A$1,工业节能技术装备推荐目录!A:A,"2020")+SUMIFS(用能设备节能分配!Q:Q,用能设备节能分配!O:O,'Improvement in Eqpt Efficiency'!A25,用能设备节能分配!P:P,'Improvement in Eqpt Efficiency'!$A$1,用能设备节能分配!M:M,"2020")+SUMIFS(工业节能技术装备推荐目录!K:K,工业节能技术装备推荐目录!D:D,'Improvement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0.95545027175261632</v>
      </c>
      <c r="I25" s="75">
        <f>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0.54351961566765594</v>
      </c>
      <c r="J25" s="75">
        <f>SUMIFS(工业节能技术装备推荐目录!K:K,工业节能技术装备推荐目录!D:D,'Improvement in Eqpt Efficiency'!A25,工业节能技术装备推荐目录!F:F,'Improvement in Eqpt Efficiency'!$A$1,工业节能技术装备推荐目录!A:A,"2022")+SUMIFS(用能设备节能分配!Q:Q,用能设备节能分配!O:O,'Improvement in Eqpt Efficiency'!A25,用能设备节能分配!P:P,'Improvement in Eqpt Efficiency'!$A$1,用能设备节能分配!M:M,"2022")</f>
        <v>0.54351961566765594</v>
      </c>
      <c r="L25" s="53"/>
    </row>
    <row r="26" spans="1:12" x14ac:dyDescent="0.15">
      <c r="A26" s="26" t="s">
        <v>83</v>
      </c>
      <c r="B26" s="47">
        <f>SUMIFS(工业节能技术装备推荐目录!K:K,工业节能技术装备推荐目录!D:D,'Improvement in Eqpt Efficiency'!A26,工业节能技术装备推荐目录!F:F,'Improvement in Eqpt Efficiency'!$A$1)+SUMIFS(用能设备节能分配!Q:Q,用能设备节能分配!O:O,'Improvement in Eqpt Efficiency'!A26,用能设备节能分配!P:P,'Improvement in Eqpt Efficiency'!$A$1)</f>
        <v>1.3658572186844335</v>
      </c>
      <c r="C26" s="51">
        <f>SUMIFS(工业节能技术装备推荐目录!L:L,工业节能技术装备推荐目录!D:D,'Improvement in Eqpt Efficiency'!A26,工业节能技术装备推荐目录!F:F,'Improvement in Eqpt Efficiency'!$A$1)+SUMIFS(用能设备节能分配!R:R,用能设备节能分配!O:O,'Improvement in Eqpt Efficiency'!A26,用能设备节能分配!P:P,'Improvement in Eqpt Efficiency'!$A$1)</f>
        <v>10.438513858718395</v>
      </c>
      <c r="D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</f>
        <v>0.11860739288656774</v>
      </c>
      <c r="E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</f>
        <v>0.91356028772667386</v>
      </c>
      <c r="F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1.3658572186844338</v>
      </c>
      <c r="G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Efficiency'!$A$1,工业节能技术装备推荐目录!A:A,"2021")+SUMIFS(用能设备节能分配!Q:Q,用能设备节能分配!O:O,'Improvement in Eqpt Efficiency'!A26,用能设备节能分配!P:P,'Improvement in Eqpt Efficiency'!$A$1,用能设备节能分配!M:M,"2021")+SUMIFS(工业节能技术装备推荐目录!K:K,工业节能技术装备推荐目录!D:D,'Improvement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1.3658572186844338</v>
      </c>
      <c r="H26" s="75">
        <f>SUMIFS(工业节能技术装备推荐目录!K:K,工业节能技术装备推荐目录!D:D,'Improvement in Eqpt Efficiency'!A26,工业节能技术装备推荐目录!F:F,'Improvement in Eqpt Efficiency'!$A$1,工业节能技术装备推荐目录!A:A,"2020")+SUMIFS(用能设备节能分配!Q:Q,用能设备节能分配!O:O,'Improvement in Eqpt Efficiency'!A26,用能设备节能分配!P:P,'Improvement in Eqpt Efficiency'!$A$1,用能设备节能分配!M:M,"2020")+SUMIFS(工业节能技术装备推荐目录!K:K,工业节能技术装备推荐目录!D:D,'Improvement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0.57090432384432765</v>
      </c>
      <c r="I26" s="75">
        <f>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0.45229693095775991</v>
      </c>
      <c r="J26" s="75">
        <f>SUMIFS(工业节能技术装备推荐目录!K:K,工业节能技术装备推荐目录!D:D,'Improvement in Eqpt Efficiency'!A26,工业节能技术装备推荐目录!F:F,'Improvement in Eqpt Efficiency'!$A$1,工业节能技术装备推荐目录!A:A,"2022")+SUMIFS(用能设备节能分配!Q:Q,用能设备节能分配!O:O,'Improvement in Eqpt Efficiency'!A26,用能设备节能分配!P:P,'Improvement in Eqpt Efficiency'!$A$1,用能设备节能分配!M:M,"2022")</f>
        <v>0.45229693095775991</v>
      </c>
      <c r="L26" s="53"/>
    </row>
    <row r="27" spans="1:12" x14ac:dyDescent="0.15">
      <c r="A27" s="26" t="s">
        <v>55</v>
      </c>
      <c r="B27" s="47">
        <f>SUMIFS(工业节能技术装备推荐目录!K:K,工业节能技术装备推荐目录!D:D,'Improvement in Eqpt Efficiency'!A27,工业节能技术装备推荐目录!F:F,'Improvement in Eqpt Efficiency'!$A$1)+SUMIFS(用能设备节能分配!Q:Q,用能设备节能分配!O:O,'Improvement in Eqpt Efficiency'!A27,用能设备节能分配!P:P,'Improvement in Eqpt Efficiency'!$A$1)</f>
        <v>5.4210577695984972</v>
      </c>
      <c r="C27" s="51">
        <f>SUMIFS(工业节能技术装备推荐目录!L:L,工业节能技术装备推荐目录!D:D,'Improvement in Eqpt Efficiency'!A27,工业节能技术装备推荐目录!F:F,'Improvement in Eqpt Efficiency'!$A$1)+SUMIFS(用能设备节能分配!R:R,用能设备节能分配!O:O,'Improvement in Eqpt Efficiency'!A27,用能设备节能分配!P:P,'Improvement in Eqpt Efficiency'!$A$1)</f>
        <v>42.76739668166654</v>
      </c>
      <c r="D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</f>
        <v>0.61165298695845982</v>
      </c>
      <c r="E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</f>
        <v>4.6140156340283074</v>
      </c>
      <c r="F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5.4210577695984972</v>
      </c>
      <c r="G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Efficiency'!$A$1,工业节能技术装备推荐目录!A:A,"2021")+SUMIFS(用能设备节能分配!Q:Q,用能设备节能分配!O:O,'Improvement in Eqpt Efficiency'!A27,用能设备节能分配!P:P,'Improvement in Eqpt Efficiency'!$A$1,用能设备节能分配!M:M,"2021")+SUMIFS(工业节能技术装备推荐目录!K:K,工业节能技术装备推荐目录!D:D,'Improvement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5.4210577695984972</v>
      </c>
      <c r="H27" s="75">
        <f>SUMIFS(工业节能技术装备推荐目录!K:K,工业节能技术装备推荐目录!D:D,'Improvement in Eqpt Efficiency'!A27,工业节能技术装备推荐目录!F:F,'Improvement in Eqpt Efficiency'!$A$1,工业节能技术装备推荐目录!A:A,"2020")+SUMIFS(用能设备节能分配!Q:Q,用能设备节能分配!O:O,'Improvement in Eqpt Efficiency'!A27,用能设备节能分配!P:P,'Improvement in Eqpt Efficiency'!$A$1,用能设备节能分配!M:M,"2020")+SUMIFS(工业节能技术装备推荐目录!K:K,工业节能技术装备推荐目录!D:D,'Improvement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1.4186951225286497</v>
      </c>
      <c r="I27" s="75">
        <f>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0.80704213557018989</v>
      </c>
      <c r="J27" s="75">
        <f>SUMIFS(工业节能技术装备推荐目录!K:K,工业节能技术装备推荐目录!D:D,'Improvement in Eqpt Efficiency'!A27,工业节能技术装备推荐目录!F:F,'Improvement in Eqpt Efficiency'!$A$1,工业节能技术装备推荐目录!A:A,"2022")+SUMIFS(用能设备节能分配!Q:Q,用能设备节能分配!O:O,'Improvement in Eqpt Efficiency'!A27,用能设备节能分配!P:P,'Improvement in Eqpt Efficiency'!$A$1,用能设备节能分配!M:M,"2022")</f>
        <v>0.80704213557018989</v>
      </c>
      <c r="L27" s="53"/>
    </row>
    <row r="28" spans="1:12" x14ac:dyDescent="0.15">
      <c r="A28" s="63" t="s">
        <v>445</v>
      </c>
      <c r="B28" s="64">
        <f>SUM(B3:B27)</f>
        <v>1148.6111023799936</v>
      </c>
      <c r="C28" s="64">
        <f>SUM(C3:C27)</f>
        <v>8294.3161662246621</v>
      </c>
      <c r="D28" s="76">
        <f>SUM(D3:D27)</f>
        <v>366.26972747649103</v>
      </c>
      <c r="E28" s="76">
        <f t="shared" ref="E28:J28" si="0">SUM(E3:E27)</f>
        <v>844.57695659409899</v>
      </c>
      <c r="F28" s="76">
        <f t="shared" si="0"/>
        <v>1148.6111023799938</v>
      </c>
      <c r="G28" s="76">
        <f t="shared" si="0"/>
        <v>1148.6111023799938</v>
      </c>
      <c r="H28" s="76">
        <f t="shared" si="0"/>
        <v>670.30387326238565</v>
      </c>
      <c r="I28" s="76">
        <f t="shared" si="0"/>
        <v>304.03414578589445</v>
      </c>
      <c r="J28" s="76">
        <f t="shared" si="0"/>
        <v>304.03414578589445</v>
      </c>
    </row>
    <row r="31" spans="1:12" x14ac:dyDescent="0.15">
      <c r="A31" s="52" t="s">
        <v>103</v>
      </c>
      <c r="B31" s="52" t="s">
        <v>444</v>
      </c>
      <c r="C31" s="52"/>
      <c r="D31" s="52"/>
      <c r="E31" s="52"/>
      <c r="F31" s="52"/>
      <c r="G31" s="52"/>
      <c r="H31" s="52"/>
      <c r="I31" s="52"/>
      <c r="J31" s="52"/>
    </row>
    <row r="32" spans="1:12" x14ac:dyDescent="0.15">
      <c r="A32" s="26" t="s">
        <v>384</v>
      </c>
      <c r="B32" s="50">
        <v>2027</v>
      </c>
      <c r="C32" s="46">
        <v>2060</v>
      </c>
      <c r="D32" s="20">
        <v>2021</v>
      </c>
      <c r="E32" s="20">
        <v>2022</v>
      </c>
      <c r="F32" s="20">
        <v>2023</v>
      </c>
      <c r="G32" s="20">
        <v>2024</v>
      </c>
      <c r="H32" s="20">
        <v>2025</v>
      </c>
      <c r="I32" s="20">
        <v>2026</v>
      </c>
      <c r="J32" s="20">
        <v>2027</v>
      </c>
    </row>
    <row r="33" spans="1:10" x14ac:dyDescent="0.15">
      <c r="A33" s="26" t="s">
        <v>99</v>
      </c>
      <c r="B33" s="60">
        <f>B3*$L$2/BIFUbC!G2</f>
        <v>9.0238470763639664E-4</v>
      </c>
      <c r="C33" s="60">
        <f>C3*$L$2/BIFUbC!AQ2</f>
        <v>4.5475344559900623E-3</v>
      </c>
      <c r="D33" s="60">
        <f>D3*$L$2/BIFUbC!D2</f>
        <v>8.9731663116683158E-5</v>
      </c>
      <c r="E33" s="60">
        <f>E3*$L$2/BIFUbC!E2</f>
        <v>6.5190852399045691E-4</v>
      </c>
      <c r="F33" s="60">
        <f>F3*$L$2/BIFUbC!F2</f>
        <v>9.4356463126748352E-4</v>
      </c>
      <c r="G33" s="60">
        <f>G3*$L$2/BIFUbC!G2</f>
        <v>9.0238470763639664E-4</v>
      </c>
      <c r="H33" s="60">
        <f>H3*$L$2/BIFUbC!H2</f>
        <v>3.7397857225494397E-4</v>
      </c>
      <c r="I33" s="60">
        <f>I3*$L$2/BIFUbC!I2</f>
        <v>2.7949709827845842E-4</v>
      </c>
      <c r="J33" s="60">
        <f>J3*$L$2/BIFUbC!J2</f>
        <v>2.6952798289682511E-4</v>
      </c>
    </row>
    <row r="34" spans="1:10" x14ac:dyDescent="0.15">
      <c r="A34" s="26" t="s">
        <v>35</v>
      </c>
      <c r="B34" s="60">
        <f>B4*$L$2/BIFUbC!G3</f>
        <v>1.2104318013808899E-3</v>
      </c>
      <c r="C34" s="60">
        <f>C4*$L$2/BIFUbC!AQ3</f>
        <v>1.3122706183453231E-2</v>
      </c>
      <c r="D34" s="77">
        <f>D4*$L$2/BIFUbC!D3</f>
        <v>8.6632235554950199E-5</v>
      </c>
      <c r="E34" s="77">
        <f>E4*$L$2/BIFUbC!E3</f>
        <v>8.0154411378781799E-4</v>
      </c>
      <c r="F34" s="77">
        <f>F4*$L$2/BIFUbC!F3</f>
        <v>1.23968860214387E-3</v>
      </c>
      <c r="G34" s="77">
        <f>G4*$L$2/BIFUbC!G3</f>
        <v>1.2104318013808901E-3</v>
      </c>
      <c r="H34" s="77">
        <f>H4*$L$2/BIFUbC!H3</f>
        <v>5.0942201850724829E-4</v>
      </c>
      <c r="I34" s="77">
        <f>I4*$L$2/BIFUbC!I3</f>
        <v>4.2947226731000391E-4</v>
      </c>
      <c r="J34" s="77">
        <f>J4*$L$2/BIFUbC!J3</f>
        <v>4.2273466876872369E-4</v>
      </c>
    </row>
    <row r="35" spans="1:10" x14ac:dyDescent="0.15">
      <c r="A35" s="26" t="s">
        <v>67</v>
      </c>
      <c r="B35" s="60">
        <f>B5*$L$2/BIFUbC!G4</f>
        <v>3.3450151559939134E-2</v>
      </c>
      <c r="C35" s="60">
        <f>C5*$L$2/BIFUbC!AQ4</f>
        <v>0.17886498846410512</v>
      </c>
      <c r="D35" s="77">
        <f>D5*$L$2/BIFUbC!D4</f>
        <v>3.7248494762713601E-2</v>
      </c>
      <c r="E35" s="77">
        <f>E5*$L$2/BIFUbC!E4</f>
        <v>3.5816167431210917E-2</v>
      </c>
      <c r="F35" s="77">
        <f>F5*$L$2/BIFUbC!F4</f>
        <v>3.4738647041014828E-2</v>
      </c>
      <c r="G35" s="77">
        <f>G5*$L$2/BIFUbC!G4</f>
        <v>3.3450151559939134E-2</v>
      </c>
      <c r="H35" s="77">
        <f>H5*$L$2/BIFUbC!H4</f>
        <v>3.1764005304169882E-2</v>
      </c>
      <c r="I35" s="77">
        <f>I5*$L$2/BIFUbC!I4</f>
        <v>2.8469734569083765E-4</v>
      </c>
      <c r="J35" s="77">
        <f>J5*$L$2/BIFUbC!J4</f>
        <v>2.7885872891800998E-4</v>
      </c>
    </row>
    <row r="36" spans="1:10" x14ac:dyDescent="0.15">
      <c r="A36" s="26" t="s">
        <v>100</v>
      </c>
      <c r="B36" s="60">
        <f>B6*$L$2/BIFUbC!G5</f>
        <v>9.8267941459691233E-4</v>
      </c>
      <c r="C36" s="60">
        <f>C6*$L$2/BIFUbC!AQ5</f>
        <v>1.0524465319413754E-2</v>
      </c>
      <c r="D36" s="77">
        <f>D6*$L$2/BIFUbC!D5</f>
        <v>9.5115941885730692E-5</v>
      </c>
      <c r="E36" s="77">
        <f>E6*$L$2/BIFUbC!E5</f>
        <v>7.3437285902025289E-4</v>
      </c>
      <c r="F36" s="77">
        <f>F6*$L$2/BIFUbC!F5</f>
        <v>1.0402909813839792E-3</v>
      </c>
      <c r="G36" s="77">
        <f>G6*$L$2/BIFUbC!G5</f>
        <v>9.8267941459691233E-4</v>
      </c>
      <c r="H36" s="77">
        <f>H6*$L$2/BIFUbC!H5</f>
        <v>3.9479439048085003E-4</v>
      </c>
      <c r="I36" s="77">
        <f>I6*$L$2/BIFUbC!I5</f>
        <v>3.0553181319926688E-4</v>
      </c>
      <c r="J36" s="77">
        <f>J6*$L$2/BIFUbC!J5</f>
        <v>2.9866282533707369E-4</v>
      </c>
    </row>
    <row r="37" spans="1:10" x14ac:dyDescent="0.15">
      <c r="A37" s="26" t="s">
        <v>101</v>
      </c>
      <c r="B37" s="60">
        <f>B7*$L$2/BIFUbC!G6</f>
        <v>1.385382004570797E-3</v>
      </c>
      <c r="C37" s="60">
        <f>C7*$L$2/BIFUbC!AQ6</f>
        <v>8.0878133747527125E-3</v>
      </c>
      <c r="D37" s="77">
        <f>D7*$L$2/BIFUbC!D6</f>
        <v>5.7499843979638395E-4</v>
      </c>
      <c r="E37" s="77">
        <f>E7*$L$2/BIFUbC!E6</f>
        <v>1.1525912804033996E-3</v>
      </c>
      <c r="F37" s="77">
        <f>F7*$L$2/BIFUbC!F6</f>
        <v>1.4156856558147585E-3</v>
      </c>
      <c r="G37" s="77">
        <f>G7*$L$2/BIFUbC!G6</f>
        <v>1.3853820045707965E-3</v>
      </c>
      <c r="H37" s="77">
        <f>H7*$L$2/BIFUbC!H6</f>
        <v>7.8135736922919853E-4</v>
      </c>
      <c r="I37" s="77">
        <f>I7*$L$2/BIFUbC!I6</f>
        <v>2.4832831212995922E-4</v>
      </c>
      <c r="J37" s="77">
        <f>J7*$L$2/BIFUbC!J6</f>
        <v>2.4099123268711596E-4</v>
      </c>
    </row>
    <row r="38" spans="1:10" x14ac:dyDescent="0.15">
      <c r="A38" s="26" t="s">
        <v>72</v>
      </c>
      <c r="B38" s="60">
        <f>B8*$L$2/BIFUbC!G7</f>
        <v>1.5580195388552704E-3</v>
      </c>
      <c r="C38" s="60">
        <f>C8*$L$2/BIFUbC!AQ7</f>
        <v>1.3884917529627904E-2</v>
      </c>
      <c r="D38" s="77">
        <f>D8*$L$2/BIFUbC!D7</f>
        <v>6.0223173132792915E-4</v>
      </c>
      <c r="E38" s="77">
        <f>E8*$L$2/BIFUbC!E7</f>
        <v>1.267018431646101E-3</v>
      </c>
      <c r="F38" s="77">
        <f>F8*$L$2/BIFUbC!F7</f>
        <v>1.5664822015377321E-3</v>
      </c>
      <c r="G38" s="77">
        <f>G8*$L$2/BIFUbC!G7</f>
        <v>1.5580195388552704E-3</v>
      </c>
      <c r="H38" s="77">
        <f>H8*$L$2/BIFUbC!H7</f>
        <v>8.9714033167324263E-4</v>
      </c>
      <c r="I38" s="77">
        <f>I8*$L$2/BIFUbC!I7</f>
        <v>2.9117051268300959E-4</v>
      </c>
      <c r="J38" s="77">
        <f>J8*$L$2/BIFUbC!J7</f>
        <v>2.8851687192202904E-4</v>
      </c>
    </row>
    <row r="39" spans="1:10" x14ac:dyDescent="0.15">
      <c r="A39" s="26" t="s">
        <v>38</v>
      </c>
      <c r="B39" s="60">
        <f>B9*$L$2/BIFUbC!G8</f>
        <v>7.4574745647365721E-4</v>
      </c>
      <c r="C39" s="60">
        <f>C9*$L$2/BIFUbC!AQ8</f>
        <v>6.9360695186229055E-3</v>
      </c>
      <c r="D39" s="77">
        <f>D9*$L$2/BIFUbC!D8</f>
        <v>8.3897625311460814E-5</v>
      </c>
      <c r="E39" s="77">
        <f>E9*$L$2/BIFUbC!E8</f>
        <v>6.3965066868721483E-4</v>
      </c>
      <c r="F39" s="77">
        <f>F9*$L$2/BIFUbC!F8</f>
        <v>7.5163804323366947E-4</v>
      </c>
      <c r="G39" s="77">
        <f>G9*$L$2/BIFUbC!G8</f>
        <v>7.4574745647365721E-4</v>
      </c>
      <c r="H39" s="77">
        <f>H9*$L$2/BIFUbC!H8</f>
        <v>1.9260202280188567E-4</v>
      </c>
      <c r="I39" s="77">
        <f>I9*$L$2/BIFUbC!I8</f>
        <v>1.077352833221986E-4</v>
      </c>
      <c r="J39" s="77">
        <f>J9*$L$2/BIFUbC!J8</f>
        <v>1.0579364072710232E-4</v>
      </c>
    </row>
    <row r="40" spans="1:10" x14ac:dyDescent="0.15">
      <c r="A40" s="26" t="s">
        <v>68</v>
      </c>
      <c r="B40" s="60">
        <f>B10*$L$2/BIFUbC!G9</f>
        <v>1.5567940542259366E-2</v>
      </c>
      <c r="C40" s="60">
        <f>C10*$L$2/BIFUbC!AQ9</f>
        <v>0.15870136198669438</v>
      </c>
      <c r="D40" s="77">
        <f>D10*$L$2/BIFUbC!D9</f>
        <v>1.6184756855213631E-2</v>
      </c>
      <c r="E40" s="77">
        <f>E10*$L$2/BIFUbC!E9</f>
        <v>1.6727628407805339E-2</v>
      </c>
      <c r="F40" s="77">
        <f>F10*$L$2/BIFUbC!F9</f>
        <v>1.6234690026936151E-2</v>
      </c>
      <c r="G40" s="77">
        <f>G10*$L$2/BIFUbC!G9</f>
        <v>1.5567940542259366E-2</v>
      </c>
      <c r="H40" s="77">
        <f>H10*$L$2/BIFUbC!H9</f>
        <v>1.4421480409753341E-2</v>
      </c>
      <c r="I40" s="77">
        <f>I10*$L$2/BIFUbC!I9</f>
        <v>1.6119288482715577E-4</v>
      </c>
      <c r="J40" s="77">
        <f>J10*$L$2/BIFUbC!J9</f>
        <v>1.5770307519875727E-4</v>
      </c>
    </row>
    <row r="41" spans="1:10" x14ac:dyDescent="0.15">
      <c r="A41" s="26" t="s">
        <v>40</v>
      </c>
      <c r="B41" s="60">
        <f>B11*$L$2/BIFUbC!G10</f>
        <v>1.6671777018885542E-3</v>
      </c>
      <c r="C41" s="60">
        <f>C11*$L$2/BIFUbC!AQ10</f>
        <v>1.6956628797010927E-2</v>
      </c>
      <c r="D41" s="77">
        <f>D11*$L$2/BIFUbC!D10</f>
        <v>5.4445536361549536E-4</v>
      </c>
      <c r="E41" s="77">
        <f>E11*$L$2/BIFUbC!E10</f>
        <v>1.3217386254085763E-3</v>
      </c>
      <c r="F41" s="77">
        <f>F11*$L$2/BIFUbC!F10</f>
        <v>1.7891104605517506E-3</v>
      </c>
      <c r="G41" s="77">
        <f>G11*$L$2/BIFUbC!G10</f>
        <v>1.6671777018885544E-3</v>
      </c>
      <c r="H41" s="77">
        <f>H11*$L$2/BIFUbC!H10</f>
        <v>9.2410822761103059E-4</v>
      </c>
      <c r="I41" s="77">
        <f>I11*$L$2/BIFUbC!I10</f>
        <v>4.8153990744278076E-4</v>
      </c>
      <c r="J41" s="77">
        <f>J11*$L$2/BIFUbC!J10</f>
        <v>4.7140194781636346E-4</v>
      </c>
    </row>
    <row r="42" spans="1:10" x14ac:dyDescent="0.15">
      <c r="A42" s="26" t="s">
        <v>41</v>
      </c>
      <c r="B42" s="60">
        <f>B12*$L$2/BIFUbC!G11</f>
        <v>1.7038106499281964E-3</v>
      </c>
      <c r="C42" s="60">
        <f>C12*$L$2/BIFUbC!AQ11</f>
        <v>8.273541835423023E-3</v>
      </c>
      <c r="D42" s="77">
        <f>D12*$L$2/BIFUbC!D11</f>
        <v>6.3979329225009375E-4</v>
      </c>
      <c r="E42" s="77">
        <f>E12*$L$2/BIFUbC!E11</f>
        <v>1.3600452184281248E-3</v>
      </c>
      <c r="F42" s="77">
        <f>F12*$L$2/BIFUbC!F11</f>
        <v>1.8414803563414665E-3</v>
      </c>
      <c r="G42" s="77">
        <f>G12*$L$2/BIFUbC!G11</f>
        <v>1.7038106499281962E-3</v>
      </c>
      <c r="H42" s="77">
        <f>H12*$L$2/BIFUbC!H11</f>
        <v>1.0197289121615788E-3</v>
      </c>
      <c r="I42" s="77">
        <f>I12*$L$2/BIFUbC!I11</f>
        <v>4.9106007223362802E-4</v>
      </c>
      <c r="J42" s="77">
        <f>J12*$L$2/BIFUbC!J11</f>
        <v>4.7522087838195375E-4</v>
      </c>
    </row>
    <row r="43" spans="1:10" x14ac:dyDescent="0.15">
      <c r="A43" s="26" t="s">
        <v>42</v>
      </c>
      <c r="B43" s="60">
        <f>B13*$L$2/BIFUbC!G12</f>
        <v>7.1005964024566765E-4</v>
      </c>
      <c r="C43" s="60">
        <f>C13*$L$2/BIFUbC!AQ12</f>
        <v>5.6484560340521453E-3</v>
      </c>
      <c r="D43" s="77">
        <f>D13*$L$2/BIFUbC!D12</f>
        <v>8.2660124764044688E-5</v>
      </c>
      <c r="E43" s="77">
        <f>E13*$L$2/BIFUbC!E12</f>
        <v>6.2823626559711299E-4</v>
      </c>
      <c r="F43" s="77">
        <f>F13*$L$2/BIFUbC!F12</f>
        <v>7.3123636161740455E-4</v>
      </c>
      <c r="G43" s="77">
        <f>G13*$L$2/BIFUbC!G12</f>
        <v>7.1005964024566765E-4</v>
      </c>
      <c r="H43" s="77">
        <f>H13*$L$2/BIFUbC!H12</f>
        <v>1.7922196196985254E-4</v>
      </c>
      <c r="I43" s="77">
        <f>I13*$L$2/BIFUbC!I12</f>
        <v>9.8675932586848687E-5</v>
      </c>
      <c r="J43" s="77">
        <f>J13*$L$2/BIFUbC!J12</f>
        <v>9.6115985183150754E-5</v>
      </c>
    </row>
    <row r="44" spans="1:10" x14ac:dyDescent="0.15">
      <c r="A44" s="26" t="s">
        <v>43</v>
      </c>
      <c r="B44" s="60">
        <f>B14*$L$2/BIFUbC!G13</f>
        <v>6.7363055865215496E-4</v>
      </c>
      <c r="C44" s="60">
        <f>C14*$L$2/BIFUbC!AQ13</f>
        <v>2.5946138261003482E-3</v>
      </c>
      <c r="D44" s="77">
        <f>D14*$L$2/BIFUbC!D13</f>
        <v>8.5126025383681171E-5</v>
      </c>
      <c r="E44" s="77">
        <f>E14*$L$2/BIFUbC!E13</f>
        <v>6.1323895965929311E-4</v>
      </c>
      <c r="F44" s="77">
        <f>F14*$L$2/BIFUbC!F13</f>
        <v>7.0775892365599247E-4</v>
      </c>
      <c r="G44" s="77">
        <f>G14*$L$2/BIFUbC!G13</f>
        <v>6.7363055865215496E-4</v>
      </c>
      <c r="H44" s="77">
        <f>H14*$L$2/BIFUbC!H13</f>
        <v>1.6606087541431143E-4</v>
      </c>
      <c r="I44" s="77">
        <f>I14*$L$2/BIFUbC!I13</f>
        <v>8.954924558582947E-5</v>
      </c>
      <c r="J44" s="77">
        <f>J14*$L$2/BIFUbC!J13</f>
        <v>8.5670213470558109E-5</v>
      </c>
    </row>
    <row r="45" spans="1:10" x14ac:dyDescent="0.15">
      <c r="A45" s="26" t="s">
        <v>56</v>
      </c>
      <c r="B45" s="60">
        <f>B15*$L$2/BIFUbC!G14</f>
        <v>9.3820970543371152E-4</v>
      </c>
      <c r="C45" s="60">
        <f>C15*$L$2/BIFUbC!AQ14</f>
        <v>1.371702540495129E-2</v>
      </c>
      <c r="D45" s="77">
        <f>D15*$L$2/BIFUbC!D14</f>
        <v>8.7672305703557436E-5</v>
      </c>
      <c r="E45" s="77">
        <f>E15*$L$2/BIFUbC!E14</f>
        <v>7.8058665202840631E-4</v>
      </c>
      <c r="F45" s="77">
        <f>F15*$L$2/BIFUbC!F14</f>
        <v>9.7442189363722135E-4</v>
      </c>
      <c r="G45" s="77">
        <f>G15*$L$2/BIFUbC!G14</f>
        <v>9.3820970543371152E-4</v>
      </c>
      <c r="H45" s="77">
        <f>H15*$L$2/BIFUbC!H14</f>
        <v>2.9532607250636728E-4</v>
      </c>
      <c r="I45" s="77">
        <f>I15*$L$2/BIFUbC!I14</f>
        <v>2.0600652129030325E-4</v>
      </c>
      <c r="J45" s="77">
        <f>J15*$L$2/BIFUbC!J14</f>
        <v>2.0395477178266789E-4</v>
      </c>
    </row>
    <row r="46" spans="1:10" x14ac:dyDescent="0.15">
      <c r="A46" s="26" t="s">
        <v>45</v>
      </c>
      <c r="B46" s="60">
        <f>B16*$L$2/BIFUbC!G15</f>
        <v>3.0854533739478394E-3</v>
      </c>
      <c r="C46" s="60">
        <f>C16*$L$2/BIFUbC!AQ15</f>
        <v>3.774878812029759E-2</v>
      </c>
      <c r="D46" s="77">
        <f>D16*$L$2/BIFUbC!D15</f>
        <v>6.0574933495666987E-4</v>
      </c>
      <c r="E46" s="77">
        <f>E16*$L$2/BIFUbC!E15</f>
        <v>2.2264695712528046E-3</v>
      </c>
      <c r="F46" s="77">
        <f>F16*$L$2/BIFUbC!F15</f>
        <v>3.3027349182656713E-3</v>
      </c>
      <c r="G46" s="77">
        <f>G16*$L$2/BIFUbC!G15</f>
        <v>3.0854533739478399E-3</v>
      </c>
      <c r="H46" s="77">
        <f>H16*$L$2/BIFUbC!H15</f>
        <v>1.5853461171205473E-3</v>
      </c>
      <c r="I46" s="77">
        <f>I16*$L$2/BIFUbC!I15</f>
        <v>1.061259709613314E-3</v>
      </c>
      <c r="J46" s="77">
        <f>J16*$L$2/BIFUbC!J15</f>
        <v>1.0413912871993409E-3</v>
      </c>
    </row>
    <row r="47" spans="1:10" x14ac:dyDescent="0.15">
      <c r="A47" s="26" t="s">
        <v>46</v>
      </c>
      <c r="B47" s="60">
        <f>B17*$L$2/BIFUbC!G16</f>
        <v>8.7256853548397465E-4</v>
      </c>
      <c r="C47" s="60">
        <f>C17*$L$2/BIFUbC!AQ16</f>
        <v>7.9067737795728774E-3</v>
      </c>
      <c r="D47" s="77">
        <f>D17*$L$2/BIFUbC!D16</f>
        <v>1.3014961154388143E-4</v>
      </c>
      <c r="E47" s="77">
        <f>E17*$L$2/BIFUbC!E16</f>
        <v>7.5621345750918737E-4</v>
      </c>
      <c r="F47" s="77">
        <f>F17*$L$2/BIFUbC!F16</f>
        <v>9.3702780092103902E-4</v>
      </c>
      <c r="G47" s="77">
        <f>G17*$L$2/BIFUbC!G16</f>
        <v>8.7256853548397454E-4</v>
      </c>
      <c r="H47" s="77">
        <f>H17*$L$2/BIFUbC!H16</f>
        <v>3.0755916278941644E-4</v>
      </c>
      <c r="I47" s="77">
        <f>I17*$L$2/BIFUbC!I16</f>
        <v>1.9697838541995498E-4</v>
      </c>
      <c r="J47" s="77">
        <f>J17*$L$2/BIFUbC!J16</f>
        <v>1.8826236550275905E-4</v>
      </c>
    </row>
    <row r="48" spans="1:10" x14ac:dyDescent="0.15">
      <c r="A48" s="26" t="s">
        <v>47</v>
      </c>
      <c r="B48" s="60">
        <f>B18*$L$2/BIFUbC!G17</f>
        <v>6.3387406708763599E-4</v>
      </c>
      <c r="C48" s="60">
        <f>C18*$L$2/BIFUbC!AQ17</f>
        <v>4.0070065285839358E-3</v>
      </c>
      <c r="D48" s="77">
        <f>D18*$L$2/BIFUbC!D17</f>
        <v>7.4585909330125648E-5</v>
      </c>
      <c r="E48" s="77">
        <f>E18*$L$2/BIFUbC!E17</f>
        <v>5.5890425590644798E-4</v>
      </c>
      <c r="F48" s="77">
        <f>F18*$L$2/BIFUbC!F17</f>
        <v>6.5121079733101636E-4</v>
      </c>
      <c r="G48" s="77">
        <f>G18*$L$2/BIFUbC!G17</f>
        <v>6.3387406708763599E-4</v>
      </c>
      <c r="H48" s="77">
        <f>H18*$L$2/BIFUbC!H17</f>
        <v>1.6043070903011772E-4</v>
      </c>
      <c r="I48" s="77">
        <f>I18*$L$2/BIFUbC!I17</f>
        <v>8.8516790716071603E-5</v>
      </c>
      <c r="J48" s="77">
        <f>J18*$L$2/BIFUbC!J17</f>
        <v>8.629695668823795E-5</v>
      </c>
    </row>
    <row r="49" spans="1:10" x14ac:dyDescent="0.15">
      <c r="A49" s="26" t="s">
        <v>48</v>
      </c>
      <c r="B49" s="60">
        <f>B19*$L$2/BIFUbC!G18</f>
        <v>5.8846697335371604E-4</v>
      </c>
      <c r="C49" s="60">
        <f>C19*$L$2/BIFUbC!AQ18</f>
        <v>1.8728325531443032E-3</v>
      </c>
      <c r="D49" s="77">
        <f>D19*$L$2/BIFUbC!D18</f>
        <v>7.8161272157413006E-5</v>
      </c>
      <c r="E49" s="77">
        <f>E19*$L$2/BIFUbC!E18</f>
        <v>5.4284161672590739E-4</v>
      </c>
      <c r="F49" s="77">
        <f>F19*$L$2/BIFUbC!F18</f>
        <v>6.2388293939574671E-4</v>
      </c>
      <c r="G49" s="77">
        <f>G19*$L$2/BIFUbC!G18</f>
        <v>5.8846697335371604E-4</v>
      </c>
      <c r="H49" s="77">
        <f>H19*$L$2/BIFUbC!H18</f>
        <v>1.4386042515963064E-4</v>
      </c>
      <c r="I49" s="77">
        <f>I19*$L$2/BIFUbC!I18</f>
        <v>7.7307413591368561E-5</v>
      </c>
      <c r="J49" s="77">
        <f>J19*$L$2/BIFUbC!J18</f>
        <v>7.3978574732677901E-5</v>
      </c>
    </row>
    <row r="50" spans="1:10" x14ac:dyDescent="0.15">
      <c r="A50" s="26" t="s">
        <v>49</v>
      </c>
      <c r="B50" s="60">
        <f>B20*$L$2/BIFUbC!G19</f>
        <v>4.9929578719395528E-4</v>
      </c>
      <c r="C50" s="60">
        <f>C20*$L$2/BIFUbC!AQ19</f>
        <v>1.5848981791365911E-3</v>
      </c>
      <c r="D50" s="77">
        <f>D20*$L$2/BIFUbC!D19</f>
        <v>7.0160555034384819E-5</v>
      </c>
      <c r="E50" s="77">
        <f>E20*$L$2/BIFUbC!E19</f>
        <v>4.6795371101019431E-4</v>
      </c>
      <c r="F50" s="77">
        <f>F20*$L$2/BIFUbC!F19</f>
        <v>5.3542993430524431E-4</v>
      </c>
      <c r="G50" s="77">
        <f>G20*$L$2/BIFUbC!G19</f>
        <v>4.9929578719395528E-4</v>
      </c>
      <c r="H50" s="77">
        <f>H20*$L$2/BIFUbC!H19</f>
        <v>1.2017531556539854E-4</v>
      </c>
      <c r="I50" s="77">
        <f>I20*$L$2/BIFUbC!I19</f>
        <v>6.3480941782892363E-5</v>
      </c>
      <c r="J50" s="77">
        <f>J20*$L$2/BIFUbC!J19</f>
        <v>5.9710108056083262E-5</v>
      </c>
    </row>
    <row r="51" spans="1:10" x14ac:dyDescent="0.15">
      <c r="A51" s="26" t="s">
        <v>50</v>
      </c>
      <c r="B51" s="60">
        <f>B21*$L$2/BIFUbC!G20</f>
        <v>6.3043237225038709E-4</v>
      </c>
      <c r="C51" s="60">
        <f>C21*$L$2/BIFUbC!AQ20</f>
        <v>4.0361289661777315E-3</v>
      </c>
      <c r="D51" s="77">
        <f>D21*$L$2/BIFUbC!D20</f>
        <v>8.0104064097513353E-5</v>
      </c>
      <c r="E51" s="77">
        <f>E21*$L$2/BIFUbC!E20</f>
        <v>5.52160029198695E-4</v>
      </c>
      <c r="F51" s="77">
        <f>F21*$L$2/BIFUbC!F20</f>
        <v>6.4482948613731137E-4</v>
      </c>
      <c r="G51" s="77">
        <f>G21*$L$2/BIFUbC!G20</f>
        <v>6.3043237225038709E-4</v>
      </c>
      <c r="H51" s="77">
        <f>H21*$L$2/BIFUbC!H20</f>
        <v>1.6001000560748521E-4</v>
      </c>
      <c r="I51" s="77">
        <f>I21*$L$2/BIFUbC!I20</f>
        <v>8.8144628529709333E-5</v>
      </c>
      <c r="J51" s="77">
        <f>J21*$L$2/BIFUbC!J20</f>
        <v>8.5455396665859462E-5</v>
      </c>
    </row>
    <row r="52" spans="1:10" x14ac:dyDescent="0.15">
      <c r="A52" s="26" t="s">
        <v>81</v>
      </c>
      <c r="B52" s="60">
        <f>B22*$L$2/BIFUbC!G21</f>
        <v>3.6297798475124709E-3</v>
      </c>
      <c r="C52" s="60">
        <f>C22*$L$2/BIFUbC!AQ21</f>
        <v>3.2478722717600793E-2</v>
      </c>
      <c r="D52" s="77">
        <f>D22*$L$2/BIFUbC!D21</f>
        <v>8.281121409880767E-5</v>
      </c>
      <c r="E52" s="77">
        <f>E22*$L$2/BIFUbC!E21</f>
        <v>4.1218493145461551E-3</v>
      </c>
      <c r="F52" s="77">
        <f>F22*$L$2/BIFUbC!F21</f>
        <v>3.9049722963360664E-3</v>
      </c>
      <c r="G52" s="77">
        <f>G22*$L$2/BIFUbC!G21</f>
        <v>3.6297798475124709E-3</v>
      </c>
      <c r="H52" s="77">
        <f>H22*$L$2/BIFUbC!H21</f>
        <v>1.4966585422841484E-4</v>
      </c>
      <c r="I52" s="77">
        <f>I22*$L$2/BIFUbC!I21</f>
        <v>8.2936581552377225E-5</v>
      </c>
      <c r="J52" s="77">
        <f>J22*$L$2/BIFUbC!J21</f>
        <v>8.0858574394557407E-5</v>
      </c>
    </row>
    <row r="53" spans="1:10" x14ac:dyDescent="0.15">
      <c r="A53" s="26" t="s">
        <v>71</v>
      </c>
      <c r="B53" s="60">
        <f>B23*$L$2/BIFUbC!G22</f>
        <v>9.2179412290185909E-3</v>
      </c>
      <c r="C53" s="60">
        <f>C23*$L$2/BIFUbC!AQ22</f>
        <v>0.14598121396468786</v>
      </c>
      <c r="D53" s="77">
        <f>D23*$L$2/BIFUbC!D22</f>
        <v>8.5103316078965452E-5</v>
      </c>
      <c r="E53" s="77">
        <f>E23*$L$2/BIFUbC!E22</f>
        <v>9.2967065954799449E-3</v>
      </c>
      <c r="F53" s="77">
        <f>F23*$L$2/BIFUbC!F22</f>
        <v>9.369356907522837E-3</v>
      </c>
      <c r="G53" s="77">
        <f>G23*$L$2/BIFUbC!G22</f>
        <v>9.2179412290185909E-3</v>
      </c>
      <c r="H53" s="77">
        <f>H23*$L$2/BIFUbC!H22</f>
        <v>1.8305852345610449E-4</v>
      </c>
      <c r="I53" s="77">
        <f>I23*$L$2/BIFUbC!I22</f>
        <v>1.0210885192483526E-4</v>
      </c>
      <c r="J53" s="77">
        <f>J23*$L$2/BIFUbC!J22</f>
        <v>1.0044661486308713E-4</v>
      </c>
    </row>
    <row r="54" spans="1:10" x14ac:dyDescent="0.15">
      <c r="A54" s="26" t="s">
        <v>53</v>
      </c>
      <c r="B54" s="60">
        <f>B24*$L$2/BIFUbC!G23</f>
        <v>6.0331483138452349E-4</v>
      </c>
      <c r="C54" s="60">
        <f>C24*$L$2/BIFUbC!AQ23</f>
        <v>3.6505232805292736E-3</v>
      </c>
      <c r="D54" s="77">
        <f>D24*$L$2/BIFUbC!D23</f>
        <v>7.0621144763676483E-5</v>
      </c>
      <c r="E54" s="77">
        <f>E24*$L$2/BIFUbC!E23</f>
        <v>5.3347220627331451E-4</v>
      </c>
      <c r="F54" s="77">
        <f>F24*$L$2/BIFUbC!F23</f>
        <v>6.2105056018497723E-4</v>
      </c>
      <c r="G54" s="77">
        <f>G24*$L$2/BIFUbC!G23</f>
        <v>6.0331483138452349E-4</v>
      </c>
      <c r="H54" s="77">
        <f>H24*$L$2/BIFUbC!H23</f>
        <v>1.5234032206216987E-4</v>
      </c>
      <c r="I54" s="77">
        <f>I24*$L$2/BIFUbC!I23</f>
        <v>8.3882652590775873E-5</v>
      </c>
      <c r="J54" s="77">
        <f>J24*$L$2/BIFUbC!J23</f>
        <v>8.1642233706825853E-5</v>
      </c>
    </row>
    <row r="55" spans="1:10" x14ac:dyDescent="0.15">
      <c r="A55" s="26" t="s">
        <v>76</v>
      </c>
      <c r="B55" s="60">
        <f>B25*$L$2/BIFUbC!G24</f>
        <v>5.3244694540452277E-3</v>
      </c>
      <c r="C55" s="60">
        <f>C25*$L$2/BIFUbC!AQ24</f>
        <v>3.9033463220411548E-3</v>
      </c>
      <c r="D55" s="77">
        <f>D25*$L$2/BIFUbC!D24</f>
        <v>5.6911947008795924E-5</v>
      </c>
      <c r="E55" s="77">
        <f>E25*$L$2/BIFUbC!E24</f>
        <v>6.1124840368496948E-3</v>
      </c>
      <c r="F55" s="77">
        <f>F25*$L$2/BIFUbC!F24</f>
        <v>5.9158473038386349E-3</v>
      </c>
      <c r="G55" s="77">
        <f>G25*$L$2/BIFUbC!G24</f>
        <v>5.3244694540452277E-3</v>
      </c>
      <c r="H55" s="77">
        <f>H25*$L$2/BIFUbC!H24</f>
        <v>9.2982057990694669E-5</v>
      </c>
      <c r="I55" s="77">
        <f>I25*$L$2/BIFUbC!I24</f>
        <v>4.736819915364669E-5</v>
      </c>
      <c r="J55" s="77">
        <f>J25*$L$2/BIFUbC!J24</f>
        <v>4.319100846377522E-5</v>
      </c>
    </row>
    <row r="56" spans="1:10" x14ac:dyDescent="0.15">
      <c r="A56" s="26" t="s">
        <v>83</v>
      </c>
      <c r="B56" s="60">
        <f>B26*$L$2/BIFUbC!G25</f>
        <v>6.7537966304854937E-4</v>
      </c>
      <c r="C56" s="60">
        <f>C26*$L$2/BIFUbC!AQ25</f>
        <v>1.4085667807614375E-3</v>
      </c>
      <c r="D56" s="77">
        <f>D26*$L$2/BIFUbC!D25</f>
        <v>7.3132148033713967E-5</v>
      </c>
      <c r="E56" s="77">
        <f>E26*$L$2/BIFUbC!E25</f>
        <v>5.0081988922503985E-4</v>
      </c>
      <c r="F56" s="77">
        <f>F26*$L$2/BIFUbC!F25</f>
        <v>7.2787270371377981E-4</v>
      </c>
      <c r="G56" s="77">
        <f>G26*$L$2/BIFUbC!G25</f>
        <v>6.7537966304854948E-4</v>
      </c>
      <c r="H56" s="77">
        <f>H26*$L$2/BIFUbC!H25</f>
        <v>2.5771776860458175E-4</v>
      </c>
      <c r="I56" s="77">
        <f>I26*$L$2/BIFUbC!I25</f>
        <v>1.8790358924411659E-4</v>
      </c>
      <c r="J56" s="77">
        <f>J26*$L$2/BIFUbC!J25</f>
        <v>1.7498918123048742E-4</v>
      </c>
    </row>
    <row r="57" spans="1:10" x14ac:dyDescent="0.15">
      <c r="A57" s="26" t="s">
        <v>55</v>
      </c>
      <c r="B57" s="60">
        <f>B27*$L$2/BIFUbC!G26</f>
        <v>6.8095286614929884E-4</v>
      </c>
      <c r="C57" s="60">
        <f>C27*$L$2/BIFUbC!AQ26</f>
        <v>3.0712370384251919E-3</v>
      </c>
      <c r="D57" s="77">
        <f>D27*$L$2/BIFUbC!D26</f>
        <v>8.595892217789647E-5</v>
      </c>
      <c r="E57" s="77">
        <f>E27*$L$2/BIFUbC!E26</f>
        <v>6.3844274367254382E-4</v>
      </c>
      <c r="F57" s="77">
        <f>F27*$L$2/BIFUbC!F26</f>
        <v>7.1463057158391383E-4</v>
      </c>
      <c r="G57" s="77">
        <f>G27*$L$2/BIFUbC!G26</f>
        <v>6.8095286614929884E-4</v>
      </c>
      <c r="H57" s="77">
        <f>H27*$L$2/BIFUbC!H26</f>
        <v>1.7139963008001405E-4</v>
      </c>
      <c r="I57" s="77">
        <f>I27*$L$2/BIFUbC!I26</f>
        <v>9.2821406472891842E-5</v>
      </c>
      <c r="J57" s="77">
        <f>J27*$L$2/BIFUbC!J26</f>
        <v>8.9176416171023534E-5</v>
      </c>
    </row>
    <row r="58" spans="1:10" x14ac:dyDescent="0.15">
      <c r="A58" s="63" t="s">
        <v>446</v>
      </c>
      <c r="B58" s="66">
        <f>B28*$L$2/SUM(BIFUbC!G2:G26)</f>
        <v>2.0301434597034449E-3</v>
      </c>
      <c r="C58" s="66">
        <f>C28*$L$2/SUM(BIFUbC!AQ3:AQ26)</f>
        <v>1.6761801002696312E-2</v>
      </c>
      <c r="D58" s="88">
        <f>D28*$L$2/SUM(BIFUbC!D2:D26)</f>
        <v>7.4445509451318654E-4</v>
      </c>
      <c r="E58" s="88">
        <f>E28*$L$2/SUM(BIFUbC!E2:E26)</f>
        <v>1.6843516583080979E-3</v>
      </c>
      <c r="F58" s="88">
        <f>F28*$L$2/SUM(BIFUbC!F2:F26)</f>
        <v>2.1552154305121665E-3</v>
      </c>
      <c r="G58" s="88">
        <f>G28*$L$2/SUM(BIFUbC!G2:G26)</f>
        <v>2.0301434597034453E-3</v>
      </c>
      <c r="H58" s="88">
        <f>H28*$L$2/SUM(BIFUbC!H2:H26)</f>
        <v>1.1190852895469135E-3</v>
      </c>
      <c r="I58" s="88">
        <f>I28*$L$2/SUM(BIFUbC!I2:I26)</f>
        <v>4.9480500775074792E-4</v>
      </c>
      <c r="J58" s="88">
        <f>J28*$L$2/SUM(BIFUbC!J2:J26)</f>
        <v>4.8302239393219128E-4</v>
      </c>
    </row>
    <row r="61" spans="1:10" x14ac:dyDescent="0.15">
      <c r="A61" s="52" t="s">
        <v>103</v>
      </c>
      <c r="B61" s="52" t="s">
        <v>440</v>
      </c>
      <c r="C61" s="52"/>
      <c r="D61" s="52"/>
      <c r="E61" s="52"/>
      <c r="F61" s="52"/>
      <c r="G61" s="52"/>
      <c r="H61" s="52"/>
      <c r="I61" s="52"/>
      <c r="J61" s="52"/>
    </row>
    <row r="62" spans="1:10" x14ac:dyDescent="0.15">
      <c r="A62" s="26" t="s">
        <v>384</v>
      </c>
      <c r="B62" s="50">
        <v>2027</v>
      </c>
      <c r="C62" s="46">
        <v>2060</v>
      </c>
      <c r="D62" s="20">
        <v>2021</v>
      </c>
      <c r="E62" s="20">
        <v>2022</v>
      </c>
      <c r="F62" s="20">
        <v>2023</v>
      </c>
      <c r="G62" s="20">
        <v>2024</v>
      </c>
      <c r="H62" s="20">
        <v>2025</v>
      </c>
      <c r="I62" s="20">
        <v>2026</v>
      </c>
      <c r="J62" s="20">
        <v>2027</v>
      </c>
    </row>
    <row r="63" spans="1:10" x14ac:dyDescent="0.15">
      <c r="A63" s="26" t="s">
        <v>99</v>
      </c>
      <c r="B63" s="59">
        <f>IFERROR(B33/C33,1)</f>
        <v>0.19843383626214545</v>
      </c>
      <c r="C63" s="59">
        <v>1</v>
      </c>
      <c r="D63" s="78">
        <f>D33/$C33</f>
        <v>1.9731936939694349E-2</v>
      </c>
      <c r="E63" s="78">
        <f t="shared" ref="E63:J63" si="1">E33/$C33</f>
        <v>0.1433542791812728</v>
      </c>
      <c r="F63" s="78">
        <f t="shared" si="1"/>
        <v>0.20748927587005081</v>
      </c>
      <c r="G63" s="78">
        <f t="shared" si="1"/>
        <v>0.19843383626214545</v>
      </c>
      <c r="H63" s="78">
        <f t="shared" si="1"/>
        <v>8.2237655563518669E-2</v>
      </c>
      <c r="I63" s="78">
        <f t="shared" si="1"/>
        <v>6.1461238168366544E-2</v>
      </c>
      <c r="J63" s="78">
        <f t="shared" si="1"/>
        <v>5.9269035893021085E-2</v>
      </c>
    </row>
    <row r="64" spans="1:10" x14ac:dyDescent="0.15">
      <c r="A64" s="26" t="s">
        <v>35</v>
      </c>
      <c r="B64" s="59">
        <f t="shared" ref="B64:B87" si="2">IFERROR(B34/C34,1)</f>
        <v>9.2239495760954818E-2</v>
      </c>
      <c r="C64" s="59">
        <v>1</v>
      </c>
      <c r="D64" s="78">
        <f t="shared" ref="D64:J86" si="3">D34/$C34</f>
        <v>6.6017050403968571E-3</v>
      </c>
      <c r="E64" s="78">
        <f t="shared" si="3"/>
        <v>6.1080702606792055E-2</v>
      </c>
      <c r="F64" s="78">
        <f t="shared" si="3"/>
        <v>9.4468974982235471E-2</v>
      </c>
      <c r="G64" s="78">
        <f t="shared" si="3"/>
        <v>9.2239495760954832E-2</v>
      </c>
      <c r="H64" s="78">
        <f t="shared" si="3"/>
        <v>3.8819890606831692E-2</v>
      </c>
      <c r="I64" s="78">
        <f t="shared" si="3"/>
        <v>3.2727416228486232E-2</v>
      </c>
      <c r="J64" s="78">
        <f t="shared" si="3"/>
        <v>3.2213985656537908E-2</v>
      </c>
    </row>
    <row r="65" spans="1:10" x14ac:dyDescent="0.15">
      <c r="A65" s="26" t="s">
        <v>67</v>
      </c>
      <c r="B65" s="59">
        <f t="shared" si="2"/>
        <v>0.1870134107696094</v>
      </c>
      <c r="C65" s="59">
        <v>1</v>
      </c>
      <c r="D65" s="78">
        <f t="shared" si="3"/>
        <v>0.20824922240267654</v>
      </c>
      <c r="E65" s="78">
        <f t="shared" si="3"/>
        <v>0.20024135376498547</v>
      </c>
      <c r="F65" s="78">
        <f t="shared" si="3"/>
        <v>0.19421714299322604</v>
      </c>
      <c r="G65" s="78">
        <f t="shared" si="3"/>
        <v>0.1870134107696094</v>
      </c>
      <c r="H65" s="78">
        <f t="shared" si="3"/>
        <v>0.17758648898772231</v>
      </c>
      <c r="I65" s="78">
        <f t="shared" si="3"/>
        <v>1.5916885027947832E-3</v>
      </c>
      <c r="J65" s="78">
        <f t="shared" si="3"/>
        <v>1.5590459111788206E-3</v>
      </c>
    </row>
    <row r="66" spans="1:10" x14ac:dyDescent="0.15">
      <c r="A66" s="26" t="s">
        <v>100</v>
      </c>
      <c r="B66" s="59">
        <f t="shared" si="2"/>
        <v>9.337095850220832E-2</v>
      </c>
      <c r="C66" s="59">
        <v>1</v>
      </c>
      <c r="D66" s="78">
        <f t="shared" si="3"/>
        <v>9.0376032414945465E-3</v>
      </c>
      <c r="E66" s="78">
        <f t="shared" si="3"/>
        <v>6.9777688151587705E-2</v>
      </c>
      <c r="F66" s="78">
        <f t="shared" si="3"/>
        <v>9.8845019657675753E-2</v>
      </c>
      <c r="G66" s="78">
        <f t="shared" si="3"/>
        <v>9.337095850220832E-2</v>
      </c>
      <c r="H66" s="78">
        <f t="shared" si="3"/>
        <v>3.7512061515619241E-2</v>
      </c>
      <c r="I66" s="78">
        <f t="shared" si="3"/>
        <v>2.9030625682776819E-2</v>
      </c>
      <c r="J66" s="78">
        <f t="shared" si="3"/>
        <v>2.8377957100219713E-2</v>
      </c>
    </row>
    <row r="67" spans="1:10" x14ac:dyDescent="0.15">
      <c r="A67" s="26" t="s">
        <v>101</v>
      </c>
      <c r="B67" s="59">
        <f t="shared" si="2"/>
        <v>0.1712925286945256</v>
      </c>
      <c r="C67" s="59">
        <v>1</v>
      </c>
      <c r="D67" s="78">
        <f t="shared" si="3"/>
        <v>7.1094424803535325E-2</v>
      </c>
      <c r="E67" s="78">
        <f t="shared" si="3"/>
        <v>0.1425096286224137</v>
      </c>
      <c r="F67" s="78">
        <f t="shared" si="3"/>
        <v>0.17503935739096396</v>
      </c>
      <c r="G67" s="78">
        <f t="shared" si="3"/>
        <v>0.17129252869452555</v>
      </c>
      <c r="H67" s="78">
        <f t="shared" si="3"/>
        <v>9.66092234111533E-2</v>
      </c>
      <c r="I67" s="78">
        <f t="shared" si="3"/>
        <v>3.0704011161428651E-2</v>
      </c>
      <c r="J67" s="78">
        <f t="shared" si="3"/>
        <v>2.9796834016893269E-2</v>
      </c>
    </row>
    <row r="68" spans="1:10" x14ac:dyDescent="0.15">
      <c r="A68" s="26" t="s">
        <v>72</v>
      </c>
      <c r="B68" s="59">
        <f t="shared" si="2"/>
        <v>0.11220949174028137</v>
      </c>
      <c r="C68" s="59">
        <v>1</v>
      </c>
      <c r="D68" s="78">
        <f t="shared" si="3"/>
        <v>4.3373086663487596E-2</v>
      </c>
      <c r="E68" s="78">
        <f t="shared" si="3"/>
        <v>9.1251419314699753E-2</v>
      </c>
      <c r="F68" s="78">
        <f t="shared" si="3"/>
        <v>0.11281897772854195</v>
      </c>
      <c r="G68" s="78">
        <f t="shared" si="3"/>
        <v>0.11220949174028137</v>
      </c>
      <c r="H68" s="78">
        <f t="shared" si="3"/>
        <v>6.4612579063498751E-2</v>
      </c>
      <c r="I68" s="78">
        <f t="shared" si="3"/>
        <v>2.0970273108335311E-2</v>
      </c>
      <c r="J68" s="78">
        <f t="shared" si="3"/>
        <v>2.077915632601967E-2</v>
      </c>
    </row>
    <row r="69" spans="1:10" x14ac:dyDescent="0.15">
      <c r="A69" s="26" t="s">
        <v>38</v>
      </c>
      <c r="B69" s="59">
        <f t="shared" si="2"/>
        <v>0.10751729844566475</v>
      </c>
      <c r="C69" s="59">
        <v>1</v>
      </c>
      <c r="D69" s="78">
        <f t="shared" si="3"/>
        <v>1.2095845505325607E-2</v>
      </c>
      <c r="E69" s="78">
        <f t="shared" si="3"/>
        <v>9.2220913727838721E-2</v>
      </c>
      <c r="F69" s="78">
        <f t="shared" si="3"/>
        <v>0.10836656714809001</v>
      </c>
      <c r="G69" s="78">
        <f t="shared" si="3"/>
        <v>0.10751729844566475</v>
      </c>
      <c r="H69" s="78">
        <f t="shared" si="3"/>
        <v>2.7768179411230165E-2</v>
      </c>
      <c r="I69" s="78">
        <f t="shared" si="3"/>
        <v>1.5532612963716153E-2</v>
      </c>
      <c r="J69" s="78">
        <f t="shared" si="3"/>
        <v>1.5252678832450154E-2</v>
      </c>
    </row>
    <row r="70" spans="1:10" x14ac:dyDescent="0.15">
      <c r="A70" s="26" t="s">
        <v>68</v>
      </c>
      <c r="B70" s="59">
        <f t="shared" si="2"/>
        <v>9.8095821909610276E-2</v>
      </c>
      <c r="C70" s="59">
        <v>1</v>
      </c>
      <c r="D70" s="78">
        <f t="shared" si="3"/>
        <v>0.1019824697948753</v>
      </c>
      <c r="E70" s="78">
        <f t="shared" si="3"/>
        <v>0.10540318115989322</v>
      </c>
      <c r="F70" s="78">
        <f t="shared" si="3"/>
        <v>0.10229710585783931</v>
      </c>
      <c r="G70" s="78">
        <f t="shared" si="3"/>
        <v>9.8095821909610276E-2</v>
      </c>
      <c r="H70" s="78">
        <f t="shared" si="3"/>
        <v>9.087181249876386E-2</v>
      </c>
      <c r="I70" s="78">
        <f t="shared" si="3"/>
        <v>1.0156994420795853E-3</v>
      </c>
      <c r="J70" s="78">
        <f t="shared" si="3"/>
        <v>9.9370965204431693E-4</v>
      </c>
    </row>
    <row r="71" spans="1:10" x14ac:dyDescent="0.15">
      <c r="A71" s="26" t="s">
        <v>40</v>
      </c>
      <c r="B71" s="59">
        <f t="shared" si="2"/>
        <v>9.8320115504471034E-2</v>
      </c>
      <c r="C71" s="59">
        <v>1</v>
      </c>
      <c r="D71" s="78">
        <f t="shared" si="3"/>
        <v>3.2108703335622386E-2</v>
      </c>
      <c r="E71" s="78">
        <f t="shared" si="3"/>
        <v>7.7948196025944091E-2</v>
      </c>
      <c r="F71" s="78">
        <f t="shared" si="3"/>
        <v>0.10551097638388655</v>
      </c>
      <c r="G71" s="78">
        <f t="shared" si="3"/>
        <v>9.8320115504471048E-2</v>
      </c>
      <c r="H71" s="78">
        <f t="shared" si="3"/>
        <v>5.4498346261724506E-2</v>
      </c>
      <c r="I71" s="78">
        <f t="shared" si="3"/>
        <v>2.8398328064341741E-2</v>
      </c>
      <c r="J71" s="78">
        <f t="shared" si="3"/>
        <v>2.780045216885688E-2</v>
      </c>
    </row>
    <row r="72" spans="1:10" x14ac:dyDescent="0.15">
      <c r="A72" s="26" t="s">
        <v>41</v>
      </c>
      <c r="B72" s="59">
        <f t="shared" si="2"/>
        <v>0.20593485641582923</v>
      </c>
      <c r="C72" s="59">
        <v>1</v>
      </c>
      <c r="D72" s="78">
        <f t="shared" si="3"/>
        <v>7.733003651602148E-2</v>
      </c>
      <c r="E72" s="78">
        <f t="shared" si="3"/>
        <v>0.16438488442822821</v>
      </c>
      <c r="F72" s="78">
        <f t="shared" si="3"/>
        <v>0.22257461108822837</v>
      </c>
      <c r="G72" s="78">
        <f t="shared" si="3"/>
        <v>0.2059348564158292</v>
      </c>
      <c r="H72" s="78">
        <f t="shared" si="3"/>
        <v>0.12325179861853451</v>
      </c>
      <c r="I72" s="78">
        <f t="shared" si="3"/>
        <v>5.9353065712578257E-2</v>
      </c>
      <c r="J72" s="78">
        <f t="shared" si="3"/>
        <v>5.7438626386985076E-2</v>
      </c>
    </row>
    <row r="73" spans="1:10" x14ac:dyDescent="0.15">
      <c r="A73" s="26" t="s">
        <v>42</v>
      </c>
      <c r="B73" s="59">
        <f t="shared" si="2"/>
        <v>0.12570862479322126</v>
      </c>
      <c r="C73" s="59">
        <v>1</v>
      </c>
      <c r="D73" s="78">
        <f t="shared" si="3"/>
        <v>1.4634109616100729E-2</v>
      </c>
      <c r="E73" s="78">
        <f t="shared" si="3"/>
        <v>0.11122265302407296</v>
      </c>
      <c r="F73" s="78">
        <f t="shared" si="3"/>
        <v>0.12945774158621237</v>
      </c>
      <c r="G73" s="78">
        <f t="shared" si="3"/>
        <v>0.12570862479322126</v>
      </c>
      <c r="H73" s="78">
        <f t="shared" si="3"/>
        <v>3.1729371865408772E-2</v>
      </c>
      <c r="I73" s="78">
        <f t="shared" si="3"/>
        <v>1.7469540701383412E-2</v>
      </c>
      <c r="J73" s="78">
        <f t="shared" si="3"/>
        <v>1.7016328816885227E-2</v>
      </c>
    </row>
    <row r="74" spans="1:10" x14ac:dyDescent="0.15">
      <c r="A74" s="26" t="s">
        <v>43</v>
      </c>
      <c r="B74" s="59">
        <f t="shared" si="2"/>
        <v>0.25962652009166542</v>
      </c>
      <c r="C74" s="59">
        <v>1</v>
      </c>
      <c r="D74" s="78">
        <f t="shared" si="3"/>
        <v>3.280874576685034E-2</v>
      </c>
      <c r="E74" s="78">
        <f t="shared" si="3"/>
        <v>0.23635076383639672</v>
      </c>
      <c r="F74" s="78">
        <f t="shared" si="3"/>
        <v>0.27278006327428683</v>
      </c>
      <c r="G74" s="78">
        <f t="shared" si="3"/>
        <v>0.25962652009166542</v>
      </c>
      <c r="H74" s="78">
        <f t="shared" si="3"/>
        <v>6.4002154672819861E-2</v>
      </c>
      <c r="I74" s="78">
        <f t="shared" si="3"/>
        <v>3.4513515917095131E-2</v>
      </c>
      <c r="J74" s="78">
        <f t="shared" si="3"/>
        <v>3.3018483370729081E-2</v>
      </c>
    </row>
    <row r="75" spans="1:10" x14ac:dyDescent="0.15">
      <c r="A75" s="26" t="s">
        <v>56</v>
      </c>
      <c r="B75" s="59">
        <f t="shared" si="2"/>
        <v>6.8397460654629677E-2</v>
      </c>
      <c r="C75" s="59">
        <v>1</v>
      </c>
      <c r="D75" s="78">
        <f t="shared" si="3"/>
        <v>6.3914954675166882E-3</v>
      </c>
      <c r="E75" s="78">
        <f t="shared" si="3"/>
        <v>5.6906408567753045E-2</v>
      </c>
      <c r="F75" s="78">
        <f t="shared" si="3"/>
        <v>7.1037405331734277E-2</v>
      </c>
      <c r="G75" s="78">
        <f t="shared" si="3"/>
        <v>6.8397460654629677E-2</v>
      </c>
      <c r="H75" s="78">
        <f t="shared" si="3"/>
        <v>2.1529891779581201E-2</v>
      </c>
      <c r="I75" s="78">
        <f t="shared" si="3"/>
        <v>1.501830864991642E-2</v>
      </c>
      <c r="J75" s="78">
        <f t="shared" si="3"/>
        <v>1.4868731795819849E-2</v>
      </c>
    </row>
    <row r="76" spans="1:10" x14ac:dyDescent="0.15">
      <c r="A76" s="26" t="s">
        <v>45</v>
      </c>
      <c r="B76" s="59">
        <f t="shared" si="2"/>
        <v>8.1736488178511507E-2</v>
      </c>
      <c r="C76" s="59">
        <v>1</v>
      </c>
      <c r="D76" s="78">
        <f t="shared" si="3"/>
        <v>1.6046855147409552E-2</v>
      </c>
      <c r="E76" s="78">
        <f t="shared" si="3"/>
        <v>5.898121985154877E-2</v>
      </c>
      <c r="F76" s="78">
        <f t="shared" si="3"/>
        <v>8.7492475460153513E-2</v>
      </c>
      <c r="G76" s="78">
        <f t="shared" si="3"/>
        <v>8.1736488178511521E-2</v>
      </c>
      <c r="H76" s="78">
        <f t="shared" si="3"/>
        <v>4.1997271861241657E-2</v>
      </c>
      <c r="I76" s="78">
        <f t="shared" si="3"/>
        <v>2.8113742518867058E-2</v>
      </c>
      <c r="J76" s="78">
        <f t="shared" si="3"/>
        <v>2.7587409796591141E-2</v>
      </c>
    </row>
    <row r="77" spans="1:10" x14ac:dyDescent="0.15">
      <c r="A77" s="26" t="s">
        <v>46</v>
      </c>
      <c r="B77" s="59">
        <f t="shared" si="2"/>
        <v>0.11035708872033906</v>
      </c>
      <c r="C77" s="59">
        <v>1</v>
      </c>
      <c r="D77" s="78">
        <f t="shared" si="3"/>
        <v>1.646052045653848E-2</v>
      </c>
      <c r="E77" s="78">
        <f t="shared" si="3"/>
        <v>9.5641215822167849E-2</v>
      </c>
      <c r="F77" s="78">
        <f t="shared" si="3"/>
        <v>0.11850949920204459</v>
      </c>
      <c r="G77" s="78">
        <f t="shared" si="3"/>
        <v>0.11035708872033904</v>
      </c>
      <c r="H77" s="78">
        <f t="shared" si="3"/>
        <v>3.8898186714788084E-2</v>
      </c>
      <c r="I77" s="78">
        <f t="shared" si="3"/>
        <v>2.4912611756877118E-2</v>
      </c>
      <c r="J77" s="78">
        <f t="shared" si="3"/>
        <v>2.3810263294636584E-2</v>
      </c>
    </row>
    <row r="78" spans="1:10" x14ac:dyDescent="0.15">
      <c r="A78" s="26" t="s">
        <v>47</v>
      </c>
      <c r="B78" s="59">
        <f t="shared" si="2"/>
        <v>0.15819142358913132</v>
      </c>
      <c r="C78" s="59">
        <v>1</v>
      </c>
      <c r="D78" s="78">
        <f t="shared" si="3"/>
        <v>1.8613872674792992E-2</v>
      </c>
      <c r="E78" s="78">
        <f t="shared" si="3"/>
        <v>0.13948174327132007</v>
      </c>
      <c r="F78" s="78">
        <f t="shared" si="3"/>
        <v>0.16251802753142813</v>
      </c>
      <c r="G78" s="78">
        <f t="shared" si="3"/>
        <v>0.15819142358913132</v>
      </c>
      <c r="H78" s="78">
        <f t="shared" si="3"/>
        <v>4.0037546204551223E-2</v>
      </c>
      <c r="I78" s="78">
        <f t="shared" si="3"/>
        <v>2.2090503243415771E-2</v>
      </c>
      <c r="J78" s="78">
        <f t="shared" si="3"/>
        <v>2.1536515119863067E-2</v>
      </c>
    </row>
    <row r="79" spans="1:10" x14ac:dyDescent="0.15">
      <c r="A79" s="26" t="s">
        <v>48</v>
      </c>
      <c r="B79" s="59">
        <f t="shared" si="2"/>
        <v>0.31421227293691439</v>
      </c>
      <c r="C79" s="59">
        <v>1</v>
      </c>
      <c r="D79" s="78">
        <f t="shared" si="3"/>
        <v>4.173425543366803E-2</v>
      </c>
      <c r="E79" s="78">
        <f t="shared" si="3"/>
        <v>0.28985058798477698</v>
      </c>
      <c r="F79" s="78">
        <f t="shared" si="3"/>
        <v>0.33312264801693464</v>
      </c>
      <c r="G79" s="78">
        <f t="shared" si="3"/>
        <v>0.31421227293691439</v>
      </c>
      <c r="H79" s="78">
        <f t="shared" si="3"/>
        <v>7.6814355302668683E-2</v>
      </c>
      <c r="I79" s="78">
        <f t="shared" si="3"/>
        <v>4.1278337169853734E-2</v>
      </c>
      <c r="J79" s="78">
        <f t="shared" si="3"/>
        <v>3.9500901780287347E-2</v>
      </c>
    </row>
    <row r="80" spans="1:10" x14ac:dyDescent="0.15">
      <c r="A80" s="26" t="s">
        <v>49</v>
      </c>
      <c r="B80" s="59">
        <f t="shared" si="2"/>
        <v>0.31503335278355726</v>
      </c>
      <c r="C80" s="59">
        <v>1</v>
      </c>
      <c r="D80" s="78">
        <f t="shared" si="3"/>
        <v>4.4268178207262726E-2</v>
      </c>
      <c r="E80" s="78">
        <f t="shared" si="3"/>
        <v>0.29525790184522932</v>
      </c>
      <c r="F80" s="78">
        <f t="shared" si="3"/>
        <v>0.33783238655553999</v>
      </c>
      <c r="G80" s="78">
        <f t="shared" si="3"/>
        <v>0.31503335278355726</v>
      </c>
      <c r="H80" s="78">
        <f t="shared" si="3"/>
        <v>7.582525940617002E-2</v>
      </c>
      <c r="I80" s="78">
        <f t="shared" si="3"/>
        <v>4.0053640428481675E-2</v>
      </c>
      <c r="J80" s="78">
        <f t="shared" si="3"/>
        <v>3.7674412679691315E-2</v>
      </c>
    </row>
    <row r="81" spans="1:10" x14ac:dyDescent="0.15">
      <c r="A81" s="26" t="s">
        <v>50</v>
      </c>
      <c r="B81" s="59">
        <f t="shared" si="2"/>
        <v>0.15619728148761683</v>
      </c>
      <c r="C81" s="59">
        <v>1</v>
      </c>
      <c r="D81" s="78">
        <f t="shared" si="3"/>
        <v>1.9846755336307545E-2</v>
      </c>
      <c r="E81" s="78">
        <f t="shared" si="3"/>
        <v>0.13680435730020737</v>
      </c>
      <c r="F81" s="78">
        <f t="shared" si="3"/>
        <v>0.15976434141250287</v>
      </c>
      <c r="G81" s="78">
        <f t="shared" si="3"/>
        <v>0.15619728148761683</v>
      </c>
      <c r="H81" s="78">
        <f t="shared" si="3"/>
        <v>3.9644423393887941E-2</v>
      </c>
      <c r="I81" s="78">
        <f t="shared" si="3"/>
        <v>2.1838902886491134E-2</v>
      </c>
      <c r="J81" s="78">
        <f t="shared" si="3"/>
        <v>2.1172613011617138E-2</v>
      </c>
    </row>
    <row r="82" spans="1:10" x14ac:dyDescent="0.15">
      <c r="A82" s="26" t="s">
        <v>81</v>
      </c>
      <c r="B82" s="59">
        <f t="shared" si="2"/>
        <v>0.11175870058293361</v>
      </c>
      <c r="C82" s="59">
        <v>1</v>
      </c>
      <c r="D82" s="78">
        <f t="shared" si="3"/>
        <v>2.5497066131215441E-3</v>
      </c>
      <c r="E82" s="78">
        <f t="shared" si="3"/>
        <v>0.12690921839461539</v>
      </c>
      <c r="F82" s="78">
        <f t="shared" si="3"/>
        <v>0.12023170770259056</v>
      </c>
      <c r="G82" s="78">
        <f t="shared" si="3"/>
        <v>0.11175870058293361</v>
      </c>
      <c r="H82" s="78">
        <f t="shared" si="3"/>
        <v>4.6081200769421968E-3</v>
      </c>
      <c r="I82" s="78">
        <f t="shared" si="3"/>
        <v>2.5535666003094521E-3</v>
      </c>
      <c r="J82" s="78">
        <f t="shared" si="3"/>
        <v>2.4895860313724318E-3</v>
      </c>
    </row>
    <row r="83" spans="1:10" x14ac:dyDescent="0.15">
      <c r="A83" s="26" t="s">
        <v>71</v>
      </c>
      <c r="B83" s="59">
        <f t="shared" si="2"/>
        <v>6.3144708683189651E-2</v>
      </c>
      <c r="C83" s="59">
        <v>1</v>
      </c>
      <c r="D83" s="78">
        <f t="shared" si="3"/>
        <v>5.8297443737898719E-4</v>
      </c>
      <c r="E83" s="78">
        <f t="shared" si="3"/>
        <v>6.3684266920322863E-2</v>
      </c>
      <c r="F83" s="78">
        <f t="shared" si="3"/>
        <v>6.4181935833121914E-2</v>
      </c>
      <c r="G83" s="78">
        <f t="shared" si="3"/>
        <v>6.3144708683189651E-2</v>
      </c>
      <c r="H83" s="78">
        <f t="shared" si="3"/>
        <v>1.2539868554620011E-3</v>
      </c>
      <c r="I83" s="78">
        <f t="shared" si="3"/>
        <v>6.9946569939838212E-4</v>
      </c>
      <c r="J83" s="78">
        <f t="shared" si="3"/>
        <v>6.8807904890683179E-4</v>
      </c>
    </row>
    <row r="84" spans="1:10" x14ac:dyDescent="0.15">
      <c r="A84" s="26" t="s">
        <v>53</v>
      </c>
      <c r="B84" s="59">
        <f t="shared" si="2"/>
        <v>0.16526804105110418</v>
      </c>
      <c r="C84" s="59">
        <v>1</v>
      </c>
      <c r="D84" s="78">
        <f t="shared" si="3"/>
        <v>1.934548538297157E-2</v>
      </c>
      <c r="E84" s="78">
        <f t="shared" si="3"/>
        <v>0.14613581814932808</v>
      </c>
      <c r="F84" s="78">
        <f t="shared" si="3"/>
        <v>0.17012644830878432</v>
      </c>
      <c r="G84" s="78">
        <f t="shared" si="3"/>
        <v>0.16526804105110418</v>
      </c>
      <c r="H84" s="78">
        <f t="shared" si="3"/>
        <v>4.1731091779281221E-2</v>
      </c>
      <c r="I84" s="78">
        <f t="shared" si="3"/>
        <v>2.2978254388399379E-2</v>
      </c>
      <c r="J84" s="78">
        <f t="shared" si="3"/>
        <v>2.2364528981989918E-2</v>
      </c>
    </row>
    <row r="85" spans="1:10" x14ac:dyDescent="0.15">
      <c r="A85" s="26" t="s">
        <v>76</v>
      </c>
      <c r="B85" s="59">
        <f t="shared" si="2"/>
        <v>1.3640781562167235</v>
      </c>
      <c r="C85" s="59">
        <v>1</v>
      </c>
      <c r="D85" s="78">
        <f t="shared" si="3"/>
        <v>1.4580296574615823E-2</v>
      </c>
      <c r="E85" s="78">
        <f t="shared" si="3"/>
        <v>1.5659599565465481</v>
      </c>
      <c r="F85" s="78">
        <f t="shared" si="3"/>
        <v>1.5155835059864979</v>
      </c>
      <c r="G85" s="78">
        <f t="shared" si="3"/>
        <v>1.3640781562167235</v>
      </c>
      <c r="H85" s="78">
        <f t="shared" si="3"/>
        <v>2.3821114069650907E-2</v>
      </c>
      <c r="I85" s="78">
        <f t="shared" si="3"/>
        <v>1.213527964100216E-2</v>
      </c>
      <c r="J85" s="78">
        <f t="shared" si="3"/>
        <v>1.1065123332738149E-2</v>
      </c>
    </row>
    <row r="86" spans="1:10" x14ac:dyDescent="0.15">
      <c r="A86" s="26" t="s">
        <v>83</v>
      </c>
      <c r="B86" s="59">
        <f t="shared" si="2"/>
        <v>0.47948004473274269</v>
      </c>
      <c r="C86" s="59">
        <v>1</v>
      </c>
      <c r="D86" s="78">
        <f t="shared" si="3"/>
        <v>5.1919546188772446E-2</v>
      </c>
      <c r="E86" s="78">
        <f t="shared" si="3"/>
        <v>0.35555281869866945</v>
      </c>
      <c r="F86" s="78">
        <f t="shared" si="3"/>
        <v>0.51674703227085139</v>
      </c>
      <c r="G86" s="78">
        <f t="shared" si="3"/>
        <v>0.47948004473274275</v>
      </c>
      <c r="H86" s="78">
        <f t="shared" si="3"/>
        <v>0.18296453680759509</v>
      </c>
      <c r="I86" s="78">
        <f t="shared" si="3"/>
        <v>0.13340055424460628</v>
      </c>
      <c r="J86" s="78">
        <f t="shared" si="3"/>
        <v>0.12423208016867504</v>
      </c>
    </row>
    <row r="87" spans="1:10" x14ac:dyDescent="0.15">
      <c r="A87" s="26" t="s">
        <v>55</v>
      </c>
      <c r="B87" s="59">
        <f t="shared" si="2"/>
        <v>0.22171941065755849</v>
      </c>
      <c r="C87" s="59">
        <v>1</v>
      </c>
      <c r="D87" s="78">
        <f>D57/$C57</f>
        <v>2.7988371168502443E-2</v>
      </c>
      <c r="E87" s="78">
        <f t="shared" ref="E87:J87" si="4">E57/$C57</f>
        <v>0.20787804252318859</v>
      </c>
      <c r="F87" s="78">
        <f t="shared" si="4"/>
        <v>0.23268492879024014</v>
      </c>
      <c r="G87" s="78">
        <f t="shared" si="4"/>
        <v>0.22171941065755849</v>
      </c>
      <c r="H87" s="78">
        <f t="shared" si="4"/>
        <v>5.5808010887984393E-2</v>
      </c>
      <c r="I87" s="78">
        <f t="shared" si="4"/>
        <v>3.0222807719356943E-2</v>
      </c>
      <c r="J87" s="78">
        <f t="shared" si="4"/>
        <v>2.903599268155142E-2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6BCF-F5EB-4AEC-BFD9-9851C0442918}">
  <sheetPr>
    <tabColor theme="4" tint="-0.499984740745262"/>
  </sheetPr>
  <dimension ref="A1:B26"/>
  <sheetViews>
    <sheetView workbookViewId="0">
      <selection activeCell="B2" sqref="B2"/>
    </sheetView>
  </sheetViews>
  <sheetFormatPr defaultRowHeight="14.25" x14ac:dyDescent="0.2"/>
  <cols>
    <col min="1" max="1" width="22.125" customWidth="1"/>
    <col min="2" max="2" width="11.125" customWidth="1"/>
  </cols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'Early Facility Retirement'!B33</f>
        <v>5.655765594959837E-6</v>
      </c>
    </row>
    <row r="3" spans="1:2" x14ac:dyDescent="0.2">
      <c r="A3" s="56" t="s">
        <v>35</v>
      </c>
      <c r="B3" s="58">
        <f>'Early Facility Retirement'!B34</f>
        <v>2.0180696248434395E-3</v>
      </c>
    </row>
    <row r="4" spans="1:2" x14ac:dyDescent="0.2">
      <c r="A4" s="56" t="s">
        <v>36</v>
      </c>
      <c r="B4" s="58">
        <f>'Early Facility Retirement'!B35</f>
        <v>6.1392122737849162E-6</v>
      </c>
    </row>
    <row r="5" spans="1:2" x14ac:dyDescent="0.2">
      <c r="A5" s="56" t="s">
        <v>422</v>
      </c>
      <c r="B5" s="58">
        <f>'Early Facility Retirement'!B36</f>
        <v>1.3089270556374293E-5</v>
      </c>
    </row>
    <row r="6" spans="1:2" x14ac:dyDescent="0.2">
      <c r="A6" s="56" t="s">
        <v>393</v>
      </c>
      <c r="B6" s="58">
        <f>'Early Facility Retirement'!B37</f>
        <v>3.5871188693938717E-4</v>
      </c>
    </row>
    <row r="7" spans="1:2" x14ac:dyDescent="0.2">
      <c r="A7" s="56" t="s">
        <v>37</v>
      </c>
      <c r="B7" s="58">
        <f>'Early Facility Retirement'!B38</f>
        <v>8.4555220020691949E-2</v>
      </c>
    </row>
    <row r="8" spans="1:2" x14ac:dyDescent="0.2">
      <c r="A8" s="56" t="s">
        <v>38</v>
      </c>
      <c r="B8" s="58">
        <f>'Early Facility Retirement'!B39</f>
        <v>1.0677631518897483E-5</v>
      </c>
    </row>
    <row r="9" spans="1:2" x14ac:dyDescent="0.2">
      <c r="A9" s="56" t="s">
        <v>39</v>
      </c>
      <c r="B9" s="58">
        <f>'Early Facility Retirement'!B40</f>
        <v>4.232902620914263E-4</v>
      </c>
    </row>
    <row r="10" spans="1:2" x14ac:dyDescent="0.2">
      <c r="A10" s="56" t="s">
        <v>40</v>
      </c>
      <c r="B10" s="58">
        <f>'Early Facility Retirement'!B41</f>
        <v>0.11299894051977263</v>
      </c>
    </row>
    <row r="11" spans="1:2" x14ac:dyDescent="0.2">
      <c r="A11" s="56" t="s">
        <v>41</v>
      </c>
      <c r="B11" s="58">
        <f>'Early Facility Retirement'!B42</f>
        <v>6.8275193454094163E-2</v>
      </c>
    </row>
    <row r="12" spans="1:2" x14ac:dyDescent="0.2">
      <c r="A12" s="56" t="s">
        <v>42</v>
      </c>
      <c r="B12" s="58">
        <f>'Early Facility Retirement'!B43</f>
        <v>8.6954336343324728E-6</v>
      </c>
    </row>
    <row r="13" spans="1:2" x14ac:dyDescent="0.2">
      <c r="A13" s="56" t="s">
        <v>43</v>
      </c>
      <c r="B13" s="58">
        <f>'Early Facility Retirement'!B44</f>
        <v>9.4490113167659123E-2</v>
      </c>
    </row>
    <row r="14" spans="1:2" x14ac:dyDescent="0.2">
      <c r="A14" s="56" t="s">
        <v>44</v>
      </c>
      <c r="B14" s="58">
        <f>'Early Facility Retirement'!B45</f>
        <v>0.51174048898024671</v>
      </c>
    </row>
    <row r="15" spans="1:2" x14ac:dyDescent="0.2">
      <c r="A15" s="56" t="s">
        <v>45</v>
      </c>
      <c r="B15" s="58">
        <f>'Early Facility Retirement'!B46</f>
        <v>0.2552996198072226</v>
      </c>
    </row>
    <row r="16" spans="1:2" x14ac:dyDescent="0.2">
      <c r="A16" s="56" t="s">
        <v>46</v>
      </c>
      <c r="B16" s="58">
        <f>'Early Facility Retirement'!B47</f>
        <v>6.8495875505656278E-2</v>
      </c>
    </row>
    <row r="17" spans="1:2" x14ac:dyDescent="0.2">
      <c r="A17" s="56" t="s">
        <v>47</v>
      </c>
      <c r="B17" s="58">
        <f>'Early Facility Retirement'!B48</f>
        <v>6.1685280245764418E-6</v>
      </c>
    </row>
    <row r="18" spans="1:2" x14ac:dyDescent="0.2">
      <c r="A18" s="56" t="s">
        <v>48</v>
      </c>
      <c r="B18" s="58">
        <f>'Early Facility Retirement'!B49</f>
        <v>2.3416167870581418E-2</v>
      </c>
    </row>
    <row r="19" spans="1:2" x14ac:dyDescent="0.2">
      <c r="A19" s="56" t="s">
        <v>49</v>
      </c>
      <c r="B19" s="58">
        <f>'Early Facility Retirement'!B50</f>
        <v>0.14964388822793373</v>
      </c>
    </row>
    <row r="20" spans="1:2" x14ac:dyDescent="0.2">
      <c r="A20" s="56" t="s">
        <v>50</v>
      </c>
      <c r="B20" s="58">
        <f>'Early Facility Retirement'!B51</f>
        <v>6.2133601383151713E-6</v>
      </c>
    </row>
    <row r="21" spans="1:2" x14ac:dyDescent="0.2">
      <c r="A21" s="56" t="s">
        <v>51</v>
      </c>
      <c r="B21" s="58">
        <f>'Early Facility Retirement'!B52</f>
        <v>0.15016144407832546</v>
      </c>
    </row>
    <row r="22" spans="1:2" x14ac:dyDescent="0.2">
      <c r="A22" s="56" t="s">
        <v>52</v>
      </c>
      <c r="B22" s="58">
        <f>'Early Facility Retirement'!B53</f>
        <v>8.7936489497618295E-6</v>
      </c>
    </row>
    <row r="23" spans="1:2" x14ac:dyDescent="0.2">
      <c r="A23" s="56" t="s">
        <v>53</v>
      </c>
      <c r="B23" s="58">
        <f>'Early Facility Retirement'!B54</f>
        <v>0.13294400670670156</v>
      </c>
    </row>
    <row r="24" spans="1:2" x14ac:dyDescent="0.2">
      <c r="A24" s="56" t="s">
        <v>54</v>
      </c>
      <c r="B24" s="58">
        <f>'Early Facility Retirement'!B55</f>
        <v>9.5518126237310126E-7</v>
      </c>
    </row>
    <row r="25" spans="1:2" x14ac:dyDescent="0.2">
      <c r="A25" s="56" t="s">
        <v>408</v>
      </c>
      <c r="B25" s="58">
        <f>'Early Facility Retirement'!B56</f>
        <v>1.7227399918983241E-6</v>
      </c>
    </row>
    <row r="26" spans="1:2" x14ac:dyDescent="0.2">
      <c r="A26" s="56" t="s">
        <v>55</v>
      </c>
      <c r="B26" s="58">
        <f>'Early Facility Retirement'!B57</f>
        <v>4.7279712689507554E-6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237E-A139-4339-B73D-B32CE4321C0F}">
  <sheetPr>
    <tabColor theme="4" tint="-0.499984740745262"/>
  </sheetPr>
  <dimension ref="A1:B26"/>
  <sheetViews>
    <sheetView workbookViewId="0">
      <selection activeCell="G12" sqref="G12"/>
    </sheetView>
  </sheetViews>
  <sheetFormatPr defaultRowHeight="14.25" x14ac:dyDescent="0.2"/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'Installation&amp;System Integration'!B33</f>
        <v>2.5900267228856182E-3</v>
      </c>
    </row>
    <row r="3" spans="1:2" x14ac:dyDescent="0.2">
      <c r="A3" s="56" t="s">
        <v>35</v>
      </c>
      <c r="B3" s="58">
        <f>'Installation&amp;System Integration'!B34</f>
        <v>5.0470310290048146E-3</v>
      </c>
    </row>
    <row r="4" spans="1:2" x14ac:dyDescent="0.2">
      <c r="A4" s="56" t="s">
        <v>36</v>
      </c>
      <c r="B4" s="58">
        <f>'Installation&amp;System Integration'!B35</f>
        <v>3.994591589421807E-3</v>
      </c>
    </row>
    <row r="5" spans="1:2" x14ac:dyDescent="0.2">
      <c r="A5" s="56" t="s">
        <v>422</v>
      </c>
      <c r="B5" s="58">
        <f>'Installation&amp;System Integration'!B36</f>
        <v>5.9941594033353952E-3</v>
      </c>
    </row>
    <row r="6" spans="1:2" x14ac:dyDescent="0.2">
      <c r="A6" s="56" t="s">
        <v>393</v>
      </c>
      <c r="B6" s="58">
        <f>'Installation&amp;System Integration'!B37</f>
        <v>4.1083813166711194E-3</v>
      </c>
    </row>
    <row r="7" spans="1:2" x14ac:dyDescent="0.2">
      <c r="A7" s="56" t="s">
        <v>37</v>
      </c>
      <c r="B7" s="58">
        <f>'Installation&amp;System Integration'!B38</f>
        <v>2.7251063601185684E-2</v>
      </c>
    </row>
    <row r="8" spans="1:2" x14ac:dyDescent="0.2">
      <c r="A8" s="56" t="s">
        <v>38</v>
      </c>
      <c r="B8" s="58">
        <f>'Installation&amp;System Integration'!B39</f>
        <v>4.8897625806337205E-3</v>
      </c>
    </row>
    <row r="9" spans="1:2" x14ac:dyDescent="0.2">
      <c r="A9" s="56" t="s">
        <v>39</v>
      </c>
      <c r="B9" s="58">
        <f>'Installation&amp;System Integration'!B40</f>
        <v>4.0925481342033217E-3</v>
      </c>
    </row>
    <row r="10" spans="1:2" x14ac:dyDescent="0.2">
      <c r="A10" s="56" t="s">
        <v>40</v>
      </c>
      <c r="B10" s="58">
        <f>'Installation&amp;System Integration'!B41</f>
        <v>5.8426722354948772E-3</v>
      </c>
    </row>
    <row r="11" spans="1:2" x14ac:dyDescent="0.2">
      <c r="A11" s="56" t="s">
        <v>41</v>
      </c>
      <c r="B11" s="58">
        <f>'Installation&amp;System Integration'!B42</f>
        <v>7.5140978521275595E-3</v>
      </c>
    </row>
    <row r="12" spans="1:2" x14ac:dyDescent="0.2">
      <c r="A12" s="56" t="s">
        <v>42</v>
      </c>
      <c r="B12" s="58">
        <f>'Installation&amp;System Integration'!B43</f>
        <v>3.982025970112618E-3</v>
      </c>
    </row>
    <row r="13" spans="1:2" x14ac:dyDescent="0.2">
      <c r="A13" s="56" t="s">
        <v>43</v>
      </c>
      <c r="B13" s="58">
        <f>'Installation&amp;System Integration'!B44</f>
        <v>1.8291404900133228E-3</v>
      </c>
    </row>
    <row r="14" spans="1:2" x14ac:dyDescent="0.2">
      <c r="A14" s="56" t="s">
        <v>44</v>
      </c>
      <c r="B14" s="58">
        <f>'Installation&amp;System Integration'!B45</f>
        <v>7.1147009721414045E-3</v>
      </c>
    </row>
    <row r="15" spans="1:2" x14ac:dyDescent="0.2">
      <c r="A15" s="56" t="s">
        <v>45</v>
      </c>
      <c r="B15" s="58">
        <f>'Installation&amp;System Integration'!B46</f>
        <v>1.500179316496756E-2</v>
      </c>
    </row>
    <row r="16" spans="1:2" x14ac:dyDescent="0.2">
      <c r="A16" s="56" t="s">
        <v>46</v>
      </c>
      <c r="B16" s="58">
        <f>'Installation&amp;System Integration'!B47</f>
        <v>4.0207466775186535E-3</v>
      </c>
    </row>
    <row r="17" spans="1:2" x14ac:dyDescent="0.2">
      <c r="A17" s="56" t="s">
        <v>47</v>
      </c>
      <c r="B17" s="58">
        <f>'Installation&amp;System Integration'!B48</f>
        <v>2.8248434551034931E-3</v>
      </c>
    </row>
    <row r="18" spans="1:2" x14ac:dyDescent="0.2">
      <c r="A18" s="56" t="s">
        <v>48</v>
      </c>
      <c r="B18" s="58">
        <f>'Installation&amp;System Integration'!B49</f>
        <v>1.3203020116176556E-3</v>
      </c>
    </row>
    <row r="19" spans="1:2" x14ac:dyDescent="0.2">
      <c r="A19" s="56" t="s">
        <v>49</v>
      </c>
      <c r="B19" s="58">
        <f>'Installation&amp;System Integration'!B50</f>
        <v>1.1173151868863148E-3</v>
      </c>
    </row>
    <row r="20" spans="1:2" x14ac:dyDescent="0.2">
      <c r="A20" s="56" t="s">
        <v>50</v>
      </c>
      <c r="B20" s="58">
        <f>'Installation&amp;System Integration'!B51</f>
        <v>2.8453740748183975E-3</v>
      </c>
    </row>
    <row r="21" spans="1:2" x14ac:dyDescent="0.2">
      <c r="A21" s="56" t="s">
        <v>51</v>
      </c>
      <c r="B21" s="58">
        <f>'Installation&amp;System Integration'!B52</f>
        <v>2.9068266318527988E-3</v>
      </c>
    </row>
    <row r="22" spans="1:2" x14ac:dyDescent="0.2">
      <c r="A22" s="56" t="s">
        <v>52</v>
      </c>
      <c r="B22" s="58">
        <f>'Installation&amp;System Integration'!B53</f>
        <v>0.16181836353153747</v>
      </c>
    </row>
    <row r="23" spans="1:2" x14ac:dyDescent="0.2">
      <c r="A23" s="56" t="s">
        <v>53</v>
      </c>
      <c r="B23" s="58">
        <f>'Installation&amp;System Integration'!B54</f>
        <v>2.5735313189894755E-3</v>
      </c>
    </row>
    <row r="24" spans="1:2" x14ac:dyDescent="0.2">
      <c r="A24" s="56" t="s">
        <v>54</v>
      </c>
      <c r="B24" s="58">
        <f>'Installation&amp;System Integration'!B55</f>
        <v>4.4187208093595819E-4</v>
      </c>
    </row>
    <row r="25" spans="1:2" x14ac:dyDescent="0.2">
      <c r="A25" s="56" t="s">
        <v>408</v>
      </c>
      <c r="B25" s="58">
        <f>'Installation&amp;System Integration'!B56</f>
        <v>7.8891929672203769E-4</v>
      </c>
    </row>
    <row r="26" spans="1:2" x14ac:dyDescent="0.2">
      <c r="A26" s="56" t="s">
        <v>55</v>
      </c>
      <c r="B26" s="58">
        <f>'Installation&amp;System Integration'!B57</f>
        <v>2.1651484181965711E-3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6449-2C18-4511-85A4-495F5AF82BDB}">
  <sheetPr>
    <tabColor theme="4" tint="-0.499984740745262"/>
  </sheetPr>
  <dimension ref="A1:B26"/>
  <sheetViews>
    <sheetView workbookViewId="0">
      <selection activeCell="B2" sqref="B2:B26"/>
    </sheetView>
  </sheetViews>
  <sheetFormatPr defaultRowHeight="14.25" x14ac:dyDescent="0.2"/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'Cogeneration&amp;Waste Heat Recover'!C33</f>
        <v>0</v>
      </c>
    </row>
    <row r="3" spans="1:2" x14ac:dyDescent="0.2">
      <c r="A3" s="56" t="s">
        <v>35</v>
      </c>
      <c r="B3" s="58">
        <f>'Cogeneration&amp;Waste Heat Recover'!C34</f>
        <v>0</v>
      </c>
    </row>
    <row r="4" spans="1:2" x14ac:dyDescent="0.2">
      <c r="A4" s="56" t="s">
        <v>36</v>
      </c>
      <c r="B4" s="58">
        <f>'Cogeneration&amp;Waste Heat Recover'!C35</f>
        <v>0</v>
      </c>
    </row>
    <row r="5" spans="1:2" x14ac:dyDescent="0.2">
      <c r="A5" s="56" t="s">
        <v>422</v>
      </c>
      <c r="B5" s="58">
        <f>'Cogeneration&amp;Waste Heat Recover'!C36</f>
        <v>0</v>
      </c>
    </row>
    <row r="6" spans="1:2" x14ac:dyDescent="0.2">
      <c r="A6" s="56" t="s">
        <v>393</v>
      </c>
      <c r="B6" s="58">
        <f>'Cogeneration&amp;Waste Heat Recover'!C37</f>
        <v>2.3451451880624774E-3</v>
      </c>
    </row>
    <row r="7" spans="1:2" x14ac:dyDescent="0.2">
      <c r="A7" s="56" t="s">
        <v>37</v>
      </c>
      <c r="B7" s="58">
        <f>'Cogeneration&amp;Waste Heat Recover'!C38</f>
        <v>4.3372666524595233E-2</v>
      </c>
    </row>
    <row r="8" spans="1:2" x14ac:dyDescent="0.2">
      <c r="A8" s="56" t="s">
        <v>38</v>
      </c>
      <c r="B8" s="58">
        <f>'Cogeneration&amp;Waste Heat Recover'!C39</f>
        <v>0</v>
      </c>
    </row>
    <row r="9" spans="1:2" x14ac:dyDescent="0.2">
      <c r="A9" s="56" t="s">
        <v>39</v>
      </c>
      <c r="B9" s="58">
        <f>'Cogeneration&amp;Waste Heat Recover'!C40</f>
        <v>2.7673382384039865E-3</v>
      </c>
    </row>
    <row r="10" spans="1:2" x14ac:dyDescent="0.2">
      <c r="A10" s="56" t="s">
        <v>40</v>
      </c>
      <c r="B10" s="58">
        <f>'Cogeneration&amp;Waste Heat Recover'!C41</f>
        <v>2.8031527313737582E-2</v>
      </c>
    </row>
    <row r="11" spans="1:2" x14ac:dyDescent="0.2">
      <c r="A11" s="56" t="s">
        <v>41</v>
      </c>
      <c r="B11" s="58">
        <f>'Cogeneration&amp;Waste Heat Recover'!C42</f>
        <v>1.3460423065608771E-2</v>
      </c>
    </row>
    <row r="12" spans="1:2" x14ac:dyDescent="0.2">
      <c r="A12" s="56" t="s">
        <v>42</v>
      </c>
      <c r="B12" s="58">
        <f>'Cogeneration&amp;Waste Heat Recover'!C43</f>
        <v>0</v>
      </c>
    </row>
    <row r="13" spans="1:2" x14ac:dyDescent="0.2">
      <c r="A13" s="56" t="s">
        <v>43</v>
      </c>
      <c r="B13" s="58">
        <f>'Cogeneration&amp;Waste Heat Recover'!C44</f>
        <v>0</v>
      </c>
    </row>
    <row r="14" spans="1:2" x14ac:dyDescent="0.2">
      <c r="A14" s="56" t="s">
        <v>44</v>
      </c>
      <c r="B14" s="58">
        <f>'Cogeneration&amp;Waste Heat Recover'!C45</f>
        <v>1.5877656462151943E-3</v>
      </c>
    </row>
    <row r="15" spans="1:2" x14ac:dyDescent="0.2">
      <c r="A15" s="56" t="s">
        <v>45</v>
      </c>
      <c r="B15" s="58">
        <f>'Cogeneration&amp;Waste Heat Recover'!C46</f>
        <v>0.14438225383609124</v>
      </c>
    </row>
    <row r="16" spans="1:2" x14ac:dyDescent="0.2">
      <c r="A16" s="56" t="s">
        <v>46</v>
      </c>
      <c r="B16" s="58">
        <f>'Cogeneration&amp;Waste Heat Recover'!C47</f>
        <v>6.4529844695035627E-4</v>
      </c>
    </row>
    <row r="17" spans="1:2" x14ac:dyDescent="0.2">
      <c r="A17" s="56" t="s">
        <v>47</v>
      </c>
      <c r="B17" s="58">
        <f>'Cogeneration&amp;Waste Heat Recover'!C48</f>
        <v>0</v>
      </c>
    </row>
    <row r="18" spans="1:2" x14ac:dyDescent="0.2">
      <c r="A18" s="56" t="s">
        <v>48</v>
      </c>
      <c r="B18" s="58">
        <f>'Cogeneration&amp;Waste Heat Recover'!C49</f>
        <v>0</v>
      </c>
    </row>
    <row r="19" spans="1:2" x14ac:dyDescent="0.2">
      <c r="A19" s="56" t="s">
        <v>49</v>
      </c>
      <c r="B19" s="58">
        <f>'Cogeneration&amp;Waste Heat Recover'!C50</f>
        <v>0</v>
      </c>
    </row>
    <row r="20" spans="1:2" x14ac:dyDescent="0.2">
      <c r="A20" s="56" t="s">
        <v>50</v>
      </c>
      <c r="B20" s="58">
        <f>'Cogeneration&amp;Waste Heat Recover'!C51</f>
        <v>0</v>
      </c>
    </row>
    <row r="21" spans="1:2" x14ac:dyDescent="0.2">
      <c r="A21" s="56" t="s">
        <v>51</v>
      </c>
      <c r="B21" s="58">
        <f>'Cogeneration&amp;Waste Heat Recover'!C52</f>
        <v>6.9138667513801585E-2</v>
      </c>
    </row>
    <row r="22" spans="1:2" x14ac:dyDescent="0.2">
      <c r="A22" s="56" t="s">
        <v>52</v>
      </c>
      <c r="B22" s="58">
        <f>'Cogeneration&amp;Waste Heat Recover'!C53</f>
        <v>2.4130238996683845E-2</v>
      </c>
    </row>
    <row r="23" spans="1:2" x14ac:dyDescent="0.2">
      <c r="A23" s="56" t="s">
        <v>53</v>
      </c>
      <c r="B23" s="58">
        <f>'Cogeneration&amp;Waste Heat Recover'!C54</f>
        <v>0</v>
      </c>
    </row>
    <row r="24" spans="1:2" x14ac:dyDescent="0.2">
      <c r="A24" s="56" t="s">
        <v>54</v>
      </c>
      <c r="B24" s="58">
        <f>'Cogeneration&amp;Waste Heat Recover'!C55</f>
        <v>0</v>
      </c>
    </row>
    <row r="25" spans="1:2" x14ac:dyDescent="0.2">
      <c r="A25" s="56" t="s">
        <v>408</v>
      </c>
      <c r="B25" s="58">
        <f>'Cogeneration&amp;Waste Heat Recover'!C56</f>
        <v>4.4979799481864062E-3</v>
      </c>
    </row>
    <row r="26" spans="1:2" x14ac:dyDescent="0.2">
      <c r="A26" s="56" t="s">
        <v>55</v>
      </c>
      <c r="B26" s="58">
        <f>'Cogeneration&amp;Waste Heat Recover'!C57</f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57ED-E9BE-448B-B0B3-638D6BD1C90D}">
  <dimension ref="A1:B26"/>
  <sheetViews>
    <sheetView workbookViewId="0">
      <selection activeCell="G28" sqref="G28"/>
    </sheetView>
  </sheetViews>
  <sheetFormatPr defaultRowHeight="14.25" x14ac:dyDescent="0.2"/>
  <sheetData>
    <row r="1" spans="1:2" x14ac:dyDescent="0.2">
      <c r="A1" s="56" t="s">
        <v>442</v>
      </c>
      <c r="B1" s="57" t="s">
        <v>443</v>
      </c>
    </row>
    <row r="2" spans="1:2" x14ac:dyDescent="0.2">
      <c r="A2" s="56" t="s">
        <v>34</v>
      </c>
      <c r="B2" s="58">
        <f>'Improvement in Eqpt Efficiency'!C33</f>
        <v>4.5475344559900623E-3</v>
      </c>
    </row>
    <row r="3" spans="1:2" x14ac:dyDescent="0.2">
      <c r="A3" s="56" t="s">
        <v>35</v>
      </c>
      <c r="B3" s="58">
        <f>'Improvement in Eqpt Efficiency'!C34</f>
        <v>1.3122706183453231E-2</v>
      </c>
    </row>
    <row r="4" spans="1:2" x14ac:dyDescent="0.2">
      <c r="A4" s="56" t="s">
        <v>36</v>
      </c>
      <c r="B4" s="58">
        <f>'Improvement in Eqpt Efficiency'!C35</f>
        <v>0.17886498846410512</v>
      </c>
    </row>
    <row r="5" spans="1:2" x14ac:dyDescent="0.2">
      <c r="A5" s="56" t="s">
        <v>422</v>
      </c>
      <c r="B5" s="58">
        <f>'Improvement in Eqpt Efficiency'!C36</f>
        <v>1.0524465319413754E-2</v>
      </c>
    </row>
    <row r="6" spans="1:2" x14ac:dyDescent="0.2">
      <c r="A6" s="56" t="s">
        <v>393</v>
      </c>
      <c r="B6" s="58">
        <f>'Improvement in Eqpt Efficiency'!C37</f>
        <v>8.0878133747527125E-3</v>
      </c>
    </row>
    <row r="7" spans="1:2" x14ac:dyDescent="0.2">
      <c r="A7" s="56" t="s">
        <v>37</v>
      </c>
      <c r="B7" s="58">
        <f>'Improvement in Eqpt Efficiency'!C38</f>
        <v>1.3884917529627904E-2</v>
      </c>
    </row>
    <row r="8" spans="1:2" x14ac:dyDescent="0.2">
      <c r="A8" s="56" t="s">
        <v>38</v>
      </c>
      <c r="B8" s="58">
        <f>'Improvement in Eqpt Efficiency'!C39</f>
        <v>6.9360695186229055E-3</v>
      </c>
    </row>
    <row r="9" spans="1:2" x14ac:dyDescent="0.2">
      <c r="A9" s="56" t="s">
        <v>39</v>
      </c>
      <c r="B9" s="58">
        <f>'Improvement in Eqpt Efficiency'!C40</f>
        <v>0.15870136198669438</v>
      </c>
    </row>
    <row r="10" spans="1:2" x14ac:dyDescent="0.2">
      <c r="A10" s="56" t="s">
        <v>40</v>
      </c>
      <c r="B10" s="58">
        <f>'Improvement in Eqpt Efficiency'!C41</f>
        <v>1.6956628797010927E-2</v>
      </c>
    </row>
    <row r="11" spans="1:2" x14ac:dyDescent="0.2">
      <c r="A11" s="56" t="s">
        <v>41</v>
      </c>
      <c r="B11" s="58">
        <f>'Improvement in Eqpt Efficiency'!C42</f>
        <v>8.273541835423023E-3</v>
      </c>
    </row>
    <row r="12" spans="1:2" x14ac:dyDescent="0.2">
      <c r="A12" s="56" t="s">
        <v>42</v>
      </c>
      <c r="B12" s="58">
        <f>'Improvement in Eqpt Efficiency'!C43</f>
        <v>5.6484560340521453E-3</v>
      </c>
    </row>
    <row r="13" spans="1:2" x14ac:dyDescent="0.2">
      <c r="A13" s="56" t="s">
        <v>43</v>
      </c>
      <c r="B13" s="58">
        <f>'Improvement in Eqpt Efficiency'!C44</f>
        <v>2.5946138261003482E-3</v>
      </c>
    </row>
    <row r="14" spans="1:2" x14ac:dyDescent="0.2">
      <c r="A14" s="56" t="s">
        <v>44</v>
      </c>
      <c r="B14" s="58">
        <f>'Improvement in Eqpt Efficiency'!C45</f>
        <v>1.371702540495129E-2</v>
      </c>
    </row>
    <row r="15" spans="1:2" x14ac:dyDescent="0.2">
      <c r="A15" s="56" t="s">
        <v>45</v>
      </c>
      <c r="B15" s="58">
        <f>'Improvement in Eqpt Efficiency'!C46</f>
        <v>3.774878812029759E-2</v>
      </c>
    </row>
    <row r="16" spans="1:2" x14ac:dyDescent="0.2">
      <c r="A16" s="56" t="s">
        <v>46</v>
      </c>
      <c r="B16" s="58">
        <f>'Improvement in Eqpt Efficiency'!C47</f>
        <v>7.9067737795728774E-3</v>
      </c>
    </row>
    <row r="17" spans="1:2" x14ac:dyDescent="0.2">
      <c r="A17" s="56" t="s">
        <v>47</v>
      </c>
      <c r="B17" s="58">
        <f>'Improvement in Eqpt Efficiency'!C48</f>
        <v>4.0070065285839358E-3</v>
      </c>
    </row>
    <row r="18" spans="1:2" x14ac:dyDescent="0.2">
      <c r="A18" s="56" t="s">
        <v>48</v>
      </c>
      <c r="B18" s="58">
        <f>'Improvement in Eqpt Efficiency'!C49</f>
        <v>1.8728325531443032E-3</v>
      </c>
    </row>
    <row r="19" spans="1:2" x14ac:dyDescent="0.2">
      <c r="A19" s="56" t="s">
        <v>49</v>
      </c>
      <c r="B19" s="58">
        <f>'Improvement in Eqpt Efficiency'!C50</f>
        <v>1.5848981791365911E-3</v>
      </c>
    </row>
    <row r="20" spans="1:2" x14ac:dyDescent="0.2">
      <c r="A20" s="56" t="s">
        <v>50</v>
      </c>
      <c r="B20" s="58">
        <f>'Improvement in Eqpt Efficiency'!C51</f>
        <v>4.0361289661777315E-3</v>
      </c>
    </row>
    <row r="21" spans="1:2" x14ac:dyDescent="0.2">
      <c r="A21" s="56" t="s">
        <v>51</v>
      </c>
      <c r="B21" s="58">
        <f>'Improvement in Eqpt Efficiency'!C52</f>
        <v>3.2478722717600793E-2</v>
      </c>
    </row>
    <row r="22" spans="1:2" x14ac:dyDescent="0.2">
      <c r="A22" s="56" t="s">
        <v>52</v>
      </c>
      <c r="B22" s="58">
        <f>'Improvement in Eqpt Efficiency'!C53</f>
        <v>0.14598121396468786</v>
      </c>
    </row>
    <row r="23" spans="1:2" x14ac:dyDescent="0.2">
      <c r="A23" s="56" t="s">
        <v>53</v>
      </c>
      <c r="B23" s="58">
        <f>'Improvement in Eqpt Efficiency'!C54</f>
        <v>3.6505232805292736E-3</v>
      </c>
    </row>
    <row r="24" spans="1:2" x14ac:dyDescent="0.2">
      <c r="A24" s="56" t="s">
        <v>54</v>
      </c>
      <c r="B24" s="58">
        <f>'Improvement in Eqpt Efficiency'!C55</f>
        <v>3.9033463220411548E-3</v>
      </c>
    </row>
    <row r="25" spans="1:2" x14ac:dyDescent="0.2">
      <c r="A25" s="56" t="s">
        <v>408</v>
      </c>
      <c r="B25" s="58">
        <f>'Improvement in Eqpt Efficiency'!C56</f>
        <v>1.4085667807614375E-3</v>
      </c>
    </row>
    <row r="26" spans="1:2" x14ac:dyDescent="0.2">
      <c r="A26" s="56" t="s">
        <v>55</v>
      </c>
      <c r="B26" s="58">
        <f>'Improvement in Eqpt Efficiency'!C57</f>
        <v>3.0712370384251919E-3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About</vt:lpstr>
      <vt:lpstr>Sector &amp; Policy Match</vt:lpstr>
      <vt:lpstr>BIFUbC</vt:lpstr>
      <vt:lpstr>工业节能技术装备推荐目录</vt:lpstr>
      <vt:lpstr>用能设备节能分配</vt:lpstr>
      <vt:lpstr>Early Facility Retirement</vt:lpstr>
      <vt:lpstr>Installation&amp;System Integration</vt:lpstr>
      <vt:lpstr>Cogeneration&amp;Waste Heat Recover</vt:lpstr>
      <vt:lpstr>Improvement in Eqpt Efficiency</vt:lpstr>
      <vt:lpstr>PPRiFUfERoIF</vt:lpstr>
      <vt:lpstr>PPRiFUfIIaIoE</vt:lpstr>
      <vt:lpstr>PPRiFUfICaWHR</vt:lpstr>
      <vt:lpstr>Eqpt Efficiency Standards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cjwdl</dc:creator>
  <cp:lastModifiedBy>cjwdllj@163.com</cp:lastModifiedBy>
  <dcterms:created xsi:type="dcterms:W3CDTF">2015-06-05T18:19:34Z</dcterms:created>
  <dcterms:modified xsi:type="dcterms:W3CDTF">2026-03-31T09:07:21Z</dcterms:modified>
</cp:coreProperties>
</file>